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queryTables/queryTable1.xml" ContentType="application/vnd.openxmlformats-officedocument.spreadsheetml.queryTab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python.xml" ContentType="application/vnd.ms-excel.pyth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mc:AlternateContent xmlns:mc="http://schemas.openxmlformats.org/markup-compatibility/2006">
    <mc:Choice Requires="x15">
      <x15ac:absPath xmlns:x15ac="http://schemas.microsoft.com/office/spreadsheetml/2010/11/ac" url="C:\Users\claudio.toledo\OneDrive - SoftwareOne\Documents\Servicios\Gama Leasing\Modern SecOps\"/>
    </mc:Choice>
  </mc:AlternateContent>
  <xr:revisionPtr revIDLastSave="1" documentId="13_ncr:1_{3BF46201-28FC-4A82-B8C6-04AC57005208}" xr6:coauthVersionLast="47" xr6:coauthVersionMax="47" xr10:uidLastSave="{183DFA67-6445-4C9C-AC6A-8544BB664054}"/>
  <bookViews>
    <workbookView xWindow="-28920" yWindow="1755" windowWidth="29040" windowHeight="15720" tabRatio="836" xr2:uid="{00000000-000D-0000-FFFF-FFFF00000000}"/>
  </bookViews>
  <sheets>
    <sheet name="ONESheet 2.8" sheetId="48" r:id="rId1"/>
    <sheet name="CMSCore 2.8" sheetId="83" state="hidden" r:id="rId2"/>
    <sheet name="Paramenters" sheetId="32" state="hidden" r:id="rId3"/>
    <sheet name="CostRate" sheetId="17" state="hidden" r:id="rId4"/>
    <sheet name="FilterSL" sheetId="79" state="hidden" r:id="rId5"/>
    <sheet name="FilterJP" sheetId="65" state="hidden" r:id="rId6"/>
    <sheet name="PayRise" sheetId="74" r:id="rId7"/>
    <sheet name="OtherCosts" sheetId="36" r:id="rId8"/>
    <sheet name="Licenses" sheetId="73" r:id="rId9"/>
    <sheet name="WHT" sheetId="71" r:id="rId10"/>
    <sheet name="Users" sheetId="54" state="hidden" r:id="rId11"/>
    <sheet name="LATAM Solutions" sheetId="69" r:id="rId12"/>
    <sheet name="CMSResumen" sheetId="59" r:id="rId13"/>
    <sheet name="CMSRecursos" sheetId="58" r:id="rId14"/>
    <sheet name="CCEO - Invoice" sheetId="50" r:id="rId15"/>
    <sheet name="Versions" sheetId="49" r:id="rId16"/>
    <sheet name="Definitions" sheetId="81" r:id="rId17"/>
    <sheet name="CMSAzureAWS" sheetId="56" state="hidden" r:id="rId18"/>
    <sheet name="CMSDescuento" sheetId="57" state="hidden" r:id="rId19"/>
  </sheets>
  <definedNames>
    <definedName name="_xlnm._FilterDatabase" localSheetId="17" hidden="1">CMSAzureAWS!$A$1:$L$174</definedName>
    <definedName name="_xlnm._FilterDatabase" localSheetId="3" hidden="1">CostRate!$A$1:$E$3</definedName>
    <definedName name="_xlnm._FilterDatabase" localSheetId="7" hidden="1">OtherCosts!$A$1:$V$201</definedName>
    <definedName name="_xlnm._FilterDatabase" localSheetId="2" hidden="1">Paramenters!$A$27:$C$85</definedName>
    <definedName name="_xlnm._FilterDatabase" localSheetId="15" hidden="1">Versions!$B$3:$D$20</definedName>
    <definedName name="Approach" localSheetId="1">'CMSCore 2.8'!$O$3</definedName>
    <definedName name="Approach" localSheetId="0">'ONESheet 2.8'!$O$3</definedName>
    <definedName name="BillingCountry" localSheetId="1">'CMSCore 2.8'!$O$10</definedName>
    <definedName name="BillingCountry" localSheetId="0">'ONESheet 2.8'!$O$10</definedName>
    <definedName name="BillingCountryCurrency" localSheetId="1">'CMSCore 2.8'!$O$11</definedName>
    <definedName name="BillingCountryCurrency" localSheetId="0">'ONESheet 2.8'!$O$11</definedName>
    <definedName name="BillingCurrencyTRM" localSheetId="1">'CMSCore 2.8'!$X$21</definedName>
    <definedName name="BillingCurrencyTRM" localSheetId="0">'ONESheet 2.8'!$X$21</definedName>
    <definedName name="BusinessCurrency" localSheetId="1">'CMSCore 2.8'!$O$13</definedName>
    <definedName name="BusinessCurrency" localSheetId="0">'ONESheet 2.8'!$O$13</definedName>
    <definedName name="BusinessCurrencyTRM" localSheetId="1">'CMSCore 2.8'!$O$14</definedName>
    <definedName name="BusinessCurrencyTRM" localSheetId="0">'ONESheet 2.8'!$O$14</definedName>
    <definedName name="CustomerCountry" localSheetId="1">'CMSCore 2.8'!$C$3</definedName>
    <definedName name="CustomerCountry" localSheetId="0">'ONESheet 2.8'!$C$3</definedName>
    <definedName name="ExternalData_1" localSheetId="10" hidden="1">Users!$A$1:$C$134</definedName>
    <definedName name="HoursPerDayTeamBased" localSheetId="1">'CMSCore 2.8'!$O$4</definedName>
    <definedName name="HoursPerDayTeamBased" localSheetId="0">'ONESheet 2.8'!$O$4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3" i="48" l="1"/>
  <c r="J44" i="48"/>
  <c r="J45" i="48"/>
  <c r="J46" i="48"/>
  <c r="J47" i="48"/>
  <c r="J48" i="48"/>
  <c r="J49" i="48"/>
  <c r="J50" i="48"/>
  <c r="J51" i="48"/>
  <c r="J52" i="48"/>
  <c r="J53" i="48"/>
  <c r="J54" i="48"/>
  <c r="J55" i="48"/>
  <c r="J56" i="48"/>
  <c r="J57" i="48"/>
  <c r="J58" i="48"/>
  <c r="J59" i="48"/>
  <c r="J60" i="48"/>
  <c r="J61" i="48"/>
  <c r="J62" i="48"/>
  <c r="J63" i="48"/>
  <c r="J64" i="48"/>
  <c r="J65" i="48"/>
  <c r="J66" i="48"/>
  <c r="J67" i="48"/>
  <c r="J68" i="48"/>
  <c r="J69" i="48"/>
  <c r="J70" i="48"/>
  <c r="J71" i="48"/>
  <c r="J91" i="48"/>
  <c r="J92" i="48"/>
  <c r="J93" i="48"/>
  <c r="J94" i="48"/>
  <c r="J95" i="48"/>
  <c r="J96" i="48"/>
  <c r="J97" i="48"/>
  <c r="J98" i="48"/>
  <c r="J99" i="48"/>
  <c r="J100" i="48"/>
  <c r="J101" i="48"/>
  <c r="J102" i="48"/>
  <c r="J103" i="48"/>
  <c r="J104" i="48"/>
  <c r="J105" i="48"/>
  <c r="J106" i="48"/>
  <c r="J107" i="48"/>
  <c r="J108" i="48"/>
  <c r="J109" i="48"/>
  <c r="J110" i="48"/>
  <c r="J111" i="48"/>
  <c r="J112" i="48"/>
  <c r="J113" i="48"/>
  <c r="J114" i="48"/>
  <c r="J115" i="48"/>
  <c r="J116" i="48"/>
  <c r="J117" i="48"/>
  <c r="J118" i="48"/>
  <c r="J119" i="48"/>
  <c r="J120" i="48"/>
  <c r="J121" i="48"/>
  <c r="O10" i="48"/>
  <c r="G18" i="17"/>
  <c r="H18" i="17"/>
  <c r="I18" i="17" s="1"/>
  <c r="J18" i="17" s="1"/>
  <c r="G19" i="17"/>
  <c r="H19" i="17"/>
  <c r="I19" i="17" s="1"/>
  <c r="J19" i="17" s="1"/>
  <c r="O2" i="36" a="1"/>
  <c r="O2" i="36" s="1"/>
  <c r="O201" i="36" a="1"/>
  <c r="O201" i="36" s="1"/>
  <c r="O200" i="36" a="1"/>
  <c r="O200" i="36" s="1"/>
  <c r="O199" i="36" a="1"/>
  <c r="O199" i="36" s="1"/>
  <c r="O198" i="36" a="1"/>
  <c r="O198" i="36" s="1"/>
  <c r="O197" i="36" a="1"/>
  <c r="O197" i="36" s="1"/>
  <c r="O196" i="36" a="1"/>
  <c r="O196" i="36" s="1"/>
  <c r="O195" i="36" a="1"/>
  <c r="O195" i="36" s="1"/>
  <c r="O194" i="36" a="1"/>
  <c r="O194" i="36" s="1"/>
  <c r="O193" i="36" a="1"/>
  <c r="O193" i="36" s="1"/>
  <c r="O192" i="36" a="1"/>
  <c r="O192" i="36" s="1"/>
  <c r="O191" i="36" a="1"/>
  <c r="O191" i="36" s="1"/>
  <c r="O190" i="36" a="1"/>
  <c r="O190" i="36" s="1"/>
  <c r="O189" i="36" a="1"/>
  <c r="O189" i="36" s="1"/>
  <c r="O188" i="36" a="1"/>
  <c r="O188" i="36" s="1"/>
  <c r="O187" i="36" a="1"/>
  <c r="O187" i="36" s="1"/>
  <c r="O186" i="36" a="1"/>
  <c r="O186" i="36" s="1"/>
  <c r="O185" i="36" a="1"/>
  <c r="O185" i="36" s="1"/>
  <c r="O184" i="36" a="1"/>
  <c r="O184" i="36" s="1"/>
  <c r="O183" i="36" a="1"/>
  <c r="O183" i="36" s="1"/>
  <c r="O182" i="36" a="1"/>
  <c r="O182" i="36" s="1"/>
  <c r="O181" i="36" a="1"/>
  <c r="O181" i="36" s="1"/>
  <c r="O180" i="36" a="1"/>
  <c r="O180" i="36" s="1"/>
  <c r="O179" i="36" a="1"/>
  <c r="O179" i="36" s="1"/>
  <c r="O178" i="36" a="1"/>
  <c r="O178" i="36" s="1"/>
  <c r="O177" i="36" a="1"/>
  <c r="O177" i="36" s="1"/>
  <c r="O176" i="36" a="1"/>
  <c r="O176" i="36" s="1"/>
  <c r="O175" i="36" a="1"/>
  <c r="O175" i="36" s="1"/>
  <c r="O174" i="36" a="1"/>
  <c r="O174" i="36" s="1"/>
  <c r="O173" i="36" a="1"/>
  <c r="O173" i="36" s="1"/>
  <c r="O172" i="36" a="1"/>
  <c r="O172" i="36" s="1"/>
  <c r="O171" i="36" a="1"/>
  <c r="O171" i="36" s="1"/>
  <c r="O170" i="36" a="1"/>
  <c r="O170" i="36" s="1"/>
  <c r="O169" i="36" a="1"/>
  <c r="O169" i="36" s="1"/>
  <c r="O168" i="36" a="1"/>
  <c r="O168" i="36" s="1"/>
  <c r="O167" i="36" a="1"/>
  <c r="O167" i="36" s="1"/>
  <c r="O166" i="36" a="1"/>
  <c r="O166" i="36" s="1"/>
  <c r="O165" i="36" a="1"/>
  <c r="O165" i="36" s="1"/>
  <c r="O164" i="36" a="1"/>
  <c r="O164" i="36" s="1"/>
  <c r="O163" i="36" a="1"/>
  <c r="O163" i="36" s="1"/>
  <c r="O162" i="36" a="1"/>
  <c r="O162" i="36" s="1"/>
  <c r="O161" i="36" a="1"/>
  <c r="O161" i="36" s="1"/>
  <c r="O160" i="36" a="1"/>
  <c r="O160" i="36" s="1"/>
  <c r="O159" i="36" a="1"/>
  <c r="O159" i="36" s="1"/>
  <c r="O158" i="36" a="1"/>
  <c r="O158" i="36" s="1"/>
  <c r="O157" i="36" a="1"/>
  <c r="O157" i="36" s="1"/>
  <c r="O156" i="36" a="1"/>
  <c r="O156" i="36" s="1"/>
  <c r="O155" i="36" a="1"/>
  <c r="O155" i="36" s="1"/>
  <c r="O154" i="36" a="1"/>
  <c r="O154" i="36" s="1"/>
  <c r="O153" i="36" a="1"/>
  <c r="O153" i="36" s="1"/>
  <c r="O152" i="36" a="1"/>
  <c r="O152" i="36" s="1"/>
  <c r="O151" i="36" a="1"/>
  <c r="O151" i="36" s="1"/>
  <c r="O150" i="36" a="1"/>
  <c r="O150" i="36" s="1"/>
  <c r="O149" i="36" a="1"/>
  <c r="O149" i="36" s="1"/>
  <c r="O148" i="36" a="1"/>
  <c r="O148" i="36" s="1"/>
  <c r="O147" i="36" a="1"/>
  <c r="O147" i="36" s="1"/>
  <c r="O146" i="36" a="1"/>
  <c r="O146" i="36" s="1"/>
  <c r="O145" i="36" a="1"/>
  <c r="O145" i="36" s="1"/>
  <c r="O144" i="36" a="1"/>
  <c r="O144" i="36" s="1"/>
  <c r="O143" i="36" a="1"/>
  <c r="O143" i="36" s="1"/>
  <c r="O142" i="36" a="1"/>
  <c r="O142" i="36" s="1"/>
  <c r="O141" i="36" a="1"/>
  <c r="O141" i="36" s="1"/>
  <c r="O140" i="36" a="1"/>
  <c r="O140" i="36" s="1"/>
  <c r="O139" i="36" a="1"/>
  <c r="O139" i="36" s="1"/>
  <c r="O138" i="36" a="1"/>
  <c r="O138" i="36" s="1"/>
  <c r="O137" i="36" a="1"/>
  <c r="O137" i="36" s="1"/>
  <c r="O136" i="36" a="1"/>
  <c r="O136" i="36" s="1"/>
  <c r="O135" i="36" a="1"/>
  <c r="O135" i="36" s="1"/>
  <c r="O134" i="36" a="1"/>
  <c r="O134" i="36" s="1"/>
  <c r="O133" i="36" a="1"/>
  <c r="O133" i="36" s="1"/>
  <c r="O132" i="36" a="1"/>
  <c r="O132" i="36" s="1"/>
  <c r="O131" i="36" a="1"/>
  <c r="O131" i="36" s="1"/>
  <c r="O130" i="36" a="1"/>
  <c r="O130" i="36" s="1"/>
  <c r="O129" i="36" a="1"/>
  <c r="O129" i="36" s="1"/>
  <c r="O128" i="36" a="1"/>
  <c r="O128" i="36" s="1"/>
  <c r="O127" i="36" a="1"/>
  <c r="O127" i="36" s="1"/>
  <c r="O126" i="36" a="1"/>
  <c r="O126" i="36" s="1"/>
  <c r="O125" i="36" a="1"/>
  <c r="O125" i="36" s="1"/>
  <c r="O124" i="36" a="1"/>
  <c r="O124" i="36" s="1"/>
  <c r="O123" i="36" a="1"/>
  <c r="O123" i="36" s="1"/>
  <c r="O122" i="36" a="1"/>
  <c r="O122" i="36" s="1"/>
  <c r="O121" i="36" a="1"/>
  <c r="O121" i="36" s="1"/>
  <c r="O120" i="36" a="1"/>
  <c r="O120" i="36" s="1"/>
  <c r="O119" i="36" a="1"/>
  <c r="O119" i="36" s="1"/>
  <c r="O118" i="36" a="1"/>
  <c r="O118" i="36" s="1"/>
  <c r="O117" i="36" a="1"/>
  <c r="O117" i="36" s="1"/>
  <c r="O116" i="36" a="1"/>
  <c r="O116" i="36" s="1"/>
  <c r="O115" i="36" a="1"/>
  <c r="O115" i="36" s="1"/>
  <c r="O114" i="36" a="1"/>
  <c r="O114" i="36" s="1"/>
  <c r="O113" i="36" a="1"/>
  <c r="O113" i="36" s="1"/>
  <c r="O112" i="36" a="1"/>
  <c r="O112" i="36" s="1"/>
  <c r="O111" i="36" a="1"/>
  <c r="O111" i="36" s="1"/>
  <c r="O110" i="36" a="1"/>
  <c r="O110" i="36" s="1"/>
  <c r="O109" i="36" a="1"/>
  <c r="O109" i="36" s="1"/>
  <c r="O108" i="36" a="1"/>
  <c r="O108" i="36" s="1"/>
  <c r="O107" i="36" a="1"/>
  <c r="O107" i="36" s="1"/>
  <c r="O106" i="36" a="1"/>
  <c r="O106" i="36" s="1"/>
  <c r="O105" i="36" a="1"/>
  <c r="O105" i="36" s="1"/>
  <c r="O104" i="36" a="1"/>
  <c r="O104" i="36" s="1"/>
  <c r="O103" i="36" a="1"/>
  <c r="O103" i="36" s="1"/>
  <c r="O102" i="36" a="1"/>
  <c r="O102" i="36" s="1"/>
  <c r="O101" i="36" a="1"/>
  <c r="O101" i="36" s="1"/>
  <c r="O100" i="36" a="1"/>
  <c r="O100" i="36" s="1"/>
  <c r="O99" i="36" a="1"/>
  <c r="O99" i="36" s="1"/>
  <c r="O98" i="36" a="1"/>
  <c r="O98" i="36" s="1"/>
  <c r="O97" i="36" a="1"/>
  <c r="O97" i="36" s="1"/>
  <c r="O96" i="36" a="1"/>
  <c r="O96" i="36" s="1"/>
  <c r="O95" i="36" a="1"/>
  <c r="O95" i="36" s="1"/>
  <c r="O94" i="36" a="1"/>
  <c r="O94" i="36" s="1"/>
  <c r="O93" i="36" a="1"/>
  <c r="O93" i="36" s="1"/>
  <c r="O92" i="36" a="1"/>
  <c r="O92" i="36" s="1"/>
  <c r="O91" i="36" a="1"/>
  <c r="O91" i="36" s="1"/>
  <c r="O90" i="36" a="1"/>
  <c r="O90" i="36" s="1"/>
  <c r="O89" i="36" a="1"/>
  <c r="O89" i="36" s="1"/>
  <c r="O88" i="36" a="1"/>
  <c r="O88" i="36" s="1"/>
  <c r="O87" i="36" a="1"/>
  <c r="O87" i="36" s="1"/>
  <c r="O86" i="36" a="1"/>
  <c r="O86" i="36" s="1"/>
  <c r="O85" i="36" a="1"/>
  <c r="O85" i="36" s="1"/>
  <c r="O84" i="36" a="1"/>
  <c r="O84" i="36" s="1"/>
  <c r="O83" i="36" a="1"/>
  <c r="O83" i="36" s="1"/>
  <c r="O82" i="36" a="1"/>
  <c r="O82" i="36" s="1"/>
  <c r="O81" i="36" a="1"/>
  <c r="O81" i="36" s="1"/>
  <c r="O80" i="36" a="1"/>
  <c r="O80" i="36" s="1"/>
  <c r="O79" i="36" a="1"/>
  <c r="O79" i="36" s="1"/>
  <c r="O78" i="36" a="1"/>
  <c r="O78" i="36" s="1"/>
  <c r="O77" i="36" a="1"/>
  <c r="O77" i="36" s="1"/>
  <c r="O76" i="36" a="1"/>
  <c r="O76" i="36" s="1"/>
  <c r="O75" i="36" a="1"/>
  <c r="O75" i="36" s="1"/>
  <c r="O74" i="36" a="1"/>
  <c r="O74" i="36" s="1"/>
  <c r="O73" i="36" a="1"/>
  <c r="O73" i="36" s="1"/>
  <c r="O72" i="36" a="1"/>
  <c r="O72" i="36" s="1"/>
  <c r="O71" i="36" a="1"/>
  <c r="O71" i="36" s="1"/>
  <c r="O70" i="36" a="1"/>
  <c r="O70" i="36" s="1"/>
  <c r="O69" i="36" a="1"/>
  <c r="O69" i="36" s="1"/>
  <c r="O68" i="36" a="1"/>
  <c r="O68" i="36" s="1"/>
  <c r="O67" i="36" a="1"/>
  <c r="O67" i="36" s="1"/>
  <c r="O66" i="36" a="1"/>
  <c r="O66" i="36" s="1"/>
  <c r="O65" i="36" a="1"/>
  <c r="O65" i="36" s="1"/>
  <c r="O64" i="36" a="1"/>
  <c r="O64" i="36" s="1"/>
  <c r="O63" i="36" a="1"/>
  <c r="O63" i="36" s="1"/>
  <c r="O62" i="36" a="1"/>
  <c r="O62" i="36" s="1"/>
  <c r="O61" i="36" a="1"/>
  <c r="O61" i="36" s="1"/>
  <c r="O60" i="36" a="1"/>
  <c r="O60" i="36" s="1"/>
  <c r="O59" i="36" a="1"/>
  <c r="O59" i="36" s="1"/>
  <c r="O58" i="36" a="1"/>
  <c r="O58" i="36" s="1"/>
  <c r="O57" i="36" a="1"/>
  <c r="O57" i="36" s="1"/>
  <c r="O56" i="36" a="1"/>
  <c r="O56" i="36" s="1"/>
  <c r="O55" i="36" a="1"/>
  <c r="O55" i="36" s="1"/>
  <c r="O54" i="36" a="1"/>
  <c r="O54" i="36" s="1"/>
  <c r="O53" i="36" a="1"/>
  <c r="O53" i="36" s="1"/>
  <c r="O52" i="36" a="1"/>
  <c r="O52" i="36" s="1"/>
  <c r="O51" i="36" a="1"/>
  <c r="O51" i="36" s="1"/>
  <c r="O50" i="36" a="1"/>
  <c r="O50" i="36" s="1"/>
  <c r="O49" i="36" a="1"/>
  <c r="O49" i="36" s="1"/>
  <c r="O48" i="36" a="1"/>
  <c r="O48" i="36" s="1"/>
  <c r="O47" i="36" a="1"/>
  <c r="O47" i="36" s="1"/>
  <c r="O46" i="36" a="1"/>
  <c r="O46" i="36" s="1"/>
  <c r="O45" i="36" a="1"/>
  <c r="O45" i="36" s="1"/>
  <c r="O44" i="36" a="1"/>
  <c r="O44" i="36" s="1"/>
  <c r="O43" i="36" a="1"/>
  <c r="O43" i="36" s="1"/>
  <c r="O42" i="36" a="1"/>
  <c r="O42" i="36" s="1"/>
  <c r="O41" i="36" a="1"/>
  <c r="O41" i="36" s="1"/>
  <c r="O40" i="36" a="1"/>
  <c r="O40" i="36" s="1"/>
  <c r="O39" i="36" a="1"/>
  <c r="O39" i="36" s="1"/>
  <c r="O38" i="36" a="1"/>
  <c r="O38" i="36" s="1"/>
  <c r="O37" i="36" a="1"/>
  <c r="O37" i="36" s="1"/>
  <c r="O36" i="36" a="1"/>
  <c r="O36" i="36" s="1"/>
  <c r="O35" i="36" a="1"/>
  <c r="O35" i="36" s="1"/>
  <c r="O34" i="36" a="1"/>
  <c r="O34" i="36" s="1"/>
  <c r="O33" i="36" a="1"/>
  <c r="O33" i="36" s="1"/>
  <c r="O32" i="36" a="1"/>
  <c r="O32" i="36" s="1"/>
  <c r="O31" i="36" a="1"/>
  <c r="O31" i="36" s="1"/>
  <c r="O30" i="36" a="1"/>
  <c r="O30" i="36" s="1"/>
  <c r="O29" i="36" a="1"/>
  <c r="O29" i="36" s="1"/>
  <c r="O28" i="36" a="1"/>
  <c r="O28" i="36" s="1"/>
  <c r="O27" i="36" a="1"/>
  <c r="O27" i="36" s="1"/>
  <c r="O26" i="36" a="1"/>
  <c r="O26" i="36" s="1"/>
  <c r="O25" i="36" a="1"/>
  <c r="O25" i="36" s="1"/>
  <c r="O24" i="36" a="1"/>
  <c r="O24" i="36" s="1"/>
  <c r="O23" i="36" a="1"/>
  <c r="O23" i="36" s="1"/>
  <c r="O22" i="36" a="1"/>
  <c r="O22" i="36" s="1"/>
  <c r="O21" i="36" a="1"/>
  <c r="O21" i="36" s="1"/>
  <c r="O20" i="36" a="1"/>
  <c r="O20" i="36" s="1"/>
  <c r="O19" i="36" a="1"/>
  <c r="O19" i="36" s="1"/>
  <c r="O18" i="36" a="1"/>
  <c r="O18" i="36" s="1"/>
  <c r="O17" i="36" a="1"/>
  <c r="O17" i="36" s="1"/>
  <c r="O16" i="36" a="1"/>
  <c r="O16" i="36" s="1"/>
  <c r="O15" i="36" a="1"/>
  <c r="O15" i="36" s="1"/>
  <c r="O14" i="36" a="1"/>
  <c r="O14" i="36" s="1"/>
  <c r="O13" i="36" a="1"/>
  <c r="O13" i="36" s="1"/>
  <c r="O12" i="36" a="1"/>
  <c r="O12" i="36" s="1"/>
  <c r="O11" i="36" a="1"/>
  <c r="O11" i="36" s="1"/>
  <c r="O10" i="36" a="1"/>
  <c r="O10" i="36" s="1"/>
  <c r="O9" i="36" a="1"/>
  <c r="O9" i="36" s="1"/>
  <c r="O8" i="36" a="1"/>
  <c r="O8" i="36" s="1"/>
  <c r="O7" i="36" a="1"/>
  <c r="O7" i="36" s="1"/>
  <c r="O6" i="36" a="1"/>
  <c r="O6" i="36" s="1"/>
  <c r="O5" i="36" a="1"/>
  <c r="O5" i="36" s="1"/>
  <c r="O4" i="36" a="1"/>
  <c r="O4" i="36" s="1"/>
  <c r="O3" i="36" a="1"/>
  <c r="O3" i="36" s="1"/>
  <c r="AJ359" i="83" a="1"/>
  <c r="AJ359" i="83" s="1"/>
  <c r="AJ358" i="83" a="1"/>
  <c r="AJ358" i="83" s="1"/>
  <c r="AJ357" i="83" a="1"/>
  <c r="AJ357" i="83" s="1"/>
  <c r="AJ356" i="83" a="1"/>
  <c r="AJ356" i="83" s="1"/>
  <c r="AJ355" i="83" a="1"/>
  <c r="AJ355" i="83" s="1"/>
  <c r="AJ354" i="83" a="1"/>
  <c r="AJ354" i="83" s="1"/>
  <c r="AJ353" i="83" a="1"/>
  <c r="AJ353" i="83" s="1"/>
  <c r="AJ352" i="83" a="1"/>
  <c r="AJ352" i="83" s="1"/>
  <c r="AJ351" i="83" a="1"/>
  <c r="AJ351" i="83" s="1"/>
  <c r="AJ350" i="83" a="1"/>
  <c r="AJ350" i="83" s="1"/>
  <c r="AJ349" i="83" a="1"/>
  <c r="AJ349" i="83" s="1"/>
  <c r="AJ348" i="83" a="1"/>
  <c r="AJ348" i="83" s="1"/>
  <c r="AJ347" i="83" a="1"/>
  <c r="AJ347" i="83" s="1"/>
  <c r="AJ346" i="83" a="1"/>
  <c r="AJ346" i="83" s="1"/>
  <c r="AJ345" i="83" a="1"/>
  <c r="AJ345" i="83" s="1"/>
  <c r="AJ344" i="83" a="1"/>
  <c r="AJ344" i="83" s="1"/>
  <c r="AJ343" i="83" a="1"/>
  <c r="AJ343" i="83" s="1"/>
  <c r="AJ342" i="83" a="1"/>
  <c r="AJ342" i="83" s="1"/>
  <c r="AJ341" i="83" a="1"/>
  <c r="AJ341" i="83" s="1"/>
  <c r="AJ340" i="83" a="1"/>
  <c r="AJ340" i="83" s="1"/>
  <c r="AJ339" i="83" a="1"/>
  <c r="AJ339" i="83" s="1"/>
  <c r="AJ338" i="83" a="1"/>
  <c r="AJ338" i="83" s="1"/>
  <c r="AJ337" i="83" a="1"/>
  <c r="AJ337" i="83" s="1"/>
  <c r="AJ336" i="83" a="1"/>
  <c r="AJ336" i="83" s="1"/>
  <c r="AJ335" i="83" a="1"/>
  <c r="AJ335" i="83" s="1"/>
  <c r="AJ334" i="83" a="1"/>
  <c r="AJ334" i="83" s="1"/>
  <c r="AJ333" i="83" a="1"/>
  <c r="AJ333" i="83" s="1"/>
  <c r="AJ332" i="83" a="1"/>
  <c r="AJ332" i="83" s="1"/>
  <c r="AJ331" i="83" a="1"/>
  <c r="AJ331" i="83" s="1"/>
  <c r="AJ330" i="83" a="1"/>
  <c r="AJ330" i="83" s="1"/>
  <c r="AJ311" i="83" a="1"/>
  <c r="AJ311" i="83" s="1"/>
  <c r="AJ310" i="83" a="1"/>
  <c r="AJ310" i="83" s="1"/>
  <c r="AJ309" i="83" a="1"/>
  <c r="AJ309" i="83" s="1"/>
  <c r="AJ308" i="83" a="1"/>
  <c r="AJ308" i="83" s="1"/>
  <c r="AJ307" i="83" a="1"/>
  <c r="AJ307" i="83" s="1"/>
  <c r="AJ306" i="83" a="1"/>
  <c r="AJ306" i="83" s="1"/>
  <c r="AJ305" i="83" a="1"/>
  <c r="AJ305" i="83" s="1"/>
  <c r="AJ304" i="83" a="1"/>
  <c r="AJ304" i="83" s="1"/>
  <c r="AJ303" i="83" a="1"/>
  <c r="AJ303" i="83" s="1"/>
  <c r="AJ302" i="83" a="1"/>
  <c r="AJ302" i="83" s="1"/>
  <c r="AJ301" i="83" a="1"/>
  <c r="AJ301" i="83" s="1"/>
  <c r="AJ300" i="83" a="1"/>
  <c r="AJ300" i="83" s="1"/>
  <c r="AJ299" i="83" a="1"/>
  <c r="AJ299" i="83" s="1"/>
  <c r="AJ298" i="83" a="1"/>
  <c r="AJ298" i="83" s="1"/>
  <c r="AJ297" i="83" a="1"/>
  <c r="AJ297" i="83" s="1"/>
  <c r="AJ296" i="83" a="1"/>
  <c r="AJ296" i="83" s="1"/>
  <c r="AJ295" i="83" a="1"/>
  <c r="AJ295" i="83" s="1"/>
  <c r="AJ294" i="83" a="1"/>
  <c r="AJ294" i="83" s="1"/>
  <c r="AJ293" i="83" a="1"/>
  <c r="AJ293" i="83" s="1"/>
  <c r="AJ292" i="83" a="1"/>
  <c r="AJ292" i="83" s="1"/>
  <c r="AJ291" i="83" a="1"/>
  <c r="AJ291" i="83" s="1"/>
  <c r="AJ290" i="83" a="1"/>
  <c r="AJ290" i="83" s="1"/>
  <c r="AJ289" i="83" a="1"/>
  <c r="AJ289" i="83" s="1"/>
  <c r="AJ288" i="83" a="1"/>
  <c r="AJ288" i="83" s="1"/>
  <c r="AJ287" i="83" a="1"/>
  <c r="AJ287" i="83" s="1"/>
  <c r="AJ286" i="83" a="1"/>
  <c r="AJ286" i="83" s="1"/>
  <c r="AJ285" i="83" a="1"/>
  <c r="AJ285" i="83" s="1"/>
  <c r="AJ284" i="83" a="1"/>
  <c r="AJ284" i="83" s="1"/>
  <c r="AJ283" i="83" a="1"/>
  <c r="AJ283" i="83" s="1"/>
  <c r="AJ282" i="83" a="1"/>
  <c r="AJ282" i="83" s="1"/>
  <c r="AJ263" i="83" a="1"/>
  <c r="AJ263" i="83" s="1"/>
  <c r="AJ262" i="83" a="1"/>
  <c r="AJ262" i="83" s="1"/>
  <c r="AJ261" i="83" a="1"/>
  <c r="AJ261" i="83" s="1"/>
  <c r="AJ260" i="83" a="1"/>
  <c r="AJ260" i="83" s="1"/>
  <c r="AJ259" i="83" a="1"/>
  <c r="AJ259" i="83" s="1"/>
  <c r="AJ258" i="83" a="1"/>
  <c r="AJ258" i="83" s="1"/>
  <c r="AJ257" i="83" a="1"/>
  <c r="AJ257" i="83" s="1"/>
  <c r="AJ256" i="83" a="1"/>
  <c r="AJ256" i="83" s="1"/>
  <c r="AJ255" i="83" a="1"/>
  <c r="AJ255" i="83" s="1"/>
  <c r="AJ254" i="83" a="1"/>
  <c r="AJ254" i="83" s="1"/>
  <c r="AJ253" i="83" a="1"/>
  <c r="AJ253" i="83" s="1"/>
  <c r="AJ252" i="83" a="1"/>
  <c r="AJ252" i="83" s="1"/>
  <c r="AJ251" i="83" a="1"/>
  <c r="AJ251" i="83" s="1"/>
  <c r="AJ250" i="83" a="1"/>
  <c r="AJ250" i="83" s="1"/>
  <c r="AJ249" i="83" a="1"/>
  <c r="AJ249" i="83" s="1"/>
  <c r="AJ248" i="83" a="1"/>
  <c r="AJ248" i="83" s="1"/>
  <c r="AJ247" i="83" a="1"/>
  <c r="AJ247" i="83" s="1"/>
  <c r="AJ246" i="83" a="1"/>
  <c r="AJ246" i="83" s="1"/>
  <c r="AJ245" i="83" a="1"/>
  <c r="AJ245" i="83" s="1"/>
  <c r="AJ244" i="83" a="1"/>
  <c r="AJ244" i="83" s="1"/>
  <c r="AJ243" i="83" a="1"/>
  <c r="AJ243" i="83" s="1"/>
  <c r="AJ242" i="83" a="1"/>
  <c r="AJ242" i="83" s="1"/>
  <c r="AJ241" i="83" a="1"/>
  <c r="AJ241" i="83" s="1"/>
  <c r="AJ240" i="83" a="1"/>
  <c r="AJ240" i="83" s="1"/>
  <c r="AJ239" i="83" a="1"/>
  <c r="AJ239" i="83" s="1"/>
  <c r="AJ238" i="83" a="1"/>
  <c r="AJ238" i="83" s="1"/>
  <c r="AJ237" i="83" a="1"/>
  <c r="AJ237" i="83" s="1"/>
  <c r="AJ236" i="83" a="1"/>
  <c r="AJ236" i="83" s="1"/>
  <c r="AJ235" i="83" a="1"/>
  <c r="AJ235" i="83" s="1"/>
  <c r="AJ234" i="83" a="1"/>
  <c r="AJ234" i="83" s="1"/>
  <c r="AJ215" i="83" a="1"/>
  <c r="AJ215" i="83" s="1"/>
  <c r="AJ214" i="83" a="1"/>
  <c r="AJ214" i="83" s="1"/>
  <c r="AJ213" i="83" a="1"/>
  <c r="AJ213" i="83" s="1"/>
  <c r="AJ212" i="83" a="1"/>
  <c r="AJ212" i="83" s="1"/>
  <c r="AJ211" i="83" a="1"/>
  <c r="AJ211" i="83" s="1"/>
  <c r="AJ210" i="83" a="1"/>
  <c r="AJ210" i="83" s="1"/>
  <c r="AJ209" i="83" a="1"/>
  <c r="AJ209" i="83" s="1"/>
  <c r="AJ208" i="83" a="1"/>
  <c r="AJ208" i="83" s="1"/>
  <c r="AJ207" i="83" a="1"/>
  <c r="AJ207" i="83" s="1"/>
  <c r="AJ206" i="83" a="1"/>
  <c r="AJ206" i="83" s="1"/>
  <c r="AJ205" i="83" a="1"/>
  <c r="AJ205" i="83" s="1"/>
  <c r="AJ204" i="83" a="1"/>
  <c r="AJ204" i="83" s="1"/>
  <c r="AJ203" i="83" a="1"/>
  <c r="AJ203" i="83" s="1"/>
  <c r="AJ202" i="83" a="1"/>
  <c r="AJ202" i="83" s="1"/>
  <c r="AJ201" i="83" a="1"/>
  <c r="AJ201" i="83" s="1"/>
  <c r="AJ200" i="83" a="1"/>
  <c r="AJ200" i="83" s="1"/>
  <c r="AJ199" i="83" a="1"/>
  <c r="AJ199" i="83" s="1"/>
  <c r="AJ198" i="83" a="1"/>
  <c r="AJ198" i="83" s="1"/>
  <c r="AJ197" i="83" a="1"/>
  <c r="AJ197" i="83" s="1"/>
  <c r="AJ196" i="83" a="1"/>
  <c r="AJ196" i="83" s="1"/>
  <c r="AJ195" i="83" a="1"/>
  <c r="AJ195" i="83" s="1"/>
  <c r="AJ194" i="83" a="1"/>
  <c r="AJ194" i="83" s="1"/>
  <c r="AJ193" i="83" a="1"/>
  <c r="AJ193" i="83" s="1"/>
  <c r="AJ192" i="83" a="1"/>
  <c r="AJ192" i="83" s="1"/>
  <c r="AJ191" i="83" a="1"/>
  <c r="AJ191" i="83" s="1"/>
  <c r="AJ190" i="83" a="1"/>
  <c r="AJ190" i="83" s="1"/>
  <c r="AJ189" i="83" a="1"/>
  <c r="AJ189" i="83" s="1"/>
  <c r="AJ188" i="83" a="1"/>
  <c r="AJ188" i="83" s="1"/>
  <c r="AJ187" i="83" a="1"/>
  <c r="AJ187" i="83" s="1"/>
  <c r="AJ186" i="83" a="1"/>
  <c r="AJ186" i="83" s="1"/>
  <c r="AJ167" i="83" a="1"/>
  <c r="AJ167" i="83" s="1"/>
  <c r="AJ166" i="83" a="1"/>
  <c r="AJ166" i="83" s="1"/>
  <c r="AJ165" i="83" a="1"/>
  <c r="AJ165" i="83" s="1"/>
  <c r="AJ164" i="83" a="1"/>
  <c r="AJ164" i="83" s="1"/>
  <c r="AJ163" i="83" a="1"/>
  <c r="AJ163" i="83" s="1"/>
  <c r="AJ162" i="83" a="1"/>
  <c r="AJ162" i="83" s="1"/>
  <c r="AJ161" i="83" a="1"/>
  <c r="AJ161" i="83" s="1"/>
  <c r="AJ160" i="83" a="1"/>
  <c r="AJ160" i="83" s="1"/>
  <c r="AJ159" i="83" a="1"/>
  <c r="AJ159" i="83" s="1"/>
  <c r="AJ158" i="83" a="1"/>
  <c r="AJ158" i="83" s="1"/>
  <c r="AJ157" i="83" a="1"/>
  <c r="AJ157" i="83" s="1"/>
  <c r="AJ156" i="83" a="1"/>
  <c r="AJ156" i="83" s="1"/>
  <c r="AJ155" i="83" a="1"/>
  <c r="AJ155" i="83" s="1"/>
  <c r="AJ154" i="83" a="1"/>
  <c r="AJ154" i="83" s="1"/>
  <c r="AJ153" i="83" a="1"/>
  <c r="AJ153" i="83" s="1"/>
  <c r="AJ152" i="83" a="1"/>
  <c r="AJ152" i="83" s="1"/>
  <c r="AJ151" i="83" a="1"/>
  <c r="AJ151" i="83" s="1"/>
  <c r="AJ150" i="83" a="1"/>
  <c r="AJ150" i="83" s="1"/>
  <c r="AJ149" i="83" a="1"/>
  <c r="AJ149" i="83" s="1"/>
  <c r="AJ148" i="83" a="1"/>
  <c r="AJ148" i="83" s="1"/>
  <c r="AJ147" i="83" a="1"/>
  <c r="AJ147" i="83" s="1"/>
  <c r="AJ146" i="83" a="1"/>
  <c r="AJ146" i="83" s="1"/>
  <c r="AJ145" i="83" a="1"/>
  <c r="AJ145" i="83" s="1"/>
  <c r="AJ144" i="83" a="1"/>
  <c r="AJ144" i="83" s="1"/>
  <c r="AJ143" i="83" a="1"/>
  <c r="AJ143" i="83" s="1"/>
  <c r="AJ142" i="83" a="1"/>
  <c r="AJ142" i="83" s="1"/>
  <c r="AJ141" i="83" a="1"/>
  <c r="AJ141" i="83" s="1"/>
  <c r="AJ140" i="83" a="1"/>
  <c r="AJ140" i="83" s="1"/>
  <c r="AJ139" i="83" a="1"/>
  <c r="AJ139" i="83" s="1"/>
  <c r="AJ138" i="83" a="1"/>
  <c r="AJ138" i="83" s="1"/>
  <c r="AJ119" i="83" a="1"/>
  <c r="AJ119" i="83" s="1"/>
  <c r="AJ118" i="83" a="1"/>
  <c r="AJ118" i="83" s="1"/>
  <c r="AJ117" i="83" a="1"/>
  <c r="AJ117" i="83" s="1"/>
  <c r="AJ116" i="83" a="1"/>
  <c r="AJ116" i="83" s="1"/>
  <c r="AJ115" i="83" a="1"/>
  <c r="AJ115" i="83" s="1"/>
  <c r="AJ114" i="83" a="1"/>
  <c r="AJ114" i="83" s="1"/>
  <c r="AJ113" i="83" a="1"/>
  <c r="AJ113" i="83" s="1"/>
  <c r="AJ112" i="83" a="1"/>
  <c r="AJ112" i="83" s="1"/>
  <c r="AJ111" i="83" a="1"/>
  <c r="AJ111" i="83" s="1"/>
  <c r="AJ110" i="83" a="1"/>
  <c r="AJ110" i="83" s="1"/>
  <c r="AJ109" i="83" a="1"/>
  <c r="AJ109" i="83" s="1"/>
  <c r="AJ108" i="83" a="1"/>
  <c r="AJ108" i="83" s="1"/>
  <c r="AJ107" i="83" a="1"/>
  <c r="AJ107" i="83" s="1"/>
  <c r="AJ106" i="83" a="1"/>
  <c r="AJ106" i="83" s="1"/>
  <c r="AJ105" i="83" a="1"/>
  <c r="AJ105" i="83" s="1"/>
  <c r="AJ104" i="83" a="1"/>
  <c r="AJ104" i="83" s="1"/>
  <c r="AJ103" i="83" a="1"/>
  <c r="AJ103" i="83" s="1"/>
  <c r="AJ102" i="83" a="1"/>
  <c r="AJ102" i="83" s="1"/>
  <c r="AJ101" i="83" a="1"/>
  <c r="AJ101" i="83" s="1"/>
  <c r="AJ100" i="83" a="1"/>
  <c r="AJ100" i="83" s="1"/>
  <c r="AJ99" i="83" a="1"/>
  <c r="AJ99" i="83" s="1"/>
  <c r="AJ98" i="83" a="1"/>
  <c r="AJ98" i="83" s="1"/>
  <c r="AJ97" i="83" a="1"/>
  <c r="AJ97" i="83" s="1"/>
  <c r="AJ96" i="83" a="1"/>
  <c r="AJ96" i="83" s="1"/>
  <c r="AJ95" i="83" a="1"/>
  <c r="AJ95" i="83" s="1"/>
  <c r="AJ94" i="83" a="1"/>
  <c r="AJ94" i="83" s="1"/>
  <c r="AJ93" i="83" a="1"/>
  <c r="AJ93" i="83" s="1"/>
  <c r="AJ92" i="83" a="1"/>
  <c r="AJ92" i="83" s="1"/>
  <c r="AJ91" i="83" a="1"/>
  <c r="AJ91" i="83" s="1"/>
  <c r="AJ90" i="83" a="1"/>
  <c r="AJ90" i="83" s="1"/>
  <c r="AJ71" i="83" a="1"/>
  <c r="AJ71" i="83" s="1"/>
  <c r="AJ70" i="83" a="1"/>
  <c r="AJ70" i="83" s="1"/>
  <c r="AJ69" i="83" a="1"/>
  <c r="AJ69" i="83" s="1"/>
  <c r="AJ68" i="83" a="1"/>
  <c r="AJ68" i="83" s="1"/>
  <c r="AJ67" i="83" a="1"/>
  <c r="AJ67" i="83" s="1"/>
  <c r="AJ66" i="83" a="1"/>
  <c r="AJ66" i="83" s="1"/>
  <c r="AJ65" i="83" a="1"/>
  <c r="AJ65" i="83" s="1"/>
  <c r="AJ64" i="83" a="1"/>
  <c r="AJ64" i="83" s="1"/>
  <c r="AJ63" i="83" a="1"/>
  <c r="AJ63" i="83" s="1"/>
  <c r="AJ62" i="83" a="1"/>
  <c r="AJ62" i="83" s="1"/>
  <c r="AJ61" i="83" a="1"/>
  <c r="AJ61" i="83" s="1"/>
  <c r="AJ60" i="83" a="1"/>
  <c r="AJ60" i="83" s="1"/>
  <c r="AJ59" i="83" a="1"/>
  <c r="AJ59" i="83" s="1"/>
  <c r="AJ58" i="83" a="1"/>
  <c r="AJ58" i="83" s="1"/>
  <c r="AJ57" i="83" a="1"/>
  <c r="AJ57" i="83" s="1"/>
  <c r="AJ56" i="83" a="1"/>
  <c r="AJ56" i="83" s="1"/>
  <c r="AJ55" i="83" a="1"/>
  <c r="AJ55" i="83" s="1"/>
  <c r="AJ54" i="83" a="1"/>
  <c r="AJ54" i="83" s="1"/>
  <c r="AJ53" i="83" a="1"/>
  <c r="AJ53" i="83" s="1"/>
  <c r="AJ52" i="83" a="1"/>
  <c r="AJ52" i="83" s="1"/>
  <c r="AJ51" i="83" a="1"/>
  <c r="AJ51" i="83" s="1"/>
  <c r="AJ50" i="83" a="1"/>
  <c r="AJ50" i="83" s="1"/>
  <c r="AJ49" i="83" a="1"/>
  <c r="AJ49" i="83" s="1"/>
  <c r="AJ48" i="83" a="1"/>
  <c r="AJ48" i="83" s="1"/>
  <c r="AJ47" i="83" a="1"/>
  <c r="AJ47" i="83" s="1"/>
  <c r="AJ46" i="83" a="1"/>
  <c r="AJ46" i="83" s="1"/>
  <c r="AJ45" i="83" a="1"/>
  <c r="AJ45" i="83" s="1"/>
  <c r="AJ44" i="83" a="1"/>
  <c r="AJ44" i="83" s="1"/>
  <c r="AJ43" i="83" a="1"/>
  <c r="AJ43" i="83" s="1"/>
  <c r="AJ42" i="83" a="1"/>
  <c r="AJ42" i="83" s="1"/>
  <c r="AJ361" i="48" a="1"/>
  <c r="AJ361" i="48" s="1"/>
  <c r="AJ360" i="48" a="1"/>
  <c r="AJ360" i="48" s="1"/>
  <c r="AJ359" i="48" a="1"/>
  <c r="AJ359" i="48" s="1"/>
  <c r="AJ358" i="48" a="1"/>
  <c r="AJ358" i="48" s="1"/>
  <c r="AJ357" i="48" a="1"/>
  <c r="AJ357" i="48" s="1"/>
  <c r="AJ356" i="48" a="1"/>
  <c r="AJ356" i="48" s="1"/>
  <c r="AJ355" i="48" a="1"/>
  <c r="AJ355" i="48" s="1"/>
  <c r="AJ354" i="48" a="1"/>
  <c r="AJ354" i="48" s="1"/>
  <c r="AJ353" i="48" a="1"/>
  <c r="AJ353" i="48" s="1"/>
  <c r="AJ352" i="48" a="1"/>
  <c r="AJ352" i="48" s="1"/>
  <c r="AJ351" i="48" a="1"/>
  <c r="AJ351" i="48" s="1"/>
  <c r="AJ350" i="48" a="1"/>
  <c r="AJ350" i="48" s="1"/>
  <c r="AJ349" i="48" a="1"/>
  <c r="AJ349" i="48" s="1"/>
  <c r="AJ348" i="48" a="1"/>
  <c r="AJ348" i="48" s="1"/>
  <c r="AJ347" i="48" a="1"/>
  <c r="AJ347" i="48" s="1"/>
  <c r="AJ346" i="48" a="1"/>
  <c r="AJ346" i="48" s="1"/>
  <c r="AJ345" i="48" a="1"/>
  <c r="AJ345" i="48" s="1"/>
  <c r="AJ344" i="48" a="1"/>
  <c r="AJ344" i="48" s="1"/>
  <c r="AJ343" i="48" a="1"/>
  <c r="AJ343" i="48" s="1"/>
  <c r="AJ342" i="48" a="1"/>
  <c r="AJ342" i="48" s="1"/>
  <c r="AJ341" i="48" a="1"/>
  <c r="AJ341" i="48" s="1"/>
  <c r="AJ340" i="48" a="1"/>
  <c r="AJ340" i="48" s="1"/>
  <c r="AJ339" i="48" a="1"/>
  <c r="AJ339" i="48" s="1"/>
  <c r="AJ338" i="48" a="1"/>
  <c r="AJ338" i="48" s="1"/>
  <c r="AJ337" i="48" a="1"/>
  <c r="AJ337" i="48" s="1"/>
  <c r="AJ336" i="48" a="1"/>
  <c r="AJ336" i="48" s="1"/>
  <c r="AJ335" i="48" a="1"/>
  <c r="AJ335" i="48" s="1"/>
  <c r="AJ334" i="48" a="1"/>
  <c r="AJ334" i="48" s="1"/>
  <c r="AJ333" i="48" a="1"/>
  <c r="AJ333" i="48" s="1"/>
  <c r="AJ332" i="48" a="1"/>
  <c r="AJ332" i="48" s="1"/>
  <c r="AJ313" i="48" a="1"/>
  <c r="AJ313" i="48" s="1"/>
  <c r="AJ312" i="48" a="1"/>
  <c r="AJ312" i="48" s="1"/>
  <c r="AJ311" i="48" a="1"/>
  <c r="AJ311" i="48" s="1"/>
  <c r="AJ310" i="48" a="1"/>
  <c r="AJ310" i="48" s="1"/>
  <c r="AJ309" i="48" a="1"/>
  <c r="AJ309" i="48" s="1"/>
  <c r="AJ308" i="48" a="1"/>
  <c r="AJ308" i="48" s="1"/>
  <c r="AJ307" i="48" a="1"/>
  <c r="AJ307" i="48" s="1"/>
  <c r="AJ306" i="48" a="1"/>
  <c r="AJ306" i="48" s="1"/>
  <c r="AJ305" i="48" a="1"/>
  <c r="AJ305" i="48" s="1"/>
  <c r="AJ304" i="48" a="1"/>
  <c r="AJ304" i="48" s="1"/>
  <c r="AJ303" i="48" a="1"/>
  <c r="AJ303" i="48" s="1"/>
  <c r="AJ302" i="48" a="1"/>
  <c r="AJ302" i="48" s="1"/>
  <c r="AJ301" i="48" a="1"/>
  <c r="AJ301" i="48" s="1"/>
  <c r="AJ300" i="48" a="1"/>
  <c r="AJ300" i="48" s="1"/>
  <c r="AJ299" i="48" a="1"/>
  <c r="AJ299" i="48" s="1"/>
  <c r="AJ298" i="48" a="1"/>
  <c r="AJ298" i="48" s="1"/>
  <c r="AJ297" i="48" a="1"/>
  <c r="AJ297" i="48" s="1"/>
  <c r="AJ296" i="48" a="1"/>
  <c r="AJ296" i="48" s="1"/>
  <c r="AJ295" i="48" a="1"/>
  <c r="AJ295" i="48" s="1"/>
  <c r="AJ294" i="48" a="1"/>
  <c r="AJ294" i="48" s="1"/>
  <c r="AJ293" i="48" a="1"/>
  <c r="AJ293" i="48" s="1"/>
  <c r="AJ292" i="48" a="1"/>
  <c r="AJ292" i="48" s="1"/>
  <c r="AJ291" i="48" a="1"/>
  <c r="AJ291" i="48" s="1"/>
  <c r="AJ290" i="48" a="1"/>
  <c r="AJ290" i="48" s="1"/>
  <c r="AJ289" i="48" a="1"/>
  <c r="AJ289" i="48" s="1"/>
  <c r="AJ288" i="48" a="1"/>
  <c r="AJ288" i="48" s="1"/>
  <c r="AJ287" i="48" a="1"/>
  <c r="AJ287" i="48" s="1"/>
  <c r="AJ286" i="48" a="1"/>
  <c r="AJ286" i="48" s="1"/>
  <c r="AJ285" i="48" a="1"/>
  <c r="AJ285" i="48" s="1"/>
  <c r="AJ284" i="48" a="1"/>
  <c r="AJ284" i="48" s="1"/>
  <c r="AJ265" i="48" a="1"/>
  <c r="AJ265" i="48" s="1"/>
  <c r="AJ264" i="48" a="1"/>
  <c r="AJ264" i="48" s="1"/>
  <c r="AJ263" i="48" a="1"/>
  <c r="AJ263" i="48" s="1"/>
  <c r="AJ262" i="48" a="1"/>
  <c r="AJ262" i="48" s="1"/>
  <c r="AJ261" i="48" a="1"/>
  <c r="AJ261" i="48" s="1"/>
  <c r="AJ260" i="48" a="1"/>
  <c r="AJ260" i="48" s="1"/>
  <c r="AJ259" i="48" a="1"/>
  <c r="AJ259" i="48" s="1"/>
  <c r="AJ258" i="48" a="1"/>
  <c r="AJ258" i="48" s="1"/>
  <c r="AJ257" i="48" a="1"/>
  <c r="AJ257" i="48" s="1"/>
  <c r="AJ256" i="48" a="1"/>
  <c r="AJ256" i="48" s="1"/>
  <c r="AJ255" i="48" a="1"/>
  <c r="AJ255" i="48" s="1"/>
  <c r="AJ254" i="48" a="1"/>
  <c r="AJ254" i="48" s="1"/>
  <c r="AJ253" i="48" a="1"/>
  <c r="AJ253" i="48" s="1"/>
  <c r="AJ252" i="48" a="1"/>
  <c r="AJ252" i="48" s="1"/>
  <c r="AJ251" i="48" a="1"/>
  <c r="AJ251" i="48" s="1"/>
  <c r="AJ250" i="48" a="1"/>
  <c r="AJ250" i="48" s="1"/>
  <c r="AJ249" i="48" a="1"/>
  <c r="AJ249" i="48" s="1"/>
  <c r="AJ248" i="48" a="1"/>
  <c r="AJ248" i="48" s="1"/>
  <c r="AJ247" i="48" a="1"/>
  <c r="AJ247" i="48" s="1"/>
  <c r="AJ246" i="48" a="1"/>
  <c r="AJ246" i="48" s="1"/>
  <c r="AJ245" i="48" a="1"/>
  <c r="AJ245" i="48" s="1"/>
  <c r="AJ244" i="48" a="1"/>
  <c r="AJ244" i="48" s="1"/>
  <c r="AJ243" i="48" a="1"/>
  <c r="AJ243" i="48" s="1"/>
  <c r="AJ242" i="48" a="1"/>
  <c r="AJ242" i="48" s="1"/>
  <c r="AJ241" i="48" a="1"/>
  <c r="AJ241" i="48" s="1"/>
  <c r="AJ240" i="48" a="1"/>
  <c r="AJ240" i="48" s="1"/>
  <c r="AJ239" i="48" a="1"/>
  <c r="AJ239" i="48" s="1"/>
  <c r="AJ238" i="48" a="1"/>
  <c r="AJ238" i="48" s="1"/>
  <c r="AJ237" i="48" a="1"/>
  <c r="AJ237" i="48" s="1"/>
  <c r="AJ236" i="48" a="1"/>
  <c r="AJ236" i="48" s="1"/>
  <c r="AJ217" i="48" a="1"/>
  <c r="AJ217" i="48" s="1"/>
  <c r="AJ216" i="48" a="1"/>
  <c r="AJ216" i="48" s="1"/>
  <c r="AJ215" i="48" a="1"/>
  <c r="AJ215" i="48" s="1"/>
  <c r="AJ214" i="48" a="1"/>
  <c r="AJ214" i="48" s="1"/>
  <c r="AJ213" i="48" a="1"/>
  <c r="AJ213" i="48" s="1"/>
  <c r="AJ212" i="48" a="1"/>
  <c r="AJ212" i="48" s="1"/>
  <c r="AJ211" i="48" a="1"/>
  <c r="AJ211" i="48" s="1"/>
  <c r="AJ210" i="48" a="1"/>
  <c r="AJ210" i="48" s="1"/>
  <c r="AJ209" i="48" a="1"/>
  <c r="AJ209" i="48" s="1"/>
  <c r="AJ208" i="48" a="1"/>
  <c r="AJ208" i="48" s="1"/>
  <c r="AJ207" i="48" a="1"/>
  <c r="AJ207" i="48" s="1"/>
  <c r="AJ206" i="48" a="1"/>
  <c r="AJ206" i="48" s="1"/>
  <c r="AJ205" i="48" a="1"/>
  <c r="AJ205" i="48" s="1"/>
  <c r="AJ204" i="48" a="1"/>
  <c r="AJ204" i="48" s="1"/>
  <c r="AJ203" i="48" a="1"/>
  <c r="AJ203" i="48" s="1"/>
  <c r="AJ202" i="48" a="1"/>
  <c r="AJ202" i="48" s="1"/>
  <c r="AJ201" i="48" a="1"/>
  <c r="AJ201" i="48" s="1"/>
  <c r="AJ200" i="48" a="1"/>
  <c r="AJ200" i="48" s="1"/>
  <c r="AJ199" i="48" a="1"/>
  <c r="AJ199" i="48" s="1"/>
  <c r="AJ198" i="48" a="1"/>
  <c r="AJ198" i="48" s="1"/>
  <c r="AJ197" i="48" a="1"/>
  <c r="AJ197" i="48" s="1"/>
  <c r="AJ196" i="48" a="1"/>
  <c r="AJ196" i="48" s="1"/>
  <c r="AJ195" i="48" a="1"/>
  <c r="AJ195" i="48" s="1"/>
  <c r="AJ194" i="48" a="1"/>
  <c r="AJ194" i="48" s="1"/>
  <c r="AJ193" i="48" a="1"/>
  <c r="AJ193" i="48" s="1"/>
  <c r="AJ192" i="48" a="1"/>
  <c r="AJ192" i="48" s="1"/>
  <c r="AJ191" i="48" a="1"/>
  <c r="AJ191" i="48" s="1"/>
  <c r="AJ190" i="48" a="1"/>
  <c r="AJ190" i="48" s="1"/>
  <c r="AJ189" i="48" a="1"/>
  <c r="AJ189" i="48" s="1"/>
  <c r="AJ188" i="48" a="1"/>
  <c r="AJ188" i="48" s="1"/>
  <c r="AJ169" i="48" a="1"/>
  <c r="AJ169" i="48" s="1"/>
  <c r="AJ168" i="48" a="1"/>
  <c r="AJ168" i="48" s="1"/>
  <c r="AJ167" i="48" a="1"/>
  <c r="AJ167" i="48" s="1"/>
  <c r="AJ166" i="48" a="1"/>
  <c r="AJ166" i="48" s="1"/>
  <c r="AJ165" i="48" a="1"/>
  <c r="AJ165" i="48" s="1"/>
  <c r="AJ164" i="48" a="1"/>
  <c r="AJ164" i="48" s="1"/>
  <c r="AJ163" i="48" a="1"/>
  <c r="AJ163" i="48" s="1"/>
  <c r="AJ162" i="48" a="1"/>
  <c r="AJ162" i="48" s="1"/>
  <c r="AJ161" i="48" a="1"/>
  <c r="AJ161" i="48" s="1"/>
  <c r="AJ160" i="48" a="1"/>
  <c r="AJ160" i="48" s="1"/>
  <c r="AJ159" i="48" a="1"/>
  <c r="AJ159" i="48" s="1"/>
  <c r="AJ158" i="48" a="1"/>
  <c r="AJ158" i="48" s="1"/>
  <c r="AJ157" i="48" a="1"/>
  <c r="AJ157" i="48" s="1"/>
  <c r="AJ156" i="48" a="1"/>
  <c r="AJ156" i="48" s="1"/>
  <c r="AJ155" i="48" a="1"/>
  <c r="AJ155" i="48" s="1"/>
  <c r="AJ154" i="48" a="1"/>
  <c r="AJ154" i="48" s="1"/>
  <c r="AJ153" i="48" a="1"/>
  <c r="AJ153" i="48" s="1"/>
  <c r="AJ152" i="48" a="1"/>
  <c r="AJ152" i="48" s="1"/>
  <c r="AJ151" i="48" a="1"/>
  <c r="AJ151" i="48" s="1"/>
  <c r="AJ150" i="48" a="1"/>
  <c r="AJ150" i="48" s="1"/>
  <c r="AJ149" i="48" a="1"/>
  <c r="AJ149" i="48" s="1"/>
  <c r="AJ148" i="48" a="1"/>
  <c r="AJ148" i="48" s="1"/>
  <c r="AJ147" i="48" a="1"/>
  <c r="AJ147" i="48" s="1"/>
  <c r="AJ146" i="48" a="1"/>
  <c r="AJ146" i="48" s="1"/>
  <c r="AJ145" i="48" a="1"/>
  <c r="AJ145" i="48" s="1"/>
  <c r="AJ144" i="48" a="1"/>
  <c r="AJ144" i="48" s="1"/>
  <c r="AJ143" i="48" a="1"/>
  <c r="AJ143" i="48" s="1"/>
  <c r="AJ142" i="48" a="1"/>
  <c r="AJ142" i="48" s="1"/>
  <c r="AJ141" i="48" a="1"/>
  <c r="AJ141" i="48" s="1"/>
  <c r="AJ140" i="48" a="1"/>
  <c r="AJ140" i="48" s="1"/>
  <c r="AJ121" i="48" a="1"/>
  <c r="AJ121" i="48" s="1"/>
  <c r="AJ120" i="48" a="1"/>
  <c r="AJ120" i="48" s="1"/>
  <c r="AJ119" i="48" a="1"/>
  <c r="AJ119" i="48" s="1"/>
  <c r="AJ118" i="48" a="1"/>
  <c r="AJ118" i="48" s="1"/>
  <c r="AJ117" i="48" a="1"/>
  <c r="AJ117" i="48" s="1"/>
  <c r="AJ116" i="48" a="1"/>
  <c r="AJ116" i="48" s="1"/>
  <c r="AJ111" i="48" a="1"/>
  <c r="AJ111" i="48" s="1"/>
  <c r="AJ110" i="48" a="1"/>
  <c r="AJ110" i="48" s="1"/>
  <c r="AJ109" i="48" a="1"/>
  <c r="AJ109" i="48" s="1"/>
  <c r="AJ108" i="48" a="1"/>
  <c r="AJ108" i="48" s="1"/>
  <c r="AJ107" i="48" a="1"/>
  <c r="AJ107" i="48" s="1"/>
  <c r="AJ106" i="48" a="1"/>
  <c r="AJ106" i="48" s="1"/>
  <c r="AJ105" i="48" a="1"/>
  <c r="AJ105" i="48" s="1"/>
  <c r="AJ104" i="48" a="1"/>
  <c r="AJ104" i="48" s="1"/>
  <c r="AJ103" i="48" a="1"/>
  <c r="AJ103" i="48" s="1"/>
  <c r="AJ102" i="48" a="1"/>
  <c r="AJ102" i="48" s="1"/>
  <c r="AJ101" i="48" a="1"/>
  <c r="AJ101" i="48" s="1"/>
  <c r="AJ100" i="48" a="1"/>
  <c r="AJ100" i="48" s="1"/>
  <c r="AJ99" i="48" a="1"/>
  <c r="AJ99" i="48" s="1"/>
  <c r="AJ98" i="48" a="1"/>
  <c r="AJ98" i="48" s="1"/>
  <c r="AJ97" i="48" a="1"/>
  <c r="AJ97" i="48" s="1"/>
  <c r="AJ96" i="48" a="1"/>
  <c r="AJ96" i="48" s="1"/>
  <c r="AJ95" i="48" a="1"/>
  <c r="AJ95" i="48" s="1"/>
  <c r="AJ94" i="48" a="1"/>
  <c r="AJ94" i="48" s="1"/>
  <c r="AJ93" i="48" a="1"/>
  <c r="AJ93" i="48" s="1"/>
  <c r="AJ92" i="48" a="1"/>
  <c r="AJ92" i="48" s="1"/>
  <c r="AJ91" i="48" a="1"/>
  <c r="AJ91" i="48" s="1"/>
  <c r="AJ90" i="48" a="1"/>
  <c r="AJ90" i="48" s="1"/>
  <c r="AJ71" i="48" a="1"/>
  <c r="AJ71" i="48" s="1"/>
  <c r="AJ70" i="48" a="1"/>
  <c r="AJ70" i="48" s="1"/>
  <c r="AJ69" i="48" a="1"/>
  <c r="AJ69" i="48" s="1"/>
  <c r="AJ68" i="48" a="1"/>
  <c r="AJ68" i="48" s="1"/>
  <c r="AJ67" i="48" a="1"/>
  <c r="AJ67" i="48" s="1"/>
  <c r="AJ66" i="48" a="1"/>
  <c r="AJ66" i="48" s="1"/>
  <c r="AJ65" i="48" a="1"/>
  <c r="AJ65" i="48" s="1"/>
  <c r="AJ64" i="48" a="1"/>
  <c r="AJ64" i="48" s="1"/>
  <c r="AJ42" i="48" a="1"/>
  <c r="AJ42" i="48" s="1"/>
  <c r="H260" i="17"/>
  <c r="I260" i="17" s="1"/>
  <c r="J260" i="17" s="1"/>
  <c r="G260" i="17"/>
  <c r="H259" i="17"/>
  <c r="I259" i="17" s="1"/>
  <c r="J259" i="17" s="1"/>
  <c r="G259" i="17"/>
  <c r="H225" i="17"/>
  <c r="I225" i="17" s="1"/>
  <c r="J225" i="17" s="1"/>
  <c r="G225" i="17"/>
  <c r="H224" i="17"/>
  <c r="I224" i="17" s="1"/>
  <c r="J224" i="17" s="1"/>
  <c r="G224" i="17"/>
  <c r="H223" i="17"/>
  <c r="I223" i="17" s="1"/>
  <c r="J223" i="17" s="1"/>
  <c r="G223" i="17"/>
  <c r="H222" i="17"/>
  <c r="I222" i="17" s="1"/>
  <c r="J222" i="17" s="1"/>
  <c r="G222" i="17"/>
  <c r="H209" i="17"/>
  <c r="I209" i="17" s="1"/>
  <c r="J209" i="17" s="1"/>
  <c r="G209" i="17"/>
  <c r="H208" i="17"/>
  <c r="I208" i="17" s="1"/>
  <c r="J208" i="17" s="1"/>
  <c r="G208" i="17"/>
  <c r="H207" i="17"/>
  <c r="I207" i="17" s="1"/>
  <c r="J207" i="17" s="1"/>
  <c r="G207" i="17"/>
  <c r="H206" i="17"/>
  <c r="I206" i="17" s="1"/>
  <c r="J206" i="17" s="1"/>
  <c r="G206" i="17"/>
  <c r="H185" i="17"/>
  <c r="I185" i="17" s="1"/>
  <c r="J185" i="17" s="1"/>
  <c r="G185" i="17"/>
  <c r="H184" i="17"/>
  <c r="I184" i="17" s="1"/>
  <c r="J184" i="17" s="1"/>
  <c r="G184" i="17"/>
  <c r="H183" i="17"/>
  <c r="I183" i="17" s="1"/>
  <c r="J183" i="17" s="1"/>
  <c r="G183" i="17"/>
  <c r="H182" i="17"/>
  <c r="I182" i="17" s="1"/>
  <c r="J182" i="17" s="1"/>
  <c r="G182" i="17"/>
  <c r="H178" i="17"/>
  <c r="I178" i="17" s="1"/>
  <c r="J178" i="17" s="1"/>
  <c r="G178" i="17"/>
  <c r="H177" i="17"/>
  <c r="I177" i="17" s="1"/>
  <c r="J177" i="17" s="1"/>
  <c r="G177" i="17"/>
  <c r="H176" i="17"/>
  <c r="I176" i="17" s="1"/>
  <c r="J176" i="17" s="1"/>
  <c r="G176" i="17"/>
  <c r="H175" i="17"/>
  <c r="I175" i="17" s="1"/>
  <c r="J175" i="17" s="1"/>
  <c r="G175" i="17"/>
  <c r="H168" i="17"/>
  <c r="I168" i="17" s="1"/>
  <c r="J168" i="17" s="1"/>
  <c r="G168" i="17"/>
  <c r="H167" i="17"/>
  <c r="I167" i="17" s="1"/>
  <c r="J167" i="17" s="1"/>
  <c r="G167" i="17"/>
  <c r="H166" i="17"/>
  <c r="I166" i="17" s="1"/>
  <c r="J166" i="17" s="1"/>
  <c r="G166" i="17"/>
  <c r="H165" i="17"/>
  <c r="I165" i="17" s="1"/>
  <c r="J165" i="17" s="1"/>
  <c r="G165" i="17"/>
  <c r="H164" i="17"/>
  <c r="I164" i="17" s="1"/>
  <c r="J164" i="17" s="1"/>
  <c r="G164" i="17"/>
  <c r="H163" i="17"/>
  <c r="I163" i="17" s="1"/>
  <c r="J163" i="17" s="1"/>
  <c r="G163" i="17"/>
  <c r="H162" i="17"/>
  <c r="I162" i="17" s="1"/>
  <c r="J162" i="17" s="1"/>
  <c r="G162" i="17"/>
  <c r="H161" i="17"/>
  <c r="I161" i="17" s="1"/>
  <c r="J161" i="17" s="1"/>
  <c r="G161" i="17"/>
  <c r="H155" i="17"/>
  <c r="I155" i="17" s="1"/>
  <c r="J155" i="17" s="1"/>
  <c r="G155" i="17"/>
  <c r="H154" i="17"/>
  <c r="I154" i="17" s="1"/>
  <c r="J154" i="17" s="1"/>
  <c r="G154" i="17"/>
  <c r="H153" i="17"/>
  <c r="I153" i="17" s="1"/>
  <c r="J153" i="17" s="1"/>
  <c r="G153" i="17"/>
  <c r="H152" i="17"/>
  <c r="I152" i="17" s="1"/>
  <c r="J152" i="17" s="1"/>
  <c r="G152" i="17"/>
  <c r="H151" i="17"/>
  <c r="I151" i="17" s="1"/>
  <c r="J151" i="17" s="1"/>
  <c r="G151" i="17"/>
  <c r="H146" i="17"/>
  <c r="I146" i="17" s="1"/>
  <c r="J146" i="17" s="1"/>
  <c r="G146" i="17"/>
  <c r="H150" i="17"/>
  <c r="I150" i="17" s="1"/>
  <c r="J150" i="17" s="1"/>
  <c r="G150" i="17"/>
  <c r="H149" i="17"/>
  <c r="I149" i="17" s="1"/>
  <c r="J149" i="17" s="1"/>
  <c r="G149" i="17"/>
  <c r="H148" i="17"/>
  <c r="I148" i="17" s="1"/>
  <c r="J148" i="17" s="1"/>
  <c r="G148" i="17"/>
  <c r="H147" i="17"/>
  <c r="I147" i="17" s="1"/>
  <c r="J147" i="17" s="1"/>
  <c r="G147" i="17"/>
  <c r="H145" i="17"/>
  <c r="I145" i="17" s="1"/>
  <c r="J145" i="17" s="1"/>
  <c r="G145" i="17"/>
  <c r="H144" i="17"/>
  <c r="I144" i="17" s="1"/>
  <c r="J144" i="17" s="1"/>
  <c r="G144" i="17"/>
  <c r="H143" i="17"/>
  <c r="I143" i="17" s="1"/>
  <c r="J143" i="17" s="1"/>
  <c r="G143" i="17"/>
  <c r="H142" i="17"/>
  <c r="I142" i="17" s="1"/>
  <c r="J142" i="17" s="1"/>
  <c r="G142" i="17"/>
  <c r="H141" i="17"/>
  <c r="I141" i="17" s="1"/>
  <c r="J141" i="17" s="1"/>
  <c r="G141" i="17"/>
  <c r="H140" i="17"/>
  <c r="I140" i="17" s="1"/>
  <c r="J140" i="17" s="1"/>
  <c r="G140" i="17"/>
  <c r="H139" i="17"/>
  <c r="I139" i="17" s="1"/>
  <c r="J139" i="17" s="1"/>
  <c r="G139" i="17"/>
  <c r="H138" i="17"/>
  <c r="I138" i="17" s="1"/>
  <c r="J138" i="17" s="1"/>
  <c r="G138" i="17"/>
  <c r="H137" i="17"/>
  <c r="I137" i="17" s="1"/>
  <c r="J137" i="17" s="1"/>
  <c r="G137" i="17"/>
  <c r="H136" i="17"/>
  <c r="I136" i="17" s="1"/>
  <c r="J136" i="17" s="1"/>
  <c r="G136" i="17"/>
  <c r="H135" i="17"/>
  <c r="I135" i="17" s="1"/>
  <c r="J135" i="17" s="1"/>
  <c r="G135" i="17"/>
  <c r="H134" i="17"/>
  <c r="I134" i="17" s="1"/>
  <c r="J134" i="17" s="1"/>
  <c r="G134" i="17"/>
  <c r="H133" i="17"/>
  <c r="I133" i="17" s="1"/>
  <c r="J133" i="17" s="1"/>
  <c r="G133" i="17"/>
  <c r="H132" i="17"/>
  <c r="I132" i="17" s="1"/>
  <c r="J132" i="17" s="1"/>
  <c r="G132" i="17"/>
  <c r="H131" i="17"/>
  <c r="I131" i="17" s="1"/>
  <c r="J131" i="17" s="1"/>
  <c r="G131" i="17"/>
  <c r="H130" i="17"/>
  <c r="I130" i="17" s="1"/>
  <c r="J130" i="17" s="1"/>
  <c r="G130" i="17"/>
  <c r="H99" i="17"/>
  <c r="I99" i="17" s="1"/>
  <c r="J99" i="17" s="1"/>
  <c r="G99" i="17"/>
  <c r="H98" i="17"/>
  <c r="I98" i="17" s="1"/>
  <c r="J98" i="17" s="1"/>
  <c r="G98" i="17"/>
  <c r="H97" i="17"/>
  <c r="I97" i="17" s="1"/>
  <c r="J97" i="17" s="1"/>
  <c r="G97" i="17"/>
  <c r="H96" i="17"/>
  <c r="I96" i="17" s="1"/>
  <c r="J96" i="17" s="1"/>
  <c r="G96" i="17"/>
  <c r="H95" i="17"/>
  <c r="I95" i="17" s="1"/>
  <c r="J95" i="17" s="1"/>
  <c r="G95" i="17"/>
  <c r="G24" i="17" l="1"/>
  <c r="H24" i="17"/>
  <c r="I24" i="17" s="1"/>
  <c r="J24" i="17" s="1"/>
  <c r="H26" i="17"/>
  <c r="I26" i="17" s="1"/>
  <c r="J26" i="17" s="1"/>
  <c r="G26" i="17"/>
  <c r="H88" i="17"/>
  <c r="I88" i="17" s="1"/>
  <c r="J88" i="17" s="1"/>
  <c r="G88" i="17"/>
  <c r="H87" i="17"/>
  <c r="I87" i="17" s="1"/>
  <c r="J87" i="17" s="1"/>
  <c r="G87" i="17"/>
  <c r="H86" i="17"/>
  <c r="I86" i="17" s="1"/>
  <c r="J86" i="17" s="1"/>
  <c r="G86" i="17"/>
  <c r="H85" i="17"/>
  <c r="I85" i="17" s="1"/>
  <c r="J85" i="17" s="1"/>
  <c r="G85" i="17"/>
  <c r="H84" i="17"/>
  <c r="I84" i="17" s="1"/>
  <c r="J84" i="17" s="1"/>
  <c r="G84" i="17"/>
  <c r="H12" i="17"/>
  <c r="I12" i="17" s="1"/>
  <c r="J12" i="17" s="1"/>
  <c r="G12" i="17"/>
  <c r="H11" i="17"/>
  <c r="I11" i="17" s="1"/>
  <c r="J11" i="17" s="1"/>
  <c r="G11" i="17"/>
  <c r="O16" i="48" l="1"/>
  <c r="AW328" i="83"/>
  <c r="AW280" i="83"/>
  <c r="AW232" i="83"/>
  <c r="AW184" i="83"/>
  <c r="AW136" i="83"/>
  <c r="AW88" i="83"/>
  <c r="AW40" i="83"/>
  <c r="AW330" i="48"/>
  <c r="AW282" i="48"/>
  <c r="AW234" i="48"/>
  <c r="AW186" i="48"/>
  <c r="AW138" i="48"/>
  <c r="AW88" i="48"/>
  <c r="AW40" i="48"/>
  <c r="AG359" i="83"/>
  <c r="AG358" i="83"/>
  <c r="AG357" i="83"/>
  <c r="AG356" i="83"/>
  <c r="AG355" i="83"/>
  <c r="AG354" i="83"/>
  <c r="AG353" i="83"/>
  <c r="AG352" i="83"/>
  <c r="AG351" i="83"/>
  <c r="AG350" i="83"/>
  <c r="AG349" i="83"/>
  <c r="AG348" i="83"/>
  <c r="AG347" i="83"/>
  <c r="AG346" i="83"/>
  <c r="AG345" i="83"/>
  <c r="AG344" i="83"/>
  <c r="AG343" i="83"/>
  <c r="AG342" i="83"/>
  <c r="AG341" i="83"/>
  <c r="AG340" i="83"/>
  <c r="AG339" i="83"/>
  <c r="AG338" i="83"/>
  <c r="AG337" i="83"/>
  <c r="AG336" i="83"/>
  <c r="AG335" i="83"/>
  <c r="AG334" i="83"/>
  <c r="AG333" i="83"/>
  <c r="AG332" i="83"/>
  <c r="AG331" i="83"/>
  <c r="AG330" i="83"/>
  <c r="AG311" i="83"/>
  <c r="AG310" i="83"/>
  <c r="AG309" i="83"/>
  <c r="AG308" i="83"/>
  <c r="AG307" i="83"/>
  <c r="AG306" i="83"/>
  <c r="AG305" i="83"/>
  <c r="AG304" i="83"/>
  <c r="AG303" i="83"/>
  <c r="AG302" i="83"/>
  <c r="AG301" i="83"/>
  <c r="AG300" i="83"/>
  <c r="AG299" i="83"/>
  <c r="AG298" i="83"/>
  <c r="AG297" i="83"/>
  <c r="AG296" i="83"/>
  <c r="AG295" i="83"/>
  <c r="AG294" i="83"/>
  <c r="AG293" i="83"/>
  <c r="AG292" i="83"/>
  <c r="AG291" i="83"/>
  <c r="AG290" i="83"/>
  <c r="AG289" i="83"/>
  <c r="AG288" i="83"/>
  <c r="AG287" i="83"/>
  <c r="AG286" i="83"/>
  <c r="AG285" i="83"/>
  <c r="AG284" i="83"/>
  <c r="AG283" i="83"/>
  <c r="AG282" i="83"/>
  <c r="AG263" i="83"/>
  <c r="AG262" i="83"/>
  <c r="AG261" i="83"/>
  <c r="AG260" i="83"/>
  <c r="AG259" i="83"/>
  <c r="AG258" i="83"/>
  <c r="AG257" i="83"/>
  <c r="AG256" i="83"/>
  <c r="AG255" i="83"/>
  <c r="AG254" i="83"/>
  <c r="AG253" i="83"/>
  <c r="AG252" i="83"/>
  <c r="AG251" i="83"/>
  <c r="AG250" i="83"/>
  <c r="AG249" i="83"/>
  <c r="AG248" i="83"/>
  <c r="AG247" i="83"/>
  <c r="AG246" i="83"/>
  <c r="AG245" i="83"/>
  <c r="AG244" i="83"/>
  <c r="AG243" i="83"/>
  <c r="AG242" i="83"/>
  <c r="AG241" i="83"/>
  <c r="AG240" i="83"/>
  <c r="AG239" i="83"/>
  <c r="AG238" i="83"/>
  <c r="AG237" i="83"/>
  <c r="AG236" i="83"/>
  <c r="AG235" i="83"/>
  <c r="AG234" i="83"/>
  <c r="AG215" i="83"/>
  <c r="AG214" i="83"/>
  <c r="AG213" i="83"/>
  <c r="AG212" i="83"/>
  <c r="AG211" i="83"/>
  <c r="AG210" i="83"/>
  <c r="AG209" i="83"/>
  <c r="AG208" i="83"/>
  <c r="AG207" i="83"/>
  <c r="AG206" i="83"/>
  <c r="AG205" i="83"/>
  <c r="AG204" i="83"/>
  <c r="AG203" i="83"/>
  <c r="AG202" i="83"/>
  <c r="AG201" i="83"/>
  <c r="AG200" i="83"/>
  <c r="AG199" i="83"/>
  <c r="AG198" i="83"/>
  <c r="AG197" i="83"/>
  <c r="AG196" i="83"/>
  <c r="AG195" i="83"/>
  <c r="AG194" i="83"/>
  <c r="AG193" i="83"/>
  <c r="AG192" i="83"/>
  <c r="AG191" i="83"/>
  <c r="AG190" i="83"/>
  <c r="AG189" i="83"/>
  <c r="AG188" i="83"/>
  <c r="AG187" i="83"/>
  <c r="AG186" i="83"/>
  <c r="AG167" i="83"/>
  <c r="AG166" i="83"/>
  <c r="AG165" i="83"/>
  <c r="AG164" i="83"/>
  <c r="AG163" i="83"/>
  <c r="AG162" i="83"/>
  <c r="AG161" i="83"/>
  <c r="AG160" i="83"/>
  <c r="AG159" i="83"/>
  <c r="AG158" i="83"/>
  <c r="AG157" i="83"/>
  <c r="AG156" i="83"/>
  <c r="AG155" i="83"/>
  <c r="AG154" i="83"/>
  <c r="AG153" i="83"/>
  <c r="AG152" i="83"/>
  <c r="AG151" i="83"/>
  <c r="AG150" i="83"/>
  <c r="AG149" i="83"/>
  <c r="AG148" i="83"/>
  <c r="AG147" i="83"/>
  <c r="AG146" i="83"/>
  <c r="AG145" i="83"/>
  <c r="AG144" i="83"/>
  <c r="AG143" i="83"/>
  <c r="AG142" i="83"/>
  <c r="AG141" i="83"/>
  <c r="AG140" i="83"/>
  <c r="AG139" i="83"/>
  <c r="AG138" i="83"/>
  <c r="AG119" i="83"/>
  <c r="AG118" i="83"/>
  <c r="AG117" i="83"/>
  <c r="AG116" i="83"/>
  <c r="AG115" i="83"/>
  <c r="AG114" i="83"/>
  <c r="AG113" i="83"/>
  <c r="AG112" i="83"/>
  <c r="AG111" i="83"/>
  <c r="AG110" i="83"/>
  <c r="AG109" i="83"/>
  <c r="AG108" i="83"/>
  <c r="AG107" i="83"/>
  <c r="AG106" i="83"/>
  <c r="AG105" i="83"/>
  <c r="AG104" i="83"/>
  <c r="AG103" i="83"/>
  <c r="AG102" i="83"/>
  <c r="AG101" i="83"/>
  <c r="AG100" i="83"/>
  <c r="AG99" i="83"/>
  <c r="AG98" i="83"/>
  <c r="AG97" i="83"/>
  <c r="AG96" i="83"/>
  <c r="AG95" i="83"/>
  <c r="AG94" i="83"/>
  <c r="AG93" i="83"/>
  <c r="AG92" i="83"/>
  <c r="AG91" i="83"/>
  <c r="AG90" i="83"/>
  <c r="AG43" i="83"/>
  <c r="AG44" i="83"/>
  <c r="AG45" i="83"/>
  <c r="AG46" i="83"/>
  <c r="AG47" i="83"/>
  <c r="AG48" i="83"/>
  <c r="AG49" i="83"/>
  <c r="AG50" i="83"/>
  <c r="AG51" i="83"/>
  <c r="AG52" i="83"/>
  <c r="AG53" i="83"/>
  <c r="AG54" i="83"/>
  <c r="AG55" i="83"/>
  <c r="AG56" i="83"/>
  <c r="AG57" i="83"/>
  <c r="AG58" i="83"/>
  <c r="AG59" i="83"/>
  <c r="AG60" i="83"/>
  <c r="AG61" i="83"/>
  <c r="AG62" i="83"/>
  <c r="AG63" i="83"/>
  <c r="AG64" i="83"/>
  <c r="AG65" i="83"/>
  <c r="AG66" i="83"/>
  <c r="AG67" i="83"/>
  <c r="AG68" i="83"/>
  <c r="AG69" i="83"/>
  <c r="AG70" i="83"/>
  <c r="AG71" i="83"/>
  <c r="AG42" i="83"/>
  <c r="AG361" i="48"/>
  <c r="AG360" i="48"/>
  <c r="AG359" i="48"/>
  <c r="AG358" i="48"/>
  <c r="AG357" i="48"/>
  <c r="AG356" i="48"/>
  <c r="AG355" i="48"/>
  <c r="AG354" i="48"/>
  <c r="AG353" i="48"/>
  <c r="AG352" i="48"/>
  <c r="AG351" i="48"/>
  <c r="AG350" i="48"/>
  <c r="AG349" i="48"/>
  <c r="AG348" i="48"/>
  <c r="AG347" i="48"/>
  <c r="AG346" i="48"/>
  <c r="AG345" i="48"/>
  <c r="AG344" i="48"/>
  <c r="AG343" i="48"/>
  <c r="AG342" i="48"/>
  <c r="AG341" i="48"/>
  <c r="AG340" i="48"/>
  <c r="AG339" i="48"/>
  <c r="AG338" i="48"/>
  <c r="AG337" i="48"/>
  <c r="AG336" i="48"/>
  <c r="AG335" i="48"/>
  <c r="AG334" i="48"/>
  <c r="AG333" i="48"/>
  <c r="AG332" i="48"/>
  <c r="AG313" i="48"/>
  <c r="AG312" i="48"/>
  <c r="AG311" i="48"/>
  <c r="AG310" i="48"/>
  <c r="AG309" i="48"/>
  <c r="AG308" i="48"/>
  <c r="AG307" i="48"/>
  <c r="AG306" i="48"/>
  <c r="AG305" i="48"/>
  <c r="AG304" i="48"/>
  <c r="AG303" i="48"/>
  <c r="AG302" i="48"/>
  <c r="AG301" i="48"/>
  <c r="AG300" i="48"/>
  <c r="AG299" i="48"/>
  <c r="AG298" i="48"/>
  <c r="AG297" i="48"/>
  <c r="AG296" i="48"/>
  <c r="AG295" i="48"/>
  <c r="AG294" i="48"/>
  <c r="AG293" i="48"/>
  <c r="AG292" i="48"/>
  <c r="AG291" i="48"/>
  <c r="AG290" i="48"/>
  <c r="AG289" i="48"/>
  <c r="AG288" i="48"/>
  <c r="AG287" i="48"/>
  <c r="AG286" i="48"/>
  <c r="AG285" i="48"/>
  <c r="AG284" i="48"/>
  <c r="AG265" i="48"/>
  <c r="AG264" i="48"/>
  <c r="AG263" i="48"/>
  <c r="AG262" i="48"/>
  <c r="AG261" i="48"/>
  <c r="AG260" i="48"/>
  <c r="AG259" i="48"/>
  <c r="AG258" i="48"/>
  <c r="AG257" i="48"/>
  <c r="AG256" i="48"/>
  <c r="AG255" i="48"/>
  <c r="AG254" i="48"/>
  <c r="AG253" i="48"/>
  <c r="AG252" i="48"/>
  <c r="AG251" i="48"/>
  <c r="AG250" i="48"/>
  <c r="AG249" i="48"/>
  <c r="AG248" i="48"/>
  <c r="AG247" i="48"/>
  <c r="AG246" i="48"/>
  <c r="AG245" i="48"/>
  <c r="AG244" i="48"/>
  <c r="AG243" i="48"/>
  <c r="AG242" i="48"/>
  <c r="AG241" i="48"/>
  <c r="AG240" i="48"/>
  <c r="AG239" i="48"/>
  <c r="AG238" i="48"/>
  <c r="AG237" i="48"/>
  <c r="AG236" i="48"/>
  <c r="AG217" i="48"/>
  <c r="AG216" i="48"/>
  <c r="AG215" i="48"/>
  <c r="AG214" i="48"/>
  <c r="AG213" i="48"/>
  <c r="AG212" i="48"/>
  <c r="AG211" i="48"/>
  <c r="AG210" i="48"/>
  <c r="AG209" i="48"/>
  <c r="AG208" i="48"/>
  <c r="AG207" i="48"/>
  <c r="AG206" i="48"/>
  <c r="AG205" i="48"/>
  <c r="AG204" i="48"/>
  <c r="AG203" i="48"/>
  <c r="AG202" i="48"/>
  <c r="AG201" i="48"/>
  <c r="AG200" i="48"/>
  <c r="AG199" i="48"/>
  <c r="AG198" i="48"/>
  <c r="AG197" i="48"/>
  <c r="AG196" i="48"/>
  <c r="AG195" i="48"/>
  <c r="AG194" i="48"/>
  <c r="AG193" i="48"/>
  <c r="AG192" i="48"/>
  <c r="AG191" i="48"/>
  <c r="AG190" i="48"/>
  <c r="AG189" i="48"/>
  <c r="AG188" i="48"/>
  <c r="AG169" i="48"/>
  <c r="AG168" i="48"/>
  <c r="AG167" i="48"/>
  <c r="AG166" i="48"/>
  <c r="AG165" i="48"/>
  <c r="AG164" i="48"/>
  <c r="AG163" i="48"/>
  <c r="AG162" i="48"/>
  <c r="AG161" i="48"/>
  <c r="AG160" i="48"/>
  <c r="AG159" i="48"/>
  <c r="AG158" i="48"/>
  <c r="AG157" i="48"/>
  <c r="AG156" i="48"/>
  <c r="AG155" i="48"/>
  <c r="AG154" i="48"/>
  <c r="AG153" i="48"/>
  <c r="AG152" i="48"/>
  <c r="AG151" i="48"/>
  <c r="AG150" i="48"/>
  <c r="AG149" i="48"/>
  <c r="AG148" i="48"/>
  <c r="AG147" i="48"/>
  <c r="AG146" i="48"/>
  <c r="AG145" i="48"/>
  <c r="AG144" i="48"/>
  <c r="AG143" i="48"/>
  <c r="AG142" i="48"/>
  <c r="AG141" i="48"/>
  <c r="AG140" i="48"/>
  <c r="AG121" i="48"/>
  <c r="AG120" i="48"/>
  <c r="AG119" i="48"/>
  <c r="AG118" i="48"/>
  <c r="AG117" i="48"/>
  <c r="AG116" i="48"/>
  <c r="AG111" i="48"/>
  <c r="AG110" i="48"/>
  <c r="AG109" i="48"/>
  <c r="AG108" i="48"/>
  <c r="AG107" i="48"/>
  <c r="AG106" i="48"/>
  <c r="AG105" i="48"/>
  <c r="AG104" i="48"/>
  <c r="AG103" i="48"/>
  <c r="AG102" i="48"/>
  <c r="AG101" i="48"/>
  <c r="AG100" i="48"/>
  <c r="AG99" i="48"/>
  <c r="AG98" i="48"/>
  <c r="AG97" i="48"/>
  <c r="AG96" i="48"/>
  <c r="AG95" i="48"/>
  <c r="AG94" i="48"/>
  <c r="AG93" i="48"/>
  <c r="AG92" i="48"/>
  <c r="AG91" i="48"/>
  <c r="AG90" i="48"/>
  <c r="AG64" i="48"/>
  <c r="AG65" i="48"/>
  <c r="AG66" i="48"/>
  <c r="AG67" i="48"/>
  <c r="AG68" i="48"/>
  <c r="AG69" i="48"/>
  <c r="AG70" i="48"/>
  <c r="AG71" i="48"/>
  <c r="AG42" i="48"/>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H100" i="17"/>
  <c r="I100" i="17" s="1"/>
  <c r="J100" i="17" s="1"/>
  <c r="H101" i="17"/>
  <c r="I101" i="17" s="1"/>
  <c r="J101" i="17" s="1"/>
  <c r="H102" i="17"/>
  <c r="I102" i="17" s="1"/>
  <c r="J102" i="17" s="1"/>
  <c r="H103" i="17"/>
  <c r="I103" i="17" s="1"/>
  <c r="J103" i="17" s="1"/>
  <c r="H104" i="17"/>
  <c r="I104" i="17" s="1"/>
  <c r="J104" i="17" s="1"/>
  <c r="H105" i="17"/>
  <c r="I105" i="17" s="1"/>
  <c r="J105" i="17" s="1"/>
  <c r="H106" i="17"/>
  <c r="I106" i="17" s="1"/>
  <c r="J106" i="17" s="1"/>
  <c r="H107" i="17"/>
  <c r="I107" i="17" s="1"/>
  <c r="J107" i="17" s="1"/>
  <c r="H108" i="17"/>
  <c r="I108" i="17" s="1"/>
  <c r="J108" i="17" s="1"/>
  <c r="H109" i="17"/>
  <c r="I109" i="17" s="1"/>
  <c r="J109" i="17" s="1"/>
  <c r="H110" i="17"/>
  <c r="I110" i="17" s="1"/>
  <c r="J110" i="17" s="1"/>
  <c r="H111" i="17"/>
  <c r="I111" i="17" s="1"/>
  <c r="J111" i="17" s="1"/>
  <c r="H112" i="17"/>
  <c r="I112" i="17" s="1"/>
  <c r="J112" i="17" s="1"/>
  <c r="H113" i="17"/>
  <c r="I113" i="17" s="1"/>
  <c r="J113" i="17" s="1"/>
  <c r="H114" i="17"/>
  <c r="I114" i="17" s="1"/>
  <c r="J114" i="17" s="1"/>
  <c r="H115" i="17"/>
  <c r="I115" i="17" s="1"/>
  <c r="J115" i="17" s="1"/>
  <c r="H116" i="17"/>
  <c r="I116" i="17" s="1"/>
  <c r="J116" i="17" s="1"/>
  <c r="H117" i="17"/>
  <c r="I117" i="17" s="1"/>
  <c r="J117" i="17" s="1"/>
  <c r="H118" i="17"/>
  <c r="I118" i="17" s="1"/>
  <c r="J118" i="17" s="1"/>
  <c r="H119" i="17"/>
  <c r="I119" i="17" s="1"/>
  <c r="J119" i="17" s="1"/>
  <c r="H120" i="17"/>
  <c r="I120" i="17" s="1"/>
  <c r="J120" i="17" s="1"/>
  <c r="H121" i="17"/>
  <c r="I121" i="17" s="1"/>
  <c r="J121" i="17" s="1"/>
  <c r="H122" i="17"/>
  <c r="I122" i="17" s="1"/>
  <c r="J122" i="17" s="1"/>
  <c r="H123" i="17"/>
  <c r="I123" i="17" s="1"/>
  <c r="J123" i="17" s="1"/>
  <c r="H124" i="17"/>
  <c r="I124" i="17" s="1"/>
  <c r="J124" i="17" s="1"/>
  <c r="H125" i="17"/>
  <c r="I125" i="17" s="1"/>
  <c r="J125" i="17" s="1"/>
  <c r="H126" i="17"/>
  <c r="I126" i="17" s="1"/>
  <c r="J126" i="17" s="1"/>
  <c r="H127" i="17"/>
  <c r="I127" i="17" s="1"/>
  <c r="J127" i="17" s="1"/>
  <c r="H128" i="17"/>
  <c r="I128" i="17" s="1"/>
  <c r="J128" i="17" s="1"/>
  <c r="H129" i="17"/>
  <c r="I129" i="17" s="1"/>
  <c r="J129" i="17" s="1"/>
  <c r="G262" i="17"/>
  <c r="G263" i="17"/>
  <c r="H262" i="17"/>
  <c r="I262" i="17" s="1"/>
  <c r="J262" i="17" s="1"/>
  <c r="H263" i="17"/>
  <c r="I263" i="17" s="1"/>
  <c r="J263" i="17" s="1"/>
  <c r="G261" i="17"/>
  <c r="H261" i="17"/>
  <c r="I261" i="17" s="1"/>
  <c r="J261" i="17" s="1"/>
  <c r="S330" i="83"/>
  <c r="S331" i="83"/>
  <c r="S332" i="83"/>
  <c r="S333" i="83"/>
  <c r="S334" i="83"/>
  <c r="S335" i="83"/>
  <c r="S287" i="83" l="1"/>
  <c r="S286" i="83"/>
  <c r="S239" i="83"/>
  <c r="S238" i="83"/>
  <c r="S191" i="83"/>
  <c r="S190" i="83"/>
  <c r="S143" i="83"/>
  <c r="S142" i="83"/>
  <c r="S95" i="83"/>
  <c r="S94" i="83"/>
  <c r="S47" i="83"/>
  <c r="S46" i="83"/>
  <c r="AV316" i="83"/>
  <c r="AV28" i="83"/>
  <c r="AV76" i="83"/>
  <c r="AV124" i="83"/>
  <c r="AV172" i="83"/>
  <c r="AV220" i="83"/>
  <c r="AV268" i="83"/>
  <c r="B266" i="83"/>
  <c r="AD275" i="83" s="1"/>
  <c r="B218" i="83"/>
  <c r="V228" i="83" s="1"/>
  <c r="W228" i="83" s="1"/>
  <c r="B170" i="83"/>
  <c r="AJ180" i="83" s="1"/>
  <c r="AK180" i="83" s="1"/>
  <c r="B122" i="83"/>
  <c r="AG131" i="83" s="1"/>
  <c r="AH131" i="83" s="1"/>
  <c r="B74" i="83"/>
  <c r="AD84" i="83" s="1"/>
  <c r="AE84" i="83" s="1"/>
  <c r="T359" i="83"/>
  <c r="S359" i="83"/>
  <c r="J359" i="83"/>
  <c r="T358" i="83"/>
  <c r="S358" i="83"/>
  <c r="J358" i="83"/>
  <c r="T357" i="83"/>
  <c r="S357" i="83"/>
  <c r="J357" i="83"/>
  <c r="T356" i="83"/>
  <c r="S356" i="83"/>
  <c r="J356" i="83"/>
  <c r="T355" i="83"/>
  <c r="S355" i="83"/>
  <c r="J355" i="83"/>
  <c r="T354" i="83"/>
  <c r="S354" i="83"/>
  <c r="J354" i="83"/>
  <c r="T353" i="83"/>
  <c r="S353" i="83"/>
  <c r="J353" i="83"/>
  <c r="T352" i="83"/>
  <c r="S352" i="83"/>
  <c r="J352" i="83"/>
  <c r="T351" i="83"/>
  <c r="S351" i="83"/>
  <c r="J351" i="83"/>
  <c r="T350" i="83"/>
  <c r="S350" i="83"/>
  <c r="J350" i="83"/>
  <c r="T349" i="83"/>
  <c r="S349" i="83"/>
  <c r="J349" i="83"/>
  <c r="T348" i="83"/>
  <c r="S348" i="83"/>
  <c r="J348" i="83"/>
  <c r="T347" i="83"/>
  <c r="S347" i="83"/>
  <c r="J347" i="83"/>
  <c r="T346" i="83"/>
  <c r="S346" i="83"/>
  <c r="J346" i="83"/>
  <c r="T345" i="83"/>
  <c r="S345" i="83"/>
  <c r="J345" i="83"/>
  <c r="T344" i="83"/>
  <c r="S344" i="83"/>
  <c r="J344" i="83"/>
  <c r="T343" i="83"/>
  <c r="S343" i="83"/>
  <c r="J343" i="83"/>
  <c r="T342" i="83"/>
  <c r="S342" i="83"/>
  <c r="J342" i="83"/>
  <c r="T341" i="83"/>
  <c r="S341" i="83"/>
  <c r="J341" i="83"/>
  <c r="T340" i="83"/>
  <c r="S340" i="83"/>
  <c r="J340" i="83"/>
  <c r="T339" i="83"/>
  <c r="S339" i="83"/>
  <c r="J339" i="83"/>
  <c r="T338" i="83"/>
  <c r="S338" i="83"/>
  <c r="J338" i="83"/>
  <c r="T337" i="83"/>
  <c r="S337" i="83"/>
  <c r="J337" i="83"/>
  <c r="T336" i="83"/>
  <c r="S336" i="83"/>
  <c r="J336" i="83"/>
  <c r="J335" i="83"/>
  <c r="J334" i="83"/>
  <c r="J333" i="83"/>
  <c r="J332" i="83"/>
  <c r="J331" i="83"/>
  <c r="J330" i="83"/>
  <c r="G328" i="83"/>
  <c r="AJ324" i="83"/>
  <c r="AK324" i="83" s="1"/>
  <c r="AG324" i="83"/>
  <c r="AH324" i="83" s="1"/>
  <c r="AD324" i="83"/>
  <c r="V324" i="83"/>
  <c r="W324" i="83" s="1"/>
  <c r="AJ323" i="83"/>
  <c r="AK323" i="83" s="1"/>
  <c r="AG323" i="83"/>
  <c r="AH323" i="83" s="1"/>
  <c r="AD323" i="83"/>
  <c r="AE323" i="83" s="1"/>
  <c r="V323" i="83"/>
  <c r="W323" i="83" s="1"/>
  <c r="AJ322" i="83"/>
  <c r="AK322" i="83" s="1"/>
  <c r="AG322" i="83"/>
  <c r="AH322" i="83" s="1"/>
  <c r="AD322" i="83"/>
  <c r="AE322" i="83" s="1"/>
  <c r="V322" i="83"/>
  <c r="W322" i="83" s="1"/>
  <c r="N322" i="83"/>
  <c r="AJ321" i="83"/>
  <c r="AK321" i="83" s="1"/>
  <c r="AG321" i="83"/>
  <c r="AH321" i="83" s="1"/>
  <c r="AD321" i="83"/>
  <c r="V321" i="83"/>
  <c r="W321" i="83" s="1"/>
  <c r="N321" i="83"/>
  <c r="AJ320" i="83"/>
  <c r="AK320" i="83" s="1"/>
  <c r="AG320" i="83"/>
  <c r="AH320" i="83" s="1"/>
  <c r="AD320" i="83"/>
  <c r="V320" i="83"/>
  <c r="W320" i="83" s="1"/>
  <c r="AW318" i="83"/>
  <c r="AO315" i="83"/>
  <c r="AK315" i="83"/>
  <c r="AH315" i="83"/>
  <c r="AE315" i="83"/>
  <c r="W315" i="83"/>
  <c r="T311" i="83"/>
  <c r="S311" i="83"/>
  <c r="J311" i="83"/>
  <c r="T310" i="83"/>
  <c r="S310" i="83"/>
  <c r="J310" i="83"/>
  <c r="T309" i="83"/>
  <c r="S309" i="83"/>
  <c r="J309" i="83"/>
  <c r="T308" i="83"/>
  <c r="S308" i="83"/>
  <c r="J308" i="83"/>
  <c r="T307" i="83"/>
  <c r="S307" i="83"/>
  <c r="J307" i="83"/>
  <c r="T306" i="83"/>
  <c r="S306" i="83"/>
  <c r="J306" i="83"/>
  <c r="T305" i="83"/>
  <c r="S305" i="83"/>
  <c r="J305" i="83"/>
  <c r="T304" i="83"/>
  <c r="S304" i="83"/>
  <c r="J304" i="83"/>
  <c r="T303" i="83"/>
  <c r="S303" i="83"/>
  <c r="J303" i="83"/>
  <c r="T302" i="83"/>
  <c r="S302" i="83"/>
  <c r="J302" i="83"/>
  <c r="T301" i="83"/>
  <c r="S301" i="83"/>
  <c r="J301" i="83"/>
  <c r="T300" i="83"/>
  <c r="S300" i="83"/>
  <c r="J300" i="83"/>
  <c r="T299" i="83"/>
  <c r="S299" i="83"/>
  <c r="J299" i="83"/>
  <c r="T298" i="83"/>
  <c r="S298" i="83"/>
  <c r="J298" i="83"/>
  <c r="T297" i="83"/>
  <c r="S297" i="83"/>
  <c r="J297" i="83"/>
  <c r="T296" i="83"/>
  <c r="S296" i="83"/>
  <c r="J296" i="83"/>
  <c r="T295" i="83"/>
  <c r="S295" i="83"/>
  <c r="J295" i="83"/>
  <c r="T294" i="83"/>
  <c r="S294" i="83"/>
  <c r="J294" i="83"/>
  <c r="T293" i="83"/>
  <c r="S293" i="83"/>
  <c r="J293" i="83"/>
  <c r="T292" i="83"/>
  <c r="S292" i="83"/>
  <c r="J292" i="83"/>
  <c r="T291" i="83"/>
  <c r="S291" i="83"/>
  <c r="J291" i="83"/>
  <c r="T290" i="83"/>
  <c r="S290" i="83"/>
  <c r="J290" i="83"/>
  <c r="T289" i="83"/>
  <c r="S289" i="83"/>
  <c r="J289" i="83"/>
  <c r="T288" i="83"/>
  <c r="S288" i="83"/>
  <c r="J288" i="83"/>
  <c r="J287" i="83"/>
  <c r="J286" i="83"/>
  <c r="J285" i="83"/>
  <c r="J284" i="83"/>
  <c r="J283" i="83"/>
  <c r="J282" i="83"/>
  <c r="G280" i="83"/>
  <c r="AG276" i="83"/>
  <c r="AH276" i="83" s="1"/>
  <c r="AD276" i="83"/>
  <c r="AE276" i="83" s="1"/>
  <c r="N274" i="83"/>
  <c r="AJ273" i="83"/>
  <c r="AK273" i="83" s="1"/>
  <c r="AG273" i="83"/>
  <c r="AH273" i="83" s="1"/>
  <c r="N273" i="83"/>
  <c r="AW270" i="83"/>
  <c r="AO267" i="83"/>
  <c r="AK267" i="83"/>
  <c r="AH267" i="83"/>
  <c r="AE267" i="83"/>
  <c r="W267" i="83"/>
  <c r="T263" i="83"/>
  <c r="S263" i="83"/>
  <c r="J263" i="83"/>
  <c r="T262" i="83"/>
  <c r="S262" i="83"/>
  <c r="J262" i="83"/>
  <c r="T261" i="83"/>
  <c r="S261" i="83"/>
  <c r="J261" i="83"/>
  <c r="T260" i="83"/>
  <c r="S260" i="83"/>
  <c r="J260" i="83"/>
  <c r="T259" i="83"/>
  <c r="S259" i="83"/>
  <c r="J259" i="83"/>
  <c r="T258" i="83"/>
  <c r="S258" i="83"/>
  <c r="J258" i="83"/>
  <c r="T257" i="83"/>
  <c r="S257" i="83"/>
  <c r="J257" i="83"/>
  <c r="T256" i="83"/>
  <c r="S256" i="83"/>
  <c r="J256" i="83"/>
  <c r="T255" i="83"/>
  <c r="S255" i="83"/>
  <c r="J255" i="83"/>
  <c r="T254" i="83"/>
  <c r="S254" i="83"/>
  <c r="J254" i="83"/>
  <c r="T253" i="83"/>
  <c r="S253" i="83"/>
  <c r="J253" i="83"/>
  <c r="T252" i="83"/>
  <c r="S252" i="83"/>
  <c r="J252" i="83"/>
  <c r="T251" i="83"/>
  <c r="S251" i="83"/>
  <c r="J251" i="83"/>
  <c r="T250" i="83"/>
  <c r="S250" i="83"/>
  <c r="J250" i="83"/>
  <c r="T249" i="83"/>
  <c r="S249" i="83"/>
  <c r="J249" i="83"/>
  <c r="T248" i="83"/>
  <c r="S248" i="83"/>
  <c r="J248" i="83"/>
  <c r="T247" i="83"/>
  <c r="S247" i="83"/>
  <c r="J247" i="83"/>
  <c r="T246" i="83"/>
  <c r="S246" i="83"/>
  <c r="J246" i="83"/>
  <c r="T245" i="83"/>
  <c r="S245" i="83"/>
  <c r="J245" i="83"/>
  <c r="T244" i="83"/>
  <c r="S244" i="83"/>
  <c r="J244" i="83"/>
  <c r="T243" i="83"/>
  <c r="S243" i="83"/>
  <c r="J243" i="83"/>
  <c r="T242" i="83"/>
  <c r="S242" i="83"/>
  <c r="J242" i="83"/>
  <c r="T241" i="83"/>
  <c r="S241" i="83"/>
  <c r="J241" i="83"/>
  <c r="T240" i="83"/>
  <c r="S240" i="83"/>
  <c r="J240" i="83"/>
  <c r="J239" i="83"/>
  <c r="J238" i="83"/>
  <c r="J237" i="83"/>
  <c r="J236" i="83"/>
  <c r="J235" i="83"/>
  <c r="J234" i="83"/>
  <c r="G232" i="83"/>
  <c r="N226" i="83"/>
  <c r="N225" i="83"/>
  <c r="AW222" i="83"/>
  <c r="AO219" i="83"/>
  <c r="AK219" i="83"/>
  <c r="AH219" i="83"/>
  <c r="AE219" i="83"/>
  <c r="W219" i="83"/>
  <c r="T215" i="83"/>
  <c r="S215" i="83"/>
  <c r="J215" i="83"/>
  <c r="T214" i="83"/>
  <c r="S214" i="83"/>
  <c r="J214" i="83"/>
  <c r="T213" i="83"/>
  <c r="S213" i="83"/>
  <c r="J213" i="83"/>
  <c r="T212" i="83"/>
  <c r="S212" i="83"/>
  <c r="J212" i="83"/>
  <c r="T211" i="83"/>
  <c r="S211" i="83"/>
  <c r="J211" i="83"/>
  <c r="T210" i="83"/>
  <c r="S210" i="83"/>
  <c r="J210" i="83"/>
  <c r="T209" i="83"/>
  <c r="S209" i="83"/>
  <c r="J209" i="83"/>
  <c r="T208" i="83"/>
  <c r="S208" i="83"/>
  <c r="J208" i="83"/>
  <c r="T207" i="83"/>
  <c r="S207" i="83"/>
  <c r="J207" i="83"/>
  <c r="T206" i="83"/>
  <c r="S206" i="83"/>
  <c r="J206" i="83"/>
  <c r="T205" i="83"/>
  <c r="S205" i="83"/>
  <c r="J205" i="83"/>
  <c r="T204" i="83"/>
  <c r="S204" i="83"/>
  <c r="J204" i="83"/>
  <c r="T203" i="83"/>
  <c r="S203" i="83"/>
  <c r="J203" i="83"/>
  <c r="T202" i="83"/>
  <c r="S202" i="83"/>
  <c r="J202" i="83"/>
  <c r="T201" i="83"/>
  <c r="S201" i="83"/>
  <c r="J201" i="83"/>
  <c r="T200" i="83"/>
  <c r="S200" i="83"/>
  <c r="J200" i="83"/>
  <c r="T199" i="83"/>
  <c r="S199" i="83"/>
  <c r="J199" i="83"/>
  <c r="T198" i="83"/>
  <c r="S198" i="83"/>
  <c r="J198" i="83"/>
  <c r="T197" i="83"/>
  <c r="S197" i="83"/>
  <c r="J197" i="83"/>
  <c r="T196" i="83"/>
  <c r="S196" i="83"/>
  <c r="J196" i="83"/>
  <c r="T195" i="83"/>
  <c r="S195" i="83"/>
  <c r="J195" i="83"/>
  <c r="T194" i="83"/>
  <c r="S194" i="83"/>
  <c r="J194" i="83"/>
  <c r="T193" i="83"/>
  <c r="S193" i="83"/>
  <c r="J193" i="83"/>
  <c r="T192" i="83"/>
  <c r="S192" i="83"/>
  <c r="J192" i="83"/>
  <c r="J191" i="83"/>
  <c r="J190" i="83"/>
  <c r="J189" i="83"/>
  <c r="J188" i="83"/>
  <c r="J187" i="83"/>
  <c r="J186" i="83"/>
  <c r="G184" i="83"/>
  <c r="N178" i="83"/>
  <c r="N177" i="83"/>
  <c r="AW174" i="83"/>
  <c r="AO171" i="83"/>
  <c r="AK171" i="83"/>
  <c r="AH171" i="83"/>
  <c r="AE171" i="83"/>
  <c r="W171" i="83"/>
  <c r="T167" i="83"/>
  <c r="S167" i="83"/>
  <c r="J167" i="83"/>
  <c r="T166" i="83"/>
  <c r="S166" i="83"/>
  <c r="J166" i="83"/>
  <c r="T165" i="83"/>
  <c r="S165" i="83"/>
  <c r="J165" i="83"/>
  <c r="T164" i="83"/>
  <c r="S164" i="83"/>
  <c r="J164" i="83"/>
  <c r="T163" i="83"/>
  <c r="S163" i="83"/>
  <c r="J163" i="83"/>
  <c r="T162" i="83"/>
  <c r="S162" i="83"/>
  <c r="J162" i="83"/>
  <c r="T161" i="83"/>
  <c r="S161" i="83"/>
  <c r="J161" i="83"/>
  <c r="T160" i="83"/>
  <c r="S160" i="83"/>
  <c r="J160" i="83"/>
  <c r="T159" i="83"/>
  <c r="S159" i="83"/>
  <c r="J159" i="83"/>
  <c r="T158" i="83"/>
  <c r="S158" i="83"/>
  <c r="J158" i="83"/>
  <c r="T157" i="83"/>
  <c r="S157" i="83"/>
  <c r="J157" i="83"/>
  <c r="T156" i="83"/>
  <c r="S156" i="83"/>
  <c r="J156" i="83"/>
  <c r="T155" i="83"/>
  <c r="S155" i="83"/>
  <c r="J155" i="83"/>
  <c r="T154" i="83"/>
  <c r="S154" i="83"/>
  <c r="J154" i="83"/>
  <c r="T153" i="83"/>
  <c r="S153" i="83"/>
  <c r="J153" i="83"/>
  <c r="T152" i="83"/>
  <c r="S152" i="83"/>
  <c r="J152" i="83"/>
  <c r="T151" i="83"/>
  <c r="S151" i="83"/>
  <c r="J151" i="83"/>
  <c r="T150" i="83"/>
  <c r="S150" i="83"/>
  <c r="J150" i="83"/>
  <c r="T149" i="83"/>
  <c r="S149" i="83"/>
  <c r="J149" i="83"/>
  <c r="T148" i="83"/>
  <c r="S148" i="83"/>
  <c r="J148" i="83"/>
  <c r="T147" i="83"/>
  <c r="S147" i="83"/>
  <c r="J147" i="83"/>
  <c r="T146" i="83"/>
  <c r="S146" i="83"/>
  <c r="J146" i="83"/>
  <c r="T145" i="83"/>
  <c r="S145" i="83"/>
  <c r="J145" i="83"/>
  <c r="T144" i="83"/>
  <c r="S144" i="83"/>
  <c r="J144" i="83"/>
  <c r="J143" i="83"/>
  <c r="J142" i="83"/>
  <c r="J141" i="83"/>
  <c r="J140" i="83"/>
  <c r="J139" i="83"/>
  <c r="J138" i="83"/>
  <c r="G136" i="83"/>
  <c r="N130" i="83"/>
  <c r="N129" i="83"/>
  <c r="AW126" i="83"/>
  <c r="AO123" i="83"/>
  <c r="AK123" i="83"/>
  <c r="AH123" i="83"/>
  <c r="AE123" i="83"/>
  <c r="W123" i="83"/>
  <c r="T119" i="83"/>
  <c r="S119" i="83"/>
  <c r="J119" i="83"/>
  <c r="T118" i="83"/>
  <c r="S118" i="83"/>
  <c r="J118" i="83"/>
  <c r="T117" i="83"/>
  <c r="S117" i="83"/>
  <c r="J117" i="83"/>
  <c r="T116" i="83"/>
  <c r="S116" i="83"/>
  <c r="J116" i="83"/>
  <c r="T115" i="83"/>
  <c r="S115" i="83"/>
  <c r="J115" i="83"/>
  <c r="T114" i="83"/>
  <c r="S114" i="83"/>
  <c r="J114" i="83"/>
  <c r="T113" i="83"/>
  <c r="S113" i="83"/>
  <c r="J113" i="83"/>
  <c r="T112" i="83"/>
  <c r="S112" i="83"/>
  <c r="J112" i="83"/>
  <c r="T111" i="83"/>
  <c r="S111" i="83"/>
  <c r="J111" i="83"/>
  <c r="T110" i="83"/>
  <c r="S110" i="83"/>
  <c r="J110" i="83"/>
  <c r="T109" i="83"/>
  <c r="S109" i="83"/>
  <c r="J109" i="83"/>
  <c r="T108" i="83"/>
  <c r="S108" i="83"/>
  <c r="J108" i="83"/>
  <c r="T107" i="83"/>
  <c r="S107" i="83"/>
  <c r="J107" i="83"/>
  <c r="T106" i="83"/>
  <c r="S106" i="83"/>
  <c r="J106" i="83"/>
  <c r="T105" i="83"/>
  <c r="S105" i="83"/>
  <c r="J105" i="83"/>
  <c r="T104" i="83"/>
  <c r="S104" i="83"/>
  <c r="J104" i="83"/>
  <c r="T103" i="83"/>
  <c r="S103" i="83"/>
  <c r="J103" i="83"/>
  <c r="T102" i="83"/>
  <c r="S102" i="83"/>
  <c r="J102" i="83"/>
  <c r="T101" i="83"/>
  <c r="S101" i="83"/>
  <c r="J101" i="83"/>
  <c r="T100" i="83"/>
  <c r="S100" i="83"/>
  <c r="J100" i="83"/>
  <c r="T99" i="83"/>
  <c r="S99" i="83"/>
  <c r="J99" i="83"/>
  <c r="T98" i="83"/>
  <c r="S98" i="83"/>
  <c r="J98" i="83"/>
  <c r="T97" i="83"/>
  <c r="S97" i="83"/>
  <c r="J97" i="83"/>
  <c r="T96" i="83"/>
  <c r="S96" i="83"/>
  <c r="J96" i="83"/>
  <c r="J95" i="83"/>
  <c r="J94" i="83"/>
  <c r="J93" i="83"/>
  <c r="J92" i="83"/>
  <c r="J91" i="83"/>
  <c r="J90" i="83"/>
  <c r="G88" i="83"/>
  <c r="N82" i="83"/>
  <c r="N81" i="83"/>
  <c r="AW78" i="83"/>
  <c r="AO75" i="83"/>
  <c r="AK75" i="83"/>
  <c r="AH75" i="83"/>
  <c r="AE75" i="83"/>
  <c r="W75" i="83"/>
  <c r="T71" i="83"/>
  <c r="S71" i="83"/>
  <c r="J71" i="83"/>
  <c r="T70" i="83"/>
  <c r="S70" i="83"/>
  <c r="J70" i="83"/>
  <c r="T69" i="83"/>
  <c r="S69" i="83"/>
  <c r="J69" i="83"/>
  <c r="T68" i="83"/>
  <c r="S68" i="83"/>
  <c r="J68" i="83"/>
  <c r="T67" i="83"/>
  <c r="S67" i="83"/>
  <c r="J67" i="83"/>
  <c r="T66" i="83"/>
  <c r="S66" i="83"/>
  <c r="J66" i="83"/>
  <c r="T65" i="83"/>
  <c r="S65" i="83"/>
  <c r="J65" i="83"/>
  <c r="T64" i="83"/>
  <c r="S64" i="83"/>
  <c r="J64" i="83"/>
  <c r="T63" i="83"/>
  <c r="S63" i="83"/>
  <c r="J63" i="83"/>
  <c r="T62" i="83"/>
  <c r="S62" i="83"/>
  <c r="J62" i="83"/>
  <c r="T61" i="83"/>
  <c r="S61" i="83"/>
  <c r="J61" i="83"/>
  <c r="T60" i="83"/>
  <c r="S60" i="83"/>
  <c r="J60" i="83"/>
  <c r="T59" i="83"/>
  <c r="S59" i="83"/>
  <c r="J59" i="83"/>
  <c r="T58" i="83"/>
  <c r="S58" i="83"/>
  <c r="J58" i="83"/>
  <c r="T57" i="83"/>
  <c r="S57" i="83"/>
  <c r="J57" i="83"/>
  <c r="T56" i="83"/>
  <c r="S56" i="83"/>
  <c r="J56" i="83"/>
  <c r="T55" i="83"/>
  <c r="S55" i="83"/>
  <c r="J55" i="83"/>
  <c r="T54" i="83"/>
  <c r="S54" i="83"/>
  <c r="J54" i="83"/>
  <c r="T53" i="83"/>
  <c r="S53" i="83"/>
  <c r="J53" i="83"/>
  <c r="T52" i="83"/>
  <c r="S52" i="83"/>
  <c r="J52" i="83"/>
  <c r="T51" i="83"/>
  <c r="S51" i="83"/>
  <c r="J51" i="83"/>
  <c r="T50" i="83"/>
  <c r="S50" i="83"/>
  <c r="J50" i="83"/>
  <c r="T49" i="83"/>
  <c r="S49" i="83"/>
  <c r="J49" i="83"/>
  <c r="T48" i="83"/>
  <c r="S48" i="83"/>
  <c r="J48" i="83"/>
  <c r="J47" i="83"/>
  <c r="J46" i="83"/>
  <c r="T45" i="83"/>
  <c r="J45" i="83"/>
  <c r="T44" i="83"/>
  <c r="J44" i="83"/>
  <c r="T43" i="83"/>
  <c r="J43" i="83"/>
  <c r="T42" i="83"/>
  <c r="J42" i="83"/>
  <c r="G40" i="83"/>
  <c r="AJ36" i="83"/>
  <c r="AK36" i="83" s="1"/>
  <c r="AG36" i="83"/>
  <c r="AH36" i="83" s="1"/>
  <c r="AD36" i="83"/>
  <c r="V36" i="83"/>
  <c r="W36" i="83" s="1"/>
  <c r="AJ35" i="83"/>
  <c r="AK35" i="83" s="1"/>
  <c r="AG35" i="83"/>
  <c r="AH35" i="83" s="1"/>
  <c r="AD35" i="83"/>
  <c r="V35" i="83"/>
  <c r="W35" i="83" s="1"/>
  <c r="AJ34" i="83"/>
  <c r="AK34" i="83" s="1"/>
  <c r="AG34" i="83"/>
  <c r="AH34" i="83" s="1"/>
  <c r="AD34" i="83"/>
  <c r="AE34" i="83" s="1"/>
  <c r="V34" i="83"/>
  <c r="W34" i="83" s="1"/>
  <c r="N34" i="83"/>
  <c r="AJ33" i="83"/>
  <c r="AK33" i="83" s="1"/>
  <c r="AG33" i="83"/>
  <c r="AH33" i="83" s="1"/>
  <c r="AD33" i="83"/>
  <c r="V33" i="83"/>
  <c r="W33" i="83" s="1"/>
  <c r="N33" i="83"/>
  <c r="AJ32" i="83"/>
  <c r="AK32" i="83" s="1"/>
  <c r="AG32" i="83"/>
  <c r="AH32" i="83" s="1"/>
  <c r="AD32" i="83"/>
  <c r="V32" i="83"/>
  <c r="W32" i="83" s="1"/>
  <c r="AW30" i="83"/>
  <c r="AO27" i="83"/>
  <c r="AK27" i="83"/>
  <c r="AH27" i="83"/>
  <c r="AE27" i="83"/>
  <c r="W27" i="83"/>
  <c r="O21" i="83"/>
  <c r="N21" i="83"/>
  <c r="AN20" i="83"/>
  <c r="AO20" i="83" s="1"/>
  <c r="AK20" i="83"/>
  <c r="AH20" i="83"/>
  <c r="AE20" i="83"/>
  <c r="AW18" i="83"/>
  <c r="BX16" i="83"/>
  <c r="BW16" i="83"/>
  <c r="BQ16" i="83"/>
  <c r="BP16" i="83"/>
  <c r="BJ16" i="83"/>
  <c r="BI16" i="83"/>
  <c r="BC16" i="83"/>
  <c r="BB16" i="83"/>
  <c r="AV16" i="83"/>
  <c r="AU16" i="83"/>
  <c r="BY15" i="83"/>
  <c r="BR15" i="83"/>
  <c r="BK15" i="83"/>
  <c r="BD15" i="83"/>
  <c r="AW15" i="83"/>
  <c r="BY14" i="83"/>
  <c r="BR14" i="83"/>
  <c r="BK14" i="83"/>
  <c r="BD14" i="83"/>
  <c r="AW14" i="83"/>
  <c r="BY13" i="83"/>
  <c r="BR13" i="83"/>
  <c r="BK13" i="83"/>
  <c r="BD13" i="83"/>
  <c r="AW13" i="83"/>
  <c r="BY12" i="83"/>
  <c r="BR12" i="83"/>
  <c r="BK12" i="83"/>
  <c r="BD12" i="83"/>
  <c r="AW12" i="83"/>
  <c r="BY11" i="83"/>
  <c r="BR11" i="83"/>
  <c r="BK11" i="83"/>
  <c r="BD11" i="83"/>
  <c r="AW11" i="83"/>
  <c r="BY10" i="83"/>
  <c r="BR10" i="83"/>
  <c r="BK10" i="83"/>
  <c r="BD10" i="83"/>
  <c r="AW10" i="83"/>
  <c r="O10" i="83"/>
  <c r="O11" i="83" s="1"/>
  <c r="X21" i="83" s="1"/>
  <c r="BY9" i="83"/>
  <c r="BR9" i="83"/>
  <c r="BK9" i="83"/>
  <c r="BD9" i="83"/>
  <c r="AW9" i="83"/>
  <c r="BY8" i="83"/>
  <c r="BR8" i="83"/>
  <c r="BK8" i="83"/>
  <c r="BD8" i="83"/>
  <c r="AW8" i="83"/>
  <c r="BY7" i="83"/>
  <c r="BR7" i="83"/>
  <c r="BK7" i="83"/>
  <c r="BD7" i="83"/>
  <c r="AW7" i="83"/>
  <c r="BY6" i="83"/>
  <c r="BR6" i="83"/>
  <c r="BK6" i="83"/>
  <c r="BD6" i="83"/>
  <c r="AW6" i="83"/>
  <c r="BY5" i="83"/>
  <c r="BR5" i="83"/>
  <c r="BK5" i="83"/>
  <c r="BD5" i="83"/>
  <c r="AW5" i="83"/>
  <c r="BY4" i="83"/>
  <c r="BR4" i="83"/>
  <c r="BK4" i="83"/>
  <c r="BD4" i="83"/>
  <c r="AW4" i="83"/>
  <c r="N4" i="83"/>
  <c r="BY3" i="83"/>
  <c r="BR3" i="83"/>
  <c r="BK3" i="83"/>
  <c r="BD3" i="83"/>
  <c r="AW3" i="83"/>
  <c r="AO3" i="83"/>
  <c r="AK3" i="83"/>
  <c r="AH3" i="83"/>
  <c r="AE3" i="83"/>
  <c r="W3" i="83"/>
  <c r="E2" i="74"/>
  <c r="S121" i="48"/>
  <c r="S120" i="48"/>
  <c r="S119" i="48"/>
  <c r="S118" i="48"/>
  <c r="S117" i="48"/>
  <c r="S116" i="48"/>
  <c r="S111" i="48"/>
  <c r="S110" i="48"/>
  <c r="S109" i="48"/>
  <c r="S108" i="48"/>
  <c r="S107" i="48"/>
  <c r="S106" i="48"/>
  <c r="S105" i="48"/>
  <c r="S104" i="48"/>
  <c r="S103" i="48"/>
  <c r="S102" i="48"/>
  <c r="S101" i="48"/>
  <c r="S100" i="48"/>
  <c r="S99" i="48"/>
  <c r="S98" i="48"/>
  <c r="S97" i="48"/>
  <c r="S96" i="48"/>
  <c r="S95" i="48"/>
  <c r="S94" i="48"/>
  <c r="T94" i="48" s="1"/>
  <c r="S93" i="48"/>
  <c r="S92" i="48"/>
  <c r="S91" i="48"/>
  <c r="S90" i="48"/>
  <c r="S169" i="48"/>
  <c r="S168" i="48"/>
  <c r="S167" i="48"/>
  <c r="S166" i="48"/>
  <c r="S165" i="48"/>
  <c r="S164" i="48"/>
  <c r="S163" i="48"/>
  <c r="S162" i="48"/>
  <c r="S161" i="48"/>
  <c r="S160" i="48"/>
  <c r="S159" i="48"/>
  <c r="S158" i="48"/>
  <c r="S157" i="48"/>
  <c r="S156" i="48"/>
  <c r="S155" i="48"/>
  <c r="S154" i="48"/>
  <c r="S153" i="48"/>
  <c r="S152" i="48"/>
  <c r="S151" i="48"/>
  <c r="S150" i="48"/>
  <c r="S149" i="48"/>
  <c r="S148" i="48"/>
  <c r="S147" i="48"/>
  <c r="S146" i="48"/>
  <c r="S145" i="48"/>
  <c r="T145" i="48" s="1"/>
  <c r="S144" i="48"/>
  <c r="S143" i="48"/>
  <c r="S142" i="48"/>
  <c r="S141" i="48"/>
  <c r="T141" i="48" s="1"/>
  <c r="S140" i="48"/>
  <c r="T140" i="48" s="1"/>
  <c r="S217" i="48"/>
  <c r="S216" i="48"/>
  <c r="S215" i="48"/>
  <c r="S214" i="48"/>
  <c r="S213" i="48"/>
  <c r="S212" i="48"/>
  <c r="S211" i="48"/>
  <c r="S210" i="48"/>
  <c r="S209" i="48"/>
  <c r="S208" i="48"/>
  <c r="S207" i="48"/>
  <c r="S206" i="48"/>
  <c r="S205" i="48"/>
  <c r="S204" i="48"/>
  <c r="S203" i="48"/>
  <c r="S202" i="48"/>
  <c r="S201" i="48"/>
  <c r="S200" i="48"/>
  <c r="S199" i="48"/>
  <c r="S198" i="48"/>
  <c r="S197" i="48"/>
  <c r="S196" i="48"/>
  <c r="S195" i="48"/>
  <c r="S194" i="48"/>
  <c r="S193" i="48"/>
  <c r="S192" i="48"/>
  <c r="S191" i="48"/>
  <c r="S190" i="48"/>
  <c r="S189" i="48"/>
  <c r="S188" i="48"/>
  <c r="S265" i="48"/>
  <c r="S264" i="48"/>
  <c r="S263" i="48"/>
  <c r="S262" i="48"/>
  <c r="S261" i="48"/>
  <c r="S260" i="48"/>
  <c r="S259" i="48"/>
  <c r="S258" i="48"/>
  <c r="S257" i="48"/>
  <c r="S256" i="48"/>
  <c r="S255" i="48"/>
  <c r="S254" i="48"/>
  <c r="S253" i="48"/>
  <c r="S252" i="48"/>
  <c r="S251" i="48"/>
  <c r="S250" i="48"/>
  <c r="S249" i="48"/>
  <c r="S248" i="48"/>
  <c r="S247" i="48"/>
  <c r="S246" i="48"/>
  <c r="S245" i="48"/>
  <c r="S244" i="48"/>
  <c r="S243" i="48"/>
  <c r="S242" i="48"/>
  <c r="S241" i="48"/>
  <c r="S240" i="48"/>
  <c r="S239" i="48"/>
  <c r="S238" i="48"/>
  <c r="S237" i="48"/>
  <c r="S236" i="48"/>
  <c r="S313" i="48"/>
  <c r="S312" i="48"/>
  <c r="S311" i="48"/>
  <c r="S310" i="48"/>
  <c r="S309" i="48"/>
  <c r="S308" i="48"/>
  <c r="S307" i="48"/>
  <c r="S306" i="48"/>
  <c r="S305" i="48"/>
  <c r="S304" i="48"/>
  <c r="S303" i="48"/>
  <c r="S302" i="48"/>
  <c r="S301" i="48"/>
  <c r="S300" i="48"/>
  <c r="S299" i="48"/>
  <c r="S298" i="48"/>
  <c r="S297" i="48"/>
  <c r="S296" i="48"/>
  <c r="S295" i="48"/>
  <c r="S294" i="48"/>
  <c r="S293" i="48"/>
  <c r="S292" i="48"/>
  <c r="S291" i="48"/>
  <c r="S290" i="48"/>
  <c r="S289" i="48"/>
  <c r="T289" i="48" s="1"/>
  <c r="S288" i="48"/>
  <c r="S287" i="48"/>
  <c r="S286" i="48"/>
  <c r="S285" i="48"/>
  <c r="S284" i="48"/>
  <c r="T284" i="48" s="1"/>
  <c r="S361" i="48"/>
  <c r="S360" i="48"/>
  <c r="S359" i="48"/>
  <c r="S358" i="48"/>
  <c r="S357" i="48"/>
  <c r="S356" i="48"/>
  <c r="S355" i="48"/>
  <c r="S354" i="48"/>
  <c r="S353" i="48"/>
  <c r="S352" i="48"/>
  <c r="S351" i="48"/>
  <c r="S350" i="48"/>
  <c r="S349" i="48"/>
  <c r="S348" i="48"/>
  <c r="S347" i="48"/>
  <c r="S346" i="48"/>
  <c r="S345" i="48"/>
  <c r="S344" i="48"/>
  <c r="S343" i="48"/>
  <c r="S342" i="48"/>
  <c r="S341" i="48"/>
  <c r="S340" i="48"/>
  <c r="S339" i="48"/>
  <c r="S338" i="48"/>
  <c r="S337" i="48"/>
  <c r="S336" i="48"/>
  <c r="S335" i="48"/>
  <c r="S334" i="48"/>
  <c r="S333" i="48"/>
  <c r="T333" i="48" s="1"/>
  <c r="S332" i="48"/>
  <c r="T332" i="48" s="1"/>
  <c r="S71" i="48"/>
  <c r="S70" i="48"/>
  <c r="S69" i="48"/>
  <c r="S68" i="48"/>
  <c r="S67" i="48"/>
  <c r="S66" i="48"/>
  <c r="S65" i="48"/>
  <c r="S64" i="48"/>
  <c r="S42" i="48"/>
  <c r="T361" i="48"/>
  <c r="J361" i="48"/>
  <c r="T360" i="48"/>
  <c r="J360" i="48"/>
  <c r="T359" i="48"/>
  <c r="J359" i="48"/>
  <c r="T358" i="48"/>
  <c r="J358" i="48"/>
  <c r="T357" i="48"/>
  <c r="J357" i="48"/>
  <c r="T356" i="48"/>
  <c r="J356" i="48"/>
  <c r="T355" i="48"/>
  <c r="J355" i="48"/>
  <c r="T354" i="48"/>
  <c r="J354" i="48"/>
  <c r="T353" i="48"/>
  <c r="J353" i="48"/>
  <c r="T352" i="48"/>
  <c r="J352" i="48"/>
  <c r="T351" i="48"/>
  <c r="J351" i="48"/>
  <c r="T350" i="48"/>
  <c r="J350" i="48"/>
  <c r="T349" i="48"/>
  <c r="J349" i="48"/>
  <c r="T348" i="48"/>
  <c r="J348" i="48"/>
  <c r="T347" i="48"/>
  <c r="J347" i="48"/>
  <c r="T346" i="48"/>
  <c r="J346" i="48"/>
  <c r="T345" i="48"/>
  <c r="J345" i="48"/>
  <c r="T344" i="48"/>
  <c r="J344" i="48"/>
  <c r="T343" i="48"/>
  <c r="J343" i="48"/>
  <c r="T342" i="48"/>
  <c r="J342" i="48"/>
  <c r="T341" i="48"/>
  <c r="J341" i="48"/>
  <c r="T340" i="48"/>
  <c r="J340" i="48"/>
  <c r="T339" i="48"/>
  <c r="J339" i="48"/>
  <c r="T338" i="48"/>
  <c r="J338" i="48"/>
  <c r="T337" i="48"/>
  <c r="J337" i="48"/>
  <c r="T336" i="48"/>
  <c r="J336" i="48"/>
  <c r="T335" i="48"/>
  <c r="J335" i="48"/>
  <c r="T334" i="48"/>
  <c r="J334" i="48"/>
  <c r="J333" i="48"/>
  <c r="J332" i="48"/>
  <c r="G330" i="48"/>
  <c r="N324" i="48"/>
  <c r="N323" i="48"/>
  <c r="AW320" i="48"/>
  <c r="AO317" i="48"/>
  <c r="AK317" i="48"/>
  <c r="AH317" i="48"/>
  <c r="AE317" i="48"/>
  <c r="W317" i="48"/>
  <c r="T313" i="48"/>
  <c r="J313" i="48"/>
  <c r="T312" i="48"/>
  <c r="J312" i="48"/>
  <c r="T311" i="48"/>
  <c r="J311" i="48"/>
  <c r="T310" i="48"/>
  <c r="J310" i="48"/>
  <c r="T309" i="48"/>
  <c r="J309" i="48"/>
  <c r="T308" i="48"/>
  <c r="J308" i="48"/>
  <c r="T307" i="48"/>
  <c r="J307" i="48"/>
  <c r="T306" i="48"/>
  <c r="J306" i="48"/>
  <c r="T305" i="48"/>
  <c r="J305" i="48"/>
  <c r="T304" i="48"/>
  <c r="J304" i="48"/>
  <c r="T303" i="48"/>
  <c r="J303" i="48"/>
  <c r="T302" i="48"/>
  <c r="J302" i="48"/>
  <c r="T301" i="48"/>
  <c r="J301" i="48"/>
  <c r="T300" i="48"/>
  <c r="J300" i="48"/>
  <c r="T299" i="48"/>
  <c r="J299" i="48"/>
  <c r="T298" i="48"/>
  <c r="J298" i="48"/>
  <c r="T297" i="48"/>
  <c r="J297" i="48"/>
  <c r="T296" i="48"/>
  <c r="J296" i="48"/>
  <c r="T295" i="48"/>
  <c r="J295" i="48"/>
  <c r="T294" i="48"/>
  <c r="J294" i="48"/>
  <c r="T293" i="48"/>
  <c r="J293" i="48"/>
  <c r="T292" i="48"/>
  <c r="J292" i="48"/>
  <c r="T291" i="48"/>
  <c r="J291" i="48"/>
  <c r="T290" i="48"/>
  <c r="J290" i="48"/>
  <c r="J289" i="48"/>
  <c r="T288" i="48"/>
  <c r="J288" i="48"/>
  <c r="T287" i="48"/>
  <c r="J287" i="48"/>
  <c r="T286" i="48"/>
  <c r="J286" i="48"/>
  <c r="T285" i="48"/>
  <c r="J285" i="48"/>
  <c r="J284" i="48"/>
  <c r="G282" i="48"/>
  <c r="N276" i="48"/>
  <c r="N275" i="48"/>
  <c r="AW272" i="48"/>
  <c r="AO269" i="48"/>
  <c r="AK269" i="48"/>
  <c r="AH269" i="48"/>
  <c r="AE269" i="48"/>
  <c r="W269" i="48"/>
  <c r="T265" i="48"/>
  <c r="J265" i="48"/>
  <c r="T264" i="48"/>
  <c r="J264" i="48"/>
  <c r="T263" i="48"/>
  <c r="J263" i="48"/>
  <c r="T262" i="48"/>
  <c r="J262" i="48"/>
  <c r="T261" i="48"/>
  <c r="J261" i="48"/>
  <c r="T260" i="48"/>
  <c r="J260" i="48"/>
  <c r="T259" i="48"/>
  <c r="J259" i="48"/>
  <c r="T258" i="48"/>
  <c r="J258" i="48"/>
  <c r="T257" i="48"/>
  <c r="J257" i="48"/>
  <c r="T256" i="48"/>
  <c r="J256" i="48"/>
  <c r="T255" i="48"/>
  <c r="J255" i="48"/>
  <c r="T254" i="48"/>
  <c r="J254" i="48"/>
  <c r="T253" i="48"/>
  <c r="J253" i="48"/>
  <c r="T252" i="48"/>
  <c r="J252" i="48"/>
  <c r="T251" i="48"/>
  <c r="J251" i="48"/>
  <c r="T250" i="48"/>
  <c r="J250" i="48"/>
  <c r="T249" i="48"/>
  <c r="J249" i="48"/>
  <c r="T248" i="48"/>
  <c r="J248" i="48"/>
  <c r="T247" i="48"/>
  <c r="J247" i="48"/>
  <c r="T246" i="48"/>
  <c r="J246" i="48"/>
  <c r="T245" i="48"/>
  <c r="J245" i="48"/>
  <c r="T244" i="48"/>
  <c r="J244" i="48"/>
  <c r="T243" i="48"/>
  <c r="J243" i="48"/>
  <c r="T242" i="48"/>
  <c r="J242" i="48"/>
  <c r="T241" i="48"/>
  <c r="J241" i="48"/>
  <c r="T240" i="48"/>
  <c r="J240" i="48"/>
  <c r="T239" i="48"/>
  <c r="J239" i="48"/>
  <c r="T238" i="48"/>
  <c r="J238" i="48"/>
  <c r="T237" i="48"/>
  <c r="J237" i="48"/>
  <c r="T236" i="48"/>
  <c r="J236" i="48"/>
  <c r="G234" i="48"/>
  <c r="N228" i="48"/>
  <c r="N227" i="48"/>
  <c r="AW224" i="48"/>
  <c r="AO221" i="48"/>
  <c r="AK221" i="48"/>
  <c r="AH221" i="48"/>
  <c r="AE221" i="48"/>
  <c r="W221" i="48"/>
  <c r="T217" i="48"/>
  <c r="J217" i="48"/>
  <c r="T216" i="48"/>
  <c r="J216" i="48"/>
  <c r="T215" i="48"/>
  <c r="J215" i="48"/>
  <c r="T214" i="48"/>
  <c r="J214" i="48"/>
  <c r="T213" i="48"/>
  <c r="J213" i="48"/>
  <c r="T212" i="48"/>
  <c r="J212" i="48"/>
  <c r="T211" i="48"/>
  <c r="J211" i="48"/>
  <c r="T210" i="48"/>
  <c r="J210" i="48"/>
  <c r="T209" i="48"/>
  <c r="J209" i="48"/>
  <c r="T208" i="48"/>
  <c r="J208" i="48"/>
  <c r="T207" i="48"/>
  <c r="J207" i="48"/>
  <c r="T206" i="48"/>
  <c r="J206" i="48"/>
  <c r="T205" i="48"/>
  <c r="J205" i="48"/>
  <c r="T204" i="48"/>
  <c r="J204" i="48"/>
  <c r="T203" i="48"/>
  <c r="J203" i="48"/>
  <c r="T202" i="48"/>
  <c r="J202" i="48"/>
  <c r="T201" i="48"/>
  <c r="J201" i="48"/>
  <c r="T200" i="48"/>
  <c r="J200" i="48"/>
  <c r="T199" i="48"/>
  <c r="J199" i="48"/>
  <c r="T198" i="48"/>
  <c r="J198" i="48"/>
  <c r="T197" i="48"/>
  <c r="J197" i="48"/>
  <c r="T196" i="48"/>
  <c r="J196" i="48"/>
  <c r="T195" i="48"/>
  <c r="J195" i="48"/>
  <c r="T194" i="48"/>
  <c r="J194" i="48"/>
  <c r="T193" i="48"/>
  <c r="J193" i="48"/>
  <c r="T192" i="48"/>
  <c r="J192" i="48"/>
  <c r="T191" i="48"/>
  <c r="J191" i="48"/>
  <c r="T190" i="48"/>
  <c r="J190" i="48"/>
  <c r="T189" i="48"/>
  <c r="J189" i="48"/>
  <c r="T188" i="48"/>
  <c r="J188" i="48"/>
  <c r="G186" i="48"/>
  <c r="N180" i="48"/>
  <c r="N179" i="48"/>
  <c r="AW176" i="48"/>
  <c r="AO173" i="48"/>
  <c r="AK173" i="48"/>
  <c r="AH173" i="48"/>
  <c r="AE173" i="48"/>
  <c r="W173" i="48"/>
  <c r="T169" i="48"/>
  <c r="J169" i="48"/>
  <c r="T168" i="48"/>
  <c r="J168" i="48"/>
  <c r="T167" i="48"/>
  <c r="J167" i="48"/>
  <c r="T166" i="48"/>
  <c r="J166" i="48"/>
  <c r="T165" i="48"/>
  <c r="J165" i="48"/>
  <c r="T164" i="48"/>
  <c r="J164" i="48"/>
  <c r="T163" i="48"/>
  <c r="J163" i="48"/>
  <c r="T162" i="48"/>
  <c r="J162" i="48"/>
  <c r="T161" i="48"/>
  <c r="J161" i="48"/>
  <c r="T160" i="48"/>
  <c r="J160" i="48"/>
  <c r="T159" i="48"/>
  <c r="J159" i="48"/>
  <c r="T158" i="48"/>
  <c r="J158" i="48"/>
  <c r="T157" i="48"/>
  <c r="J157" i="48"/>
  <c r="T156" i="48"/>
  <c r="J156" i="48"/>
  <c r="T155" i="48"/>
  <c r="J155" i="48"/>
  <c r="T154" i="48"/>
  <c r="J154" i="48"/>
  <c r="T153" i="48"/>
  <c r="J153" i="48"/>
  <c r="T152" i="48"/>
  <c r="J152" i="48"/>
  <c r="T151" i="48"/>
  <c r="J151" i="48"/>
  <c r="T150" i="48"/>
  <c r="J150" i="48"/>
  <c r="T149" i="48"/>
  <c r="J149" i="48"/>
  <c r="T148" i="48"/>
  <c r="J148" i="48"/>
  <c r="T147" i="48"/>
  <c r="J147" i="48"/>
  <c r="T146" i="48"/>
  <c r="J146" i="48"/>
  <c r="J145" i="48"/>
  <c r="T144" i="48"/>
  <c r="J144" i="48"/>
  <c r="T143" i="48"/>
  <c r="J143" i="48"/>
  <c r="T142" i="48"/>
  <c r="J142" i="48"/>
  <c r="J141" i="48"/>
  <c r="J140" i="48"/>
  <c r="G138" i="48"/>
  <c r="N132" i="48"/>
  <c r="N131" i="48"/>
  <c r="AW128" i="48"/>
  <c r="AO125" i="48"/>
  <c r="AK125" i="48"/>
  <c r="AH125" i="48"/>
  <c r="AE125" i="48"/>
  <c r="W125" i="48"/>
  <c r="T121" i="48"/>
  <c r="T120" i="48"/>
  <c r="T119" i="48"/>
  <c r="T118" i="48"/>
  <c r="T117" i="48"/>
  <c r="T116" i="48"/>
  <c r="T111" i="48"/>
  <c r="T110" i="48"/>
  <c r="T109" i="48"/>
  <c r="T108" i="48"/>
  <c r="T107" i="48"/>
  <c r="T106" i="48"/>
  <c r="T105" i="48"/>
  <c r="T104" i="48"/>
  <c r="T103" i="48"/>
  <c r="T102" i="48"/>
  <c r="T101" i="48"/>
  <c r="T100" i="48"/>
  <c r="T99" i="48"/>
  <c r="T98" i="48"/>
  <c r="T97" i="48"/>
  <c r="T95" i="48"/>
  <c r="T93" i="48"/>
  <c r="T92" i="48"/>
  <c r="T91" i="48"/>
  <c r="J90" i="48"/>
  <c r="G88" i="48"/>
  <c r="N82" i="48"/>
  <c r="N81" i="48"/>
  <c r="AW78" i="48"/>
  <c r="AO75" i="48"/>
  <c r="AK75" i="48"/>
  <c r="AH75" i="48"/>
  <c r="AE75" i="48"/>
  <c r="W75" i="48"/>
  <c r="M6" i="36" a="1"/>
  <c r="M6" i="36" s="1"/>
  <c r="M7" i="36" a="1"/>
  <c r="M7" i="36" s="1"/>
  <c r="M8" i="36" a="1"/>
  <c r="M8" i="36" s="1"/>
  <c r="M9" i="36" a="1"/>
  <c r="M9" i="36" s="1"/>
  <c r="M10" i="36" a="1"/>
  <c r="M10" i="36" s="1"/>
  <c r="M11" i="36" a="1"/>
  <c r="M11" i="36" s="1"/>
  <c r="M12" i="36" a="1"/>
  <c r="M12" i="36" s="1"/>
  <c r="M13" i="36" a="1"/>
  <c r="M13" i="36" s="1"/>
  <c r="M14" i="36" a="1"/>
  <c r="M14" i="36" s="1"/>
  <c r="M15" i="36" a="1"/>
  <c r="M15" i="36" s="1"/>
  <c r="M16" i="36" a="1"/>
  <c r="M16" i="36" s="1"/>
  <c r="M17" i="36" a="1"/>
  <c r="M17" i="36" s="1"/>
  <c r="M18" i="36" a="1"/>
  <c r="M18" i="36" s="1"/>
  <c r="M19" i="36" a="1"/>
  <c r="M19" i="36" s="1"/>
  <c r="M20" i="36" a="1"/>
  <c r="M20" i="36" s="1"/>
  <c r="M21" i="36" a="1"/>
  <c r="M21" i="36" s="1"/>
  <c r="M22" i="36" a="1"/>
  <c r="M22" i="36" s="1"/>
  <c r="M23" i="36" a="1"/>
  <c r="M23" i="36" s="1"/>
  <c r="M24" i="36" a="1"/>
  <c r="M24" i="36" s="1"/>
  <c r="M25" i="36" a="1"/>
  <c r="M25" i="36" s="1"/>
  <c r="M26" i="36" a="1"/>
  <c r="M26" i="36" s="1"/>
  <c r="M27" i="36" a="1"/>
  <c r="M27" i="36" s="1"/>
  <c r="M28" i="36" a="1"/>
  <c r="M28" i="36" s="1"/>
  <c r="M29" i="36" a="1"/>
  <c r="M29" i="36" s="1"/>
  <c r="M30" i="36" a="1"/>
  <c r="M30" i="36" s="1"/>
  <c r="M31" i="36" a="1"/>
  <c r="M31" i="36" s="1"/>
  <c r="M32" i="36" a="1"/>
  <c r="M32" i="36" s="1"/>
  <c r="M33" i="36" a="1"/>
  <c r="M33" i="36" s="1"/>
  <c r="M34" i="36" a="1"/>
  <c r="M34" i="36" s="1"/>
  <c r="M35" i="36" a="1"/>
  <c r="M35" i="36" s="1"/>
  <c r="M36" i="36" a="1"/>
  <c r="M36" i="36" s="1"/>
  <c r="M37" i="36" a="1"/>
  <c r="M37" i="36" s="1"/>
  <c r="M38" i="36" a="1"/>
  <c r="M38" i="36" s="1"/>
  <c r="M39" i="36" a="1"/>
  <c r="M39" i="36" s="1"/>
  <c r="M40" i="36" a="1"/>
  <c r="M40" i="36" s="1"/>
  <c r="M41" i="36" a="1"/>
  <c r="M41" i="36" s="1"/>
  <c r="M42" i="36" a="1"/>
  <c r="M42" i="36" s="1"/>
  <c r="M43" i="36" a="1"/>
  <c r="M43" i="36" s="1"/>
  <c r="M44" i="36" a="1"/>
  <c r="M44" i="36" s="1"/>
  <c r="M45" i="36" a="1"/>
  <c r="M45" i="36" s="1"/>
  <c r="M46" i="36" a="1"/>
  <c r="M46" i="36" s="1"/>
  <c r="M47" i="36" a="1"/>
  <c r="M47" i="36" s="1"/>
  <c r="M48" i="36" a="1"/>
  <c r="M48" i="36" s="1"/>
  <c r="M49" i="36" a="1"/>
  <c r="M49" i="36" s="1"/>
  <c r="M50" i="36" a="1"/>
  <c r="M50" i="36" s="1"/>
  <c r="M51" i="36" a="1"/>
  <c r="M51" i="36" s="1"/>
  <c r="M52" i="36" a="1"/>
  <c r="M52" i="36" s="1"/>
  <c r="M53" i="36" a="1"/>
  <c r="M53" i="36" s="1"/>
  <c r="M54" i="36" a="1"/>
  <c r="M54" i="36" s="1"/>
  <c r="M55" i="36" a="1"/>
  <c r="M55" i="36" s="1"/>
  <c r="M56" i="36" a="1"/>
  <c r="M56" i="36" s="1"/>
  <c r="M57" i="36" a="1"/>
  <c r="M57" i="36" s="1"/>
  <c r="M58" i="36" a="1"/>
  <c r="M58" i="36" s="1"/>
  <c r="M59" i="36" a="1"/>
  <c r="M59" i="36" s="1"/>
  <c r="M60" i="36" a="1"/>
  <c r="M60" i="36" s="1"/>
  <c r="M61" i="36" a="1"/>
  <c r="M61" i="36" s="1"/>
  <c r="M62" i="36" a="1"/>
  <c r="M62" i="36" s="1"/>
  <c r="M63" i="36" a="1"/>
  <c r="M63" i="36" s="1"/>
  <c r="M64" i="36" a="1"/>
  <c r="M64" i="36" s="1"/>
  <c r="M65" i="36" a="1"/>
  <c r="M65" i="36" s="1"/>
  <c r="M66" i="36" a="1"/>
  <c r="M66" i="36" s="1"/>
  <c r="M67" i="36" a="1"/>
  <c r="M67" i="36" s="1"/>
  <c r="M68" i="36" a="1"/>
  <c r="M68" i="36" s="1"/>
  <c r="M69" i="36" a="1"/>
  <c r="M69" i="36" s="1"/>
  <c r="M70" i="36" a="1"/>
  <c r="M70" i="36" s="1"/>
  <c r="M71" i="36" a="1"/>
  <c r="M71" i="36" s="1"/>
  <c r="M72" i="36" a="1"/>
  <c r="M72" i="36" s="1"/>
  <c r="M73" i="36" a="1"/>
  <c r="M73" i="36" s="1"/>
  <c r="M74" i="36" a="1"/>
  <c r="M74" i="36" s="1"/>
  <c r="M75" i="36" a="1"/>
  <c r="M75" i="36" s="1"/>
  <c r="M76" i="36" a="1"/>
  <c r="M76" i="36" s="1"/>
  <c r="M77" i="36" a="1"/>
  <c r="M77" i="36" s="1"/>
  <c r="M78" i="36" a="1"/>
  <c r="M78" i="36" s="1"/>
  <c r="M79" i="36" a="1"/>
  <c r="M79" i="36" s="1"/>
  <c r="M80" i="36" a="1"/>
  <c r="M80" i="36" s="1"/>
  <c r="M81" i="36" a="1"/>
  <c r="M81" i="36" s="1"/>
  <c r="M82" i="36" a="1"/>
  <c r="M82" i="36" s="1"/>
  <c r="M83" i="36" a="1"/>
  <c r="M83" i="36" s="1"/>
  <c r="M84" i="36" a="1"/>
  <c r="M84" i="36" s="1"/>
  <c r="M85" i="36" a="1"/>
  <c r="M85" i="36" s="1"/>
  <c r="M86" i="36" a="1"/>
  <c r="M86" i="36" s="1"/>
  <c r="M87" i="36" a="1"/>
  <c r="M87" i="36" s="1"/>
  <c r="M88" i="36" a="1"/>
  <c r="M88" i="36" s="1"/>
  <c r="M89" i="36" a="1"/>
  <c r="M89" i="36" s="1"/>
  <c r="M90" i="36" a="1"/>
  <c r="M90" i="36" s="1"/>
  <c r="M91" i="36" a="1"/>
  <c r="M91" i="36" s="1"/>
  <c r="M92" i="36" a="1"/>
  <c r="M92" i="36" s="1"/>
  <c r="M93" i="36" a="1"/>
  <c r="M93" i="36" s="1"/>
  <c r="M94" i="36" a="1"/>
  <c r="M94" i="36" s="1"/>
  <c r="M95" i="36" a="1"/>
  <c r="M95" i="36" s="1"/>
  <c r="M96" i="36" a="1"/>
  <c r="M96" i="36" s="1"/>
  <c r="M97" i="36" a="1"/>
  <c r="M97" i="36" s="1"/>
  <c r="M98" i="36" a="1"/>
  <c r="M98" i="36" s="1"/>
  <c r="M99" i="36" a="1"/>
  <c r="M99" i="36" s="1"/>
  <c r="M100" i="36" a="1"/>
  <c r="M100" i="36" s="1"/>
  <c r="M101" i="36" a="1"/>
  <c r="M101" i="36" s="1"/>
  <c r="M102" i="36" a="1"/>
  <c r="M102" i="36" s="1"/>
  <c r="M103" i="36" a="1"/>
  <c r="M103" i="36" s="1"/>
  <c r="M104" i="36" a="1"/>
  <c r="M104" i="36" s="1"/>
  <c r="M105" i="36" a="1"/>
  <c r="M105" i="36" s="1"/>
  <c r="M106" i="36" a="1"/>
  <c r="M106" i="36" s="1"/>
  <c r="M107" i="36" a="1"/>
  <c r="M107" i="36" s="1"/>
  <c r="M108" i="36" a="1"/>
  <c r="M108" i="36" s="1"/>
  <c r="M109" i="36" a="1"/>
  <c r="M109" i="36" s="1"/>
  <c r="M110" i="36" a="1"/>
  <c r="M110" i="36" s="1"/>
  <c r="M111" i="36" a="1"/>
  <c r="M111" i="36" s="1"/>
  <c r="M112" i="36" a="1"/>
  <c r="M112" i="36" s="1"/>
  <c r="M113" i="36" a="1"/>
  <c r="M113" i="36" s="1"/>
  <c r="M114" i="36" a="1"/>
  <c r="M114" i="36" s="1"/>
  <c r="M115" i="36" a="1"/>
  <c r="M115" i="36" s="1"/>
  <c r="M116" i="36" a="1"/>
  <c r="M116" i="36" s="1"/>
  <c r="M117" i="36" a="1"/>
  <c r="M117" i="36" s="1"/>
  <c r="M118" i="36" a="1"/>
  <c r="M118" i="36" s="1"/>
  <c r="M119" i="36" a="1"/>
  <c r="M119" i="36" s="1"/>
  <c r="M120" i="36" a="1"/>
  <c r="M120" i="36" s="1"/>
  <c r="M121" i="36" a="1"/>
  <c r="M121" i="36" s="1"/>
  <c r="M122" i="36" a="1"/>
  <c r="M122" i="36" s="1"/>
  <c r="M123" i="36" a="1"/>
  <c r="M123" i="36" s="1"/>
  <c r="M124" i="36" a="1"/>
  <c r="M124" i="36" s="1"/>
  <c r="M125" i="36" a="1"/>
  <c r="M125" i="36" s="1"/>
  <c r="M126" i="36" a="1"/>
  <c r="M126" i="36" s="1"/>
  <c r="M127" i="36" a="1"/>
  <c r="M127" i="36" s="1"/>
  <c r="M128" i="36" a="1"/>
  <c r="M128" i="36" s="1"/>
  <c r="M129" i="36" a="1"/>
  <c r="M129" i="36" s="1"/>
  <c r="M130" i="36" a="1"/>
  <c r="M130" i="36" s="1"/>
  <c r="M131" i="36" a="1"/>
  <c r="M131" i="36" s="1"/>
  <c r="M132" i="36" a="1"/>
  <c r="M132" i="36" s="1"/>
  <c r="M133" i="36" a="1"/>
  <c r="M133" i="36" s="1"/>
  <c r="M134" i="36" a="1"/>
  <c r="M134" i="36" s="1"/>
  <c r="M135" i="36" a="1"/>
  <c r="M135" i="36" s="1"/>
  <c r="M136" i="36" a="1"/>
  <c r="M136" i="36" s="1"/>
  <c r="M137" i="36" a="1"/>
  <c r="M137" i="36" s="1"/>
  <c r="M138" i="36" a="1"/>
  <c r="M138" i="36" s="1"/>
  <c r="M139" i="36" a="1"/>
  <c r="M139" i="36" s="1"/>
  <c r="M140" i="36" a="1"/>
  <c r="M140" i="36" s="1"/>
  <c r="M141" i="36" a="1"/>
  <c r="M141" i="36" s="1"/>
  <c r="M142" i="36" a="1"/>
  <c r="M142" i="36" s="1"/>
  <c r="M143" i="36" a="1"/>
  <c r="M143" i="36" s="1"/>
  <c r="M144" i="36" a="1"/>
  <c r="M144" i="36" s="1"/>
  <c r="M145" i="36" a="1"/>
  <c r="M145" i="36" s="1"/>
  <c r="M146" i="36" a="1"/>
  <c r="M146" i="36" s="1"/>
  <c r="M147" i="36" a="1"/>
  <c r="M147" i="36" s="1"/>
  <c r="M148" i="36" a="1"/>
  <c r="M148" i="36" s="1"/>
  <c r="M149" i="36" a="1"/>
  <c r="M149" i="36" s="1"/>
  <c r="M150" i="36" a="1"/>
  <c r="M150" i="36" s="1"/>
  <c r="M151" i="36" a="1"/>
  <c r="M151" i="36" s="1"/>
  <c r="M152" i="36" a="1"/>
  <c r="M152" i="36" s="1"/>
  <c r="M153" i="36" a="1"/>
  <c r="M153" i="36" s="1"/>
  <c r="M154" i="36" a="1"/>
  <c r="M154" i="36" s="1"/>
  <c r="M155" i="36" a="1"/>
  <c r="M155" i="36" s="1"/>
  <c r="M156" i="36" a="1"/>
  <c r="M156" i="36" s="1"/>
  <c r="M157" i="36" a="1"/>
  <c r="M157" i="36" s="1"/>
  <c r="M158" i="36" a="1"/>
  <c r="M158" i="36" s="1"/>
  <c r="M159" i="36" a="1"/>
  <c r="M159" i="36" s="1"/>
  <c r="M160" i="36" a="1"/>
  <c r="M160" i="36" s="1"/>
  <c r="M161" i="36" a="1"/>
  <c r="M161" i="36" s="1"/>
  <c r="M162" i="36" a="1"/>
  <c r="M162" i="36" s="1"/>
  <c r="M163" i="36" a="1"/>
  <c r="M163" i="36" s="1"/>
  <c r="M164" i="36" a="1"/>
  <c r="M164" i="36" s="1"/>
  <c r="M165" i="36" a="1"/>
  <c r="M165" i="36" s="1"/>
  <c r="M166" i="36" a="1"/>
  <c r="M166" i="36" s="1"/>
  <c r="M167" i="36" a="1"/>
  <c r="M167" i="36" s="1"/>
  <c r="M168" i="36" a="1"/>
  <c r="M168" i="36" s="1"/>
  <c r="M169" i="36" a="1"/>
  <c r="M169" i="36" s="1"/>
  <c r="M170" i="36" a="1"/>
  <c r="M170" i="36" s="1"/>
  <c r="M171" i="36" a="1"/>
  <c r="M171" i="36" s="1"/>
  <c r="M172" i="36" a="1"/>
  <c r="M172" i="36" s="1"/>
  <c r="M173" i="36" a="1"/>
  <c r="M173" i="36" s="1"/>
  <c r="M174" i="36" a="1"/>
  <c r="M174" i="36" s="1"/>
  <c r="M175" i="36" a="1"/>
  <c r="M175" i="36" s="1"/>
  <c r="M176" i="36" a="1"/>
  <c r="M176" i="36" s="1"/>
  <c r="M177" i="36" a="1"/>
  <c r="M177" i="36" s="1"/>
  <c r="M178" i="36" a="1"/>
  <c r="M178" i="36" s="1"/>
  <c r="M179" i="36" a="1"/>
  <c r="M179" i="36" s="1"/>
  <c r="M180" i="36" a="1"/>
  <c r="M180" i="36" s="1"/>
  <c r="M181" i="36" a="1"/>
  <c r="M181" i="36" s="1"/>
  <c r="M182" i="36" a="1"/>
  <c r="M182" i="36" s="1"/>
  <c r="M183" i="36" a="1"/>
  <c r="M183" i="36" s="1"/>
  <c r="M184" i="36" a="1"/>
  <c r="M184" i="36" s="1"/>
  <c r="M185" i="36" a="1"/>
  <c r="M185" i="36" s="1"/>
  <c r="M186" i="36" a="1"/>
  <c r="M186" i="36" s="1"/>
  <c r="M187" i="36" a="1"/>
  <c r="M187" i="36" s="1"/>
  <c r="M188" i="36" a="1"/>
  <c r="M188" i="36" s="1"/>
  <c r="M189" i="36" a="1"/>
  <c r="M189" i="36" s="1"/>
  <c r="M190" i="36" a="1"/>
  <c r="M190" i="36" s="1"/>
  <c r="M191" i="36" a="1"/>
  <c r="M191" i="36" s="1"/>
  <c r="M192" i="36" a="1"/>
  <c r="M192" i="36" s="1"/>
  <c r="M193" i="36" a="1"/>
  <c r="M193" i="36" s="1"/>
  <c r="M194" i="36" a="1"/>
  <c r="M194" i="36" s="1"/>
  <c r="M195" i="36" a="1"/>
  <c r="M195" i="36" s="1"/>
  <c r="M196" i="36" a="1"/>
  <c r="M196" i="36" s="1"/>
  <c r="M197" i="36" a="1"/>
  <c r="M197" i="36" s="1"/>
  <c r="M198" i="36" a="1"/>
  <c r="M198" i="36" s="1"/>
  <c r="M199" i="36" a="1"/>
  <c r="M199" i="36" s="1"/>
  <c r="M200" i="36" a="1"/>
  <c r="M200" i="36" s="1"/>
  <c r="M201" i="36" a="1"/>
  <c r="M201" i="36" s="1"/>
  <c r="F3" i="74" a="1"/>
  <c r="F3" i="74" s="1"/>
  <c r="F4" i="74" a="1"/>
  <c r="F4" i="74" s="1"/>
  <c r="F5" i="74" a="1"/>
  <c r="F5" i="74" s="1"/>
  <c r="F6" i="74" a="1"/>
  <c r="F6" i="74" s="1"/>
  <c r="F7" i="74" a="1"/>
  <c r="F7" i="74" s="1"/>
  <c r="F8" i="74" a="1"/>
  <c r="F8" i="74" s="1"/>
  <c r="F9" i="74" a="1"/>
  <c r="F9" i="74" s="1"/>
  <c r="F10" i="74" a="1"/>
  <c r="F10" i="74" s="1"/>
  <c r="F11" i="74" a="1"/>
  <c r="F11" i="74" s="1"/>
  <c r="F12" i="74" a="1"/>
  <c r="F12" i="74" s="1"/>
  <c r="F13" i="74" a="1"/>
  <c r="F13" i="74" s="1"/>
  <c r="F14" i="74" a="1"/>
  <c r="F14" i="74" s="1"/>
  <c r="F15" i="74" a="1"/>
  <c r="F15" i="74" s="1"/>
  <c r="F16" i="74" a="1"/>
  <c r="F16" i="74" s="1"/>
  <c r="F17" i="74" a="1"/>
  <c r="F17" i="74" s="1"/>
  <c r="F18" i="74" a="1"/>
  <c r="F18" i="74" s="1"/>
  <c r="F19" i="74" a="1"/>
  <c r="F19" i="74" s="1"/>
  <c r="F20" i="74" a="1"/>
  <c r="F20" i="74" s="1"/>
  <c r="F21" i="74" a="1"/>
  <c r="F21" i="74" s="1"/>
  <c r="F22" i="74" a="1"/>
  <c r="F22" i="74" s="1"/>
  <c r="F23" i="74" a="1"/>
  <c r="F23" i="74" s="1"/>
  <c r="F24" i="74" a="1"/>
  <c r="F24" i="74" s="1"/>
  <c r="F25" i="74" a="1"/>
  <c r="F25" i="74" s="1"/>
  <c r="F26" i="74" a="1"/>
  <c r="F26" i="74" s="1"/>
  <c r="F27" i="74" a="1"/>
  <c r="F27" i="74" s="1"/>
  <c r="F28" i="74" a="1"/>
  <c r="F28" i="74" s="1"/>
  <c r="F29" i="74" a="1"/>
  <c r="F29" i="74" s="1"/>
  <c r="F30" i="74" a="1"/>
  <c r="F30" i="74" s="1"/>
  <c r="F31" i="74" a="1"/>
  <c r="F31" i="74" s="1"/>
  <c r="F32" i="74" a="1"/>
  <c r="F32" i="74" s="1"/>
  <c r="F33" i="74" a="1"/>
  <c r="F33" i="74" s="1"/>
  <c r="F34" i="74" a="1"/>
  <c r="F34" i="74" s="1"/>
  <c r="F35" i="74" a="1"/>
  <c r="F35" i="74" s="1"/>
  <c r="F36" i="74" a="1"/>
  <c r="F36" i="74" s="1"/>
  <c r="F37" i="74" a="1"/>
  <c r="F37" i="74" s="1"/>
  <c r="F38" i="74" a="1"/>
  <c r="F38" i="74" s="1"/>
  <c r="F39" i="74" a="1"/>
  <c r="F39" i="74" s="1"/>
  <c r="F40" i="74" a="1"/>
  <c r="F40" i="74" s="1"/>
  <c r="F41" i="74" a="1"/>
  <c r="F41" i="74" s="1"/>
  <c r="F42" i="74" a="1"/>
  <c r="F42" i="74" s="1"/>
  <c r="F43" i="74" a="1"/>
  <c r="F43" i="74" s="1"/>
  <c r="F44" i="74" a="1"/>
  <c r="F44" i="74" s="1"/>
  <c r="F45" i="74" a="1"/>
  <c r="F45" i="74" s="1"/>
  <c r="F46" i="74" a="1"/>
  <c r="F46" i="74" s="1"/>
  <c r="F47" i="74" a="1"/>
  <c r="F47" i="74" s="1"/>
  <c r="F48" i="74" a="1"/>
  <c r="F48" i="74" s="1"/>
  <c r="F49" i="74" a="1"/>
  <c r="F49" i="74" s="1"/>
  <c r="F50" i="74" a="1"/>
  <c r="F50" i="74" s="1"/>
  <c r="F51" i="74" a="1"/>
  <c r="F51" i="74" s="1"/>
  <c r="F52" i="74" a="1"/>
  <c r="F52" i="74" s="1"/>
  <c r="F53" i="74" a="1"/>
  <c r="F53" i="74" s="1"/>
  <c r="F54" i="74" a="1"/>
  <c r="F54" i="74" s="1"/>
  <c r="F55" i="74" a="1"/>
  <c r="F55" i="74" s="1"/>
  <c r="F56" i="74" a="1"/>
  <c r="F56" i="74" s="1"/>
  <c r="F57" i="74" a="1"/>
  <c r="F57" i="74" s="1"/>
  <c r="F58" i="74" a="1"/>
  <c r="F58" i="74" s="1"/>
  <c r="F59" i="74" a="1"/>
  <c r="F59" i="74" s="1"/>
  <c r="F60" i="74" a="1"/>
  <c r="F60" i="74" s="1"/>
  <c r="F61" i="74" a="1"/>
  <c r="F61" i="74" s="1"/>
  <c r="F62" i="74" a="1"/>
  <c r="F62" i="74" s="1"/>
  <c r="F63" i="74" a="1"/>
  <c r="F63" i="74" s="1"/>
  <c r="F64" i="74" a="1"/>
  <c r="F64" i="74" s="1"/>
  <c r="F65" i="74" a="1"/>
  <c r="F65" i="74" s="1"/>
  <c r="F66" i="74" a="1"/>
  <c r="F66" i="74" s="1"/>
  <c r="F67" i="74" a="1"/>
  <c r="F67" i="74" s="1"/>
  <c r="F68" i="74" a="1"/>
  <c r="F68" i="74" s="1"/>
  <c r="F69" i="74" a="1"/>
  <c r="F69" i="74" s="1"/>
  <c r="F70" i="74" a="1"/>
  <c r="F70" i="74" s="1"/>
  <c r="F71" i="74" a="1"/>
  <c r="F71" i="74" s="1"/>
  <c r="F72" i="74" a="1"/>
  <c r="F72" i="74" s="1"/>
  <c r="F73" i="74" a="1"/>
  <c r="F73" i="74" s="1"/>
  <c r="F74" i="74" a="1"/>
  <c r="F74" i="74" s="1"/>
  <c r="F75" i="74" a="1"/>
  <c r="F75" i="74" s="1"/>
  <c r="F76" i="74" a="1"/>
  <c r="F76" i="74" s="1"/>
  <c r="F77" i="74" a="1"/>
  <c r="F77" i="74" s="1"/>
  <c r="F78" i="74" a="1"/>
  <c r="F78" i="74" s="1"/>
  <c r="F79" i="74" a="1"/>
  <c r="F79" i="74" s="1"/>
  <c r="F80" i="74" a="1"/>
  <c r="F80" i="74" s="1"/>
  <c r="F81" i="74" a="1"/>
  <c r="F81" i="74" s="1"/>
  <c r="F82" i="74" a="1"/>
  <c r="F82" i="74" s="1"/>
  <c r="F83" i="74" a="1"/>
  <c r="F83" i="74" s="1"/>
  <c r="F84" i="74" a="1"/>
  <c r="F84" i="74" s="1"/>
  <c r="F85" i="74" a="1"/>
  <c r="F85" i="74" s="1"/>
  <c r="F86" i="74" a="1"/>
  <c r="F86" i="74" s="1"/>
  <c r="F87" i="74" a="1"/>
  <c r="F87" i="74" s="1"/>
  <c r="F88" i="74" a="1"/>
  <c r="F88" i="74" s="1"/>
  <c r="F89" i="74" a="1"/>
  <c r="F89" i="74" s="1"/>
  <c r="F90" i="74" a="1"/>
  <c r="F90" i="74" s="1"/>
  <c r="F91" i="74" a="1"/>
  <c r="F91" i="74" s="1"/>
  <c r="F92" i="74" a="1"/>
  <c r="F92" i="74" s="1"/>
  <c r="F93" i="74" a="1"/>
  <c r="F93" i="74" s="1"/>
  <c r="F94" i="74" a="1"/>
  <c r="F94" i="74" s="1"/>
  <c r="F95" i="74" a="1"/>
  <c r="F95" i="74" s="1"/>
  <c r="F96" i="74" a="1"/>
  <c r="F96" i="74" s="1"/>
  <c r="F97" i="74" a="1"/>
  <c r="F97" i="74" s="1"/>
  <c r="F98" i="74" a="1"/>
  <c r="F98" i="74" s="1"/>
  <c r="F99" i="74" a="1"/>
  <c r="F99" i="74" s="1"/>
  <c r="F100" i="74" a="1"/>
  <c r="F100" i="74" s="1"/>
  <c r="F101" i="74" a="1"/>
  <c r="F101" i="74" s="1"/>
  <c r="F102" i="74" a="1"/>
  <c r="F102" i="74" s="1"/>
  <c r="F103" i="74" a="1"/>
  <c r="F103" i="74" s="1"/>
  <c r="F104" i="74" a="1"/>
  <c r="F104" i="74" s="1"/>
  <c r="F105" i="74" a="1"/>
  <c r="F105" i="74" s="1"/>
  <c r="F106" i="74" a="1"/>
  <c r="F106" i="74" s="1"/>
  <c r="F107" i="74" a="1"/>
  <c r="F107" i="74" s="1"/>
  <c r="F108" i="74" a="1"/>
  <c r="F108" i="74" s="1"/>
  <c r="F109" i="74" a="1"/>
  <c r="F109" i="74" s="1"/>
  <c r="F110" i="74" a="1"/>
  <c r="F110" i="74" s="1"/>
  <c r="F111" i="74" a="1"/>
  <c r="F111" i="74" s="1"/>
  <c r="F112" i="74" a="1"/>
  <c r="F112" i="74" s="1"/>
  <c r="F113" i="74" a="1"/>
  <c r="F113" i="74" s="1"/>
  <c r="F114" i="74" a="1"/>
  <c r="F114" i="74" s="1"/>
  <c r="F115" i="74" a="1"/>
  <c r="F115" i="74" s="1"/>
  <c r="F116" i="74" a="1"/>
  <c r="F116" i="74" s="1"/>
  <c r="F117" i="74" a="1"/>
  <c r="F117" i="74" s="1"/>
  <c r="F118" i="74" a="1"/>
  <c r="F118" i="74" s="1"/>
  <c r="F119" i="74" a="1"/>
  <c r="F119" i="74" s="1"/>
  <c r="F120" i="74" a="1"/>
  <c r="F120" i="74" s="1"/>
  <c r="F121" i="74" a="1"/>
  <c r="F121" i="74" s="1"/>
  <c r="F122" i="74" a="1"/>
  <c r="F122" i="74" s="1"/>
  <c r="F123" i="74" a="1"/>
  <c r="F123" i="74" s="1"/>
  <c r="F124" i="74" a="1"/>
  <c r="F124" i="74" s="1"/>
  <c r="F125" i="74" a="1"/>
  <c r="F125" i="74" s="1"/>
  <c r="F126" i="74" a="1"/>
  <c r="F126" i="74" s="1"/>
  <c r="F127" i="74" a="1"/>
  <c r="F127" i="74" s="1"/>
  <c r="F128" i="74" a="1"/>
  <c r="F128" i="74" s="1"/>
  <c r="F129" i="74" a="1"/>
  <c r="F129" i="74" s="1"/>
  <c r="F130" i="74" a="1"/>
  <c r="F130" i="74" s="1"/>
  <c r="F131" i="74" a="1"/>
  <c r="F131" i="74" s="1"/>
  <c r="F132" i="74" a="1"/>
  <c r="F132" i="74" s="1"/>
  <c r="F133" i="74" a="1"/>
  <c r="F133" i="74" s="1"/>
  <c r="F134" i="74" a="1"/>
  <c r="F134" i="74" s="1"/>
  <c r="F135" i="74" a="1"/>
  <c r="F135" i="74" s="1"/>
  <c r="F136" i="74" a="1"/>
  <c r="F136" i="74" s="1"/>
  <c r="F137" i="74" a="1"/>
  <c r="F137" i="74" s="1"/>
  <c r="F138" i="74" a="1"/>
  <c r="F138" i="74" s="1"/>
  <c r="F139" i="74" a="1"/>
  <c r="F139" i="74" s="1"/>
  <c r="F140" i="74" a="1"/>
  <c r="F140" i="74" s="1"/>
  <c r="F141" i="74" a="1"/>
  <c r="F141" i="74" s="1"/>
  <c r="F142" i="74" a="1"/>
  <c r="F142" i="74" s="1"/>
  <c r="F143" i="74" a="1"/>
  <c r="F143" i="74" s="1"/>
  <c r="F144" i="74" a="1"/>
  <c r="F144" i="74" s="1"/>
  <c r="F145" i="74" a="1"/>
  <c r="F145" i="74" s="1"/>
  <c r="F146" i="74" a="1"/>
  <c r="F146" i="74" s="1"/>
  <c r="F147" i="74" a="1"/>
  <c r="F147" i="74" s="1"/>
  <c r="F148" i="74" a="1"/>
  <c r="F148" i="74" s="1"/>
  <c r="F149" i="74" a="1"/>
  <c r="F149" i="74" s="1"/>
  <c r="F150" i="74" a="1"/>
  <c r="F150" i="74" s="1"/>
  <c r="F151" i="74" a="1"/>
  <c r="F151" i="74" s="1"/>
  <c r="AW30" i="48"/>
  <c r="D67" i="73" a="1"/>
  <c r="D67" i="73" s="1"/>
  <c r="D70" i="73" a="1"/>
  <c r="D70" i="73" s="1"/>
  <c r="D68" i="73" a="1"/>
  <c r="D68" i="73" s="1"/>
  <c r="D69" i="73" a="1"/>
  <c r="D69" i="73" s="1"/>
  <c r="AG130" i="83" l="1"/>
  <c r="AH130" i="83" s="1"/>
  <c r="V130" i="83"/>
  <c r="W130" i="83" s="1"/>
  <c r="AJ227" i="83"/>
  <c r="V81" i="83"/>
  <c r="W81" i="83" s="1"/>
  <c r="AD81" i="83"/>
  <c r="AE81" i="83" s="1"/>
  <c r="AG81" i="83"/>
  <c r="AH81" i="83" s="1"/>
  <c r="AG82" i="83"/>
  <c r="AH82" i="83" s="1"/>
  <c r="AJ82" i="83"/>
  <c r="AK82" i="83" s="1"/>
  <c r="V83" i="83"/>
  <c r="W83" i="83" s="1"/>
  <c r="AD83" i="83"/>
  <c r="AE83" i="83" s="1"/>
  <c r="AG84" i="83"/>
  <c r="AH84" i="83" s="1"/>
  <c r="AJ84" i="83"/>
  <c r="AK84" i="83" s="1"/>
  <c r="V224" i="83"/>
  <c r="W224" i="83" s="1"/>
  <c r="V227" i="83"/>
  <c r="W227" i="83" s="1"/>
  <c r="AG275" i="83"/>
  <c r="AH275" i="83" s="1"/>
  <c r="AD224" i="83"/>
  <c r="AE224" i="83" s="1"/>
  <c r="AD227" i="83"/>
  <c r="AE227" i="83" s="1"/>
  <c r="V273" i="83"/>
  <c r="W273" i="83" s="1"/>
  <c r="AJ275" i="83"/>
  <c r="AK275" i="83" s="1"/>
  <c r="AJ224" i="83"/>
  <c r="AK224" i="83" s="1"/>
  <c r="AG227" i="83"/>
  <c r="AH227" i="83" s="1"/>
  <c r="AD273" i="83"/>
  <c r="AE273" i="83" s="1"/>
  <c r="V276" i="83"/>
  <c r="W276" i="83" s="1"/>
  <c r="AD225" i="83"/>
  <c r="AE225" i="83" s="1"/>
  <c r="AG228" i="83"/>
  <c r="AH228" i="83" s="1"/>
  <c r="AJ276" i="83"/>
  <c r="AK276" i="83" s="1"/>
  <c r="AG225" i="83"/>
  <c r="AH225" i="83" s="1"/>
  <c r="AJ228" i="83"/>
  <c r="AK228" i="83" s="1"/>
  <c r="V274" i="83"/>
  <c r="W274" i="83" s="1"/>
  <c r="AJ225" i="83"/>
  <c r="AK225" i="83" s="1"/>
  <c r="AD274" i="83"/>
  <c r="AE274" i="83" s="1"/>
  <c r="V225" i="83"/>
  <c r="W225" i="83" s="1"/>
  <c r="V272" i="83"/>
  <c r="W272" i="83" s="1"/>
  <c r="AG274" i="83"/>
  <c r="AH274" i="83" s="1"/>
  <c r="AD226" i="83"/>
  <c r="AE226" i="83" s="1"/>
  <c r="AD272" i="83"/>
  <c r="AE272" i="83" s="1"/>
  <c r="AJ274" i="83"/>
  <c r="AK274" i="83" s="1"/>
  <c r="AG226" i="83"/>
  <c r="AH226" i="83" s="1"/>
  <c r="AG272" i="83"/>
  <c r="AH272" i="83" s="1"/>
  <c r="V275" i="83"/>
  <c r="W275" i="83" s="1"/>
  <c r="AD228" i="83"/>
  <c r="AE228" i="83" s="1"/>
  <c r="AJ226" i="83"/>
  <c r="AK226" i="83" s="1"/>
  <c r="AJ272" i="83"/>
  <c r="AK272" i="83" s="1"/>
  <c r="AD130" i="83"/>
  <c r="AE130" i="83" s="1"/>
  <c r="AJ131" i="83"/>
  <c r="AK131" i="83" s="1"/>
  <c r="V132" i="83"/>
  <c r="W132" i="83" s="1"/>
  <c r="AD132" i="83"/>
  <c r="AE132" i="83" s="1"/>
  <c r="AG132" i="83"/>
  <c r="AH132" i="83" s="1"/>
  <c r="AD128" i="83"/>
  <c r="AE128" i="83" s="1"/>
  <c r="AG128" i="83"/>
  <c r="AH128" i="83" s="1"/>
  <c r="AJ128" i="83"/>
  <c r="AK128" i="83" s="1"/>
  <c r="V176" i="83"/>
  <c r="W176" i="83" s="1"/>
  <c r="AD176" i="83"/>
  <c r="AE176" i="83" s="1"/>
  <c r="AD177" i="83"/>
  <c r="AE177" i="83" s="1"/>
  <c r="AG177" i="83"/>
  <c r="AH177" i="83" s="1"/>
  <c r="AJ177" i="83"/>
  <c r="AK177" i="83" s="1"/>
  <c r="V179" i="83"/>
  <c r="W179" i="83" s="1"/>
  <c r="AD179" i="83"/>
  <c r="AE179" i="83" s="1"/>
  <c r="AG179" i="83"/>
  <c r="AH179" i="83" s="1"/>
  <c r="AJ179" i="83"/>
  <c r="AK179" i="83" s="1"/>
  <c r="V80" i="83"/>
  <c r="W80" i="83" s="1"/>
  <c r="AJ81" i="83"/>
  <c r="AK81" i="83" s="1"/>
  <c r="AG83" i="83"/>
  <c r="AH83" i="83" s="1"/>
  <c r="V129" i="83"/>
  <c r="W129" i="83" s="1"/>
  <c r="AJ130" i="83"/>
  <c r="AK130" i="83" s="1"/>
  <c r="AJ132" i="83"/>
  <c r="AK132" i="83" s="1"/>
  <c r="AG176" i="83"/>
  <c r="AH176" i="83" s="1"/>
  <c r="V178" i="83"/>
  <c r="W178" i="83" s="1"/>
  <c r="V180" i="83"/>
  <c r="W180" i="83" s="1"/>
  <c r="AD80" i="83"/>
  <c r="AE80" i="83" s="1"/>
  <c r="AJ83" i="83"/>
  <c r="AK83" i="83" s="1"/>
  <c r="AD129" i="83"/>
  <c r="AE129" i="83" s="1"/>
  <c r="V131" i="83"/>
  <c r="W131" i="83" s="1"/>
  <c r="AJ176" i="83"/>
  <c r="AK176" i="83" s="1"/>
  <c r="AD178" i="83"/>
  <c r="AE178" i="83" s="1"/>
  <c r="AD180" i="83"/>
  <c r="AE180" i="83" s="1"/>
  <c r="AG80" i="83"/>
  <c r="AH80" i="83" s="1"/>
  <c r="V82" i="83"/>
  <c r="W82" i="83" s="1"/>
  <c r="V84" i="83"/>
  <c r="W84" i="83" s="1"/>
  <c r="AG129" i="83"/>
  <c r="AH129" i="83" s="1"/>
  <c r="AD131" i="83"/>
  <c r="AE131" i="83" s="1"/>
  <c r="AG178" i="83"/>
  <c r="AH178" i="83" s="1"/>
  <c r="AG180" i="83"/>
  <c r="AH180" i="83" s="1"/>
  <c r="AJ80" i="83"/>
  <c r="AK80" i="83" s="1"/>
  <c r="AD82" i="83"/>
  <c r="AE82" i="83" s="1"/>
  <c r="V128" i="83"/>
  <c r="W128" i="83" s="1"/>
  <c r="AJ129" i="83"/>
  <c r="AK129" i="83" s="1"/>
  <c r="V177" i="83"/>
  <c r="W177" i="83" s="1"/>
  <c r="AJ178" i="83"/>
  <c r="AK178" i="83" s="1"/>
  <c r="AG224" i="83"/>
  <c r="AH224" i="83" s="1"/>
  <c r="V226" i="83"/>
  <c r="W226" i="83" s="1"/>
  <c r="AV328" i="83"/>
  <c r="AV136" i="83"/>
  <c r="AO88" i="83"/>
  <c r="AO136" i="83"/>
  <c r="AV280" i="83"/>
  <c r="AV88" i="83"/>
  <c r="AO184" i="83"/>
  <c r="AO40" i="83"/>
  <c r="AO232" i="83"/>
  <c r="AV232" i="83"/>
  <c r="AO280" i="83"/>
  <c r="AV40" i="83"/>
  <c r="AO328" i="83"/>
  <c r="AV184" i="83"/>
  <c r="J40" i="83"/>
  <c r="J232" i="83"/>
  <c r="J88" i="83"/>
  <c r="J184" i="83"/>
  <c r="J328" i="83"/>
  <c r="AN35" i="83"/>
  <c r="AO35" i="83" s="1"/>
  <c r="AN36" i="83"/>
  <c r="AO36" i="83" s="1"/>
  <c r="AN321" i="83"/>
  <c r="AO321" i="83" s="1"/>
  <c r="O29" i="83"/>
  <c r="R46" i="83"/>
  <c r="T46" i="83" s="1"/>
  <c r="R47" i="83"/>
  <c r="T47" i="83" s="1"/>
  <c r="AN322" i="83"/>
  <c r="AO322" i="83" s="1"/>
  <c r="AE321" i="83"/>
  <c r="J136" i="83"/>
  <c r="J280" i="83"/>
  <c r="AE36" i="83"/>
  <c r="AW16" i="83"/>
  <c r="BD16" i="83"/>
  <c r="BR16" i="83"/>
  <c r="BK16" i="83"/>
  <c r="BY16" i="83"/>
  <c r="AN315" i="83"/>
  <c r="V315" i="83"/>
  <c r="AG315" i="83"/>
  <c r="AD315" i="83"/>
  <c r="AV318" i="83"/>
  <c r="AJ315" i="83"/>
  <c r="AN267" i="83"/>
  <c r="V267" i="83"/>
  <c r="AD219" i="83"/>
  <c r="AV270" i="83"/>
  <c r="AJ267" i="83"/>
  <c r="AG267" i="83"/>
  <c r="AD267" i="83"/>
  <c r="V219" i="83"/>
  <c r="AV222" i="83"/>
  <c r="AJ219" i="83"/>
  <c r="AG219" i="83"/>
  <c r="AN219" i="83"/>
  <c r="AN171" i="83"/>
  <c r="V171" i="83"/>
  <c r="AD123" i="83"/>
  <c r="AG171" i="83"/>
  <c r="AV174" i="83"/>
  <c r="V123" i="83"/>
  <c r="AD171" i="83"/>
  <c r="AJ171" i="83"/>
  <c r="AJ123" i="83"/>
  <c r="AG123" i="83"/>
  <c r="AD75" i="83"/>
  <c r="AG27" i="83"/>
  <c r="AV126" i="83"/>
  <c r="AN123" i="83"/>
  <c r="AJ75" i="83"/>
  <c r="BQ3" i="83"/>
  <c r="AN3" i="83"/>
  <c r="V3" i="83"/>
  <c r="AG75" i="83"/>
  <c r="AV78" i="83"/>
  <c r="V27" i="83"/>
  <c r="AN27" i="83"/>
  <c r="BC3" i="83"/>
  <c r="AG3" i="83"/>
  <c r="V75" i="83"/>
  <c r="AV30" i="83"/>
  <c r="AD27" i="83"/>
  <c r="AV18" i="83"/>
  <c r="BJ3" i="83"/>
  <c r="AJ3" i="83"/>
  <c r="AN75" i="83"/>
  <c r="AJ27" i="83"/>
  <c r="BX3" i="83"/>
  <c r="AV3" i="83"/>
  <c r="AD3" i="83"/>
  <c r="AE35" i="83"/>
  <c r="AN33" i="83"/>
  <c r="AO33" i="83" s="1"/>
  <c r="AN32" i="83"/>
  <c r="AO32" i="83" s="1"/>
  <c r="AE33" i="83"/>
  <c r="AN34" i="83"/>
  <c r="AO34" i="83" s="1"/>
  <c r="AE32" i="83"/>
  <c r="AK227" i="83"/>
  <c r="AE275" i="83"/>
  <c r="AE320" i="83"/>
  <c r="AN320" i="83"/>
  <c r="AO320" i="83" s="1"/>
  <c r="AE324" i="83"/>
  <c r="AN324" i="83"/>
  <c r="AO324" i="83" s="1"/>
  <c r="AN323" i="83"/>
  <c r="AO323" i="83" s="1"/>
  <c r="J234" i="48"/>
  <c r="J282" i="48"/>
  <c r="T282" i="48"/>
  <c r="J330" i="48"/>
  <c r="T138" i="48"/>
  <c r="T234" i="48"/>
  <c r="T330" i="48"/>
  <c r="J88" i="48"/>
  <c r="J138" i="48"/>
  <c r="T186" i="48"/>
  <c r="J186" i="48"/>
  <c r="O319" i="48"/>
  <c r="O318" i="48"/>
  <c r="O270" i="48"/>
  <c r="O271" i="48"/>
  <c r="O223" i="48"/>
  <c r="O222" i="48"/>
  <c r="O175" i="48"/>
  <c r="O174" i="48"/>
  <c r="O127" i="48"/>
  <c r="O126" i="48"/>
  <c r="O47" i="73"/>
  <c r="O48" i="73"/>
  <c r="O49" i="73"/>
  <c r="O50" i="73"/>
  <c r="O51" i="73"/>
  <c r="O52" i="73"/>
  <c r="O46" i="73"/>
  <c r="AN84" i="83" l="1"/>
  <c r="AO84" i="83" s="1"/>
  <c r="AN276" i="83"/>
  <c r="AO276" i="83" s="1"/>
  <c r="AN227" i="83"/>
  <c r="AO227" i="83" s="1"/>
  <c r="AN228" i="83"/>
  <c r="AO228" i="83" s="1"/>
  <c r="AN275" i="83"/>
  <c r="AO275" i="83" s="1"/>
  <c r="AN272" i="83"/>
  <c r="AO272" i="83" s="1"/>
  <c r="AN273" i="83"/>
  <c r="AO273" i="83" s="1"/>
  <c r="AN274" i="83"/>
  <c r="AO274" i="83" s="1"/>
  <c r="AN225" i="83"/>
  <c r="AO225" i="83" s="1"/>
  <c r="AN226" i="83"/>
  <c r="AO226" i="83" s="1"/>
  <c r="AN224" i="83"/>
  <c r="AO224" i="83" s="1"/>
  <c r="T96" i="48"/>
  <c r="O77" i="48" s="1"/>
  <c r="T90" i="48"/>
  <c r="AN128" i="83"/>
  <c r="AO128" i="83" s="1"/>
  <c r="AN130" i="83"/>
  <c r="AO130" i="83" s="1"/>
  <c r="AN177" i="83"/>
  <c r="AO177" i="83" s="1"/>
  <c r="AN176" i="83"/>
  <c r="AO176" i="83" s="1"/>
  <c r="AN179" i="83"/>
  <c r="AO179" i="83" s="1"/>
  <c r="AN132" i="83"/>
  <c r="AO132" i="83" s="1"/>
  <c r="AN180" i="83"/>
  <c r="AO180" i="83" s="1"/>
  <c r="AN131" i="83"/>
  <c r="AO131" i="83" s="1"/>
  <c r="AN178" i="83"/>
  <c r="AO178" i="83" s="1"/>
  <c r="AN80" i="83"/>
  <c r="AO80" i="83" s="1"/>
  <c r="AN82" i="83"/>
  <c r="AO82" i="83" s="1"/>
  <c r="AN81" i="83"/>
  <c r="AO81" i="83" s="1"/>
  <c r="AN129" i="83"/>
  <c r="AO129" i="83" s="1"/>
  <c r="AN83" i="83"/>
  <c r="AO83" i="83" s="1"/>
  <c r="O28" i="83"/>
  <c r="T40" i="83"/>
  <c r="O224" i="48"/>
  <c r="O320" i="48"/>
  <c r="O128" i="48"/>
  <c r="O176" i="48"/>
  <c r="O177" i="48" s="1"/>
  <c r="O272" i="48"/>
  <c r="O273" i="48" s="1"/>
  <c r="O78" i="48"/>
  <c r="O53" i="73"/>
  <c r="O19" i="73"/>
  <c r="AN20" i="48"/>
  <c r="W3" i="48"/>
  <c r="T88" i="48" l="1"/>
  <c r="O76" i="48"/>
  <c r="O79" i="48" s="1"/>
  <c r="O30" i="83"/>
  <c r="O31" i="83" s="1"/>
  <c r="P175" i="48"/>
  <c r="P174" i="48"/>
  <c r="P270" i="48"/>
  <c r="P271" i="48"/>
  <c r="O321" i="48"/>
  <c r="O129" i="48"/>
  <c r="P128" i="48" s="1"/>
  <c r="O225" i="48"/>
  <c r="P224" i="48" s="1"/>
  <c r="P176" i="48"/>
  <c r="P272" i="48"/>
  <c r="M3" i="36" a="1"/>
  <c r="M3" i="36" s="1"/>
  <c r="M4" i="36" a="1"/>
  <c r="M4" i="36" s="1"/>
  <c r="M5" i="36" a="1"/>
  <c r="M5" i="36" s="1"/>
  <c r="N3" i="36"/>
  <c r="N4" i="36"/>
  <c r="N5" i="36"/>
  <c r="N6" i="36"/>
  <c r="N7" i="36"/>
  <c r="N8" i="36"/>
  <c r="N9" i="36"/>
  <c r="N10" i="36"/>
  <c r="N11" i="36"/>
  <c r="N12" i="36"/>
  <c r="N13" i="36"/>
  <c r="N14" i="36"/>
  <c r="N15" i="36"/>
  <c r="N16" i="36"/>
  <c r="N17" i="36"/>
  <c r="N18" i="36"/>
  <c r="N19" i="36"/>
  <c r="N20" i="36"/>
  <c r="N21" i="36"/>
  <c r="N22" i="36"/>
  <c r="N23" i="36"/>
  <c r="N24" i="36"/>
  <c r="N25" i="36"/>
  <c r="N26" i="36"/>
  <c r="N27" i="36"/>
  <c r="N28" i="36"/>
  <c r="N29" i="36"/>
  <c r="N30" i="36"/>
  <c r="N31" i="36"/>
  <c r="N32" i="36"/>
  <c r="N33" i="36"/>
  <c r="N34" i="36"/>
  <c r="N35" i="36"/>
  <c r="N36" i="36"/>
  <c r="N37" i="36"/>
  <c r="N38" i="36"/>
  <c r="N39" i="36"/>
  <c r="N40" i="36"/>
  <c r="N41" i="36"/>
  <c r="N42" i="36"/>
  <c r="N43" i="36"/>
  <c r="N44" i="36"/>
  <c r="N45" i="36"/>
  <c r="N46" i="36"/>
  <c r="N47" i="36"/>
  <c r="N48" i="36"/>
  <c r="N49" i="36"/>
  <c r="N50" i="36"/>
  <c r="N51" i="36"/>
  <c r="N52" i="36"/>
  <c r="N53" i="36"/>
  <c r="N54" i="36"/>
  <c r="N55" i="36"/>
  <c r="N56" i="36"/>
  <c r="N57" i="36"/>
  <c r="N58" i="36"/>
  <c r="N59" i="36"/>
  <c r="N60" i="36"/>
  <c r="N61" i="36"/>
  <c r="N62" i="36"/>
  <c r="N63" i="36"/>
  <c r="N64" i="36"/>
  <c r="N65" i="36"/>
  <c r="N66" i="36"/>
  <c r="N67" i="36"/>
  <c r="N68" i="36"/>
  <c r="N69" i="36"/>
  <c r="N70" i="36"/>
  <c r="N71" i="36"/>
  <c r="N72" i="36"/>
  <c r="N73" i="36"/>
  <c r="N74" i="36"/>
  <c r="N75" i="36"/>
  <c r="N76" i="36"/>
  <c r="N77" i="36"/>
  <c r="N78" i="36"/>
  <c r="N79" i="36"/>
  <c r="N80" i="36"/>
  <c r="N81" i="36"/>
  <c r="N82" i="36"/>
  <c r="N83" i="36"/>
  <c r="N84" i="36"/>
  <c r="N85" i="36"/>
  <c r="N86" i="36"/>
  <c r="N87" i="36"/>
  <c r="N88" i="36"/>
  <c r="N89" i="36"/>
  <c r="N90" i="36"/>
  <c r="N91" i="36"/>
  <c r="N92" i="36"/>
  <c r="N93" i="36"/>
  <c r="N94" i="36"/>
  <c r="N95" i="36"/>
  <c r="N96" i="36"/>
  <c r="N97" i="36"/>
  <c r="N98" i="36"/>
  <c r="N99" i="36"/>
  <c r="N100" i="36"/>
  <c r="N101" i="36"/>
  <c r="N102" i="36"/>
  <c r="N103" i="36"/>
  <c r="N104" i="36"/>
  <c r="N105" i="36"/>
  <c r="N106" i="36"/>
  <c r="N107" i="36"/>
  <c r="N108" i="36"/>
  <c r="N109" i="36"/>
  <c r="N110" i="36"/>
  <c r="N111" i="36"/>
  <c r="N112" i="36"/>
  <c r="N113" i="36"/>
  <c r="N114" i="36"/>
  <c r="N115" i="36"/>
  <c r="N116" i="36"/>
  <c r="N117" i="36"/>
  <c r="N118" i="36"/>
  <c r="N119" i="36"/>
  <c r="N120" i="36"/>
  <c r="N121" i="36"/>
  <c r="N122" i="36"/>
  <c r="N123" i="36"/>
  <c r="N124" i="36"/>
  <c r="N125" i="36"/>
  <c r="N126" i="36"/>
  <c r="N127" i="36"/>
  <c r="N128" i="36"/>
  <c r="N129" i="36"/>
  <c r="N130" i="36"/>
  <c r="N131" i="36"/>
  <c r="N132" i="36"/>
  <c r="N133" i="36"/>
  <c r="N134" i="36"/>
  <c r="N135" i="36"/>
  <c r="N136" i="36"/>
  <c r="N137" i="36"/>
  <c r="N138" i="36"/>
  <c r="N139" i="36"/>
  <c r="N140" i="36"/>
  <c r="N141" i="36"/>
  <c r="N142" i="36"/>
  <c r="N143" i="36"/>
  <c r="N144" i="36"/>
  <c r="N145" i="36"/>
  <c r="N146" i="36"/>
  <c r="N147" i="36"/>
  <c r="N148" i="36"/>
  <c r="N149" i="36"/>
  <c r="N150" i="36"/>
  <c r="N151" i="36"/>
  <c r="N152" i="36"/>
  <c r="N153" i="36"/>
  <c r="N154" i="36"/>
  <c r="N155" i="36"/>
  <c r="N156" i="36"/>
  <c r="N157" i="36"/>
  <c r="N158" i="36"/>
  <c r="N159" i="36"/>
  <c r="N160" i="36"/>
  <c r="N161" i="36"/>
  <c r="N162" i="36"/>
  <c r="N163" i="36"/>
  <c r="N164" i="36"/>
  <c r="N165" i="36"/>
  <c r="N166" i="36"/>
  <c r="N167" i="36"/>
  <c r="N168" i="36"/>
  <c r="N169" i="36"/>
  <c r="N170" i="36"/>
  <c r="N171" i="36"/>
  <c r="N172" i="36"/>
  <c r="N173" i="36"/>
  <c r="N174" i="36"/>
  <c r="N175" i="36"/>
  <c r="N176" i="36"/>
  <c r="N177" i="36"/>
  <c r="N178" i="36"/>
  <c r="N179" i="36"/>
  <c r="N180" i="36"/>
  <c r="N181" i="36"/>
  <c r="N182" i="36"/>
  <c r="N183" i="36"/>
  <c r="N184" i="36"/>
  <c r="N185" i="36"/>
  <c r="N186" i="36"/>
  <c r="N187" i="36"/>
  <c r="N188" i="36"/>
  <c r="N189" i="36"/>
  <c r="N190" i="36"/>
  <c r="N191" i="36"/>
  <c r="N192" i="36"/>
  <c r="N193" i="36"/>
  <c r="N194" i="36"/>
  <c r="N195" i="36"/>
  <c r="N196" i="36"/>
  <c r="N197" i="36"/>
  <c r="N198" i="36"/>
  <c r="N199" i="36"/>
  <c r="N200" i="36"/>
  <c r="N201" i="36"/>
  <c r="N2" i="36"/>
  <c r="AH20" i="48"/>
  <c r="AH3" i="48"/>
  <c r="AH27" i="48"/>
  <c r="T70" i="48"/>
  <c r="P29" i="83" l="1"/>
  <c r="P28" i="83"/>
  <c r="P30" i="83"/>
  <c r="P177" i="48"/>
  <c r="P319" i="48"/>
  <c r="P318" i="48"/>
  <c r="P320" i="48"/>
  <c r="P273" i="48"/>
  <c r="P222" i="48"/>
  <c r="P223" i="48"/>
  <c r="P126" i="48"/>
  <c r="P127" i="48"/>
  <c r="M2" i="36" a="1"/>
  <c r="M2" i="36" s="1"/>
  <c r="F2" i="74" a="1"/>
  <c r="F2" i="74" s="1"/>
  <c r="P76" i="48"/>
  <c r="P77" i="48"/>
  <c r="P78" i="48"/>
  <c r="G258" i="17"/>
  <c r="H258" i="17"/>
  <c r="I258" i="17" s="1"/>
  <c r="J258" i="17" s="1"/>
  <c r="H240" i="17"/>
  <c r="I240" i="17" s="1"/>
  <c r="J240" i="17" s="1"/>
  <c r="G240" i="17"/>
  <c r="G241" i="17"/>
  <c r="G242" i="17"/>
  <c r="G243" i="17"/>
  <c r="G244" i="17"/>
  <c r="G245" i="17"/>
  <c r="G246" i="17"/>
  <c r="G247" i="17"/>
  <c r="G248" i="17"/>
  <c r="G249" i="17"/>
  <c r="G250" i="17"/>
  <c r="G251" i="17"/>
  <c r="G252" i="17"/>
  <c r="G253" i="17"/>
  <c r="G254" i="17"/>
  <c r="G255" i="17"/>
  <c r="G256" i="17"/>
  <c r="G257" i="17"/>
  <c r="H241" i="17"/>
  <c r="I241" i="17" s="1"/>
  <c r="J241" i="17" s="1"/>
  <c r="H242" i="17"/>
  <c r="I242" i="17" s="1"/>
  <c r="J242" i="17" s="1"/>
  <c r="H243" i="17"/>
  <c r="I243" i="17" s="1"/>
  <c r="J243" i="17" s="1"/>
  <c r="H244" i="17"/>
  <c r="I244" i="17" s="1"/>
  <c r="J244" i="17" s="1"/>
  <c r="H245" i="17"/>
  <c r="I245" i="17" s="1"/>
  <c r="J245" i="17" s="1"/>
  <c r="H246" i="17"/>
  <c r="I246" i="17" s="1"/>
  <c r="J246" i="17" s="1"/>
  <c r="H247" i="17"/>
  <c r="I247" i="17" s="1"/>
  <c r="J247" i="17" s="1"/>
  <c r="H248" i="17"/>
  <c r="I248" i="17" s="1"/>
  <c r="J248" i="17" s="1"/>
  <c r="H249" i="17"/>
  <c r="I249" i="17" s="1"/>
  <c r="J249" i="17" s="1"/>
  <c r="H250" i="17"/>
  <c r="I250" i="17" s="1"/>
  <c r="J250" i="17" s="1"/>
  <c r="H251" i="17"/>
  <c r="I251" i="17" s="1"/>
  <c r="J251" i="17" s="1"/>
  <c r="H252" i="17"/>
  <c r="I252" i="17" s="1"/>
  <c r="J252" i="17" s="1"/>
  <c r="H253" i="17"/>
  <c r="I253" i="17" s="1"/>
  <c r="J253" i="17" s="1"/>
  <c r="H254" i="17"/>
  <c r="I254" i="17" s="1"/>
  <c r="J254" i="17" s="1"/>
  <c r="H255" i="17"/>
  <c r="I255" i="17" s="1"/>
  <c r="J255" i="17" s="1"/>
  <c r="H256" i="17"/>
  <c r="I256" i="17" s="1"/>
  <c r="J256" i="17" s="1"/>
  <c r="H257" i="17"/>
  <c r="I257" i="17" s="1"/>
  <c r="J257" i="17" s="1"/>
  <c r="G228" i="17"/>
  <c r="H228" i="17"/>
  <c r="I228" i="17" s="1"/>
  <c r="J228" i="17" s="1"/>
  <c r="G229" i="17"/>
  <c r="H229" i="17"/>
  <c r="I229" i="17" s="1"/>
  <c r="J229" i="17" s="1"/>
  <c r="G230" i="17"/>
  <c r="H230" i="17"/>
  <c r="I230" i="17" s="1"/>
  <c r="J230" i="17" s="1"/>
  <c r="G231" i="17"/>
  <c r="H231" i="17"/>
  <c r="I231" i="17" s="1"/>
  <c r="J231" i="17" s="1"/>
  <c r="G232" i="17"/>
  <c r="H232" i="17"/>
  <c r="I232" i="17" s="1"/>
  <c r="J232" i="17" s="1"/>
  <c r="G233" i="17"/>
  <c r="H233" i="17"/>
  <c r="I233" i="17" s="1"/>
  <c r="J233" i="17" s="1"/>
  <c r="G234" i="17"/>
  <c r="H234" i="17"/>
  <c r="I234" i="17" s="1"/>
  <c r="J234" i="17" s="1"/>
  <c r="G226" i="17"/>
  <c r="H226" i="17"/>
  <c r="I226" i="17" s="1"/>
  <c r="J226" i="17" s="1"/>
  <c r="G235" i="17"/>
  <c r="H235" i="17"/>
  <c r="I235" i="17" s="1"/>
  <c r="J235" i="17" s="1"/>
  <c r="G227" i="17"/>
  <c r="H227" i="17"/>
  <c r="I227" i="17" s="1"/>
  <c r="J227" i="17" s="1"/>
  <c r="G236" i="17"/>
  <c r="H236" i="17"/>
  <c r="I236" i="17" s="1"/>
  <c r="J236" i="17" s="1"/>
  <c r="G237" i="17"/>
  <c r="H237" i="17"/>
  <c r="I237" i="17" s="1"/>
  <c r="J237" i="17" s="1"/>
  <c r="G238" i="17"/>
  <c r="H238" i="17"/>
  <c r="I238" i="17" s="1"/>
  <c r="J238" i="17" s="1"/>
  <c r="G239" i="17"/>
  <c r="H239" i="17"/>
  <c r="I239" i="17" s="1"/>
  <c r="J239" i="17" s="1"/>
  <c r="P31" i="83" l="1"/>
  <c r="P129" i="48"/>
  <c r="P225" i="48"/>
  <c r="P321" i="48"/>
  <c r="P79" i="48"/>
  <c r="AK20" i="48" l="1"/>
  <c r="AO27" i="48" l="1"/>
  <c r="AK27" i="48"/>
  <c r="AE27" i="48"/>
  <c r="AO3" i="48"/>
  <c r="AK3" i="48"/>
  <c r="AE20" i="48"/>
  <c r="AE3" i="48"/>
  <c r="W27" i="48"/>
  <c r="BX16" i="48"/>
  <c r="BQ16" i="48"/>
  <c r="AW18" i="48"/>
  <c r="BY15" i="48"/>
  <c r="BY14" i="48"/>
  <c r="BY13" i="48"/>
  <c r="BY12" i="48"/>
  <c r="BY11" i="48"/>
  <c r="BY10" i="48"/>
  <c r="BY9" i="48"/>
  <c r="BY8" i="48"/>
  <c r="BY7" i="48"/>
  <c r="BY6" i="48"/>
  <c r="BY5" i="48"/>
  <c r="BY4" i="48"/>
  <c r="BR15" i="48"/>
  <c r="BR14" i="48"/>
  <c r="BR13" i="48"/>
  <c r="BR12" i="48"/>
  <c r="BR11" i="48"/>
  <c r="BR10" i="48"/>
  <c r="BR9" i="48"/>
  <c r="BR8" i="48"/>
  <c r="BR7" i="48"/>
  <c r="BR6" i="48"/>
  <c r="BR5" i="48"/>
  <c r="BR4" i="48"/>
  <c r="BK15" i="48"/>
  <c r="BK14" i="48"/>
  <c r="BK13" i="48"/>
  <c r="BK12" i="48"/>
  <c r="BK11" i="48"/>
  <c r="BK10" i="48"/>
  <c r="BK9" i="48"/>
  <c r="BK8" i="48"/>
  <c r="BK7" i="48"/>
  <c r="BK6" i="48"/>
  <c r="BK5" i="48"/>
  <c r="BK4" i="48"/>
  <c r="BD15" i="48"/>
  <c r="BD14" i="48"/>
  <c r="BD13" i="48"/>
  <c r="BD12" i="48"/>
  <c r="BD11" i="48"/>
  <c r="BD10" i="48"/>
  <c r="BD9" i="48"/>
  <c r="BD8" i="48"/>
  <c r="BD7" i="48"/>
  <c r="BD6" i="48"/>
  <c r="BD5" i="48"/>
  <c r="BD4" i="48"/>
  <c r="AW15" i="48"/>
  <c r="AW9" i="48"/>
  <c r="AW8" i="48"/>
  <c r="AW7" i="48"/>
  <c r="AW6" i="48"/>
  <c r="AW5" i="48"/>
  <c r="AW4" i="48"/>
  <c r="AW10" i="48"/>
  <c r="AW11" i="48"/>
  <c r="AW12" i="48"/>
  <c r="AW13" i="48"/>
  <c r="AW14" i="48"/>
  <c r="BY3" i="48"/>
  <c r="BR3" i="48"/>
  <c r="BK3" i="48"/>
  <c r="BD3" i="48"/>
  <c r="AW3" i="48"/>
  <c r="F37" i="69"/>
  <c r="F36" i="69"/>
  <c r="F35" i="69"/>
  <c r="F38" i="69"/>
  <c r="F24" i="69"/>
  <c r="F23" i="69"/>
  <c r="F22" i="69"/>
  <c r="BK16" i="48" l="1"/>
  <c r="BY16" i="48"/>
  <c r="BR16" i="48"/>
  <c r="AW16" i="48"/>
  <c r="BD16" i="48"/>
  <c r="G210" i="17"/>
  <c r="H210" i="17"/>
  <c r="I210" i="17" s="1"/>
  <c r="J210" i="17" s="1"/>
  <c r="G211" i="17"/>
  <c r="H211" i="17"/>
  <c r="I211" i="17" s="1"/>
  <c r="J211" i="17" s="1"/>
  <c r="G212" i="17"/>
  <c r="H212" i="17"/>
  <c r="I212" i="17" s="1"/>
  <c r="J212" i="17" s="1"/>
  <c r="G213" i="17"/>
  <c r="H213" i="17"/>
  <c r="I213" i="17" s="1"/>
  <c r="J213" i="17" s="1"/>
  <c r="G214" i="17"/>
  <c r="H214" i="17"/>
  <c r="I214" i="17" s="1"/>
  <c r="J214" i="17" s="1"/>
  <c r="G215" i="17"/>
  <c r="H215" i="17"/>
  <c r="I215" i="17" s="1"/>
  <c r="J215" i="17" s="1"/>
  <c r="G216" i="17"/>
  <c r="H216" i="17"/>
  <c r="I216" i="17" s="1"/>
  <c r="J216" i="17" s="1"/>
  <c r="G217" i="17"/>
  <c r="H217" i="17"/>
  <c r="I217" i="17" s="1"/>
  <c r="J217" i="17" s="1"/>
  <c r="G218" i="17"/>
  <c r="H218" i="17"/>
  <c r="I218" i="17" s="1"/>
  <c r="J218" i="17" s="1"/>
  <c r="G219" i="17"/>
  <c r="H219" i="17"/>
  <c r="I219" i="17" s="1"/>
  <c r="J219" i="17" s="1"/>
  <c r="G220" i="17"/>
  <c r="H220" i="17"/>
  <c r="I220" i="17" s="1"/>
  <c r="J220" i="17" s="1"/>
  <c r="G221" i="17"/>
  <c r="H221" i="17"/>
  <c r="I221" i="17" s="1"/>
  <c r="J221" i="17" s="1"/>
  <c r="G186" i="17"/>
  <c r="H186" i="17"/>
  <c r="I186" i="17" s="1"/>
  <c r="J186" i="17" s="1"/>
  <c r="G187" i="17"/>
  <c r="H187" i="17"/>
  <c r="I187" i="17" s="1"/>
  <c r="J187" i="17" s="1"/>
  <c r="G188" i="17"/>
  <c r="H188" i="17"/>
  <c r="I188" i="17" s="1"/>
  <c r="J188" i="17" s="1"/>
  <c r="G189" i="17"/>
  <c r="H189" i="17"/>
  <c r="I189" i="17" s="1"/>
  <c r="J189" i="17" s="1"/>
  <c r="G190" i="17"/>
  <c r="H190" i="17"/>
  <c r="I190" i="17" s="1"/>
  <c r="J190" i="17" s="1"/>
  <c r="G191" i="17"/>
  <c r="H191" i="17"/>
  <c r="I191" i="17" s="1"/>
  <c r="J191" i="17" s="1"/>
  <c r="G192" i="17"/>
  <c r="H192" i="17"/>
  <c r="I192" i="17" s="1"/>
  <c r="J192" i="17" s="1"/>
  <c r="G193" i="17"/>
  <c r="H193" i="17"/>
  <c r="I193" i="17" s="1"/>
  <c r="J193" i="17" s="1"/>
  <c r="G194" i="17"/>
  <c r="H194" i="17"/>
  <c r="I194" i="17" s="1"/>
  <c r="J194" i="17" s="1"/>
  <c r="G195" i="17"/>
  <c r="H195" i="17"/>
  <c r="I195" i="17" s="1"/>
  <c r="J195" i="17" s="1"/>
  <c r="G196" i="17"/>
  <c r="H196" i="17"/>
  <c r="I196" i="17" s="1"/>
  <c r="J196" i="17" s="1"/>
  <c r="G197" i="17"/>
  <c r="H197" i="17"/>
  <c r="I197" i="17" s="1"/>
  <c r="J197" i="17" s="1"/>
  <c r="G198" i="17"/>
  <c r="H198" i="17"/>
  <c r="I198" i="17" s="1"/>
  <c r="J198" i="17" s="1"/>
  <c r="G199" i="17"/>
  <c r="H199" i="17"/>
  <c r="I199" i="17" s="1"/>
  <c r="J199" i="17" s="1"/>
  <c r="G200" i="17"/>
  <c r="H200" i="17"/>
  <c r="I200" i="17" s="1"/>
  <c r="J200" i="17" s="1"/>
  <c r="G201" i="17"/>
  <c r="H201" i="17"/>
  <c r="I201" i="17" s="1"/>
  <c r="J201" i="17" s="1"/>
  <c r="G202" i="17"/>
  <c r="H202" i="17"/>
  <c r="I202" i="17" s="1"/>
  <c r="J202" i="17" s="1"/>
  <c r="G203" i="17"/>
  <c r="H203" i="17"/>
  <c r="I203" i="17" s="1"/>
  <c r="J203" i="17" s="1"/>
  <c r="G204" i="17"/>
  <c r="H204" i="17"/>
  <c r="I204" i="17" s="1"/>
  <c r="J204" i="17" s="1"/>
  <c r="G205" i="17"/>
  <c r="H205" i="17"/>
  <c r="I205" i="17" s="1"/>
  <c r="J205" i="17" s="1"/>
  <c r="G170" i="17"/>
  <c r="H170" i="17"/>
  <c r="I170" i="17" s="1"/>
  <c r="J170" i="17" s="1"/>
  <c r="G156" i="17"/>
  <c r="H156" i="17"/>
  <c r="I156" i="17" s="1"/>
  <c r="J156" i="17" s="1"/>
  <c r="G157" i="17"/>
  <c r="H157" i="17"/>
  <c r="I157" i="17" s="1"/>
  <c r="J157" i="17" s="1"/>
  <c r="G158" i="17"/>
  <c r="H158" i="17"/>
  <c r="I158" i="17" s="1"/>
  <c r="J158" i="17" s="1"/>
  <c r="G159" i="17"/>
  <c r="H159" i="17"/>
  <c r="I159" i="17" s="1"/>
  <c r="J159" i="17" s="1"/>
  <c r="G160" i="17"/>
  <c r="H160" i="17"/>
  <c r="I160" i="17" s="1"/>
  <c r="J160" i="17" s="1"/>
  <c r="G91" i="17"/>
  <c r="H91" i="17"/>
  <c r="I91" i="17" s="1"/>
  <c r="J91" i="17" s="1"/>
  <c r="G92" i="17"/>
  <c r="H92" i="17"/>
  <c r="I92" i="17" s="1"/>
  <c r="J92" i="17" s="1"/>
  <c r="G93" i="17"/>
  <c r="H93" i="17"/>
  <c r="I93" i="17" s="1"/>
  <c r="J93" i="17" s="1"/>
  <c r="G94" i="17"/>
  <c r="H94" i="17"/>
  <c r="I94" i="17" s="1"/>
  <c r="J94" i="17" s="1"/>
  <c r="G5" i="17"/>
  <c r="H5" i="17"/>
  <c r="I5" i="17" s="1"/>
  <c r="J5" i="17" s="1"/>
  <c r="G6" i="17"/>
  <c r="H6" i="17"/>
  <c r="I6" i="17" s="1"/>
  <c r="J6" i="17" s="1"/>
  <c r="G7" i="17"/>
  <c r="H7" i="17"/>
  <c r="I7" i="17" s="1"/>
  <c r="J7" i="17" s="1"/>
  <c r="G8" i="17"/>
  <c r="H8" i="17"/>
  <c r="I8" i="17" s="1"/>
  <c r="J8" i="17" s="1"/>
  <c r="G9" i="17"/>
  <c r="H9" i="17"/>
  <c r="I9" i="17" s="1"/>
  <c r="J9" i="17" s="1"/>
  <c r="G10" i="17"/>
  <c r="H10" i="17"/>
  <c r="I10" i="17" s="1"/>
  <c r="J10" i="17" s="1"/>
  <c r="G13" i="17"/>
  <c r="H13" i="17"/>
  <c r="I13" i="17" s="1"/>
  <c r="J13" i="17" s="1"/>
  <c r="G14" i="17"/>
  <c r="H14" i="17"/>
  <c r="I14" i="17" s="1"/>
  <c r="J14" i="17" s="1"/>
  <c r="G15" i="17"/>
  <c r="H15" i="17"/>
  <c r="I15" i="17" s="1"/>
  <c r="J15" i="17" s="1"/>
  <c r="G16" i="17"/>
  <c r="H16" i="17"/>
  <c r="I16" i="17" s="1"/>
  <c r="J16" i="17" s="1"/>
  <c r="G17" i="17"/>
  <c r="H17" i="17"/>
  <c r="I17" i="17" s="1"/>
  <c r="J17" i="17" s="1"/>
  <c r="G20" i="17"/>
  <c r="H20" i="17"/>
  <c r="I20" i="17" s="1"/>
  <c r="J20" i="17" s="1"/>
  <c r="G21" i="17"/>
  <c r="H21" i="17"/>
  <c r="I21" i="17" s="1"/>
  <c r="J21" i="17" s="1"/>
  <c r="G22" i="17"/>
  <c r="H22" i="17"/>
  <c r="I22" i="17" s="1"/>
  <c r="J22" i="17" s="1"/>
  <c r="G23" i="17"/>
  <c r="H23" i="17"/>
  <c r="I23" i="17" s="1"/>
  <c r="J23" i="17" s="1"/>
  <c r="G278" i="17"/>
  <c r="H278" i="17"/>
  <c r="I278" i="17" s="1"/>
  <c r="J278" i="17" s="1"/>
  <c r="G277" i="17"/>
  <c r="H277" i="17"/>
  <c r="I277" i="17" s="1"/>
  <c r="J277" i="17" s="1"/>
  <c r="G275" i="17"/>
  <c r="H275" i="17"/>
  <c r="I275" i="17" s="1"/>
  <c r="J275" i="17" s="1"/>
  <c r="G274" i="17"/>
  <c r="H274" i="17"/>
  <c r="I274" i="17" s="1"/>
  <c r="J274" i="17" s="1"/>
  <c r="G273" i="17"/>
  <c r="H273" i="17"/>
  <c r="I273" i="17" s="1"/>
  <c r="J273" i="17" s="1"/>
  <c r="G272" i="17"/>
  <c r="H272" i="17"/>
  <c r="I272" i="17" s="1"/>
  <c r="J272" i="17" s="1"/>
  <c r="G271" i="17"/>
  <c r="H271" i="17"/>
  <c r="I271" i="17" s="1"/>
  <c r="J271" i="17" s="1"/>
  <c r="G270" i="17"/>
  <c r="H270" i="17"/>
  <c r="I270" i="17" s="1"/>
  <c r="J270" i="17" s="1"/>
  <c r="G269" i="17"/>
  <c r="H269" i="17"/>
  <c r="I269" i="17" s="1"/>
  <c r="J269" i="17" s="1"/>
  <c r="G268" i="17"/>
  <c r="H268" i="17"/>
  <c r="I268" i="17" s="1"/>
  <c r="J268" i="17" s="1"/>
  <c r="G267" i="17"/>
  <c r="H267" i="17"/>
  <c r="I267" i="17" s="1"/>
  <c r="J267" i="17" s="1"/>
  <c r="G266" i="17"/>
  <c r="H266" i="17"/>
  <c r="I266" i="17" s="1"/>
  <c r="J266" i="17" s="1"/>
  <c r="G265" i="17"/>
  <c r="H265" i="17"/>
  <c r="I265" i="17" s="1"/>
  <c r="J265" i="17" s="1"/>
  <c r="G264" i="17"/>
  <c r="H264" i="17"/>
  <c r="I264" i="17" s="1"/>
  <c r="J264" i="17" s="1"/>
  <c r="G276" i="17"/>
  <c r="H276" i="17"/>
  <c r="I276" i="17" s="1"/>
  <c r="J276" i="17" s="1"/>
  <c r="G279" i="17"/>
  <c r="H279" i="17"/>
  <c r="I279" i="17" s="1"/>
  <c r="J279" i="17" s="1"/>
  <c r="G46" i="17"/>
  <c r="H46" i="17"/>
  <c r="I46" i="17" s="1"/>
  <c r="J46" i="17" s="1"/>
  <c r="G39" i="17"/>
  <c r="H39" i="17"/>
  <c r="I39" i="17" s="1"/>
  <c r="J39" i="17" s="1"/>
  <c r="G31" i="17"/>
  <c r="H31" i="17"/>
  <c r="I31" i="17" s="1"/>
  <c r="J31" i="17" s="1"/>
  <c r="G29" i="17"/>
  <c r="H29" i="17"/>
  <c r="I29" i="17" s="1"/>
  <c r="J29" i="17" s="1"/>
  <c r="G37" i="17"/>
  <c r="H37" i="17"/>
  <c r="I37" i="17" s="1"/>
  <c r="J37" i="17" s="1"/>
  <c r="G50" i="17"/>
  <c r="H50" i="17"/>
  <c r="I50" i="17" s="1"/>
  <c r="J50" i="17" s="1"/>
  <c r="G52" i="17"/>
  <c r="H52" i="17"/>
  <c r="I52" i="17" s="1"/>
  <c r="J52" i="17" s="1"/>
  <c r="G51" i="17"/>
  <c r="H51" i="17"/>
  <c r="I51" i="17" s="1"/>
  <c r="J51" i="17" s="1"/>
  <c r="G48" i="17"/>
  <c r="H48" i="17"/>
  <c r="I48" i="17" s="1"/>
  <c r="J48" i="17" s="1"/>
  <c r="G47" i="17"/>
  <c r="H47" i="17"/>
  <c r="I47" i="17" s="1"/>
  <c r="J47" i="17" s="1"/>
  <c r="G45" i="17"/>
  <c r="H45" i="17"/>
  <c r="I45" i="17" s="1"/>
  <c r="J45" i="17" s="1"/>
  <c r="G44" i="17"/>
  <c r="H44" i="17"/>
  <c r="I44" i="17" s="1"/>
  <c r="J44" i="17" s="1"/>
  <c r="G42" i="17"/>
  <c r="H42" i="17"/>
  <c r="I42" i="17" s="1"/>
  <c r="J42" i="17" s="1"/>
  <c r="G41" i="17"/>
  <c r="H41" i="17"/>
  <c r="I41" i="17" s="1"/>
  <c r="J41" i="17" s="1"/>
  <c r="G40" i="17"/>
  <c r="H40" i="17"/>
  <c r="I40" i="17" s="1"/>
  <c r="J40" i="17" s="1"/>
  <c r="G38" i="17"/>
  <c r="H38" i="17"/>
  <c r="I38" i="17" s="1"/>
  <c r="J38" i="17" s="1"/>
  <c r="G36" i="17"/>
  <c r="H36" i="17"/>
  <c r="I36" i="17" s="1"/>
  <c r="J36" i="17" s="1"/>
  <c r="G35" i="17"/>
  <c r="H35" i="17"/>
  <c r="I35" i="17" s="1"/>
  <c r="J35" i="17" s="1"/>
  <c r="G33" i="17"/>
  <c r="H33" i="17"/>
  <c r="I33" i="17" s="1"/>
  <c r="J33" i="17" s="1"/>
  <c r="G32" i="17"/>
  <c r="H32" i="17"/>
  <c r="I32" i="17" s="1"/>
  <c r="J32" i="17" s="1"/>
  <c r="G30" i="17"/>
  <c r="H30" i="17"/>
  <c r="I30" i="17" s="1"/>
  <c r="J30" i="17" s="1"/>
  <c r="G28" i="17"/>
  <c r="H28" i="17"/>
  <c r="I28" i="17" s="1"/>
  <c r="J28" i="17" s="1"/>
  <c r="G27" i="17"/>
  <c r="H27" i="17"/>
  <c r="I27" i="17" s="1"/>
  <c r="J27" i="17" s="1"/>
  <c r="G25" i="17"/>
  <c r="H25" i="17"/>
  <c r="G34" i="17"/>
  <c r="H34" i="17"/>
  <c r="I34" i="17" s="1"/>
  <c r="J34" i="17" s="1"/>
  <c r="G43" i="17"/>
  <c r="H43" i="17"/>
  <c r="I43" i="17" s="1"/>
  <c r="J43" i="17" s="1"/>
  <c r="G49" i="17"/>
  <c r="H49" i="17"/>
  <c r="I49" i="17" s="1"/>
  <c r="J49" i="17" s="1"/>
  <c r="G63" i="17"/>
  <c r="H63" i="17"/>
  <c r="I63" i="17" s="1"/>
  <c r="J63" i="17" s="1"/>
  <c r="G62" i="17"/>
  <c r="H62" i="17"/>
  <c r="I62" i="17" s="1"/>
  <c r="J62" i="17" s="1"/>
  <c r="G56" i="17"/>
  <c r="H56" i="17"/>
  <c r="I56" i="17" s="1"/>
  <c r="J56" i="17" s="1"/>
  <c r="G61" i="17"/>
  <c r="H61" i="17"/>
  <c r="I61" i="17" s="1"/>
  <c r="J61" i="17" s="1"/>
  <c r="G59" i="17"/>
  <c r="H59" i="17"/>
  <c r="I59" i="17" s="1"/>
  <c r="J59" i="17" s="1"/>
  <c r="G58" i="17"/>
  <c r="H58" i="17"/>
  <c r="I58" i="17" s="1"/>
  <c r="J58" i="17" s="1"/>
  <c r="G57" i="17"/>
  <c r="H57" i="17"/>
  <c r="I57" i="17" s="1"/>
  <c r="J57" i="17" s="1"/>
  <c r="G55" i="17"/>
  <c r="H55" i="17"/>
  <c r="I55" i="17" s="1"/>
  <c r="J55" i="17" s="1"/>
  <c r="G54" i="17"/>
  <c r="H54" i="17"/>
  <c r="I54" i="17" s="1"/>
  <c r="J54" i="17" s="1"/>
  <c r="G53" i="17"/>
  <c r="H53" i="17"/>
  <c r="I53" i="17" s="1"/>
  <c r="J53" i="17" s="1"/>
  <c r="G60" i="17"/>
  <c r="H60" i="17"/>
  <c r="I60" i="17" s="1"/>
  <c r="J60" i="17" s="1"/>
  <c r="G67" i="17"/>
  <c r="H67" i="17"/>
  <c r="I67" i="17" s="1"/>
  <c r="J67" i="17" s="1"/>
  <c r="G66" i="17"/>
  <c r="H66" i="17"/>
  <c r="I66" i="17" s="1"/>
  <c r="J66" i="17" s="1"/>
  <c r="G65" i="17"/>
  <c r="H65" i="17"/>
  <c r="I65" i="17" s="1"/>
  <c r="J65" i="17" s="1"/>
  <c r="G64" i="17"/>
  <c r="H64" i="17"/>
  <c r="I64" i="17" s="1"/>
  <c r="J64" i="17" s="1"/>
  <c r="G89" i="17"/>
  <c r="H89" i="17"/>
  <c r="I89" i="17" s="1"/>
  <c r="J89" i="17" s="1"/>
  <c r="G80" i="17"/>
  <c r="H80" i="17"/>
  <c r="I80" i="17" s="1"/>
  <c r="J80" i="17" s="1"/>
  <c r="G75" i="17"/>
  <c r="H75" i="17"/>
  <c r="I75" i="17" s="1"/>
  <c r="J75" i="17" s="1"/>
  <c r="G72" i="17"/>
  <c r="H72" i="17"/>
  <c r="I72" i="17" s="1"/>
  <c r="J72" i="17" s="1"/>
  <c r="G70" i="17"/>
  <c r="H70" i="17"/>
  <c r="I70" i="17" s="1"/>
  <c r="J70" i="17" s="1"/>
  <c r="G69" i="17"/>
  <c r="H69" i="17"/>
  <c r="I69" i="17" s="1"/>
  <c r="J69" i="17" s="1"/>
  <c r="G90" i="17"/>
  <c r="H90" i="17"/>
  <c r="I90" i="17" s="1"/>
  <c r="J90" i="17" s="1"/>
  <c r="G83" i="17"/>
  <c r="H83" i="17"/>
  <c r="I83" i="17" s="1"/>
  <c r="J83" i="17" s="1"/>
  <c r="G82" i="17"/>
  <c r="H82" i="17"/>
  <c r="I82" i="17" s="1"/>
  <c r="J82" i="17" s="1"/>
  <c r="G79" i="17"/>
  <c r="H79" i="17"/>
  <c r="I79" i="17" s="1"/>
  <c r="J79" i="17" s="1"/>
  <c r="G78" i="17"/>
  <c r="H78" i="17"/>
  <c r="I78" i="17" s="1"/>
  <c r="J78" i="17" s="1"/>
  <c r="G77" i="17"/>
  <c r="H77" i="17"/>
  <c r="I77" i="17" s="1"/>
  <c r="J77" i="17" s="1"/>
  <c r="G76" i="17"/>
  <c r="H76" i="17"/>
  <c r="I76" i="17" s="1"/>
  <c r="J76" i="17" s="1"/>
  <c r="G74" i="17"/>
  <c r="H74" i="17"/>
  <c r="I74" i="17" s="1"/>
  <c r="J74" i="17" s="1"/>
  <c r="G73" i="17"/>
  <c r="H73" i="17"/>
  <c r="I73" i="17" s="1"/>
  <c r="J73" i="17" s="1"/>
  <c r="G71" i="17"/>
  <c r="H71" i="17"/>
  <c r="I71" i="17" s="1"/>
  <c r="J71" i="17" s="1"/>
  <c r="G68" i="17"/>
  <c r="H68" i="17"/>
  <c r="I68" i="17" s="1"/>
  <c r="J68" i="17" s="1"/>
  <c r="G81" i="17"/>
  <c r="H81" i="17"/>
  <c r="I81" i="17" s="1"/>
  <c r="J81" i="17" s="1"/>
  <c r="O11" i="48"/>
  <c r="X21" i="48" s="1"/>
  <c r="I25" i="17" l="1"/>
  <c r="AO20" i="48"/>
  <c r="J25" i="17" l="1"/>
  <c r="AO88" i="48" l="1"/>
  <c r="AV330" i="48"/>
  <c r="AV138" i="48"/>
  <c r="AV186" i="48"/>
  <c r="AO138" i="48"/>
  <c r="AO186" i="48"/>
  <c r="AV282" i="48"/>
  <c r="AV88" i="48"/>
  <c r="AO282" i="48"/>
  <c r="AO40" i="48"/>
  <c r="AO234" i="48"/>
  <c r="AO330" i="48"/>
  <c r="AV234" i="48"/>
  <c r="AV40" i="48"/>
  <c r="AV320" i="48"/>
  <c r="AV128" i="48"/>
  <c r="AV176" i="48"/>
  <c r="AN317" i="48"/>
  <c r="V317" i="48"/>
  <c r="AJ317" i="48"/>
  <c r="AG317" i="48"/>
  <c r="AD317" i="48"/>
  <c r="AN269" i="48"/>
  <c r="V269" i="48"/>
  <c r="AJ269" i="48"/>
  <c r="AG269" i="48"/>
  <c r="AD269" i="48"/>
  <c r="AV224" i="48"/>
  <c r="AV272" i="48"/>
  <c r="AN221" i="48"/>
  <c r="V221" i="48"/>
  <c r="AJ221" i="48"/>
  <c r="AG221" i="48"/>
  <c r="AD221" i="48"/>
  <c r="AN173" i="48"/>
  <c r="V173" i="48"/>
  <c r="AJ173" i="48"/>
  <c r="AG173" i="48"/>
  <c r="AD173" i="48"/>
  <c r="AN125" i="48"/>
  <c r="V125" i="48"/>
  <c r="AJ125" i="48"/>
  <c r="AG125" i="48"/>
  <c r="AD125" i="48"/>
  <c r="AV30" i="48"/>
  <c r="AN75" i="48"/>
  <c r="V75" i="48"/>
  <c r="AJ75" i="48"/>
  <c r="AG75" i="48"/>
  <c r="AD75" i="48"/>
  <c r="AV78" i="48"/>
  <c r="AG27" i="48"/>
  <c r="AG3" i="48"/>
  <c r="AN3" i="48"/>
  <c r="AN27" i="48"/>
  <c r="AJ27" i="48"/>
  <c r="AD27" i="48"/>
  <c r="AD3" i="48"/>
  <c r="AJ3" i="48"/>
  <c r="V3" i="48"/>
  <c r="V27" i="48"/>
  <c r="AV18" i="48"/>
  <c r="BJ3" i="48"/>
  <c r="BC3" i="48"/>
  <c r="AV3" i="48"/>
  <c r="BQ3" i="48"/>
  <c r="BX3" i="48"/>
  <c r="K3" i="36"/>
  <c r="K11" i="36"/>
  <c r="K19" i="36"/>
  <c r="K27" i="36"/>
  <c r="K35" i="36"/>
  <c r="K43" i="36"/>
  <c r="K51" i="36"/>
  <c r="K59" i="36"/>
  <c r="K67" i="36"/>
  <c r="K75" i="36"/>
  <c r="K83" i="36"/>
  <c r="K91" i="36"/>
  <c r="K99" i="36"/>
  <c r="K107" i="36"/>
  <c r="K115" i="36"/>
  <c r="K123" i="36"/>
  <c r="K131" i="36"/>
  <c r="K139" i="36"/>
  <c r="K147" i="36"/>
  <c r="K155" i="36"/>
  <c r="K163" i="36"/>
  <c r="K171" i="36"/>
  <c r="K179" i="36"/>
  <c r="K187" i="36"/>
  <c r="K195" i="36"/>
  <c r="K4" i="36"/>
  <c r="K12" i="36"/>
  <c r="K20" i="36"/>
  <c r="K28" i="36"/>
  <c r="K36" i="36"/>
  <c r="K44" i="36"/>
  <c r="K52" i="36"/>
  <c r="K60" i="36"/>
  <c r="K68" i="36"/>
  <c r="K76" i="36"/>
  <c r="K84" i="36"/>
  <c r="K92" i="36"/>
  <c r="K100" i="36"/>
  <c r="K108" i="36"/>
  <c r="K116" i="36"/>
  <c r="K124" i="36"/>
  <c r="K132" i="36"/>
  <c r="K140" i="36"/>
  <c r="K148" i="36"/>
  <c r="K156" i="36"/>
  <c r="K164" i="36"/>
  <c r="K172" i="36"/>
  <c r="K180" i="36"/>
  <c r="K188" i="36"/>
  <c r="K196" i="36"/>
  <c r="I8" i="74"/>
  <c r="I16" i="74"/>
  <c r="I24" i="74"/>
  <c r="I32" i="74"/>
  <c r="I40" i="74"/>
  <c r="K5" i="36"/>
  <c r="K13" i="36"/>
  <c r="K21" i="36"/>
  <c r="K29" i="36"/>
  <c r="K37" i="36"/>
  <c r="K45" i="36"/>
  <c r="K53" i="36"/>
  <c r="K61" i="36"/>
  <c r="K69" i="36"/>
  <c r="K77" i="36"/>
  <c r="K85" i="36"/>
  <c r="K93" i="36"/>
  <c r="K101" i="36"/>
  <c r="K109" i="36"/>
  <c r="K117" i="36"/>
  <c r="K125" i="36"/>
  <c r="K133" i="36"/>
  <c r="K141" i="36"/>
  <c r="K149" i="36"/>
  <c r="K157" i="36"/>
  <c r="K165" i="36"/>
  <c r="K173" i="36"/>
  <c r="K181" i="36"/>
  <c r="K189" i="36"/>
  <c r="K197" i="36"/>
  <c r="I9" i="74"/>
  <c r="I17" i="74"/>
  <c r="I25" i="74"/>
  <c r="I33" i="74"/>
  <c r="I41" i="74"/>
  <c r="I49" i="74"/>
  <c r="I57" i="74"/>
  <c r="K6" i="36"/>
  <c r="K14" i="36"/>
  <c r="K22" i="36"/>
  <c r="K30" i="36"/>
  <c r="K38" i="36"/>
  <c r="K46" i="36"/>
  <c r="K54" i="36"/>
  <c r="K62" i="36"/>
  <c r="K70" i="36"/>
  <c r="K78" i="36"/>
  <c r="K86" i="36"/>
  <c r="K94" i="36"/>
  <c r="K102" i="36"/>
  <c r="K110" i="36"/>
  <c r="K118" i="36"/>
  <c r="K126" i="36"/>
  <c r="K134" i="36"/>
  <c r="K142" i="36"/>
  <c r="K150" i="36"/>
  <c r="K158" i="36"/>
  <c r="K166" i="36"/>
  <c r="K174" i="36"/>
  <c r="K182" i="36"/>
  <c r="K190" i="36"/>
  <c r="K198" i="36"/>
  <c r="K2" i="36"/>
  <c r="I10" i="74"/>
  <c r="I18" i="74"/>
  <c r="I26" i="74"/>
  <c r="I34" i="74"/>
  <c r="I42" i="74"/>
  <c r="I50" i="74"/>
  <c r="I58" i="74"/>
  <c r="I66" i="74"/>
  <c r="I74" i="74"/>
  <c r="K7" i="36"/>
  <c r="K15" i="36"/>
  <c r="K23" i="36"/>
  <c r="K31" i="36"/>
  <c r="K39" i="36"/>
  <c r="K47" i="36"/>
  <c r="K55" i="36"/>
  <c r="K63" i="36"/>
  <c r="K71" i="36"/>
  <c r="K79" i="36"/>
  <c r="K87" i="36"/>
  <c r="K95" i="36"/>
  <c r="K103" i="36"/>
  <c r="K111" i="36"/>
  <c r="K119" i="36"/>
  <c r="K127" i="36"/>
  <c r="K135" i="36"/>
  <c r="K143" i="36"/>
  <c r="K151" i="36"/>
  <c r="K159" i="36"/>
  <c r="K167" i="36"/>
  <c r="K175" i="36"/>
  <c r="K183" i="36"/>
  <c r="K191" i="36"/>
  <c r="K199" i="36"/>
  <c r="I3" i="74"/>
  <c r="K8" i="36"/>
  <c r="K16" i="36"/>
  <c r="K24" i="36"/>
  <c r="K32" i="36"/>
  <c r="K40" i="36"/>
  <c r="K48" i="36"/>
  <c r="K56" i="36"/>
  <c r="K64" i="36"/>
  <c r="K72" i="36"/>
  <c r="K80" i="36"/>
  <c r="K88" i="36"/>
  <c r="K96" i="36"/>
  <c r="K104" i="36"/>
  <c r="K112" i="36"/>
  <c r="K120" i="36"/>
  <c r="K128" i="36"/>
  <c r="K136" i="36"/>
  <c r="K144" i="36"/>
  <c r="K152" i="36"/>
  <c r="K160" i="36"/>
  <c r="K168" i="36"/>
  <c r="K176" i="36"/>
  <c r="K184" i="36"/>
  <c r="K192" i="36"/>
  <c r="K200" i="36"/>
  <c r="K9" i="36"/>
  <c r="K17" i="36"/>
  <c r="K25" i="36"/>
  <c r="K33" i="36"/>
  <c r="K41" i="36"/>
  <c r="K49" i="36"/>
  <c r="K57" i="36"/>
  <c r="K65" i="36"/>
  <c r="K73" i="36"/>
  <c r="K81" i="36"/>
  <c r="K89" i="36"/>
  <c r="K97" i="36"/>
  <c r="K105" i="36"/>
  <c r="K113" i="36"/>
  <c r="K121" i="36"/>
  <c r="K129" i="36"/>
  <c r="K137" i="36"/>
  <c r="K145" i="36"/>
  <c r="K153" i="36"/>
  <c r="K161" i="36"/>
  <c r="K169" i="36"/>
  <c r="K177" i="36"/>
  <c r="K185" i="36"/>
  <c r="K193" i="36"/>
  <c r="K201" i="36"/>
  <c r="K10" i="36"/>
  <c r="K18" i="36"/>
  <c r="K26" i="36"/>
  <c r="K34" i="36"/>
  <c r="K42" i="36"/>
  <c r="K50" i="36"/>
  <c r="K58" i="36"/>
  <c r="K66" i="36"/>
  <c r="K74" i="36"/>
  <c r="K82" i="36"/>
  <c r="K90" i="36"/>
  <c r="K98" i="36"/>
  <c r="K106" i="36"/>
  <c r="K114" i="36"/>
  <c r="K122" i="36"/>
  <c r="K130" i="36"/>
  <c r="K138" i="36"/>
  <c r="K146" i="36"/>
  <c r="K154" i="36"/>
  <c r="K162" i="36"/>
  <c r="K170" i="36"/>
  <c r="K178" i="36"/>
  <c r="K186" i="36"/>
  <c r="K194" i="36"/>
  <c r="I11" i="74"/>
  <c r="I22" i="74"/>
  <c r="I36" i="74"/>
  <c r="I47" i="74"/>
  <c r="I59" i="74"/>
  <c r="I68" i="74"/>
  <c r="I77" i="74"/>
  <c r="I85" i="74"/>
  <c r="I93" i="74"/>
  <c r="I101" i="74"/>
  <c r="I109" i="74"/>
  <c r="I117" i="74"/>
  <c r="I125" i="74"/>
  <c r="I133" i="74"/>
  <c r="I141" i="74"/>
  <c r="I149" i="74"/>
  <c r="I12" i="74"/>
  <c r="I23" i="74"/>
  <c r="I37" i="74"/>
  <c r="I48" i="74"/>
  <c r="I60" i="74"/>
  <c r="I69" i="74"/>
  <c r="I78" i="74"/>
  <c r="I86" i="74"/>
  <c r="I94" i="74"/>
  <c r="I102" i="74"/>
  <c r="I110" i="74"/>
  <c r="I118" i="74"/>
  <c r="I126" i="74"/>
  <c r="I134" i="74"/>
  <c r="I142" i="74"/>
  <c r="I150" i="74"/>
  <c r="I13" i="74"/>
  <c r="I27" i="74"/>
  <c r="I38" i="74"/>
  <c r="I51" i="74"/>
  <c r="I61" i="74"/>
  <c r="I70" i="74"/>
  <c r="I79" i="74"/>
  <c r="I87" i="74"/>
  <c r="I95" i="74"/>
  <c r="I103" i="74"/>
  <c r="I111" i="74"/>
  <c r="I119" i="74"/>
  <c r="I127" i="74"/>
  <c r="I135" i="74"/>
  <c r="I143" i="74"/>
  <c r="I151" i="74"/>
  <c r="I14" i="74"/>
  <c r="I28" i="74"/>
  <c r="I39" i="74"/>
  <c r="I52" i="74"/>
  <c r="I62" i="74"/>
  <c r="I71" i="74"/>
  <c r="I80" i="74"/>
  <c r="I88" i="74"/>
  <c r="I96" i="74"/>
  <c r="I104" i="74"/>
  <c r="I112" i="74"/>
  <c r="I120" i="74"/>
  <c r="I128" i="74"/>
  <c r="I136" i="74"/>
  <c r="I144" i="74"/>
  <c r="I2" i="74"/>
  <c r="I4" i="74"/>
  <c r="I15" i="74"/>
  <c r="I29" i="74"/>
  <c r="I43" i="74"/>
  <c r="I53" i="74"/>
  <c r="I63" i="74"/>
  <c r="I72" i="74"/>
  <c r="I81" i="74"/>
  <c r="I89" i="74"/>
  <c r="I97" i="74"/>
  <c r="I105" i="74"/>
  <c r="I113" i="74"/>
  <c r="I121" i="74"/>
  <c r="I129" i="74"/>
  <c r="I137" i="74"/>
  <c r="I145" i="74"/>
  <c r="I5" i="74"/>
  <c r="I19" i="74"/>
  <c r="I30" i="74"/>
  <c r="I44" i="74"/>
  <c r="I54" i="74"/>
  <c r="I64" i="74"/>
  <c r="I73" i="74"/>
  <c r="I82" i="74"/>
  <c r="I90" i="74"/>
  <c r="I98" i="74"/>
  <c r="I106" i="74"/>
  <c r="I114" i="74"/>
  <c r="I122" i="74"/>
  <c r="I130" i="74"/>
  <c r="I138" i="74"/>
  <c r="I146" i="74"/>
  <c r="I6" i="74"/>
  <c r="I20" i="74"/>
  <c r="I31" i="74"/>
  <c r="I45" i="74"/>
  <c r="I55" i="74"/>
  <c r="I65" i="74"/>
  <c r="I75" i="74"/>
  <c r="I83" i="74"/>
  <c r="I91" i="74"/>
  <c r="I99" i="74"/>
  <c r="I107" i="74"/>
  <c r="I115" i="74"/>
  <c r="I123" i="74"/>
  <c r="I131" i="74"/>
  <c r="I139" i="74"/>
  <c r="I147" i="74"/>
  <c r="I7" i="74"/>
  <c r="I21" i="74"/>
  <c r="I35" i="74"/>
  <c r="I46" i="74"/>
  <c r="I56" i="74"/>
  <c r="I67" i="74"/>
  <c r="I76" i="74"/>
  <c r="I84" i="74"/>
  <c r="I92" i="74"/>
  <c r="I100" i="74"/>
  <c r="I108" i="74"/>
  <c r="I116" i="74"/>
  <c r="I124" i="74"/>
  <c r="I132" i="74"/>
  <c r="I140" i="74"/>
  <c r="I148" i="74"/>
  <c r="E13" i="69" l="1"/>
  <c r="G40" i="48" l="1"/>
  <c r="T65" i="48"/>
  <c r="T66" i="48"/>
  <c r="T67" i="48"/>
  <c r="T68" i="48"/>
  <c r="T69" i="48"/>
  <c r="T71" i="48"/>
  <c r="J42" i="48"/>
  <c r="H179" i="17"/>
  <c r="I179" i="17" s="1"/>
  <c r="J179" i="17" s="1"/>
  <c r="H180" i="17"/>
  <c r="I180" i="17" s="1"/>
  <c r="J180" i="17" s="1"/>
  <c r="H181" i="17"/>
  <c r="I181" i="17" s="1"/>
  <c r="J181" i="17" s="1"/>
  <c r="H169" i="17"/>
  <c r="I169" i="17" s="1"/>
  <c r="J169" i="17" s="1"/>
  <c r="H171" i="17"/>
  <c r="I171" i="17" s="1"/>
  <c r="J171" i="17" s="1"/>
  <c r="H172" i="17"/>
  <c r="I172" i="17" s="1"/>
  <c r="J172" i="17" s="1"/>
  <c r="H173" i="17"/>
  <c r="I173" i="17" s="1"/>
  <c r="J173" i="17" s="1"/>
  <c r="H174" i="17"/>
  <c r="I174" i="17" s="1"/>
  <c r="J174" i="17" s="1"/>
  <c r="V127" i="48" l="1"/>
  <c r="W127" i="48" s="1"/>
  <c r="V319" i="48"/>
  <c r="W319" i="48" s="1"/>
  <c r="AD127" i="48"/>
  <c r="AD319" i="48"/>
  <c r="V223" i="48"/>
  <c r="W223" i="48" s="1"/>
  <c r="V271" i="48"/>
  <c r="W271" i="48" s="1"/>
  <c r="AD223" i="48"/>
  <c r="AD271" i="48"/>
  <c r="V175" i="48"/>
  <c r="W175" i="48" s="1"/>
  <c r="AD175" i="48"/>
  <c r="Z2" i="79" a="1"/>
  <c r="Z2" i="79" s="1"/>
  <c r="Y2" i="79" a="1"/>
  <c r="Y2" i="79" s="1"/>
  <c r="J40" i="48"/>
  <c r="T64" i="48" s="1"/>
  <c r="T42" i="48" l="1"/>
  <c r="AJ175" i="48"/>
  <c r="AK175" i="48" s="1"/>
  <c r="AJ127" i="48"/>
  <c r="AK127" i="48" s="1"/>
  <c r="AE319" i="48"/>
  <c r="AJ223" i="48"/>
  <c r="AK223" i="48" s="1"/>
  <c r="AE175" i="48"/>
  <c r="AE271" i="48"/>
  <c r="AE127" i="48"/>
  <c r="AG127" i="48"/>
  <c r="AH127" i="48" s="1"/>
  <c r="AE223" i="48"/>
  <c r="AG223" i="48"/>
  <c r="AH223" i="48" s="1"/>
  <c r="AJ319" i="48"/>
  <c r="AK319" i="48" s="1"/>
  <c r="AG175" i="48"/>
  <c r="AH175" i="48" s="1"/>
  <c r="AG319" i="48"/>
  <c r="AH319" i="48" s="1"/>
  <c r="AG271" i="48"/>
  <c r="AH271" i="48" s="1"/>
  <c r="AN223" i="48" l="1"/>
  <c r="AO223" i="48" s="1"/>
  <c r="AJ271" i="48"/>
  <c r="AK271" i="48" s="1"/>
  <c r="AN175" i="48"/>
  <c r="AO175" i="48" s="1"/>
  <c r="AN127" i="48"/>
  <c r="AO127" i="48" s="1"/>
  <c r="AN319" i="48"/>
  <c r="AO319" i="48" s="1"/>
  <c r="AN271" i="48" l="1"/>
  <c r="AO271" i="48" s="1"/>
  <c r="Q8" i="50"/>
  <c r="Q7" i="50"/>
  <c r="Q6" i="50"/>
  <c r="AV16" i="48" l="1"/>
  <c r="AU16" i="48"/>
  <c r="BC16" i="48"/>
  <c r="BB16" i="48"/>
  <c r="BJ16" i="48"/>
  <c r="BI16" i="48"/>
  <c r="BW16" i="48"/>
  <c r="BP16" i="48"/>
  <c r="E3" i="74" l="1"/>
  <c r="E4" i="74"/>
  <c r="L4" i="74" l="1"/>
  <c r="M4" i="74" s="1"/>
  <c r="J4" i="74"/>
  <c r="K4" i="74"/>
  <c r="L3" i="74"/>
  <c r="M3" i="74" s="1"/>
  <c r="J3" i="74"/>
  <c r="K3" i="74"/>
  <c r="E5" i="74"/>
  <c r="E6" i="74"/>
  <c r="E7" i="74"/>
  <c r="E8" i="74"/>
  <c r="E9" i="74"/>
  <c r="E10" i="74"/>
  <c r="E11" i="74"/>
  <c r="L11" i="74" s="1"/>
  <c r="E12" i="74"/>
  <c r="K12" i="74" s="1"/>
  <c r="E13" i="74"/>
  <c r="J13" i="74" s="1"/>
  <c r="E14" i="74"/>
  <c r="E15" i="74"/>
  <c r="E16" i="74"/>
  <c r="E17" i="74"/>
  <c r="E18" i="74"/>
  <c r="E19" i="74"/>
  <c r="E20" i="74"/>
  <c r="E21" i="74"/>
  <c r="E22" i="74"/>
  <c r="E23" i="74"/>
  <c r="E24" i="74"/>
  <c r="E25" i="74"/>
  <c r="E26" i="74"/>
  <c r="E27" i="74"/>
  <c r="E28" i="74"/>
  <c r="E29" i="74"/>
  <c r="E30" i="74"/>
  <c r="E31" i="74"/>
  <c r="E32" i="74"/>
  <c r="E33" i="74"/>
  <c r="E34" i="74"/>
  <c r="E35" i="74"/>
  <c r="E36" i="74"/>
  <c r="E37" i="74"/>
  <c r="E38" i="74"/>
  <c r="E39" i="74"/>
  <c r="E40" i="74"/>
  <c r="E41" i="74"/>
  <c r="E42" i="74"/>
  <c r="E43" i="74"/>
  <c r="E44" i="74"/>
  <c r="E45" i="74"/>
  <c r="E46" i="74"/>
  <c r="E47" i="74"/>
  <c r="E48" i="74"/>
  <c r="E49" i="74"/>
  <c r="E50" i="74"/>
  <c r="E51" i="74"/>
  <c r="E52" i="74"/>
  <c r="E53" i="74"/>
  <c r="E54" i="74"/>
  <c r="E55" i="74"/>
  <c r="E56" i="74"/>
  <c r="E57" i="74"/>
  <c r="E58" i="74"/>
  <c r="E59" i="74"/>
  <c r="E60" i="74"/>
  <c r="E61" i="74"/>
  <c r="E62" i="74"/>
  <c r="E63" i="74"/>
  <c r="E64" i="74"/>
  <c r="E65" i="74"/>
  <c r="E66" i="74"/>
  <c r="E67" i="74"/>
  <c r="E68" i="74"/>
  <c r="E69" i="74"/>
  <c r="E70" i="74"/>
  <c r="E71" i="74"/>
  <c r="E72" i="74"/>
  <c r="E73" i="74"/>
  <c r="E74" i="74"/>
  <c r="E75" i="74"/>
  <c r="E76" i="74"/>
  <c r="E77" i="74"/>
  <c r="E78" i="74"/>
  <c r="E79" i="74"/>
  <c r="E80" i="74"/>
  <c r="E81" i="74"/>
  <c r="E82" i="74"/>
  <c r="E83" i="74"/>
  <c r="E84" i="74"/>
  <c r="E85" i="74"/>
  <c r="E86" i="74"/>
  <c r="E87" i="74"/>
  <c r="E88" i="74"/>
  <c r="E89" i="74"/>
  <c r="E90" i="74"/>
  <c r="E91" i="74"/>
  <c r="E92" i="74"/>
  <c r="E93" i="74"/>
  <c r="E94" i="74"/>
  <c r="E95" i="74"/>
  <c r="E96" i="74"/>
  <c r="E97" i="74"/>
  <c r="E98" i="74"/>
  <c r="E99" i="74"/>
  <c r="E100" i="74"/>
  <c r="E101" i="74"/>
  <c r="E102" i="74"/>
  <c r="E103" i="74"/>
  <c r="E104" i="74"/>
  <c r="E105" i="74"/>
  <c r="E106" i="74"/>
  <c r="E107" i="74"/>
  <c r="E108" i="74"/>
  <c r="E109" i="74"/>
  <c r="E110" i="74"/>
  <c r="E111" i="74"/>
  <c r="E112" i="74"/>
  <c r="E113" i="74"/>
  <c r="E114" i="74"/>
  <c r="E115" i="74"/>
  <c r="E116" i="74"/>
  <c r="E117" i="74"/>
  <c r="E118" i="74"/>
  <c r="E119" i="74"/>
  <c r="E120" i="74"/>
  <c r="E121" i="74"/>
  <c r="E122" i="74"/>
  <c r="E123" i="74"/>
  <c r="E124" i="74"/>
  <c r="E125" i="74"/>
  <c r="E126" i="74"/>
  <c r="E127" i="74"/>
  <c r="E128" i="74"/>
  <c r="E129" i="74"/>
  <c r="E130" i="74"/>
  <c r="E131" i="74"/>
  <c r="E132" i="74"/>
  <c r="E133" i="74"/>
  <c r="E134" i="74"/>
  <c r="E135" i="74"/>
  <c r="E136" i="74"/>
  <c r="E137" i="74"/>
  <c r="E138" i="74"/>
  <c r="E139" i="74"/>
  <c r="E140" i="74"/>
  <c r="E141" i="74"/>
  <c r="E142" i="74"/>
  <c r="E143" i="74"/>
  <c r="E144" i="74"/>
  <c r="E145" i="74"/>
  <c r="E146" i="74"/>
  <c r="E147" i="74"/>
  <c r="E148" i="74"/>
  <c r="E149" i="74"/>
  <c r="E150" i="74"/>
  <c r="E151" i="74"/>
  <c r="B14" i="59" a="1"/>
  <c r="L100" i="74" l="1"/>
  <c r="M100" i="74" s="1"/>
  <c r="J100" i="74"/>
  <c r="K100" i="74"/>
  <c r="L68" i="74"/>
  <c r="M68" i="74" s="1"/>
  <c r="J68" i="74"/>
  <c r="K68" i="74"/>
  <c r="L60" i="74"/>
  <c r="M60" i="74" s="1"/>
  <c r="J60" i="74"/>
  <c r="K60" i="74"/>
  <c r="L52" i="74"/>
  <c r="M52" i="74" s="1"/>
  <c r="J52" i="74"/>
  <c r="K52" i="74"/>
  <c r="L44" i="74"/>
  <c r="M44" i="74" s="1"/>
  <c r="J44" i="74"/>
  <c r="K44" i="74"/>
  <c r="L36" i="74"/>
  <c r="M36" i="74" s="1"/>
  <c r="J36" i="74"/>
  <c r="K36" i="74"/>
  <c r="L28" i="74"/>
  <c r="M28" i="74" s="1"/>
  <c r="J28" i="74"/>
  <c r="K28" i="74"/>
  <c r="L20" i="74"/>
  <c r="M20" i="74" s="1"/>
  <c r="J20" i="74"/>
  <c r="K20" i="74"/>
  <c r="L12" i="74"/>
  <c r="M12" i="74" s="1"/>
  <c r="J12" i="74"/>
  <c r="L140" i="74"/>
  <c r="M140" i="74" s="1"/>
  <c r="J140" i="74"/>
  <c r="K140" i="74"/>
  <c r="L147" i="74"/>
  <c r="M147" i="74" s="1"/>
  <c r="J147" i="74"/>
  <c r="K147" i="74"/>
  <c r="L107" i="74"/>
  <c r="M107" i="74" s="1"/>
  <c r="J107" i="74"/>
  <c r="K107" i="74"/>
  <c r="L91" i="74"/>
  <c r="M91" i="74" s="1"/>
  <c r="J91" i="74"/>
  <c r="K91" i="74"/>
  <c r="L83" i="74"/>
  <c r="M83" i="74" s="1"/>
  <c r="J83" i="74"/>
  <c r="K83" i="74"/>
  <c r="L75" i="74"/>
  <c r="M75" i="74" s="1"/>
  <c r="J75" i="74"/>
  <c r="K75" i="74"/>
  <c r="L67" i="74"/>
  <c r="M67" i="74" s="1"/>
  <c r="J67" i="74"/>
  <c r="K67" i="74"/>
  <c r="L59" i="74"/>
  <c r="M59" i="74" s="1"/>
  <c r="J59" i="74"/>
  <c r="K59" i="74"/>
  <c r="L51" i="74"/>
  <c r="M51" i="74" s="1"/>
  <c r="J51" i="74"/>
  <c r="K51" i="74"/>
  <c r="L43" i="74"/>
  <c r="M43" i="74" s="1"/>
  <c r="J43" i="74"/>
  <c r="K43" i="74"/>
  <c r="L35" i="74"/>
  <c r="M35" i="74" s="1"/>
  <c r="J35" i="74"/>
  <c r="K35" i="74"/>
  <c r="L27" i="74"/>
  <c r="M27" i="74" s="1"/>
  <c r="J27" i="74"/>
  <c r="K27" i="74"/>
  <c r="L19" i="74"/>
  <c r="M19" i="74" s="1"/>
  <c r="J19" i="74"/>
  <c r="K19" i="74"/>
  <c r="M11" i="74"/>
  <c r="J11" i="74"/>
  <c r="K11" i="74"/>
  <c r="L132" i="74"/>
  <c r="M132" i="74" s="1"/>
  <c r="J132" i="74"/>
  <c r="K132" i="74"/>
  <c r="L108" i="74"/>
  <c r="M108" i="74" s="1"/>
  <c r="J108" i="74"/>
  <c r="K108" i="74"/>
  <c r="L115" i="74"/>
  <c r="M115" i="74" s="1"/>
  <c r="J115" i="74"/>
  <c r="K115" i="74"/>
  <c r="L130" i="74"/>
  <c r="M130" i="74" s="1"/>
  <c r="J130" i="74"/>
  <c r="K130" i="74"/>
  <c r="L122" i="74"/>
  <c r="M122" i="74" s="1"/>
  <c r="J122" i="74"/>
  <c r="K122" i="74"/>
  <c r="L114" i="74"/>
  <c r="M114" i="74" s="1"/>
  <c r="J114" i="74"/>
  <c r="K114" i="74"/>
  <c r="L106" i="74"/>
  <c r="M106" i="74" s="1"/>
  <c r="J106" i="74"/>
  <c r="K106" i="74"/>
  <c r="L98" i="74"/>
  <c r="M98" i="74" s="1"/>
  <c r="J98" i="74"/>
  <c r="K98" i="74"/>
  <c r="L90" i="74"/>
  <c r="M90" i="74" s="1"/>
  <c r="J90" i="74"/>
  <c r="K90" i="74"/>
  <c r="L82" i="74"/>
  <c r="M82" i="74" s="1"/>
  <c r="J82" i="74"/>
  <c r="K82" i="74"/>
  <c r="L74" i="74"/>
  <c r="M74" i="74" s="1"/>
  <c r="J74" i="74"/>
  <c r="K74" i="74"/>
  <c r="L66" i="74"/>
  <c r="M66" i="74" s="1"/>
  <c r="J66" i="74"/>
  <c r="K66" i="74"/>
  <c r="L58" i="74"/>
  <c r="M58" i="74" s="1"/>
  <c r="J58" i="74"/>
  <c r="K58" i="74"/>
  <c r="L50" i="74"/>
  <c r="M50" i="74" s="1"/>
  <c r="J50" i="74"/>
  <c r="K50" i="74"/>
  <c r="L42" i="74"/>
  <c r="M42" i="74" s="1"/>
  <c r="J42" i="74"/>
  <c r="K42" i="74"/>
  <c r="L34" i="74"/>
  <c r="M34" i="74" s="1"/>
  <c r="J34" i="74"/>
  <c r="K34" i="74"/>
  <c r="L26" i="74"/>
  <c r="M26" i="74" s="1"/>
  <c r="J26" i="74"/>
  <c r="K26" i="74"/>
  <c r="L18" i="74"/>
  <c r="M18" i="74" s="1"/>
  <c r="J18" i="74"/>
  <c r="K18" i="74"/>
  <c r="L10" i="74"/>
  <c r="M10" i="74" s="1"/>
  <c r="J10" i="74"/>
  <c r="K10" i="74"/>
  <c r="L148" i="74"/>
  <c r="M148" i="74" s="1"/>
  <c r="J148" i="74"/>
  <c r="K148" i="74"/>
  <c r="L76" i="74"/>
  <c r="M76" i="74" s="1"/>
  <c r="J76" i="74"/>
  <c r="K76" i="74"/>
  <c r="J73" i="74"/>
  <c r="L73" i="74"/>
  <c r="M73" i="74" s="1"/>
  <c r="K73" i="74"/>
  <c r="L84" i="74"/>
  <c r="M84" i="74" s="1"/>
  <c r="J84" i="74"/>
  <c r="K84" i="74"/>
  <c r="J120" i="74"/>
  <c r="L120" i="74"/>
  <c r="M120" i="74" s="1"/>
  <c r="K120" i="74"/>
  <c r="J112" i="74"/>
  <c r="L112" i="74"/>
  <c r="M112" i="74" s="1"/>
  <c r="K112" i="74"/>
  <c r="J104" i="74"/>
  <c r="L104" i="74"/>
  <c r="M104" i="74" s="1"/>
  <c r="K104" i="74"/>
  <c r="J96" i="74"/>
  <c r="L96" i="74"/>
  <c r="M96" i="74" s="1"/>
  <c r="K96" i="74"/>
  <c r="J88" i="74"/>
  <c r="L88" i="74"/>
  <c r="M88" i="74" s="1"/>
  <c r="K88" i="74"/>
  <c r="J80" i="74"/>
  <c r="L80" i="74"/>
  <c r="M80" i="74" s="1"/>
  <c r="K80" i="74"/>
  <c r="J72" i="74"/>
  <c r="L72" i="74"/>
  <c r="M72" i="74" s="1"/>
  <c r="K72" i="74"/>
  <c r="J64" i="74"/>
  <c r="L64" i="74"/>
  <c r="M64" i="74" s="1"/>
  <c r="K64" i="74"/>
  <c r="J56" i="74"/>
  <c r="L56" i="74"/>
  <c r="M56" i="74" s="1"/>
  <c r="K56" i="74"/>
  <c r="J48" i="74"/>
  <c r="L48" i="74"/>
  <c r="M48" i="74" s="1"/>
  <c r="K48" i="74"/>
  <c r="J40" i="74"/>
  <c r="L40" i="74"/>
  <c r="M40" i="74" s="1"/>
  <c r="K40" i="74"/>
  <c r="J32" i="74"/>
  <c r="L32" i="74"/>
  <c r="M32" i="74" s="1"/>
  <c r="K32" i="74"/>
  <c r="J24" i="74"/>
  <c r="L24" i="74"/>
  <c r="M24" i="74" s="1"/>
  <c r="K24" i="74"/>
  <c r="J16" i="74"/>
  <c r="L16" i="74"/>
  <c r="M16" i="74" s="1"/>
  <c r="K16" i="74"/>
  <c r="J8" i="74"/>
  <c r="L8" i="74"/>
  <c r="M8" i="74" s="1"/>
  <c r="K8" i="74"/>
  <c r="L116" i="74"/>
  <c r="M116" i="74" s="1"/>
  <c r="J116" i="74"/>
  <c r="K116" i="74"/>
  <c r="L131" i="74"/>
  <c r="M131" i="74" s="1"/>
  <c r="J131" i="74"/>
  <c r="K131" i="74"/>
  <c r="L138" i="74"/>
  <c r="M138" i="74" s="1"/>
  <c r="J138" i="74"/>
  <c r="K138" i="74"/>
  <c r="J129" i="74"/>
  <c r="L129" i="74"/>
  <c r="M129" i="74" s="1"/>
  <c r="K129" i="74"/>
  <c r="J97" i="74"/>
  <c r="L97" i="74"/>
  <c r="M97" i="74" s="1"/>
  <c r="K97" i="74"/>
  <c r="J65" i="74"/>
  <c r="L65" i="74"/>
  <c r="M65" i="74" s="1"/>
  <c r="K65" i="74"/>
  <c r="J17" i="74"/>
  <c r="L17" i="74"/>
  <c r="M17" i="74" s="1"/>
  <c r="K17" i="74"/>
  <c r="J128" i="74"/>
  <c r="L128" i="74"/>
  <c r="M128" i="74" s="1"/>
  <c r="K128" i="74"/>
  <c r="J151" i="74"/>
  <c r="L151" i="74"/>
  <c r="M151" i="74" s="1"/>
  <c r="K151" i="74"/>
  <c r="J143" i="74"/>
  <c r="L143" i="74"/>
  <c r="M143" i="74" s="1"/>
  <c r="K143" i="74"/>
  <c r="J135" i="74"/>
  <c r="L135" i="74"/>
  <c r="M135" i="74" s="1"/>
  <c r="K135" i="74"/>
  <c r="J127" i="74"/>
  <c r="L127" i="74"/>
  <c r="M127" i="74" s="1"/>
  <c r="K127" i="74"/>
  <c r="J119" i="74"/>
  <c r="L119" i="74"/>
  <c r="M119" i="74" s="1"/>
  <c r="K119" i="74"/>
  <c r="J111" i="74"/>
  <c r="L111" i="74"/>
  <c r="M111" i="74" s="1"/>
  <c r="K111" i="74"/>
  <c r="J103" i="74"/>
  <c r="L103" i="74"/>
  <c r="M103" i="74" s="1"/>
  <c r="K103" i="74"/>
  <c r="J95" i="74"/>
  <c r="L95" i="74"/>
  <c r="M95" i="74" s="1"/>
  <c r="K95" i="74"/>
  <c r="J87" i="74"/>
  <c r="L87" i="74"/>
  <c r="M87" i="74" s="1"/>
  <c r="K87" i="74"/>
  <c r="J79" i="74"/>
  <c r="L79" i="74"/>
  <c r="M79" i="74" s="1"/>
  <c r="K79" i="74"/>
  <c r="J71" i="74"/>
  <c r="L71" i="74"/>
  <c r="M71" i="74" s="1"/>
  <c r="K71" i="74"/>
  <c r="J63" i="74"/>
  <c r="L63" i="74"/>
  <c r="M63" i="74" s="1"/>
  <c r="K63" i="74"/>
  <c r="J55" i="74"/>
  <c r="L55" i="74"/>
  <c r="M55" i="74" s="1"/>
  <c r="K55" i="74"/>
  <c r="J47" i="74"/>
  <c r="L47" i="74"/>
  <c r="M47" i="74" s="1"/>
  <c r="K47" i="74"/>
  <c r="J39" i="74"/>
  <c r="L39" i="74"/>
  <c r="M39" i="74" s="1"/>
  <c r="K39" i="74"/>
  <c r="J31" i="74"/>
  <c r="L31" i="74"/>
  <c r="M31" i="74" s="1"/>
  <c r="K31" i="74"/>
  <c r="J23" i="74"/>
  <c r="L23" i="74"/>
  <c r="M23" i="74" s="1"/>
  <c r="K23" i="74"/>
  <c r="J15" i="74"/>
  <c r="L15" i="74"/>
  <c r="M15" i="74" s="1"/>
  <c r="K15" i="74"/>
  <c r="J7" i="74"/>
  <c r="L7" i="74"/>
  <c r="M7" i="74" s="1"/>
  <c r="K7" i="74"/>
  <c r="L92" i="74"/>
  <c r="M92" i="74" s="1"/>
  <c r="J92" i="74"/>
  <c r="K92" i="74"/>
  <c r="L123" i="74"/>
  <c r="M123" i="74" s="1"/>
  <c r="J123" i="74"/>
  <c r="K123" i="74"/>
  <c r="L146" i="74"/>
  <c r="M146" i="74" s="1"/>
  <c r="J146" i="74"/>
  <c r="K146" i="74"/>
  <c r="J145" i="74"/>
  <c r="L145" i="74"/>
  <c r="M145" i="74" s="1"/>
  <c r="K145" i="74"/>
  <c r="J121" i="74"/>
  <c r="L121" i="74"/>
  <c r="M121" i="74" s="1"/>
  <c r="K121" i="74"/>
  <c r="J105" i="74"/>
  <c r="L105" i="74"/>
  <c r="M105" i="74" s="1"/>
  <c r="K105" i="74"/>
  <c r="J81" i="74"/>
  <c r="L81" i="74"/>
  <c r="M81" i="74" s="1"/>
  <c r="K81" i="74"/>
  <c r="J49" i="74"/>
  <c r="L49" i="74"/>
  <c r="M49" i="74" s="1"/>
  <c r="K49" i="74"/>
  <c r="J25" i="74"/>
  <c r="L25" i="74"/>
  <c r="M25" i="74" s="1"/>
  <c r="K25" i="74"/>
  <c r="J136" i="74"/>
  <c r="L136" i="74"/>
  <c r="M136" i="74" s="1"/>
  <c r="K136" i="74"/>
  <c r="L150" i="74"/>
  <c r="M150" i="74" s="1"/>
  <c r="J150" i="74"/>
  <c r="K150" i="74"/>
  <c r="L142" i="74"/>
  <c r="M142" i="74" s="1"/>
  <c r="J142" i="74"/>
  <c r="K142" i="74"/>
  <c r="L134" i="74"/>
  <c r="M134" i="74" s="1"/>
  <c r="J134" i="74"/>
  <c r="K134" i="74"/>
  <c r="L126" i="74"/>
  <c r="M126" i="74" s="1"/>
  <c r="J126" i="74"/>
  <c r="K126" i="74"/>
  <c r="L118" i="74"/>
  <c r="M118" i="74" s="1"/>
  <c r="J118" i="74"/>
  <c r="K118" i="74"/>
  <c r="L110" i="74"/>
  <c r="M110" i="74" s="1"/>
  <c r="J110" i="74"/>
  <c r="K110" i="74"/>
  <c r="L102" i="74"/>
  <c r="M102" i="74" s="1"/>
  <c r="J102" i="74"/>
  <c r="K102" i="74"/>
  <c r="L94" i="74"/>
  <c r="M94" i="74" s="1"/>
  <c r="J94" i="74"/>
  <c r="K94" i="74"/>
  <c r="L86" i="74"/>
  <c r="M86" i="74" s="1"/>
  <c r="J86" i="74"/>
  <c r="K86" i="74"/>
  <c r="L78" i="74"/>
  <c r="M78" i="74" s="1"/>
  <c r="J78" i="74"/>
  <c r="K78" i="74"/>
  <c r="L70" i="74"/>
  <c r="M70" i="74" s="1"/>
  <c r="J70" i="74"/>
  <c r="K70" i="74"/>
  <c r="L62" i="74"/>
  <c r="M62" i="74" s="1"/>
  <c r="J62" i="74"/>
  <c r="K62" i="74"/>
  <c r="L54" i="74"/>
  <c r="M54" i="74" s="1"/>
  <c r="J54" i="74"/>
  <c r="K54" i="74"/>
  <c r="L46" i="74"/>
  <c r="M46" i="74" s="1"/>
  <c r="J46" i="74"/>
  <c r="K46" i="74"/>
  <c r="L38" i="74"/>
  <c r="M38" i="74" s="1"/>
  <c r="J38" i="74"/>
  <c r="K38" i="74"/>
  <c r="L30" i="74"/>
  <c r="M30" i="74" s="1"/>
  <c r="J30" i="74"/>
  <c r="K30" i="74"/>
  <c r="L22" i="74"/>
  <c r="M22" i="74" s="1"/>
  <c r="J22" i="74"/>
  <c r="K22" i="74"/>
  <c r="L14" i="74"/>
  <c r="M14" i="74" s="1"/>
  <c r="J14" i="74"/>
  <c r="K14" i="74"/>
  <c r="L6" i="74"/>
  <c r="M6" i="74" s="1"/>
  <c r="J6" i="74"/>
  <c r="K6" i="74"/>
  <c r="L124" i="74"/>
  <c r="M124" i="74" s="1"/>
  <c r="J124" i="74"/>
  <c r="K124" i="74"/>
  <c r="L139" i="74"/>
  <c r="M139" i="74" s="1"/>
  <c r="J139" i="74"/>
  <c r="K139" i="74"/>
  <c r="L99" i="74"/>
  <c r="M99" i="74" s="1"/>
  <c r="J99" i="74"/>
  <c r="K99" i="74"/>
  <c r="J137" i="74"/>
  <c r="L137" i="74"/>
  <c r="M137" i="74" s="1"/>
  <c r="K137" i="74"/>
  <c r="J113" i="74"/>
  <c r="L113" i="74"/>
  <c r="M113" i="74" s="1"/>
  <c r="K113" i="74"/>
  <c r="J89" i="74"/>
  <c r="L89" i="74"/>
  <c r="M89" i="74" s="1"/>
  <c r="K89" i="74"/>
  <c r="J57" i="74"/>
  <c r="L57" i="74"/>
  <c r="M57" i="74" s="1"/>
  <c r="K57" i="74"/>
  <c r="J41" i="74"/>
  <c r="L41" i="74"/>
  <c r="M41" i="74" s="1"/>
  <c r="K41" i="74"/>
  <c r="J33" i="74"/>
  <c r="L33" i="74"/>
  <c r="M33" i="74" s="1"/>
  <c r="K33" i="74"/>
  <c r="J9" i="74"/>
  <c r="L9" i="74"/>
  <c r="M9" i="74" s="1"/>
  <c r="K9" i="74"/>
  <c r="J144" i="74"/>
  <c r="L144" i="74"/>
  <c r="M144" i="74" s="1"/>
  <c r="K144" i="74"/>
  <c r="L149" i="74"/>
  <c r="M149" i="74" s="1"/>
  <c r="J149" i="74"/>
  <c r="K149" i="74"/>
  <c r="L141" i="74"/>
  <c r="M141" i="74" s="1"/>
  <c r="J141" i="74"/>
  <c r="K141" i="74"/>
  <c r="L133" i="74"/>
  <c r="M133" i="74" s="1"/>
  <c r="J133" i="74"/>
  <c r="K133" i="74"/>
  <c r="L125" i="74"/>
  <c r="M125" i="74" s="1"/>
  <c r="J125" i="74"/>
  <c r="K125" i="74"/>
  <c r="L117" i="74"/>
  <c r="M117" i="74" s="1"/>
  <c r="J117" i="74"/>
  <c r="K117" i="74"/>
  <c r="L109" i="74"/>
  <c r="M109" i="74" s="1"/>
  <c r="J109" i="74"/>
  <c r="K109" i="74"/>
  <c r="L101" i="74"/>
  <c r="M101" i="74" s="1"/>
  <c r="J101" i="74"/>
  <c r="K101" i="74"/>
  <c r="L93" i="74"/>
  <c r="M93" i="74" s="1"/>
  <c r="J93" i="74"/>
  <c r="K93" i="74"/>
  <c r="L85" i="74"/>
  <c r="M85" i="74" s="1"/>
  <c r="J85" i="74"/>
  <c r="K85" i="74"/>
  <c r="L77" i="74"/>
  <c r="M77" i="74" s="1"/>
  <c r="J77" i="74"/>
  <c r="K77" i="74"/>
  <c r="L69" i="74"/>
  <c r="M69" i="74" s="1"/>
  <c r="J69" i="74"/>
  <c r="K69" i="74"/>
  <c r="L61" i="74"/>
  <c r="M61" i="74" s="1"/>
  <c r="J61" i="74"/>
  <c r="K61" i="74"/>
  <c r="L53" i="74"/>
  <c r="M53" i="74" s="1"/>
  <c r="J53" i="74"/>
  <c r="K53" i="74"/>
  <c r="L45" i="74"/>
  <c r="M45" i="74" s="1"/>
  <c r="J45" i="74"/>
  <c r="K45" i="74"/>
  <c r="L37" i="74"/>
  <c r="M37" i="74" s="1"/>
  <c r="J37" i="74"/>
  <c r="K37" i="74"/>
  <c r="L29" i="74"/>
  <c r="M29" i="74" s="1"/>
  <c r="J29" i="74"/>
  <c r="K29" i="74"/>
  <c r="L21" i="74"/>
  <c r="M21" i="74" s="1"/>
  <c r="J21" i="74"/>
  <c r="K21" i="74"/>
  <c r="L13" i="74"/>
  <c r="M13" i="74" s="1"/>
  <c r="K13" i="74"/>
  <c r="L5" i="74"/>
  <c r="M5" i="74" s="1"/>
  <c r="J5" i="74"/>
  <c r="K5" i="74"/>
  <c r="B14" i="59"/>
  <c r="R95" i="83" a="1"/>
  <c r="R93" i="83" a="1"/>
  <c r="R92" i="83" a="1"/>
  <c r="R94" i="83" a="1"/>
  <c r="R190" i="83" a="1"/>
  <c r="R140" i="83" a="1"/>
  <c r="R283" i="83" a="1"/>
  <c r="R236" i="83" a="1"/>
  <c r="R282" i="83" a="1"/>
  <c r="R188" i="83" a="1"/>
  <c r="R189" i="83" a="1"/>
  <c r="R239" i="83" a="1"/>
  <c r="R287" i="83" a="1"/>
  <c r="R139" i="83" a="1"/>
  <c r="R235" i="83" a="1"/>
  <c r="R143" i="83" a="1"/>
  <c r="R284" i="83" a="1"/>
  <c r="R91" i="83" a="1"/>
  <c r="R142" i="83" a="1"/>
  <c r="R187" i="83" a="1"/>
  <c r="R138" i="83" a="1"/>
  <c r="R186" i="83" a="1"/>
  <c r="R285" i="83" a="1"/>
  <c r="R141" i="83" a="1"/>
  <c r="R286" i="83" a="1"/>
  <c r="R234" i="83" a="1"/>
  <c r="R191" i="83" a="1"/>
  <c r="R238" i="83" a="1"/>
  <c r="R237" i="83" a="1"/>
  <c r="T331" i="83" l="1"/>
  <c r="T332" i="83"/>
  <c r="T335" i="83"/>
  <c r="T330" i="83"/>
  <c r="T334" i="83"/>
  <c r="T333" i="83"/>
  <c r="R287" i="83"/>
  <c r="T287" i="83" s="1"/>
  <c r="R283" i="83"/>
  <c r="T283" i="83" s="1"/>
  <c r="R286" i="83"/>
  <c r="T286" i="83" s="1"/>
  <c r="R282" i="83"/>
  <c r="T282" i="83" s="1"/>
  <c r="R285" i="83"/>
  <c r="T285" i="83" s="1"/>
  <c r="R284" i="83"/>
  <c r="T284" i="83" s="1"/>
  <c r="R236" i="83"/>
  <c r="T236" i="83" s="1"/>
  <c r="R239" i="83"/>
  <c r="T239" i="83" s="1"/>
  <c r="R235" i="83"/>
  <c r="T235" i="83" s="1"/>
  <c r="R238" i="83"/>
  <c r="T238" i="83" s="1"/>
  <c r="R234" i="83"/>
  <c r="T234" i="83" s="1"/>
  <c r="R237" i="83"/>
  <c r="T237" i="83" s="1"/>
  <c r="R191" i="83"/>
  <c r="T191" i="83" s="1"/>
  <c r="R187" i="83"/>
  <c r="T187" i="83" s="1"/>
  <c r="R190" i="83"/>
  <c r="T190" i="83" s="1"/>
  <c r="R186" i="83"/>
  <c r="T186" i="83" s="1"/>
  <c r="R189" i="83"/>
  <c r="T189" i="83" s="1"/>
  <c r="R188" i="83"/>
  <c r="T188" i="83" s="1"/>
  <c r="R143" i="83"/>
  <c r="T143" i="83" s="1"/>
  <c r="R139" i="83"/>
  <c r="T139" i="83" s="1"/>
  <c r="R142" i="83"/>
  <c r="T142" i="83" s="1"/>
  <c r="R138" i="83"/>
  <c r="T138" i="83" s="1"/>
  <c r="R141" i="83"/>
  <c r="T141" i="83" s="1"/>
  <c r="R140" i="83"/>
  <c r="T140" i="83" s="1"/>
  <c r="R95" i="83"/>
  <c r="T95" i="83" s="1"/>
  <c r="R94" i="83"/>
  <c r="T94" i="83" s="1"/>
  <c r="R93" i="83"/>
  <c r="T93" i="83" s="1"/>
  <c r="R92" i="83"/>
  <c r="T92" i="83" s="1"/>
  <c r="R91" i="83"/>
  <c r="T91" i="83" s="1"/>
  <c r="F8" i="69"/>
  <c r="F7" i="69"/>
  <c r="O317" i="83" l="1"/>
  <c r="T328" i="83"/>
  <c r="O316" i="83"/>
  <c r="O269" i="83"/>
  <c r="T280" i="83"/>
  <c r="O268" i="83"/>
  <c r="O221" i="83"/>
  <c r="T232" i="83"/>
  <c r="O220" i="83"/>
  <c r="T184" i="83"/>
  <c r="O173" i="83"/>
  <c r="O172" i="83"/>
  <c r="O125" i="83"/>
  <c r="T136" i="83"/>
  <c r="O124" i="83"/>
  <c r="O76" i="83"/>
  <c r="M7" i="50"/>
  <c r="N7" i="50" s="1"/>
  <c r="M8" i="50"/>
  <c r="N8" i="50" s="1"/>
  <c r="M188" i="50"/>
  <c r="N188" i="50" s="1"/>
  <c r="M187" i="50"/>
  <c r="N187" i="50" s="1"/>
  <c r="M186" i="50"/>
  <c r="N186" i="50" s="1"/>
  <c r="M185" i="50"/>
  <c r="N185" i="50" s="1"/>
  <c r="M342" i="50"/>
  <c r="N342" i="50" s="1"/>
  <c r="M341" i="50"/>
  <c r="N341" i="50" s="1"/>
  <c r="M340" i="50"/>
  <c r="N340" i="50" s="1"/>
  <c r="M339" i="50"/>
  <c r="N339" i="50" s="1"/>
  <c r="M338" i="50"/>
  <c r="N338" i="50" s="1"/>
  <c r="M337" i="50"/>
  <c r="N337" i="50" s="1"/>
  <c r="M336" i="50"/>
  <c r="N336" i="50" s="1"/>
  <c r="M335" i="50"/>
  <c r="N335" i="50" s="1"/>
  <c r="M334" i="50"/>
  <c r="N334" i="50" s="1"/>
  <c r="M333" i="50"/>
  <c r="N333" i="50" s="1"/>
  <c r="M332" i="50"/>
  <c r="N332" i="50" s="1"/>
  <c r="M331" i="50"/>
  <c r="N331" i="50" s="1"/>
  <c r="M330" i="50"/>
  <c r="N330" i="50" s="1"/>
  <c r="M329" i="50"/>
  <c r="N329" i="50" s="1"/>
  <c r="M328" i="50"/>
  <c r="N328" i="50" s="1"/>
  <c r="M327" i="50"/>
  <c r="N327" i="50" s="1"/>
  <c r="M326" i="50"/>
  <c r="N326" i="50" s="1"/>
  <c r="M325" i="50"/>
  <c r="N325" i="50" s="1"/>
  <c r="M324" i="50"/>
  <c r="N324" i="50" s="1"/>
  <c r="M323" i="50"/>
  <c r="N323" i="50" s="1"/>
  <c r="M322" i="50"/>
  <c r="N322" i="50" s="1"/>
  <c r="M321" i="50"/>
  <c r="N321" i="50" s="1"/>
  <c r="M320" i="50"/>
  <c r="N320" i="50" s="1"/>
  <c r="M319" i="50"/>
  <c r="N319" i="50" s="1"/>
  <c r="M318" i="50"/>
  <c r="N318" i="50" s="1"/>
  <c r="M317" i="50"/>
  <c r="N317" i="50" s="1"/>
  <c r="M316" i="50"/>
  <c r="N316" i="50" s="1"/>
  <c r="M315" i="50"/>
  <c r="N315" i="50" s="1"/>
  <c r="M314" i="50"/>
  <c r="N314" i="50" s="1"/>
  <c r="M313" i="50"/>
  <c r="N313" i="50" s="1"/>
  <c r="M312" i="50"/>
  <c r="N312" i="50" s="1"/>
  <c r="M311" i="50"/>
  <c r="N311" i="50" s="1"/>
  <c r="M310" i="50"/>
  <c r="N310" i="50" s="1"/>
  <c r="M309" i="50"/>
  <c r="N309" i="50" s="1"/>
  <c r="M308" i="50"/>
  <c r="N308" i="50" s="1"/>
  <c r="M307" i="50"/>
  <c r="N307" i="50" s="1"/>
  <c r="M306" i="50"/>
  <c r="N306" i="50" s="1"/>
  <c r="M305" i="50"/>
  <c r="N305" i="50" s="1"/>
  <c r="M304" i="50"/>
  <c r="N304" i="50" s="1"/>
  <c r="M303" i="50"/>
  <c r="N303" i="50" s="1"/>
  <c r="M302" i="50"/>
  <c r="N302" i="50" s="1"/>
  <c r="M301" i="50"/>
  <c r="N301" i="50" s="1"/>
  <c r="M300" i="50"/>
  <c r="N300" i="50" s="1"/>
  <c r="M299" i="50"/>
  <c r="N299" i="50" s="1"/>
  <c r="M298" i="50"/>
  <c r="N298" i="50" s="1"/>
  <c r="M297" i="50"/>
  <c r="N297" i="50" s="1"/>
  <c r="M296" i="50"/>
  <c r="N296" i="50" s="1"/>
  <c r="M295" i="50"/>
  <c r="N295" i="50" s="1"/>
  <c r="M294" i="50"/>
  <c r="N294" i="50" s="1"/>
  <c r="M293" i="50"/>
  <c r="N293" i="50" s="1"/>
  <c r="M292" i="50"/>
  <c r="N292" i="50" s="1"/>
  <c r="M291" i="50"/>
  <c r="N291" i="50" s="1"/>
  <c r="M290" i="50"/>
  <c r="N290" i="50" s="1"/>
  <c r="M289" i="50"/>
  <c r="N289" i="50" s="1"/>
  <c r="M288" i="50"/>
  <c r="N288" i="50" s="1"/>
  <c r="M287" i="50"/>
  <c r="N287" i="50" s="1"/>
  <c r="M286" i="50"/>
  <c r="N286" i="50" s="1"/>
  <c r="M285" i="50"/>
  <c r="N285" i="50" s="1"/>
  <c r="M284" i="50"/>
  <c r="N284" i="50" s="1"/>
  <c r="M283" i="50"/>
  <c r="N283" i="50" s="1"/>
  <c r="M282" i="50"/>
  <c r="N282" i="50" s="1"/>
  <c r="M281" i="50"/>
  <c r="N281" i="50" s="1"/>
  <c r="M280" i="50"/>
  <c r="N280" i="50" s="1"/>
  <c r="M279" i="50"/>
  <c r="N279" i="50" s="1"/>
  <c r="M278" i="50"/>
  <c r="N278" i="50" s="1"/>
  <c r="M277" i="50"/>
  <c r="N277" i="50" s="1"/>
  <c r="M276" i="50"/>
  <c r="N276" i="50" s="1"/>
  <c r="M275" i="50"/>
  <c r="N275" i="50" s="1"/>
  <c r="M274" i="50"/>
  <c r="N274" i="50" s="1"/>
  <c r="M273" i="50"/>
  <c r="N273" i="50" s="1"/>
  <c r="M272" i="50"/>
  <c r="N272" i="50" s="1"/>
  <c r="M271" i="50"/>
  <c r="N271" i="50" s="1"/>
  <c r="M270" i="50"/>
  <c r="N270" i="50" s="1"/>
  <c r="M269" i="50"/>
  <c r="N269" i="50" s="1"/>
  <c r="M268" i="50"/>
  <c r="N268" i="50" s="1"/>
  <c r="M267" i="50"/>
  <c r="N267" i="50" s="1"/>
  <c r="M266" i="50"/>
  <c r="N266" i="50" s="1"/>
  <c r="M265" i="50"/>
  <c r="N265" i="50" s="1"/>
  <c r="M264" i="50"/>
  <c r="N264" i="50" s="1"/>
  <c r="M263" i="50"/>
  <c r="N263" i="50" s="1"/>
  <c r="M262" i="50"/>
  <c r="N262" i="50" s="1"/>
  <c r="M261" i="50"/>
  <c r="N261" i="50" s="1"/>
  <c r="M260" i="50"/>
  <c r="N260" i="50" s="1"/>
  <c r="M259" i="50"/>
  <c r="N259" i="50" s="1"/>
  <c r="M258" i="50"/>
  <c r="N258" i="50" s="1"/>
  <c r="M257" i="50"/>
  <c r="N257" i="50" s="1"/>
  <c r="M256" i="50"/>
  <c r="N256" i="50" s="1"/>
  <c r="M255" i="50"/>
  <c r="N255" i="50" s="1"/>
  <c r="M254" i="50"/>
  <c r="N254" i="50" s="1"/>
  <c r="M253" i="50"/>
  <c r="N253" i="50" s="1"/>
  <c r="M252" i="50"/>
  <c r="N252" i="50" s="1"/>
  <c r="M251" i="50"/>
  <c r="N251" i="50" s="1"/>
  <c r="M250" i="50"/>
  <c r="N250" i="50" s="1"/>
  <c r="M249" i="50"/>
  <c r="N249" i="50" s="1"/>
  <c r="M248" i="50"/>
  <c r="N248" i="50" s="1"/>
  <c r="M247" i="50"/>
  <c r="N247" i="50" s="1"/>
  <c r="M246" i="50"/>
  <c r="N246" i="50" s="1"/>
  <c r="M245" i="50"/>
  <c r="N245" i="50" s="1"/>
  <c r="M244" i="50"/>
  <c r="N244" i="50" s="1"/>
  <c r="M243" i="50"/>
  <c r="N243" i="50" s="1"/>
  <c r="M242" i="50"/>
  <c r="N242" i="50" s="1"/>
  <c r="M241" i="50"/>
  <c r="N241" i="50" s="1"/>
  <c r="M240" i="50"/>
  <c r="N240" i="50" s="1"/>
  <c r="M239" i="50"/>
  <c r="N239" i="50" s="1"/>
  <c r="M238" i="50"/>
  <c r="N238" i="50" s="1"/>
  <c r="M237" i="50"/>
  <c r="N237" i="50" s="1"/>
  <c r="M236" i="50"/>
  <c r="N236" i="50" s="1"/>
  <c r="M235" i="50"/>
  <c r="N235" i="50" s="1"/>
  <c r="M234" i="50"/>
  <c r="N234" i="50" s="1"/>
  <c r="M233" i="50"/>
  <c r="N233" i="50" s="1"/>
  <c r="M232" i="50"/>
  <c r="N232" i="50" s="1"/>
  <c r="M231" i="50"/>
  <c r="N231" i="50" s="1"/>
  <c r="M230" i="50"/>
  <c r="N230" i="50" s="1"/>
  <c r="M229" i="50"/>
  <c r="N229" i="50" s="1"/>
  <c r="M228" i="50"/>
  <c r="N228" i="50" s="1"/>
  <c r="M227" i="50"/>
  <c r="N227" i="50" s="1"/>
  <c r="M226" i="50"/>
  <c r="N226" i="50" s="1"/>
  <c r="M225" i="50"/>
  <c r="N225" i="50" s="1"/>
  <c r="M224" i="50"/>
  <c r="N224" i="50" s="1"/>
  <c r="M223" i="50"/>
  <c r="N223" i="50" s="1"/>
  <c r="M222" i="50"/>
  <c r="N222" i="50" s="1"/>
  <c r="M221" i="50"/>
  <c r="N221" i="50" s="1"/>
  <c r="M220" i="50"/>
  <c r="N220" i="50" s="1"/>
  <c r="M219" i="50"/>
  <c r="N219" i="50" s="1"/>
  <c r="M218" i="50"/>
  <c r="N218" i="50" s="1"/>
  <c r="M217" i="50"/>
  <c r="N217" i="50" s="1"/>
  <c r="M216" i="50"/>
  <c r="N216" i="50" s="1"/>
  <c r="M215" i="50"/>
  <c r="N215" i="50" s="1"/>
  <c r="M214" i="50"/>
  <c r="N214" i="50" s="1"/>
  <c r="M213" i="50"/>
  <c r="N213" i="50" s="1"/>
  <c r="M212" i="50"/>
  <c r="N212" i="50" s="1"/>
  <c r="M211" i="50"/>
  <c r="N211" i="50" s="1"/>
  <c r="M210" i="50"/>
  <c r="N210" i="50" s="1"/>
  <c r="M209" i="50"/>
  <c r="N209" i="50" s="1"/>
  <c r="M208" i="50"/>
  <c r="N208" i="50" s="1"/>
  <c r="M207" i="50"/>
  <c r="N207" i="50" s="1"/>
  <c r="M206" i="50"/>
  <c r="N206" i="50" s="1"/>
  <c r="M205" i="50"/>
  <c r="N205" i="50" s="1"/>
  <c r="M204" i="50"/>
  <c r="N204" i="50" s="1"/>
  <c r="M203" i="50"/>
  <c r="N203" i="50" s="1"/>
  <c r="M202" i="50"/>
  <c r="N202" i="50" s="1"/>
  <c r="M201" i="50"/>
  <c r="N201" i="50" s="1"/>
  <c r="M200" i="50"/>
  <c r="N200" i="50" s="1"/>
  <c r="M199" i="50"/>
  <c r="N199" i="50" s="1"/>
  <c r="M198" i="50"/>
  <c r="N198" i="50" s="1"/>
  <c r="M197" i="50"/>
  <c r="N197" i="50" s="1"/>
  <c r="M196" i="50"/>
  <c r="N196" i="50" s="1"/>
  <c r="M195" i="50"/>
  <c r="N195" i="50" s="1"/>
  <c r="M194" i="50"/>
  <c r="N194" i="50" s="1"/>
  <c r="M193" i="50"/>
  <c r="N193" i="50" s="1"/>
  <c r="M192" i="50"/>
  <c r="N192" i="50" s="1"/>
  <c r="M191" i="50"/>
  <c r="N191" i="50" s="1"/>
  <c r="M190" i="50"/>
  <c r="N190" i="50" s="1"/>
  <c r="M189" i="50"/>
  <c r="N189" i="50" s="1"/>
  <c r="M23" i="50"/>
  <c r="N23" i="50" s="1"/>
  <c r="M24" i="50"/>
  <c r="N24" i="50" s="1"/>
  <c r="M25" i="50"/>
  <c r="N25" i="50" s="1"/>
  <c r="M26" i="50"/>
  <c r="N26" i="50" s="1"/>
  <c r="M27" i="50"/>
  <c r="N27" i="50" s="1"/>
  <c r="M28" i="50"/>
  <c r="N28" i="50" s="1"/>
  <c r="M29" i="50"/>
  <c r="N29" i="50" s="1"/>
  <c r="M30" i="50"/>
  <c r="N30" i="50" s="1"/>
  <c r="M31" i="50"/>
  <c r="N31" i="50" s="1"/>
  <c r="M32" i="50"/>
  <c r="N32" i="50" s="1"/>
  <c r="M33" i="50"/>
  <c r="N33" i="50" s="1"/>
  <c r="M34" i="50"/>
  <c r="N34" i="50" s="1"/>
  <c r="M35" i="50"/>
  <c r="N35" i="50" s="1"/>
  <c r="M36" i="50"/>
  <c r="N36" i="50" s="1"/>
  <c r="M37" i="50"/>
  <c r="N37" i="50" s="1"/>
  <c r="M38" i="50"/>
  <c r="N38" i="50" s="1"/>
  <c r="M39" i="50"/>
  <c r="N39" i="50" s="1"/>
  <c r="M40" i="50"/>
  <c r="N40" i="50" s="1"/>
  <c r="M41" i="50"/>
  <c r="N41" i="50" s="1"/>
  <c r="M42" i="50"/>
  <c r="N42" i="50" s="1"/>
  <c r="M43" i="50"/>
  <c r="N43" i="50" s="1"/>
  <c r="M44" i="50"/>
  <c r="N44" i="50" s="1"/>
  <c r="M45" i="50"/>
  <c r="N45" i="50" s="1"/>
  <c r="M46" i="50"/>
  <c r="N46" i="50" s="1"/>
  <c r="M47" i="50"/>
  <c r="N47" i="50" s="1"/>
  <c r="M48" i="50"/>
  <c r="N48" i="50" s="1"/>
  <c r="M49" i="50"/>
  <c r="N49" i="50" s="1"/>
  <c r="M50" i="50"/>
  <c r="N50" i="50" s="1"/>
  <c r="M51" i="50"/>
  <c r="N51" i="50" s="1"/>
  <c r="M52" i="50"/>
  <c r="N52" i="50" s="1"/>
  <c r="M53" i="50"/>
  <c r="N53" i="50" s="1"/>
  <c r="M54" i="50"/>
  <c r="N54" i="50" s="1"/>
  <c r="M55" i="50"/>
  <c r="N55" i="50" s="1"/>
  <c r="M56" i="50"/>
  <c r="N56" i="50" s="1"/>
  <c r="M57" i="50"/>
  <c r="N57" i="50" s="1"/>
  <c r="M58" i="50"/>
  <c r="N58" i="50" s="1"/>
  <c r="M59" i="50"/>
  <c r="N59" i="50" s="1"/>
  <c r="M60" i="50"/>
  <c r="N60" i="50" s="1"/>
  <c r="M61" i="50"/>
  <c r="N61" i="50" s="1"/>
  <c r="M62" i="50"/>
  <c r="N62" i="50" s="1"/>
  <c r="M63" i="50"/>
  <c r="N63" i="50" s="1"/>
  <c r="M64" i="50"/>
  <c r="N64" i="50" s="1"/>
  <c r="M65" i="50"/>
  <c r="N65" i="50" s="1"/>
  <c r="M66" i="50"/>
  <c r="N66" i="50" s="1"/>
  <c r="M67" i="50"/>
  <c r="N67" i="50" s="1"/>
  <c r="M68" i="50"/>
  <c r="N68" i="50" s="1"/>
  <c r="M69" i="50"/>
  <c r="N69" i="50" s="1"/>
  <c r="M70" i="50"/>
  <c r="N70" i="50" s="1"/>
  <c r="M71" i="50"/>
  <c r="N71" i="50" s="1"/>
  <c r="M72" i="50"/>
  <c r="N72" i="50" s="1"/>
  <c r="M73" i="50"/>
  <c r="N73" i="50" s="1"/>
  <c r="M74" i="50"/>
  <c r="N74" i="50" s="1"/>
  <c r="M75" i="50"/>
  <c r="N75" i="50" s="1"/>
  <c r="M76" i="50"/>
  <c r="N76" i="50" s="1"/>
  <c r="M77" i="50"/>
  <c r="N77" i="50" s="1"/>
  <c r="M78" i="50"/>
  <c r="N78" i="50" s="1"/>
  <c r="M79" i="50"/>
  <c r="N79" i="50" s="1"/>
  <c r="M80" i="50"/>
  <c r="N80" i="50" s="1"/>
  <c r="M81" i="50"/>
  <c r="N81" i="50" s="1"/>
  <c r="M82" i="50"/>
  <c r="N82" i="50" s="1"/>
  <c r="M83" i="50"/>
  <c r="N83" i="50" s="1"/>
  <c r="M84" i="50"/>
  <c r="N84" i="50" s="1"/>
  <c r="M85" i="50"/>
  <c r="N85" i="50" s="1"/>
  <c r="M86" i="50"/>
  <c r="N86" i="50" s="1"/>
  <c r="M87" i="50"/>
  <c r="N87" i="50" s="1"/>
  <c r="M88" i="50"/>
  <c r="N88" i="50" s="1"/>
  <c r="M89" i="50"/>
  <c r="N89" i="50" s="1"/>
  <c r="M90" i="50"/>
  <c r="N90" i="50" s="1"/>
  <c r="M91" i="50"/>
  <c r="N91" i="50" s="1"/>
  <c r="M92" i="50"/>
  <c r="N92" i="50" s="1"/>
  <c r="M93" i="50"/>
  <c r="N93" i="50" s="1"/>
  <c r="M94" i="50"/>
  <c r="N94" i="50" s="1"/>
  <c r="M95" i="50"/>
  <c r="N95" i="50" s="1"/>
  <c r="M96" i="50"/>
  <c r="N96" i="50" s="1"/>
  <c r="M97" i="50"/>
  <c r="N97" i="50" s="1"/>
  <c r="M98" i="50"/>
  <c r="N98" i="50" s="1"/>
  <c r="M99" i="50"/>
  <c r="N99" i="50" s="1"/>
  <c r="M100" i="50"/>
  <c r="N100" i="50" s="1"/>
  <c r="M101" i="50"/>
  <c r="N101" i="50" s="1"/>
  <c r="M102" i="50"/>
  <c r="N102" i="50" s="1"/>
  <c r="M103" i="50"/>
  <c r="N103" i="50" s="1"/>
  <c r="M104" i="50"/>
  <c r="N104" i="50" s="1"/>
  <c r="M105" i="50"/>
  <c r="N105" i="50" s="1"/>
  <c r="M106" i="50"/>
  <c r="N106" i="50" s="1"/>
  <c r="M107" i="50"/>
  <c r="N107" i="50" s="1"/>
  <c r="M108" i="50"/>
  <c r="N108" i="50" s="1"/>
  <c r="M109" i="50"/>
  <c r="N109" i="50" s="1"/>
  <c r="M110" i="50"/>
  <c r="N110" i="50" s="1"/>
  <c r="M111" i="50"/>
  <c r="N111" i="50" s="1"/>
  <c r="M112" i="50"/>
  <c r="N112" i="50" s="1"/>
  <c r="M113" i="50"/>
  <c r="N113" i="50" s="1"/>
  <c r="M114" i="50"/>
  <c r="N114" i="50" s="1"/>
  <c r="M115" i="50"/>
  <c r="N115" i="50" s="1"/>
  <c r="M116" i="50"/>
  <c r="N116" i="50" s="1"/>
  <c r="M117" i="50"/>
  <c r="N117" i="50" s="1"/>
  <c r="M118" i="50"/>
  <c r="N118" i="50" s="1"/>
  <c r="M119" i="50"/>
  <c r="N119" i="50" s="1"/>
  <c r="M120" i="50"/>
  <c r="N120" i="50" s="1"/>
  <c r="M121" i="50"/>
  <c r="N121" i="50" s="1"/>
  <c r="M122" i="50"/>
  <c r="N122" i="50" s="1"/>
  <c r="M123" i="50"/>
  <c r="N123" i="50" s="1"/>
  <c r="M124" i="50"/>
  <c r="N124" i="50" s="1"/>
  <c r="M125" i="50"/>
  <c r="N125" i="50" s="1"/>
  <c r="M126" i="50"/>
  <c r="N126" i="50" s="1"/>
  <c r="M127" i="50"/>
  <c r="N127" i="50" s="1"/>
  <c r="M128" i="50"/>
  <c r="N128" i="50" s="1"/>
  <c r="M129" i="50"/>
  <c r="N129" i="50" s="1"/>
  <c r="M130" i="50"/>
  <c r="N130" i="50" s="1"/>
  <c r="M131" i="50"/>
  <c r="N131" i="50" s="1"/>
  <c r="M132" i="50"/>
  <c r="N132" i="50" s="1"/>
  <c r="M133" i="50"/>
  <c r="N133" i="50" s="1"/>
  <c r="M134" i="50"/>
  <c r="N134" i="50" s="1"/>
  <c r="M135" i="50"/>
  <c r="N135" i="50" s="1"/>
  <c r="M136" i="50"/>
  <c r="N136" i="50" s="1"/>
  <c r="M137" i="50"/>
  <c r="N137" i="50" s="1"/>
  <c r="M138" i="50"/>
  <c r="N138" i="50" s="1"/>
  <c r="M139" i="50"/>
  <c r="N139" i="50" s="1"/>
  <c r="M140" i="50"/>
  <c r="N140" i="50" s="1"/>
  <c r="M141" i="50"/>
  <c r="N141" i="50" s="1"/>
  <c r="M142" i="50"/>
  <c r="N142" i="50" s="1"/>
  <c r="M143" i="50"/>
  <c r="N143" i="50" s="1"/>
  <c r="M144" i="50"/>
  <c r="N144" i="50" s="1"/>
  <c r="M145" i="50"/>
  <c r="N145" i="50" s="1"/>
  <c r="M146" i="50"/>
  <c r="N146" i="50" s="1"/>
  <c r="M147" i="50"/>
  <c r="N147" i="50" s="1"/>
  <c r="M148" i="50"/>
  <c r="N148" i="50" s="1"/>
  <c r="M149" i="50"/>
  <c r="N149" i="50" s="1"/>
  <c r="M150" i="50"/>
  <c r="N150" i="50" s="1"/>
  <c r="M151" i="50"/>
  <c r="N151" i="50" s="1"/>
  <c r="M152" i="50"/>
  <c r="N152" i="50" s="1"/>
  <c r="M153" i="50"/>
  <c r="N153" i="50" s="1"/>
  <c r="M154" i="50"/>
  <c r="N154" i="50" s="1"/>
  <c r="M155" i="50"/>
  <c r="N155" i="50" s="1"/>
  <c r="M156" i="50"/>
  <c r="N156" i="50" s="1"/>
  <c r="M157" i="50"/>
  <c r="N157" i="50" s="1"/>
  <c r="M158" i="50"/>
  <c r="N158" i="50" s="1"/>
  <c r="M159" i="50"/>
  <c r="N159" i="50" s="1"/>
  <c r="M160" i="50"/>
  <c r="N160" i="50" s="1"/>
  <c r="M161" i="50"/>
  <c r="N161" i="50" s="1"/>
  <c r="M162" i="50"/>
  <c r="N162" i="50" s="1"/>
  <c r="M163" i="50"/>
  <c r="N163" i="50" s="1"/>
  <c r="M164" i="50"/>
  <c r="N164" i="50" s="1"/>
  <c r="M165" i="50"/>
  <c r="N165" i="50" s="1"/>
  <c r="M166" i="50"/>
  <c r="N166" i="50" s="1"/>
  <c r="M167" i="50"/>
  <c r="N167" i="50" s="1"/>
  <c r="M168" i="50"/>
  <c r="N168" i="50" s="1"/>
  <c r="M169" i="50"/>
  <c r="N169" i="50" s="1"/>
  <c r="M170" i="50"/>
  <c r="N170" i="50" s="1"/>
  <c r="M171" i="50"/>
  <c r="N171" i="50" s="1"/>
  <c r="M172" i="50"/>
  <c r="N172" i="50" s="1"/>
  <c r="M173" i="50"/>
  <c r="N173" i="50" s="1"/>
  <c r="M174" i="50"/>
  <c r="N174" i="50" s="1"/>
  <c r="M175" i="50"/>
  <c r="N175" i="50" s="1"/>
  <c r="I16" i="50" a="1"/>
  <c r="I16" i="50" s="1"/>
  <c r="H16" i="50" a="1"/>
  <c r="G16" i="50" a="1"/>
  <c r="G16" i="50" s="1"/>
  <c r="F16" i="50" a="1"/>
  <c r="F16" i="50" s="1"/>
  <c r="E16" i="50" a="1"/>
  <c r="E16" i="50" s="1"/>
  <c r="D16" i="50" a="1"/>
  <c r="D16" i="50" s="1"/>
  <c r="C16" i="50" a="1"/>
  <c r="C16" i="50" s="1"/>
  <c r="B16" i="50" a="1"/>
  <c r="B16" i="50" s="1"/>
  <c r="I183" i="50" a="1"/>
  <c r="I183" i="50" s="1"/>
  <c r="H183" i="50" a="1"/>
  <c r="H183" i="50" s="1"/>
  <c r="M183" i="50" s="1"/>
  <c r="G183" i="50" a="1"/>
  <c r="G183" i="50" s="1"/>
  <c r="F183" i="50" a="1"/>
  <c r="F183" i="50" s="1"/>
  <c r="E183" i="50" a="1"/>
  <c r="E183" i="50" s="1"/>
  <c r="D183" i="50" a="1"/>
  <c r="D183" i="50" s="1"/>
  <c r="C183" i="50" a="1"/>
  <c r="C183" i="50" s="1"/>
  <c r="B183" i="50" a="1"/>
  <c r="B183" i="50" s="1"/>
  <c r="O318" i="83" l="1"/>
  <c r="O319" i="83" s="1"/>
  <c r="AD317" i="83"/>
  <c r="V317" i="83"/>
  <c r="W317" i="83" s="1"/>
  <c r="O270" i="83"/>
  <c r="O271" i="83" s="1"/>
  <c r="P269" i="83" s="1"/>
  <c r="O222" i="83"/>
  <c r="O174" i="83"/>
  <c r="O126" i="83"/>
  <c r="H16" i="50"/>
  <c r="M16" i="50" s="1"/>
  <c r="N16" i="50" s="1"/>
  <c r="M18" i="50"/>
  <c r="N18" i="50" s="1"/>
  <c r="M19" i="50"/>
  <c r="N19" i="50" s="1"/>
  <c r="M22" i="50"/>
  <c r="N22" i="50" s="1"/>
  <c r="M21" i="50"/>
  <c r="N21" i="50" s="1"/>
  <c r="M20" i="50"/>
  <c r="N20" i="50" s="1"/>
  <c r="M184" i="50"/>
  <c r="N184" i="50" s="1"/>
  <c r="M17" i="50"/>
  <c r="N17" i="50" s="1"/>
  <c r="Q9" i="50"/>
  <c r="N183" i="50"/>
  <c r="P316" i="83" l="1"/>
  <c r="P317" i="83"/>
  <c r="AG317" i="83"/>
  <c r="AH317" i="83" s="1"/>
  <c r="AE317" i="83"/>
  <c r="P318" i="83"/>
  <c r="P268" i="83"/>
  <c r="P270" i="83"/>
  <c r="O223" i="83"/>
  <c r="P222" i="83" s="1"/>
  <c r="O175" i="83"/>
  <c r="O127" i="83"/>
  <c r="P126" i="83" s="1"/>
  <c r="N176" i="50"/>
  <c r="F4" i="58"/>
  <c r="P319" i="83" l="1"/>
  <c r="AJ317" i="83"/>
  <c r="AK317" i="83" s="1"/>
  <c r="P271" i="83"/>
  <c r="P221" i="83"/>
  <c r="P220" i="83"/>
  <c r="P173" i="83"/>
  <c r="P172" i="83"/>
  <c r="P174" i="83"/>
  <c r="P125" i="83"/>
  <c r="P124" i="83"/>
  <c r="N33" i="48"/>
  <c r="N34" i="48"/>
  <c r="AN317" i="83" l="1"/>
  <c r="AO317" i="83" s="1"/>
  <c r="P223" i="83"/>
  <c r="P127" i="83"/>
  <c r="P175" i="83"/>
  <c r="O21" i="48"/>
  <c r="N21" i="48"/>
  <c r="I198" i="36" l="1"/>
  <c r="P198" i="36" s="1"/>
  <c r="I197" i="36"/>
  <c r="P197" i="36" s="1"/>
  <c r="I196" i="36"/>
  <c r="P196" i="36" s="1"/>
  <c r="I195" i="36"/>
  <c r="P195" i="36" s="1"/>
  <c r="I194" i="36"/>
  <c r="P194" i="36" s="1"/>
  <c r="I193" i="36"/>
  <c r="P193" i="36" s="1"/>
  <c r="I192" i="36"/>
  <c r="P192" i="36" s="1"/>
  <c r="I191" i="36"/>
  <c r="P191" i="36" s="1"/>
  <c r="I190" i="36"/>
  <c r="P190" i="36" s="1"/>
  <c r="I189" i="36"/>
  <c r="P189" i="36" s="1"/>
  <c r="I188" i="36"/>
  <c r="P188" i="36" s="1"/>
  <c r="I187" i="36"/>
  <c r="P187" i="36" s="1"/>
  <c r="I186" i="36"/>
  <c r="P186" i="36" s="1"/>
  <c r="I185" i="36"/>
  <c r="P185" i="36" s="1"/>
  <c r="I184" i="36"/>
  <c r="P184" i="36" s="1"/>
  <c r="I183" i="36"/>
  <c r="P183" i="36" s="1"/>
  <c r="I182" i="36"/>
  <c r="P182" i="36" s="1"/>
  <c r="I181" i="36"/>
  <c r="P181" i="36" s="1"/>
  <c r="I180" i="36"/>
  <c r="P180" i="36" s="1"/>
  <c r="I179" i="36"/>
  <c r="P179" i="36" s="1"/>
  <c r="I178" i="36"/>
  <c r="P178" i="36" s="1"/>
  <c r="I177" i="36"/>
  <c r="P177" i="36" s="1"/>
  <c r="I176" i="36"/>
  <c r="P176" i="36" s="1"/>
  <c r="I175" i="36"/>
  <c r="P175" i="36" s="1"/>
  <c r="I174" i="36"/>
  <c r="P174" i="36" s="1"/>
  <c r="I173" i="36"/>
  <c r="P173" i="36" s="1"/>
  <c r="I172" i="36"/>
  <c r="P172" i="36" s="1"/>
  <c r="I171" i="36"/>
  <c r="P171" i="36" s="1"/>
  <c r="I170" i="36"/>
  <c r="P170" i="36" s="1"/>
  <c r="I169" i="36"/>
  <c r="P169" i="36" s="1"/>
  <c r="I168" i="36"/>
  <c r="P168" i="36" s="1"/>
  <c r="I167" i="36"/>
  <c r="P167" i="36" s="1"/>
  <c r="I166" i="36"/>
  <c r="P166" i="36" s="1"/>
  <c r="I165" i="36"/>
  <c r="P165" i="36" s="1"/>
  <c r="I164" i="36"/>
  <c r="P164" i="36" s="1"/>
  <c r="I163" i="36"/>
  <c r="P163" i="36" s="1"/>
  <c r="I162" i="36"/>
  <c r="P162" i="36" s="1"/>
  <c r="I161" i="36"/>
  <c r="P161" i="36" s="1"/>
  <c r="I160" i="36"/>
  <c r="P160" i="36" s="1"/>
  <c r="I159" i="36"/>
  <c r="P159" i="36" s="1"/>
  <c r="I158" i="36"/>
  <c r="P158" i="36" s="1"/>
  <c r="I157" i="36"/>
  <c r="P157" i="36" s="1"/>
  <c r="I156" i="36"/>
  <c r="P156" i="36" s="1"/>
  <c r="I155" i="36"/>
  <c r="P155" i="36" s="1"/>
  <c r="I154" i="36"/>
  <c r="P154" i="36" s="1"/>
  <c r="I153" i="36"/>
  <c r="P153" i="36" s="1"/>
  <c r="I152" i="36"/>
  <c r="P152" i="36" s="1"/>
  <c r="I151" i="36"/>
  <c r="P151" i="36" s="1"/>
  <c r="I150" i="36"/>
  <c r="P150" i="36" s="1"/>
  <c r="I149" i="36"/>
  <c r="P149" i="36" s="1"/>
  <c r="I148" i="36"/>
  <c r="P148" i="36" s="1"/>
  <c r="I147" i="36"/>
  <c r="P147" i="36" s="1"/>
  <c r="I146" i="36"/>
  <c r="P146" i="36" s="1"/>
  <c r="I145" i="36"/>
  <c r="P145" i="36" s="1"/>
  <c r="I144" i="36"/>
  <c r="P144" i="36" s="1"/>
  <c r="I143" i="36"/>
  <c r="P143" i="36" s="1"/>
  <c r="I142" i="36"/>
  <c r="P142" i="36" s="1"/>
  <c r="I141" i="36"/>
  <c r="P141" i="36" s="1"/>
  <c r="I140" i="36"/>
  <c r="P140" i="36" s="1"/>
  <c r="I139" i="36"/>
  <c r="P139" i="36" s="1"/>
  <c r="I138" i="36"/>
  <c r="P138" i="36" s="1"/>
  <c r="I137" i="36"/>
  <c r="P137" i="36" s="1"/>
  <c r="I136" i="36"/>
  <c r="P136" i="36" s="1"/>
  <c r="I135" i="36"/>
  <c r="P135" i="36" s="1"/>
  <c r="I134" i="36"/>
  <c r="P134" i="36" s="1"/>
  <c r="I133" i="36"/>
  <c r="P133" i="36" s="1"/>
  <c r="I132" i="36"/>
  <c r="P132" i="36" s="1"/>
  <c r="I131" i="36"/>
  <c r="P131" i="36" s="1"/>
  <c r="I130" i="36"/>
  <c r="P130" i="36" s="1"/>
  <c r="I129" i="36"/>
  <c r="P129" i="36" s="1"/>
  <c r="I128" i="36"/>
  <c r="P128" i="36" s="1"/>
  <c r="I127" i="36"/>
  <c r="P127" i="36" s="1"/>
  <c r="I126" i="36"/>
  <c r="P126" i="36" s="1"/>
  <c r="I125" i="36"/>
  <c r="P125" i="36" s="1"/>
  <c r="I124" i="36"/>
  <c r="P124" i="36" s="1"/>
  <c r="I123" i="36"/>
  <c r="P123" i="36" s="1"/>
  <c r="I122" i="36"/>
  <c r="P122" i="36" s="1"/>
  <c r="I121" i="36"/>
  <c r="P121" i="36" s="1"/>
  <c r="I120" i="36"/>
  <c r="P120" i="36" s="1"/>
  <c r="I119" i="36"/>
  <c r="P119" i="36" s="1"/>
  <c r="I118" i="36"/>
  <c r="P118" i="36" s="1"/>
  <c r="I117" i="36"/>
  <c r="P117" i="36" s="1"/>
  <c r="I116" i="36"/>
  <c r="P116" i="36" s="1"/>
  <c r="I115" i="36"/>
  <c r="P115" i="36" s="1"/>
  <c r="I114" i="36"/>
  <c r="P114" i="36" s="1"/>
  <c r="I113" i="36"/>
  <c r="P113" i="36" s="1"/>
  <c r="I112" i="36"/>
  <c r="P112" i="36" s="1"/>
  <c r="I111" i="36"/>
  <c r="P111" i="36" s="1"/>
  <c r="I110" i="36"/>
  <c r="P110" i="36" s="1"/>
  <c r="I109" i="36"/>
  <c r="P109" i="36" s="1"/>
  <c r="I108" i="36"/>
  <c r="P108" i="36" s="1"/>
  <c r="I107" i="36"/>
  <c r="P107" i="36" s="1"/>
  <c r="I106" i="36"/>
  <c r="P106" i="36" s="1"/>
  <c r="I105" i="36"/>
  <c r="P105" i="36" s="1"/>
  <c r="I104" i="36"/>
  <c r="P104" i="36" s="1"/>
  <c r="I103" i="36"/>
  <c r="P103" i="36" s="1"/>
  <c r="I102" i="36"/>
  <c r="P102" i="36" s="1"/>
  <c r="I101" i="36"/>
  <c r="P101" i="36" s="1"/>
  <c r="I100" i="36"/>
  <c r="P100" i="36" s="1"/>
  <c r="I99" i="36"/>
  <c r="P99" i="36" s="1"/>
  <c r="I98" i="36"/>
  <c r="P98" i="36" s="1"/>
  <c r="S138" i="36" l="1"/>
  <c r="T138" i="36" s="1"/>
  <c r="S170" i="36"/>
  <c r="T170" i="36" s="1"/>
  <c r="S99" i="36"/>
  <c r="T99" i="36" s="1"/>
  <c r="S107" i="36"/>
  <c r="T107" i="36" s="1"/>
  <c r="S115" i="36"/>
  <c r="T115" i="36" s="1"/>
  <c r="S123" i="36"/>
  <c r="T123" i="36" s="1"/>
  <c r="S131" i="36"/>
  <c r="T131" i="36" s="1"/>
  <c r="S139" i="36"/>
  <c r="T139" i="36" s="1"/>
  <c r="S147" i="36"/>
  <c r="T147" i="36" s="1"/>
  <c r="S155" i="36"/>
  <c r="T155" i="36" s="1"/>
  <c r="S163" i="36"/>
  <c r="T163" i="36" s="1"/>
  <c r="S171" i="36"/>
  <c r="T171" i="36" s="1"/>
  <c r="S179" i="36"/>
  <c r="T179" i="36" s="1"/>
  <c r="S187" i="36"/>
  <c r="T187" i="36" s="1"/>
  <c r="S195" i="36"/>
  <c r="T195" i="36" s="1"/>
  <c r="S114" i="36"/>
  <c r="T114" i="36" s="1"/>
  <c r="S178" i="36"/>
  <c r="T178" i="36" s="1"/>
  <c r="S116" i="36"/>
  <c r="T116" i="36" s="1"/>
  <c r="S140" i="36"/>
  <c r="T140" i="36" s="1"/>
  <c r="S164" i="36"/>
  <c r="T164" i="36" s="1"/>
  <c r="S180" i="36"/>
  <c r="T180" i="36" s="1"/>
  <c r="S188" i="36"/>
  <c r="T188" i="36" s="1"/>
  <c r="S196" i="36"/>
  <c r="T196" i="36" s="1"/>
  <c r="S130" i="36"/>
  <c r="T130" i="36" s="1"/>
  <c r="S194" i="36"/>
  <c r="T194" i="36" s="1"/>
  <c r="S132" i="36"/>
  <c r="T132" i="36" s="1"/>
  <c r="S156" i="36"/>
  <c r="T156" i="36" s="1"/>
  <c r="S172" i="36"/>
  <c r="T172" i="36" s="1"/>
  <c r="S101" i="36"/>
  <c r="T101" i="36" s="1"/>
  <c r="S109" i="36"/>
  <c r="T109" i="36" s="1"/>
  <c r="S117" i="36"/>
  <c r="T117" i="36" s="1"/>
  <c r="S125" i="36"/>
  <c r="T125" i="36" s="1"/>
  <c r="S133" i="36"/>
  <c r="T133" i="36" s="1"/>
  <c r="S141" i="36"/>
  <c r="T141" i="36" s="1"/>
  <c r="S149" i="36"/>
  <c r="T149" i="36" s="1"/>
  <c r="S157" i="36"/>
  <c r="T157" i="36" s="1"/>
  <c r="S165" i="36"/>
  <c r="T165" i="36" s="1"/>
  <c r="S173" i="36"/>
  <c r="T173" i="36" s="1"/>
  <c r="S181" i="36"/>
  <c r="T181" i="36" s="1"/>
  <c r="S189" i="36"/>
  <c r="T189" i="36" s="1"/>
  <c r="S197" i="36"/>
  <c r="T197" i="36" s="1"/>
  <c r="S106" i="36"/>
  <c r="T106" i="36" s="1"/>
  <c r="S154" i="36"/>
  <c r="T154" i="36" s="1"/>
  <c r="S100" i="36"/>
  <c r="T100" i="36" s="1"/>
  <c r="S124" i="36"/>
  <c r="T124" i="36" s="1"/>
  <c r="S148" i="36"/>
  <c r="T148" i="36" s="1"/>
  <c r="S102" i="36"/>
  <c r="T102" i="36" s="1"/>
  <c r="S110" i="36"/>
  <c r="T110" i="36" s="1"/>
  <c r="S118" i="36"/>
  <c r="T118" i="36" s="1"/>
  <c r="S126" i="36"/>
  <c r="T126" i="36" s="1"/>
  <c r="S134" i="36"/>
  <c r="T134" i="36" s="1"/>
  <c r="S142" i="36"/>
  <c r="T142" i="36" s="1"/>
  <c r="S150" i="36"/>
  <c r="T150" i="36" s="1"/>
  <c r="S158" i="36"/>
  <c r="T158" i="36" s="1"/>
  <c r="S166" i="36"/>
  <c r="T166" i="36" s="1"/>
  <c r="S174" i="36"/>
  <c r="T174" i="36" s="1"/>
  <c r="S182" i="36"/>
  <c r="T182" i="36" s="1"/>
  <c r="S190" i="36"/>
  <c r="T190" i="36" s="1"/>
  <c r="S198" i="36"/>
  <c r="T198" i="36" s="1"/>
  <c r="S146" i="36"/>
  <c r="T146" i="36" s="1"/>
  <c r="S103" i="36"/>
  <c r="T103" i="36" s="1"/>
  <c r="S135" i="36"/>
  <c r="T135" i="36" s="1"/>
  <c r="S159" i="36"/>
  <c r="T159" i="36" s="1"/>
  <c r="S183" i="36"/>
  <c r="T183" i="36" s="1"/>
  <c r="S191" i="36"/>
  <c r="T191" i="36" s="1"/>
  <c r="S98" i="36"/>
  <c r="T98" i="36" s="1"/>
  <c r="S162" i="36"/>
  <c r="T162" i="36" s="1"/>
  <c r="S108" i="36"/>
  <c r="T108" i="36" s="1"/>
  <c r="S127" i="36"/>
  <c r="T127" i="36" s="1"/>
  <c r="S143" i="36"/>
  <c r="T143" i="36" s="1"/>
  <c r="S167" i="36"/>
  <c r="T167" i="36" s="1"/>
  <c r="S104" i="36"/>
  <c r="T104" i="36" s="1"/>
  <c r="S112" i="36"/>
  <c r="T112" i="36" s="1"/>
  <c r="S120" i="36"/>
  <c r="T120" i="36" s="1"/>
  <c r="S128" i="36"/>
  <c r="T128" i="36" s="1"/>
  <c r="S136" i="36"/>
  <c r="T136" i="36" s="1"/>
  <c r="S144" i="36"/>
  <c r="T144" i="36" s="1"/>
  <c r="S152" i="36"/>
  <c r="T152" i="36" s="1"/>
  <c r="S160" i="36"/>
  <c r="T160" i="36" s="1"/>
  <c r="S168" i="36"/>
  <c r="T168" i="36" s="1"/>
  <c r="S176" i="36"/>
  <c r="T176" i="36" s="1"/>
  <c r="S184" i="36"/>
  <c r="T184" i="36" s="1"/>
  <c r="S192" i="36"/>
  <c r="T192" i="36" s="1"/>
  <c r="S122" i="36"/>
  <c r="T122" i="36" s="1"/>
  <c r="S186" i="36"/>
  <c r="T186" i="36" s="1"/>
  <c r="S111" i="36"/>
  <c r="T111" i="36" s="1"/>
  <c r="S119" i="36"/>
  <c r="T119" i="36" s="1"/>
  <c r="S151" i="36"/>
  <c r="T151" i="36" s="1"/>
  <c r="S175" i="36"/>
  <c r="T175" i="36" s="1"/>
  <c r="S105" i="36"/>
  <c r="T105" i="36" s="1"/>
  <c r="S113" i="36"/>
  <c r="T113" i="36" s="1"/>
  <c r="S121" i="36"/>
  <c r="T121" i="36" s="1"/>
  <c r="S129" i="36"/>
  <c r="T129" i="36" s="1"/>
  <c r="S137" i="36"/>
  <c r="T137" i="36" s="1"/>
  <c r="S145" i="36"/>
  <c r="T145" i="36" s="1"/>
  <c r="S153" i="36"/>
  <c r="T153" i="36" s="1"/>
  <c r="S161" i="36"/>
  <c r="T161" i="36" s="1"/>
  <c r="S169" i="36"/>
  <c r="T169" i="36" s="1"/>
  <c r="S177" i="36"/>
  <c r="T177" i="36" s="1"/>
  <c r="S185" i="36"/>
  <c r="T185" i="36" s="1"/>
  <c r="S193" i="36"/>
  <c r="T193" i="36" s="1"/>
  <c r="Q100" i="36"/>
  <c r="R100" i="36"/>
  <c r="Q108" i="36"/>
  <c r="R108" i="36"/>
  <c r="R116" i="36"/>
  <c r="Q116" i="36"/>
  <c r="R124" i="36"/>
  <c r="Q124" i="36"/>
  <c r="Q132" i="36"/>
  <c r="R132" i="36"/>
  <c r="Q140" i="36"/>
  <c r="R140" i="36"/>
  <c r="Q148" i="36"/>
  <c r="R148" i="36"/>
  <c r="Q156" i="36"/>
  <c r="R156" i="36"/>
  <c r="Q164" i="36"/>
  <c r="R164" i="36"/>
  <c r="Q172" i="36"/>
  <c r="R172" i="36"/>
  <c r="Q180" i="36"/>
  <c r="R180" i="36"/>
  <c r="Q188" i="36"/>
  <c r="R188" i="36"/>
  <c r="Q196" i="36"/>
  <c r="R196" i="36"/>
  <c r="Q104" i="36"/>
  <c r="R104" i="36"/>
  <c r="Q112" i="36"/>
  <c r="R112" i="36"/>
  <c r="R120" i="36"/>
  <c r="Q120" i="36"/>
  <c r="Q128" i="36"/>
  <c r="R128" i="36"/>
  <c r="Q136" i="36"/>
  <c r="R136" i="36"/>
  <c r="Q144" i="36"/>
  <c r="R144" i="36"/>
  <c r="Q152" i="36"/>
  <c r="R152" i="36"/>
  <c r="Q160" i="36"/>
  <c r="R160" i="36"/>
  <c r="Q168" i="36"/>
  <c r="R168" i="36"/>
  <c r="Q176" i="36"/>
  <c r="R176" i="36"/>
  <c r="Q184" i="36"/>
  <c r="R184" i="36"/>
  <c r="Q192" i="36"/>
  <c r="R192" i="36"/>
  <c r="Q105" i="36"/>
  <c r="R105" i="36"/>
  <c r="Q113" i="36"/>
  <c r="R113" i="36"/>
  <c r="Q121" i="36"/>
  <c r="R121" i="36"/>
  <c r="R129" i="36"/>
  <c r="Q129" i="36"/>
  <c r="R137" i="36"/>
  <c r="Q137" i="36"/>
  <c r="Q145" i="36"/>
  <c r="R145" i="36"/>
  <c r="Q153" i="36"/>
  <c r="R153" i="36"/>
  <c r="R161" i="36"/>
  <c r="Q161" i="36"/>
  <c r="Q169" i="36"/>
  <c r="R169" i="36"/>
  <c r="Q177" i="36"/>
  <c r="R177" i="36"/>
  <c r="Q185" i="36"/>
  <c r="R185" i="36"/>
  <c r="Q193" i="36"/>
  <c r="R193" i="36"/>
  <c r="Q98" i="36"/>
  <c r="R98" i="36"/>
  <c r="Q106" i="36"/>
  <c r="R106" i="36"/>
  <c r="R114" i="36"/>
  <c r="Q114" i="36"/>
  <c r="R122" i="36"/>
  <c r="Q122" i="36"/>
  <c r="Q130" i="36"/>
  <c r="R130" i="36"/>
  <c r="Q138" i="36"/>
  <c r="R138" i="36"/>
  <c r="Q146" i="36"/>
  <c r="R146" i="36"/>
  <c r="Q154" i="36"/>
  <c r="R154" i="36"/>
  <c r="Q162" i="36"/>
  <c r="R162" i="36"/>
  <c r="Q170" i="36"/>
  <c r="R170" i="36"/>
  <c r="Q178" i="36"/>
  <c r="R178" i="36"/>
  <c r="Q186" i="36"/>
  <c r="R186" i="36"/>
  <c r="Q194" i="36"/>
  <c r="R194" i="36"/>
  <c r="Q99" i="36"/>
  <c r="R99" i="36"/>
  <c r="Q107" i="36"/>
  <c r="R107" i="36"/>
  <c r="Q115" i="36"/>
  <c r="R115" i="36"/>
  <c r="Q123" i="36"/>
  <c r="R123" i="36"/>
  <c r="Q131" i="36"/>
  <c r="R131" i="36"/>
  <c r="R139" i="36"/>
  <c r="Q139" i="36"/>
  <c r="Q147" i="36"/>
  <c r="R147" i="36"/>
  <c r="Q155" i="36"/>
  <c r="R155" i="36"/>
  <c r="R163" i="36"/>
  <c r="Q163" i="36"/>
  <c r="R171" i="36"/>
  <c r="Q171" i="36"/>
  <c r="Q179" i="36"/>
  <c r="R179" i="36"/>
  <c r="Q187" i="36"/>
  <c r="R187" i="36"/>
  <c r="Q195" i="36"/>
  <c r="R195" i="36"/>
  <c r="Q101" i="36"/>
  <c r="R101" i="36"/>
  <c r="Q109" i="36"/>
  <c r="R109" i="36"/>
  <c r="Q117" i="36"/>
  <c r="R117" i="36"/>
  <c r="Q125" i="36"/>
  <c r="R125" i="36"/>
  <c r="Q133" i="36"/>
  <c r="R133" i="36"/>
  <c r="Q141" i="36"/>
  <c r="R141" i="36"/>
  <c r="R149" i="36"/>
  <c r="Q149" i="36"/>
  <c r="Q157" i="36"/>
  <c r="R157" i="36"/>
  <c r="Q165" i="36"/>
  <c r="R165" i="36"/>
  <c r="R173" i="36"/>
  <c r="Q173" i="36"/>
  <c r="Q181" i="36"/>
  <c r="R181" i="36"/>
  <c r="R189" i="36"/>
  <c r="Q189" i="36"/>
  <c r="Q197" i="36"/>
  <c r="R197" i="36"/>
  <c r="Q102" i="36"/>
  <c r="R102" i="36"/>
  <c r="Q110" i="36"/>
  <c r="R110" i="36"/>
  <c r="R118" i="36"/>
  <c r="Q118" i="36"/>
  <c r="Q126" i="36"/>
  <c r="R126" i="36"/>
  <c r="Q134" i="36"/>
  <c r="R134" i="36"/>
  <c r="Q142" i="36"/>
  <c r="R142" i="36"/>
  <c r="Q150" i="36"/>
  <c r="R150" i="36"/>
  <c r="Q158" i="36"/>
  <c r="R158" i="36"/>
  <c r="Q166" i="36"/>
  <c r="R166" i="36"/>
  <c r="Q174" i="36"/>
  <c r="R174" i="36"/>
  <c r="Q182" i="36"/>
  <c r="R182" i="36"/>
  <c r="Q190" i="36"/>
  <c r="R190" i="36"/>
  <c r="Q198" i="36"/>
  <c r="R198" i="36"/>
  <c r="R103" i="36"/>
  <c r="Q103" i="36"/>
  <c r="R111" i="36"/>
  <c r="Q111" i="36"/>
  <c r="R119" i="36"/>
  <c r="Q119" i="36"/>
  <c r="R127" i="36"/>
  <c r="Q127" i="36"/>
  <c r="Q135" i="36"/>
  <c r="R135" i="36"/>
  <c r="Q143" i="36"/>
  <c r="R143" i="36"/>
  <c r="Q151" i="36"/>
  <c r="R151" i="36"/>
  <c r="Q159" i="36"/>
  <c r="R159" i="36"/>
  <c r="Q167" i="36"/>
  <c r="R167" i="36"/>
  <c r="R175" i="36"/>
  <c r="Q175" i="36"/>
  <c r="R183" i="36"/>
  <c r="Q183" i="36"/>
  <c r="Q191" i="36"/>
  <c r="R191" i="36"/>
  <c r="A1" i="79" a="1"/>
  <c r="A1" i="79" s="1"/>
  <c r="M15" i="59" l="1"/>
  <c r="L16" i="59" s="1"/>
  <c r="N343" i="50" l="1"/>
  <c r="AG16" i="59" l="1"/>
  <c r="E52" i="69" l="1"/>
  <c r="I3" i="36" l="1"/>
  <c r="P3" i="36" s="1"/>
  <c r="S3" i="36" l="1"/>
  <c r="Q3" i="36"/>
  <c r="R3" i="36"/>
  <c r="I84" i="36"/>
  <c r="P84" i="36" s="1"/>
  <c r="I83" i="36"/>
  <c r="P83" i="36" s="1"/>
  <c r="I82" i="36"/>
  <c r="P82" i="36" s="1"/>
  <c r="I81" i="36"/>
  <c r="P81" i="36" s="1"/>
  <c r="I80" i="36"/>
  <c r="P80" i="36" s="1"/>
  <c r="I79" i="36"/>
  <c r="P79" i="36" s="1"/>
  <c r="I78" i="36"/>
  <c r="P78" i="36" s="1"/>
  <c r="I77" i="36"/>
  <c r="P77" i="36" s="1"/>
  <c r="I76" i="36"/>
  <c r="P76" i="36" s="1"/>
  <c r="I75" i="36"/>
  <c r="P75" i="36" s="1"/>
  <c r="I74" i="36"/>
  <c r="P74" i="36" s="1"/>
  <c r="I73" i="36"/>
  <c r="P73" i="36" s="1"/>
  <c r="I72" i="36"/>
  <c r="P72" i="36" s="1"/>
  <c r="I71" i="36"/>
  <c r="P71" i="36" s="1"/>
  <c r="I70" i="36"/>
  <c r="P70" i="36" s="1"/>
  <c r="I69" i="36"/>
  <c r="P69" i="36" s="1"/>
  <c r="I68" i="36"/>
  <c r="P68" i="36" s="1"/>
  <c r="I67" i="36"/>
  <c r="P67" i="36" s="1"/>
  <c r="I66" i="36"/>
  <c r="P66" i="36" s="1"/>
  <c r="I65" i="36"/>
  <c r="P65" i="36" s="1"/>
  <c r="I64" i="36"/>
  <c r="P64" i="36" s="1"/>
  <c r="I63" i="36"/>
  <c r="P63" i="36" s="1"/>
  <c r="I62" i="36"/>
  <c r="P62" i="36" s="1"/>
  <c r="I61" i="36"/>
  <c r="P61" i="36" s="1"/>
  <c r="I60" i="36"/>
  <c r="P60" i="36" s="1"/>
  <c r="I59" i="36"/>
  <c r="P59" i="36" s="1"/>
  <c r="I58" i="36"/>
  <c r="P58" i="36" s="1"/>
  <c r="I57" i="36"/>
  <c r="P57" i="36" s="1"/>
  <c r="I56" i="36"/>
  <c r="P56" i="36" s="1"/>
  <c r="I55" i="36"/>
  <c r="P55" i="36" s="1"/>
  <c r="I88" i="36"/>
  <c r="P88" i="36" s="1"/>
  <c r="I87" i="36"/>
  <c r="P87" i="36" s="1"/>
  <c r="I86" i="36"/>
  <c r="P86" i="36" s="1"/>
  <c r="I85" i="36"/>
  <c r="P85" i="36" s="1"/>
  <c r="I54" i="36"/>
  <c r="P54" i="36" s="1"/>
  <c r="I53" i="36"/>
  <c r="P53" i="36" s="1"/>
  <c r="I52" i="36"/>
  <c r="P52" i="36" s="1"/>
  <c r="I51" i="36"/>
  <c r="P51" i="36" s="1"/>
  <c r="I50" i="36"/>
  <c r="P50" i="36" s="1"/>
  <c r="I49" i="36"/>
  <c r="P49" i="36" s="1"/>
  <c r="I48" i="36"/>
  <c r="P48" i="36" s="1"/>
  <c r="I47" i="36"/>
  <c r="P47" i="36" s="1"/>
  <c r="I46" i="36"/>
  <c r="P46" i="36" s="1"/>
  <c r="I45" i="36"/>
  <c r="P45" i="36" s="1"/>
  <c r="I44" i="36"/>
  <c r="P44" i="36" s="1"/>
  <c r="I43" i="36"/>
  <c r="P43" i="36" s="1"/>
  <c r="I42" i="36"/>
  <c r="P42" i="36" s="1"/>
  <c r="I41" i="36"/>
  <c r="P41" i="36" s="1"/>
  <c r="I40" i="36"/>
  <c r="P40" i="36" s="1"/>
  <c r="I39" i="36"/>
  <c r="P39" i="36" s="1"/>
  <c r="I38" i="36"/>
  <c r="P38" i="36" s="1"/>
  <c r="I37" i="36"/>
  <c r="P37" i="36" s="1"/>
  <c r="I36" i="36"/>
  <c r="P36" i="36" s="1"/>
  <c r="I35" i="36"/>
  <c r="P35" i="36" s="1"/>
  <c r="I34" i="36"/>
  <c r="P34" i="36" s="1"/>
  <c r="I33" i="36"/>
  <c r="P33" i="36" s="1"/>
  <c r="I32" i="36"/>
  <c r="P32" i="36" s="1"/>
  <c r="I31" i="36"/>
  <c r="P31" i="36" s="1"/>
  <c r="I30" i="36"/>
  <c r="P30" i="36" s="1"/>
  <c r="I29" i="36"/>
  <c r="P29" i="36" s="1"/>
  <c r="I28" i="36"/>
  <c r="P28" i="36" s="1"/>
  <c r="I27" i="36"/>
  <c r="P27" i="36" s="1"/>
  <c r="I26" i="36"/>
  <c r="P26" i="36" s="1"/>
  <c r="I25" i="36"/>
  <c r="P25" i="36" s="1"/>
  <c r="I24" i="36"/>
  <c r="P24" i="36" s="1"/>
  <c r="I23" i="36"/>
  <c r="P23" i="36" s="1"/>
  <c r="I22" i="36"/>
  <c r="P22" i="36" s="1"/>
  <c r="I21" i="36"/>
  <c r="P21" i="36" s="1"/>
  <c r="I20" i="36"/>
  <c r="P20" i="36" s="1"/>
  <c r="I19" i="36"/>
  <c r="P19" i="36" s="1"/>
  <c r="I18" i="36"/>
  <c r="P18" i="36" s="1"/>
  <c r="I17" i="36"/>
  <c r="P17" i="36" s="1"/>
  <c r="I16" i="36"/>
  <c r="P16" i="36" s="1"/>
  <c r="I15" i="36"/>
  <c r="P15" i="36" s="1"/>
  <c r="I14" i="36"/>
  <c r="P14" i="36" s="1"/>
  <c r="I13" i="36"/>
  <c r="P13" i="36" s="1"/>
  <c r="I12" i="36"/>
  <c r="P12" i="36" s="1"/>
  <c r="I11" i="36"/>
  <c r="P11" i="36" s="1"/>
  <c r="I10" i="36"/>
  <c r="P10" i="36" s="1"/>
  <c r="I9" i="36"/>
  <c r="P9" i="36" s="1"/>
  <c r="I201" i="36"/>
  <c r="P201" i="36" s="1"/>
  <c r="I200" i="36"/>
  <c r="P200" i="36" s="1"/>
  <c r="I199" i="36"/>
  <c r="P199" i="36" s="1"/>
  <c r="I97" i="36"/>
  <c r="P97" i="36" s="1"/>
  <c r="I96" i="36"/>
  <c r="P96" i="36" s="1"/>
  <c r="I95" i="36"/>
  <c r="P95" i="36" s="1"/>
  <c r="I94" i="36"/>
  <c r="P94" i="36" s="1"/>
  <c r="I93" i="36"/>
  <c r="P93" i="36" s="1"/>
  <c r="I92" i="36"/>
  <c r="P92" i="36" s="1"/>
  <c r="I91" i="36"/>
  <c r="P91" i="36" s="1"/>
  <c r="I90" i="36"/>
  <c r="P90" i="36" s="1"/>
  <c r="I89" i="36"/>
  <c r="P89" i="36" s="1"/>
  <c r="O37" i="73"/>
  <c r="O38" i="73"/>
  <c r="O36" i="73"/>
  <c r="O34" i="73"/>
  <c r="O33" i="73"/>
  <c r="O30" i="73"/>
  <c r="O29" i="73"/>
  <c r="O28" i="73"/>
  <c r="O27" i="73"/>
  <c r="O24" i="73"/>
  <c r="O23" i="73"/>
  <c r="O22" i="73"/>
  <c r="O21" i="73"/>
  <c r="O20" i="73"/>
  <c r="O26" i="73"/>
  <c r="O28" i="48" l="1"/>
  <c r="AD82" i="48"/>
  <c r="AE82" i="48" s="1"/>
  <c r="AD180" i="48"/>
  <c r="AD132" i="48"/>
  <c r="AD228" i="48"/>
  <c r="AD276" i="48"/>
  <c r="AD324" i="48"/>
  <c r="V324" i="48"/>
  <c r="W324" i="48" s="1"/>
  <c r="V276" i="48"/>
  <c r="W276" i="48" s="1"/>
  <c r="V132" i="48"/>
  <c r="W132" i="48" s="1"/>
  <c r="V180" i="48"/>
  <c r="W180" i="48" s="1"/>
  <c r="V228" i="48"/>
  <c r="W228" i="48" s="1"/>
  <c r="AG180" i="48"/>
  <c r="AH180" i="48" s="1"/>
  <c r="AG132" i="48"/>
  <c r="AH132" i="48" s="1"/>
  <c r="AG324" i="48"/>
  <c r="AH324" i="48" s="1"/>
  <c r="AG228" i="48"/>
  <c r="AH228" i="48" s="1"/>
  <c r="AG276" i="48"/>
  <c r="AH276" i="48" s="1"/>
  <c r="V34" i="48"/>
  <c r="V82" i="48"/>
  <c r="W82" i="48" s="1"/>
  <c r="T3" i="36"/>
  <c r="AG82" i="48"/>
  <c r="AH82" i="48" s="1"/>
  <c r="AG34" i="48"/>
  <c r="AH34" i="48" s="1"/>
  <c r="S19" i="36"/>
  <c r="T19" i="36" s="1"/>
  <c r="S35" i="36"/>
  <c r="T35" i="36" s="1"/>
  <c r="S43" i="36"/>
  <c r="T43" i="36" s="1"/>
  <c r="S51" i="36"/>
  <c r="T51" i="36" s="1"/>
  <c r="S62" i="36"/>
  <c r="T62" i="36" s="1"/>
  <c r="S91" i="36"/>
  <c r="T91" i="36" s="1"/>
  <c r="S47" i="36"/>
  <c r="T47" i="36" s="1"/>
  <c r="S16" i="36"/>
  <c r="T16" i="36" s="1"/>
  <c r="S32" i="36"/>
  <c r="T32" i="36" s="1"/>
  <c r="S86" i="36"/>
  <c r="T86" i="36" s="1"/>
  <c r="S59" i="36"/>
  <c r="T59" i="36" s="1"/>
  <c r="S67" i="36"/>
  <c r="T67" i="36" s="1"/>
  <c r="S83" i="36"/>
  <c r="T83" i="36" s="1"/>
  <c r="S95" i="36"/>
  <c r="T95" i="36" s="1"/>
  <c r="S201" i="36"/>
  <c r="T201" i="36" s="1"/>
  <c r="S24" i="36"/>
  <c r="T24" i="36" s="1"/>
  <c r="S48" i="36"/>
  <c r="T48" i="36" s="1"/>
  <c r="S75" i="36"/>
  <c r="T75" i="36" s="1"/>
  <c r="S93" i="36"/>
  <c r="T93" i="36" s="1"/>
  <c r="S9" i="36"/>
  <c r="T9" i="36" s="1"/>
  <c r="S17" i="36"/>
  <c r="T17" i="36" s="1"/>
  <c r="S25" i="36"/>
  <c r="T25" i="36" s="1"/>
  <c r="S33" i="36"/>
  <c r="T33" i="36" s="1"/>
  <c r="S41" i="36"/>
  <c r="T41" i="36" s="1"/>
  <c r="S49" i="36"/>
  <c r="T49" i="36" s="1"/>
  <c r="S87" i="36"/>
  <c r="T87" i="36" s="1"/>
  <c r="S60" i="36"/>
  <c r="T60" i="36" s="1"/>
  <c r="S68" i="36"/>
  <c r="T68" i="36" s="1"/>
  <c r="S76" i="36"/>
  <c r="T76" i="36" s="1"/>
  <c r="S84" i="36"/>
  <c r="T84" i="36" s="1"/>
  <c r="S11" i="36"/>
  <c r="T11" i="36" s="1"/>
  <c r="S200" i="36"/>
  <c r="T200" i="36" s="1"/>
  <c r="S15" i="36"/>
  <c r="T15" i="36" s="1"/>
  <c r="S23" i="36"/>
  <c r="T23" i="36" s="1"/>
  <c r="S31" i="36"/>
  <c r="T31" i="36" s="1"/>
  <c r="S39" i="36"/>
  <c r="T39" i="36" s="1"/>
  <c r="S85" i="36"/>
  <c r="T85" i="36" s="1"/>
  <c r="S58" i="36"/>
  <c r="T58" i="36" s="1"/>
  <c r="S66" i="36"/>
  <c r="T66" i="36" s="1"/>
  <c r="S74" i="36"/>
  <c r="T74" i="36" s="1"/>
  <c r="S82" i="36"/>
  <c r="T82" i="36" s="1"/>
  <c r="S92" i="36"/>
  <c r="T92" i="36" s="1"/>
  <c r="S40" i="36"/>
  <c r="T40" i="36" s="1"/>
  <c r="S94" i="36"/>
  <c r="T94" i="36" s="1"/>
  <c r="S10" i="36"/>
  <c r="T10" i="36" s="1"/>
  <c r="S18" i="36"/>
  <c r="T18" i="36" s="1"/>
  <c r="S26" i="36"/>
  <c r="T26" i="36" s="1"/>
  <c r="S34" i="36"/>
  <c r="T34" i="36" s="1"/>
  <c r="S42" i="36"/>
  <c r="T42" i="36" s="1"/>
  <c r="S50" i="36"/>
  <c r="T50" i="36" s="1"/>
  <c r="S88" i="36"/>
  <c r="T88" i="36" s="1"/>
  <c r="S61" i="36"/>
  <c r="T61" i="36" s="1"/>
  <c r="S69" i="36"/>
  <c r="T69" i="36" s="1"/>
  <c r="S77" i="36"/>
  <c r="T77" i="36" s="1"/>
  <c r="S78" i="36"/>
  <c r="T78" i="36" s="1"/>
  <c r="S96" i="36"/>
  <c r="T96" i="36" s="1"/>
  <c r="S20" i="36"/>
  <c r="T20" i="36" s="1"/>
  <c r="S36" i="36"/>
  <c r="T36" i="36" s="1"/>
  <c r="S44" i="36"/>
  <c r="T44" i="36" s="1"/>
  <c r="S52" i="36"/>
  <c r="T52" i="36" s="1"/>
  <c r="S55" i="36"/>
  <c r="T55" i="36" s="1"/>
  <c r="S63" i="36"/>
  <c r="T63" i="36" s="1"/>
  <c r="S71" i="36"/>
  <c r="T71" i="36" s="1"/>
  <c r="S89" i="36"/>
  <c r="T89" i="36" s="1"/>
  <c r="S97" i="36"/>
  <c r="T97" i="36" s="1"/>
  <c r="S13" i="36"/>
  <c r="T13" i="36" s="1"/>
  <c r="S21" i="36"/>
  <c r="T21" i="36" s="1"/>
  <c r="S29" i="36"/>
  <c r="T29" i="36" s="1"/>
  <c r="S37" i="36"/>
  <c r="T37" i="36" s="1"/>
  <c r="S45" i="36"/>
  <c r="T45" i="36" s="1"/>
  <c r="S53" i="36"/>
  <c r="T53" i="36" s="1"/>
  <c r="S56" i="36"/>
  <c r="T56" i="36" s="1"/>
  <c r="S64" i="36"/>
  <c r="T64" i="36" s="1"/>
  <c r="S72" i="36"/>
  <c r="T72" i="36" s="1"/>
  <c r="S80" i="36"/>
  <c r="T80" i="36" s="1"/>
  <c r="S27" i="36"/>
  <c r="T27" i="36" s="1"/>
  <c r="S70" i="36"/>
  <c r="T70" i="36" s="1"/>
  <c r="S12" i="36"/>
  <c r="T12" i="36" s="1"/>
  <c r="S28" i="36"/>
  <c r="T28" i="36" s="1"/>
  <c r="S79" i="36"/>
  <c r="T79" i="36" s="1"/>
  <c r="S90" i="36"/>
  <c r="T90" i="36" s="1"/>
  <c r="S199" i="36"/>
  <c r="T199" i="36" s="1"/>
  <c r="S14" i="36"/>
  <c r="T14" i="36" s="1"/>
  <c r="S22" i="36"/>
  <c r="T22" i="36" s="1"/>
  <c r="S30" i="36"/>
  <c r="T30" i="36" s="1"/>
  <c r="S38" i="36"/>
  <c r="T38" i="36" s="1"/>
  <c r="S46" i="36"/>
  <c r="T46" i="36" s="1"/>
  <c r="S54" i="36"/>
  <c r="T54" i="36" s="1"/>
  <c r="S57" i="36"/>
  <c r="T57" i="36" s="1"/>
  <c r="S65" i="36"/>
  <c r="T65" i="36" s="1"/>
  <c r="S73" i="36"/>
  <c r="T73" i="36" s="1"/>
  <c r="S81" i="36"/>
  <c r="T81" i="36" s="1"/>
  <c r="O29" i="48"/>
  <c r="R91" i="36"/>
  <c r="Q91" i="36"/>
  <c r="Q23" i="36"/>
  <c r="R23" i="36"/>
  <c r="Q85" i="36"/>
  <c r="R85" i="36"/>
  <c r="Q72" i="36"/>
  <c r="R72" i="36"/>
  <c r="R40" i="36"/>
  <c r="Q40" i="36"/>
  <c r="Q65" i="36"/>
  <c r="R65" i="36"/>
  <c r="Q33" i="36"/>
  <c r="R33" i="36"/>
  <c r="Q58" i="36"/>
  <c r="R58" i="36"/>
  <c r="Q94" i="36"/>
  <c r="R94" i="36"/>
  <c r="R26" i="36"/>
  <c r="Q26" i="36"/>
  <c r="Q88" i="36"/>
  <c r="R88" i="36"/>
  <c r="Q67" i="36"/>
  <c r="R67" i="36"/>
  <c r="Q27" i="36"/>
  <c r="R27" i="36"/>
  <c r="Q35" i="36"/>
  <c r="R35" i="36"/>
  <c r="Q43" i="36"/>
  <c r="R43" i="36"/>
  <c r="Q51" i="36"/>
  <c r="R51" i="36"/>
  <c r="Q60" i="36"/>
  <c r="R60" i="36"/>
  <c r="Q68" i="36"/>
  <c r="R68" i="36"/>
  <c r="Q76" i="36"/>
  <c r="R76" i="36"/>
  <c r="Q84" i="36"/>
  <c r="R84" i="36"/>
  <c r="Q15" i="36"/>
  <c r="R15" i="36"/>
  <c r="Q47" i="36"/>
  <c r="R47" i="36"/>
  <c r="Q80" i="36"/>
  <c r="R80" i="36"/>
  <c r="R16" i="36"/>
  <c r="Q16" i="36"/>
  <c r="R48" i="36"/>
  <c r="Q48" i="36"/>
  <c r="R73" i="36"/>
  <c r="Q73" i="36"/>
  <c r="Q9" i="36"/>
  <c r="R9" i="36"/>
  <c r="Q41" i="36"/>
  <c r="R41" i="36"/>
  <c r="Q74" i="36"/>
  <c r="R74" i="36"/>
  <c r="R18" i="36"/>
  <c r="Q18" i="36"/>
  <c r="Q50" i="36"/>
  <c r="R50" i="36"/>
  <c r="R59" i="36"/>
  <c r="Q59" i="36"/>
  <c r="R95" i="36"/>
  <c r="Q95" i="36"/>
  <c r="R12" i="36"/>
  <c r="Q12" i="36"/>
  <c r="R36" i="36"/>
  <c r="Q36" i="36"/>
  <c r="R44" i="36"/>
  <c r="Q44" i="36"/>
  <c r="Q52" i="36"/>
  <c r="R52" i="36"/>
  <c r="Q61" i="36"/>
  <c r="R61" i="36"/>
  <c r="Q69" i="36"/>
  <c r="R69" i="36"/>
  <c r="Q77" i="36"/>
  <c r="R77" i="36"/>
  <c r="Q200" i="36"/>
  <c r="R200" i="36"/>
  <c r="Q31" i="36"/>
  <c r="R31" i="36"/>
  <c r="Q56" i="36"/>
  <c r="R56" i="36"/>
  <c r="Q92" i="36"/>
  <c r="R92" i="36"/>
  <c r="R24" i="36"/>
  <c r="Q24" i="36"/>
  <c r="Q86" i="36"/>
  <c r="R86" i="36"/>
  <c r="R81" i="36"/>
  <c r="Q81" i="36"/>
  <c r="Q17" i="36"/>
  <c r="R17" i="36"/>
  <c r="Q49" i="36"/>
  <c r="R49" i="36"/>
  <c r="Q66" i="36"/>
  <c r="R66" i="36"/>
  <c r="R34" i="36"/>
  <c r="Q34" i="36"/>
  <c r="R75" i="36"/>
  <c r="Q75" i="36"/>
  <c r="Q11" i="36"/>
  <c r="R11" i="36"/>
  <c r="R28" i="36"/>
  <c r="Q28" i="36"/>
  <c r="R89" i="36"/>
  <c r="Q89" i="36"/>
  <c r="Q97" i="36"/>
  <c r="R97" i="36"/>
  <c r="Q13" i="36"/>
  <c r="R13" i="36"/>
  <c r="Q21" i="36"/>
  <c r="R21" i="36"/>
  <c r="Q29" i="36"/>
  <c r="R29" i="36"/>
  <c r="Q37" i="36"/>
  <c r="R37" i="36"/>
  <c r="Q45" i="36"/>
  <c r="R45" i="36"/>
  <c r="Q53" i="36"/>
  <c r="R53" i="36"/>
  <c r="Q62" i="36"/>
  <c r="R62" i="36"/>
  <c r="Q70" i="36"/>
  <c r="R70" i="36"/>
  <c r="Q78" i="36"/>
  <c r="R78" i="36"/>
  <c r="Q39" i="36"/>
  <c r="R39" i="36"/>
  <c r="Q64" i="36"/>
  <c r="R64" i="36"/>
  <c r="Q201" i="36"/>
  <c r="R201" i="36"/>
  <c r="R32" i="36"/>
  <c r="Q32" i="36"/>
  <c r="R57" i="36"/>
  <c r="Q57" i="36"/>
  <c r="R93" i="36"/>
  <c r="Q93" i="36"/>
  <c r="Q25" i="36"/>
  <c r="R25" i="36"/>
  <c r="Q87" i="36"/>
  <c r="R87" i="36"/>
  <c r="Q82" i="36"/>
  <c r="R82" i="36"/>
  <c r="R10" i="36"/>
  <c r="Q10" i="36"/>
  <c r="R42" i="36"/>
  <c r="Q42" i="36"/>
  <c r="Q83" i="36"/>
  <c r="R83" i="36"/>
  <c r="Q19" i="36"/>
  <c r="R19" i="36"/>
  <c r="Q96" i="36"/>
  <c r="R96" i="36"/>
  <c r="R20" i="36"/>
  <c r="Q20" i="36"/>
  <c r="Q90" i="36"/>
  <c r="R90" i="36"/>
  <c r="R199" i="36"/>
  <c r="Q199" i="36"/>
  <c r="R14" i="36"/>
  <c r="Q14" i="36"/>
  <c r="R22" i="36"/>
  <c r="Q22" i="36"/>
  <c r="R30" i="36"/>
  <c r="Q30" i="36"/>
  <c r="R38" i="36"/>
  <c r="Q38" i="36"/>
  <c r="R46" i="36"/>
  <c r="Q46" i="36"/>
  <c r="Q54" i="36"/>
  <c r="R54" i="36"/>
  <c r="Q55" i="36"/>
  <c r="R55" i="36"/>
  <c r="Q63" i="36"/>
  <c r="R63" i="36"/>
  <c r="Q71" i="36"/>
  <c r="R71" i="36"/>
  <c r="Q79" i="36"/>
  <c r="R79" i="36"/>
  <c r="O32" i="73"/>
  <c r="O31" i="73"/>
  <c r="O18" i="73"/>
  <c r="O17" i="73"/>
  <c r="D64" i="73" s="1" a="1"/>
  <c r="D64" i="73" s="1"/>
  <c r="AJ82" i="48" l="1"/>
  <c r="AK82" i="48" s="1"/>
  <c r="AJ324" i="48"/>
  <c r="AK324" i="48" s="1"/>
  <c r="AJ180" i="48"/>
  <c r="AK180" i="48" s="1"/>
  <c r="AJ228" i="48"/>
  <c r="AK228" i="48" s="1"/>
  <c r="AJ132" i="48"/>
  <c r="AK132" i="48" s="1"/>
  <c r="AJ276" i="48"/>
  <c r="AK276" i="48" s="1"/>
  <c r="AE324" i="48"/>
  <c r="AE276" i="48"/>
  <c r="AE228" i="48"/>
  <c r="AE132" i="48"/>
  <c r="AE180" i="48"/>
  <c r="D63" i="73" a="1"/>
  <c r="D63" i="73" s="1"/>
  <c r="D65" i="73" a="1"/>
  <c r="D65" i="73" s="1"/>
  <c r="D66" i="73" a="1"/>
  <c r="D66" i="73" s="1"/>
  <c r="O30" i="48"/>
  <c r="O35" i="73"/>
  <c r="AN132" i="48" l="1"/>
  <c r="AO132" i="48" s="1"/>
  <c r="AN228" i="48"/>
  <c r="AO228" i="48" s="1"/>
  <c r="AN276" i="48"/>
  <c r="AO276" i="48" s="1"/>
  <c r="AN180" i="48"/>
  <c r="AO180" i="48" s="1"/>
  <c r="AN324" i="48"/>
  <c r="AO324" i="48" s="1"/>
  <c r="AN82" i="48"/>
  <c r="AO82" i="48" s="1"/>
  <c r="N4" i="48"/>
  <c r="AB7" i="59" l="1"/>
  <c r="G180" i="17" l="1"/>
  <c r="G181" i="17"/>
  <c r="G179" i="17"/>
  <c r="G169" i="17"/>
  <c r="G174" i="17"/>
  <c r="G173" i="17"/>
  <c r="G172" i="17"/>
  <c r="G171" i="17"/>
  <c r="V336" i="83" l="1"/>
  <c r="V191" i="83"/>
  <c r="V235" i="83"/>
  <c r="V241" i="83"/>
  <c r="V205" i="83"/>
  <c r="V50" i="83"/>
  <c r="V109" i="83"/>
  <c r="V71" i="83"/>
  <c r="V201" i="83"/>
  <c r="V113" i="83"/>
  <c r="V344" i="83"/>
  <c r="V98" i="83"/>
  <c r="V60" i="83"/>
  <c r="V146" i="83"/>
  <c r="V359" i="83"/>
  <c r="V148" i="83"/>
  <c r="V335" i="83"/>
  <c r="V195" i="83"/>
  <c r="V256" i="83"/>
  <c r="V352" i="83"/>
  <c r="V345" i="83"/>
  <c r="V65" i="83"/>
  <c r="V341" i="83"/>
  <c r="V289" i="83"/>
  <c r="V45" i="83"/>
  <c r="V331" i="83"/>
  <c r="V166" i="83"/>
  <c r="V141" i="83"/>
  <c r="V67" i="83"/>
  <c r="V263" i="83"/>
  <c r="V200" i="83"/>
  <c r="V189" i="83"/>
  <c r="V164" i="83"/>
  <c r="V150" i="83"/>
  <c r="V61" i="83"/>
  <c r="V59" i="83"/>
  <c r="V206" i="83"/>
  <c r="V97" i="83"/>
  <c r="V118" i="83"/>
  <c r="V308" i="83"/>
  <c r="V104" i="83"/>
  <c r="V284" i="83"/>
  <c r="V95" i="83"/>
  <c r="V293" i="83"/>
  <c r="V69" i="83"/>
  <c r="V262" i="83"/>
  <c r="V165" i="83"/>
  <c r="V93" i="83"/>
  <c r="V203" i="83"/>
  <c r="V309" i="83"/>
  <c r="V244" i="83"/>
  <c r="V139" i="83"/>
  <c r="V62" i="83"/>
  <c r="V357" i="83"/>
  <c r="V56" i="83"/>
  <c r="V196" i="83"/>
  <c r="V192" i="83"/>
  <c r="V242" i="83"/>
  <c r="V355" i="83"/>
  <c r="V91" i="83"/>
  <c r="V249" i="83"/>
  <c r="V299" i="83"/>
  <c r="V333" i="83"/>
  <c r="V305" i="83"/>
  <c r="V117" i="83"/>
  <c r="V212" i="83"/>
  <c r="V160" i="83"/>
  <c r="V161" i="83"/>
  <c r="V115" i="83"/>
  <c r="V143" i="83"/>
  <c r="V310" i="83"/>
  <c r="V248" i="83"/>
  <c r="V107" i="83"/>
  <c r="V112" i="83"/>
  <c r="V68" i="83"/>
  <c r="V258" i="83"/>
  <c r="V42" i="83"/>
  <c r="V108" i="83"/>
  <c r="V90" i="83"/>
  <c r="AC90" i="83" s="1"/>
  <c r="V215" i="83"/>
  <c r="V159" i="83"/>
  <c r="V198" i="83"/>
  <c r="V51" i="83"/>
  <c r="V236" i="83"/>
  <c r="V291" i="83"/>
  <c r="V251" i="83"/>
  <c r="V103" i="83"/>
  <c r="V49" i="83"/>
  <c r="V116" i="83"/>
  <c r="V343" i="83"/>
  <c r="V347" i="83"/>
  <c r="V349" i="83"/>
  <c r="V194" i="83"/>
  <c r="V214" i="83"/>
  <c r="V234" i="83"/>
  <c r="V211" i="83"/>
  <c r="V187" i="83"/>
  <c r="V106" i="83"/>
  <c r="V300" i="83"/>
  <c r="V105" i="83"/>
  <c r="V285" i="83"/>
  <c r="V298" i="83"/>
  <c r="V190" i="83"/>
  <c r="V96" i="83"/>
  <c r="V306" i="83"/>
  <c r="V261" i="83"/>
  <c r="V210" i="83"/>
  <c r="V307" i="83"/>
  <c r="V356" i="83"/>
  <c r="V358" i="83"/>
  <c r="V294" i="83"/>
  <c r="V99" i="83"/>
  <c r="V43" i="83"/>
  <c r="V204" i="83"/>
  <c r="V151" i="83"/>
  <c r="V287" i="83"/>
  <c r="V157" i="83"/>
  <c r="V138" i="83"/>
  <c r="V213" i="83"/>
  <c r="V188" i="83"/>
  <c r="V197" i="83"/>
  <c r="V154" i="83"/>
  <c r="V354" i="83"/>
  <c r="V253" i="83"/>
  <c r="V111" i="83"/>
  <c r="V252" i="83"/>
  <c r="V202" i="83"/>
  <c r="V339" i="83"/>
  <c r="V54" i="83"/>
  <c r="V110" i="83"/>
  <c r="V245" i="83"/>
  <c r="V55" i="83"/>
  <c r="V63" i="83"/>
  <c r="V260" i="83"/>
  <c r="V330" i="83"/>
  <c r="V283" i="83"/>
  <c r="V101" i="83"/>
  <c r="V100" i="83"/>
  <c r="V342" i="83"/>
  <c r="V288" i="83"/>
  <c r="V292" i="83"/>
  <c r="V259" i="83"/>
  <c r="V304" i="83"/>
  <c r="V332" i="83"/>
  <c r="V144" i="83"/>
  <c r="V102" i="83"/>
  <c r="V53" i="83"/>
  <c r="V239" i="83"/>
  <c r="V295" i="83"/>
  <c r="V57" i="83"/>
  <c r="V351" i="83"/>
  <c r="V44" i="83"/>
  <c r="V243" i="83"/>
  <c r="V193" i="83"/>
  <c r="V302" i="83"/>
  <c r="V257" i="83"/>
  <c r="V147" i="83"/>
  <c r="V48" i="83"/>
  <c r="V290" i="83"/>
  <c r="V207" i="83"/>
  <c r="V334" i="83"/>
  <c r="V155" i="83"/>
  <c r="V246" i="83"/>
  <c r="V167" i="83"/>
  <c r="V311" i="83"/>
  <c r="V247" i="83"/>
  <c r="V46" i="83"/>
  <c r="V209" i="83"/>
  <c r="V58" i="83"/>
  <c r="V156" i="83"/>
  <c r="V240" i="83"/>
  <c r="V254" i="83"/>
  <c r="V250" i="83"/>
  <c r="V64" i="83"/>
  <c r="V163" i="83"/>
  <c r="V255" i="83"/>
  <c r="V303" i="83"/>
  <c r="V119" i="83"/>
  <c r="V52" i="83"/>
  <c r="V152" i="83"/>
  <c r="V350" i="83"/>
  <c r="V338" i="83"/>
  <c r="V140" i="83"/>
  <c r="V282" i="83"/>
  <c r="V66" i="83"/>
  <c r="V348" i="83"/>
  <c r="V199" i="83"/>
  <c r="V153" i="83"/>
  <c r="V208" i="83"/>
  <c r="V237" i="83"/>
  <c r="V301" i="83"/>
  <c r="V286" i="83"/>
  <c r="V297" i="83"/>
  <c r="V162" i="83"/>
  <c r="V94" i="83"/>
  <c r="V145" i="83"/>
  <c r="V186" i="83"/>
  <c r="V238" i="83"/>
  <c r="V149" i="83"/>
  <c r="V158" i="83"/>
  <c r="V47" i="83"/>
  <c r="V92" i="83"/>
  <c r="V114" i="83"/>
  <c r="V353" i="83"/>
  <c r="V337" i="83"/>
  <c r="V70" i="83"/>
  <c r="V340" i="83"/>
  <c r="V346" i="83"/>
  <c r="V142" i="83"/>
  <c r="V296" i="83"/>
  <c r="V90" i="48"/>
  <c r="V93" i="48"/>
  <c r="V94" i="48"/>
  <c r="V349" i="48"/>
  <c r="V360" i="48"/>
  <c r="V213" i="48"/>
  <c r="V236" i="48"/>
  <c r="V165" i="48"/>
  <c r="V207" i="48"/>
  <c r="V251" i="48"/>
  <c r="V156" i="48"/>
  <c r="V200" i="48"/>
  <c r="V203" i="48"/>
  <c r="V95" i="48"/>
  <c r="V197" i="48"/>
  <c r="V311" i="48"/>
  <c r="V98" i="48"/>
  <c r="V190" i="48"/>
  <c r="V306" i="48"/>
  <c r="V119" i="48"/>
  <c r="V342" i="48"/>
  <c r="V305" i="48"/>
  <c r="V107" i="48"/>
  <c r="V150" i="48"/>
  <c r="V155" i="48"/>
  <c r="V148" i="48"/>
  <c r="V143" i="48"/>
  <c r="V141" i="48"/>
  <c r="V189" i="48"/>
  <c r="V195" i="48"/>
  <c r="V286" i="48"/>
  <c r="V154" i="48"/>
  <c r="V121" i="48"/>
  <c r="V153" i="48"/>
  <c r="V341" i="48"/>
  <c r="V355" i="48"/>
  <c r="V206" i="48"/>
  <c r="V284" i="48"/>
  <c r="V350" i="48"/>
  <c r="V295" i="48"/>
  <c r="V118" i="48"/>
  <c r="V188" i="48"/>
  <c r="V310" i="48"/>
  <c r="V304" i="48"/>
  <c r="V338" i="48"/>
  <c r="V210" i="48"/>
  <c r="V144" i="48"/>
  <c r="V211" i="48"/>
  <c r="V347" i="48"/>
  <c r="V151" i="48"/>
  <c r="V333" i="48"/>
  <c r="V260" i="48"/>
  <c r="V168" i="48"/>
  <c r="V242" i="48"/>
  <c r="V297" i="48"/>
  <c r="V238" i="48"/>
  <c r="V201" i="48"/>
  <c r="V248" i="48"/>
  <c r="V359" i="48"/>
  <c r="V243" i="48"/>
  <c r="V335" i="48"/>
  <c r="V354" i="48"/>
  <c r="V301" i="48"/>
  <c r="V332" i="48"/>
  <c r="V348" i="48"/>
  <c r="V249" i="48"/>
  <c r="V161" i="48"/>
  <c r="V152" i="48"/>
  <c r="V300" i="48"/>
  <c r="V344" i="48"/>
  <c r="V298" i="48"/>
  <c r="V334" i="48"/>
  <c r="V312" i="48"/>
  <c r="V261" i="48"/>
  <c r="V290" i="48"/>
  <c r="V258" i="48"/>
  <c r="V259" i="48"/>
  <c r="V244" i="48"/>
  <c r="V292" i="48"/>
  <c r="V288" i="48"/>
  <c r="V147" i="48"/>
  <c r="V159" i="48"/>
  <c r="V294" i="48"/>
  <c r="V308" i="48"/>
  <c r="V140" i="48"/>
  <c r="V309" i="48"/>
  <c r="V353" i="48"/>
  <c r="V307" i="48"/>
  <c r="V160" i="48"/>
  <c r="V255" i="48"/>
  <c r="V205" i="48"/>
  <c r="V240" i="48"/>
  <c r="V149" i="48"/>
  <c r="V102" i="48"/>
  <c r="V209" i="48"/>
  <c r="V250" i="48"/>
  <c r="V356" i="48"/>
  <c r="V252" i="48"/>
  <c r="V166" i="48"/>
  <c r="V254" i="48"/>
  <c r="V158" i="48"/>
  <c r="V109" i="48"/>
  <c r="V351" i="48"/>
  <c r="V263" i="48"/>
  <c r="V285" i="48"/>
  <c r="V343" i="48"/>
  <c r="V91" i="48"/>
  <c r="V145" i="48"/>
  <c r="V215" i="48"/>
  <c r="V337" i="48"/>
  <c r="V237" i="48"/>
  <c r="V100" i="48"/>
  <c r="V216" i="48"/>
  <c r="V163" i="48"/>
  <c r="V239" i="48"/>
  <c r="V111" i="48"/>
  <c r="V214" i="48"/>
  <c r="V247" i="48"/>
  <c r="V120" i="48"/>
  <c r="V296" i="48"/>
  <c r="V92" i="48"/>
  <c r="V339" i="48"/>
  <c r="V196" i="48"/>
  <c r="V162" i="48"/>
  <c r="V157" i="48"/>
  <c r="V192" i="48"/>
  <c r="V104" i="48"/>
  <c r="V256" i="48"/>
  <c r="V264" i="48"/>
  <c r="V212" i="48"/>
  <c r="V345" i="48"/>
  <c r="V198" i="48"/>
  <c r="V346" i="48"/>
  <c r="V336" i="48"/>
  <c r="V361" i="48"/>
  <c r="V358" i="48"/>
  <c r="V357" i="48"/>
  <c r="V204" i="48"/>
  <c r="V253" i="48"/>
  <c r="V97" i="48"/>
  <c r="V265" i="48"/>
  <c r="V96" i="48"/>
  <c r="V146" i="48"/>
  <c r="V202" i="48"/>
  <c r="V99" i="48"/>
  <c r="V194" i="48"/>
  <c r="V313" i="48"/>
  <c r="V167" i="48"/>
  <c r="V191" i="48"/>
  <c r="V262" i="48"/>
  <c r="V117" i="48"/>
  <c r="V303" i="48"/>
  <c r="V302" i="48"/>
  <c r="V340" i="48"/>
  <c r="V257" i="48"/>
  <c r="V110" i="48"/>
  <c r="V103" i="48"/>
  <c r="V299" i="48"/>
  <c r="V208" i="48"/>
  <c r="V287" i="48"/>
  <c r="V106" i="48"/>
  <c r="V164" i="48"/>
  <c r="V108" i="48"/>
  <c r="V289" i="48"/>
  <c r="V193" i="48"/>
  <c r="V291" i="48"/>
  <c r="V199" i="48"/>
  <c r="V246" i="48"/>
  <c r="V101" i="48"/>
  <c r="V142" i="48"/>
  <c r="V241" i="48"/>
  <c r="V169" i="48"/>
  <c r="V116" i="48"/>
  <c r="V245" i="48"/>
  <c r="V293" i="48"/>
  <c r="V105" i="48"/>
  <c r="V352" i="48"/>
  <c r="V217" i="48"/>
  <c r="V70" i="48"/>
  <c r="AC70" i="48" s="1"/>
  <c r="V64" i="48"/>
  <c r="AC64" i="48" s="1"/>
  <c r="V71" i="48"/>
  <c r="AC71" i="48" s="1"/>
  <c r="V67" i="48"/>
  <c r="AC67" i="48" s="1"/>
  <c r="V42" i="48"/>
  <c r="AC42" i="48" s="1"/>
  <c r="V65" i="48"/>
  <c r="AC65" i="48" s="1"/>
  <c r="V68" i="48"/>
  <c r="AC68" i="48" s="1"/>
  <c r="V66" i="48"/>
  <c r="AC66" i="48" s="1"/>
  <c r="V69" i="48"/>
  <c r="AC69" i="48" s="1"/>
  <c r="B2" i="79" a="1"/>
  <c r="B2" i="79" s="1"/>
  <c r="E1" i="79" s="1" a="1"/>
  <c r="X2" i="79" s="1" a="1"/>
  <c r="X2" i="79" s="1"/>
  <c r="V2" i="79" l="1" a="1"/>
  <c r="V2" i="79" s="1"/>
  <c r="W2" i="79" a="1"/>
  <c r="W2" i="79" s="1"/>
  <c r="T2" i="79" a="1"/>
  <c r="T2" i="79" s="1"/>
  <c r="U2" i="79" a="1"/>
  <c r="U2" i="79" s="1"/>
  <c r="W346" i="83"/>
  <c r="AC346" i="83"/>
  <c r="AD346" i="83" s="1"/>
  <c r="AC158" i="83"/>
  <c r="AD158" i="83" s="1"/>
  <c r="W158" i="83"/>
  <c r="AC286" i="83"/>
  <c r="AD286" i="83" s="1"/>
  <c r="W286" i="83"/>
  <c r="AC282" i="83"/>
  <c r="AD282" i="83" s="1"/>
  <c r="W282" i="83"/>
  <c r="AC255" i="83"/>
  <c r="AD255" i="83" s="1"/>
  <c r="W255" i="83"/>
  <c r="AC209" i="83"/>
  <c r="AD209" i="83" s="1"/>
  <c r="W209" i="83"/>
  <c r="AC207" i="83"/>
  <c r="AD207" i="83" s="1"/>
  <c r="W207" i="83"/>
  <c r="W44" i="83"/>
  <c r="AC44" i="83"/>
  <c r="AD44" i="83" s="1"/>
  <c r="AC332" i="83"/>
  <c r="AD332" i="83" s="1"/>
  <c r="W332" i="83"/>
  <c r="AC283" i="83"/>
  <c r="AD283" i="83" s="1"/>
  <c r="W283" i="83"/>
  <c r="AC339" i="83"/>
  <c r="AD339" i="83" s="1"/>
  <c r="W339" i="83"/>
  <c r="AC188" i="83"/>
  <c r="AD188" i="83" s="1"/>
  <c r="W188" i="83"/>
  <c r="AC99" i="83"/>
  <c r="AD99" i="83" s="1"/>
  <c r="W99" i="83"/>
  <c r="W96" i="83"/>
  <c r="AC96" i="83"/>
  <c r="AD96" i="83" s="1"/>
  <c r="W211" i="83"/>
  <c r="AC211" i="83"/>
  <c r="AD211" i="83" s="1"/>
  <c r="AC49" i="83"/>
  <c r="AD49" i="83" s="1"/>
  <c r="W49" i="83"/>
  <c r="AC215" i="83"/>
  <c r="AD215" i="83" s="1"/>
  <c r="W215" i="83"/>
  <c r="W248" i="83"/>
  <c r="AC248" i="83"/>
  <c r="AD248" i="83" s="1"/>
  <c r="AC305" i="83"/>
  <c r="AD305" i="83" s="1"/>
  <c r="W305" i="83"/>
  <c r="AC196" i="83"/>
  <c r="AD196" i="83" s="1"/>
  <c r="W196" i="83"/>
  <c r="AC93" i="83"/>
  <c r="AD93" i="83" s="1"/>
  <c r="W93" i="83"/>
  <c r="AC308" i="83"/>
  <c r="AD308" i="83" s="1"/>
  <c r="W308" i="83"/>
  <c r="AC189" i="83"/>
  <c r="AD189" i="83" s="1"/>
  <c r="W189" i="83"/>
  <c r="AC289" i="83"/>
  <c r="AD289" i="83" s="1"/>
  <c r="W289" i="83"/>
  <c r="AC148" i="83"/>
  <c r="AD148" i="83" s="1"/>
  <c r="W148" i="83"/>
  <c r="AC71" i="83"/>
  <c r="AD71" i="83" s="1"/>
  <c r="W71" i="83"/>
  <c r="AC213" i="83"/>
  <c r="AD213" i="83" s="1"/>
  <c r="W213" i="83"/>
  <c r="AC251" i="83"/>
  <c r="AD251" i="83" s="1"/>
  <c r="W251" i="83"/>
  <c r="W108" i="83"/>
  <c r="AC108" i="83"/>
  <c r="AD108" i="83" s="1"/>
  <c r="AC143" i="83"/>
  <c r="AD143" i="83" s="1"/>
  <c r="W143" i="83"/>
  <c r="W299" i="83"/>
  <c r="AC299" i="83"/>
  <c r="AD299" i="83" s="1"/>
  <c r="AC357" i="83"/>
  <c r="AD357" i="83" s="1"/>
  <c r="W357" i="83"/>
  <c r="AC262" i="83"/>
  <c r="AD262" i="83" s="1"/>
  <c r="W262" i="83"/>
  <c r="W97" i="83"/>
  <c r="AC97" i="83"/>
  <c r="AD97" i="83" s="1"/>
  <c r="AC263" i="83"/>
  <c r="AD263" i="83" s="1"/>
  <c r="W263" i="83"/>
  <c r="AC65" i="83"/>
  <c r="AD65" i="83" s="1"/>
  <c r="W65" i="83"/>
  <c r="AC146" i="83"/>
  <c r="AD146" i="83" s="1"/>
  <c r="W146" i="83"/>
  <c r="W50" i="83"/>
  <c r="AC50" i="83"/>
  <c r="AD50" i="83" s="1"/>
  <c r="X358" i="83" a="1"/>
  <c r="X358" i="83" s="1"/>
  <c r="X353" i="83" a="1"/>
  <c r="X353" i="83" s="1"/>
  <c r="X349" i="83" a="1"/>
  <c r="X349" i="83" s="1"/>
  <c r="X345" i="83" a="1"/>
  <c r="X345" i="83" s="1"/>
  <c r="X341" i="83" a="1"/>
  <c r="X341" i="83" s="1"/>
  <c r="X337" i="83" a="1"/>
  <c r="X337" i="83" s="1"/>
  <c r="X334" i="83" a="1"/>
  <c r="X334" i="83" s="1"/>
  <c r="X332" i="83" a="1"/>
  <c r="X332" i="83" s="1"/>
  <c r="X330" i="83" a="1"/>
  <c r="X330" i="83" s="1"/>
  <c r="X302" i="83" a="1"/>
  <c r="X302" i="83" s="1"/>
  <c r="X289" i="83" a="1"/>
  <c r="X289" i="83" s="1"/>
  <c r="X262" i="83" a="1"/>
  <c r="X262" i="83" s="1"/>
  <c r="X258" i="83" a="1"/>
  <c r="X258" i="83" s="1"/>
  <c r="X253" i="83" a="1"/>
  <c r="X253" i="83" s="1"/>
  <c r="X248" i="83" a="1"/>
  <c r="X248" i="83" s="1"/>
  <c r="X243" i="83" a="1"/>
  <c r="X243" i="83" s="1"/>
  <c r="X212" i="83" a="1"/>
  <c r="X212" i="83" s="1"/>
  <c r="X197" i="83" a="1"/>
  <c r="X197" i="83" s="1"/>
  <c r="X192" i="83" a="1"/>
  <c r="X192" i="83" s="1"/>
  <c r="X163" i="83" a="1"/>
  <c r="X163" i="83" s="1"/>
  <c r="X159" i="83" a="1"/>
  <c r="X159" i="83" s="1"/>
  <c r="X153" i="83" a="1"/>
  <c r="X153" i="83" s="1"/>
  <c r="X110" i="83" a="1"/>
  <c r="X110" i="83" s="1"/>
  <c r="X105" i="83" a="1"/>
  <c r="X105" i="83" s="1"/>
  <c r="X71" i="83" a="1"/>
  <c r="X71" i="83" s="1"/>
  <c r="X53" i="83" a="1"/>
  <c r="X53" i="83" s="1"/>
  <c r="X311" i="83" a="1"/>
  <c r="X311" i="83" s="1"/>
  <c r="X307" i="83" a="1"/>
  <c r="X307" i="83" s="1"/>
  <c r="X303" i="83" a="1"/>
  <c r="X303" i="83" s="1"/>
  <c r="X298" i="83" a="1"/>
  <c r="X298" i="83" s="1"/>
  <c r="X294" i="83" a="1"/>
  <c r="X294" i="83" s="1"/>
  <c r="X254" i="83" a="1"/>
  <c r="X254" i="83" s="1"/>
  <c r="X208" i="83" a="1"/>
  <c r="X208" i="83" s="1"/>
  <c r="X204" i="83" a="1"/>
  <c r="X204" i="83" s="1"/>
  <c r="X154" i="83" a="1"/>
  <c r="X154" i="83" s="1"/>
  <c r="X149" i="83" a="1"/>
  <c r="X149" i="83" s="1"/>
  <c r="X144" i="83" a="1"/>
  <c r="X144" i="83" s="1"/>
  <c r="X117" i="83" a="1"/>
  <c r="X117" i="83" s="1"/>
  <c r="X101" i="83" a="1"/>
  <c r="X101" i="83" s="1"/>
  <c r="X58" i="83" a="1"/>
  <c r="X58" i="83" s="1"/>
  <c r="X359" i="83" a="1"/>
  <c r="X359" i="83" s="1"/>
  <c r="X354" i="83" a="1"/>
  <c r="X354" i="83" s="1"/>
  <c r="X350" i="83" a="1"/>
  <c r="X350" i="83" s="1"/>
  <c r="X346" i="83" a="1"/>
  <c r="X346" i="83" s="1"/>
  <c r="X342" i="83" a="1"/>
  <c r="X342" i="83" s="1"/>
  <c r="X338" i="83" a="1"/>
  <c r="X338" i="83" s="1"/>
  <c r="X290" i="83" a="1"/>
  <c r="X290" i="83" s="1"/>
  <c r="X263" i="83" a="1"/>
  <c r="X263" i="83" s="1"/>
  <c r="X259" i="83" a="1"/>
  <c r="X259" i="83" s="1"/>
  <c r="X249" i="83" a="1"/>
  <c r="X249" i="83" s="1"/>
  <c r="X244" i="83" a="1"/>
  <c r="X244" i="83" s="1"/>
  <c r="X213" i="83" a="1"/>
  <c r="X213" i="83" s="1"/>
  <c r="X209" i="83" a="1"/>
  <c r="X209" i="83" s="1"/>
  <c r="X198" i="83" a="1"/>
  <c r="X198" i="83" s="1"/>
  <c r="X193" i="83" a="1"/>
  <c r="X193" i="83" s="1"/>
  <c r="X166" i="83" a="1"/>
  <c r="X166" i="83" s="1"/>
  <c r="X164" i="83" a="1"/>
  <c r="X164" i="83" s="1"/>
  <c r="X160" i="83" a="1"/>
  <c r="X160" i="83" s="1"/>
  <c r="X145" i="83" a="1"/>
  <c r="X145" i="83" s="1"/>
  <c r="X111" i="83" a="1"/>
  <c r="X111" i="83" s="1"/>
  <c r="X106" i="83" a="1"/>
  <c r="X106" i="83" s="1"/>
  <c r="X102" i="83" a="1"/>
  <c r="X102" i="83" s="1"/>
  <c r="X96" i="83" a="1"/>
  <c r="X96" i="83" s="1"/>
  <c r="X52" i="83" a="1"/>
  <c r="X52" i="83" s="1"/>
  <c r="X51" i="83" a="1"/>
  <c r="X51" i="83" s="1"/>
  <c r="X355" i="83" a="1"/>
  <c r="X355" i="83" s="1"/>
  <c r="X308" i="83" a="1"/>
  <c r="X308" i="83" s="1"/>
  <c r="X304" i="83" a="1"/>
  <c r="X304" i="83" s="1"/>
  <c r="X299" i="83" a="1"/>
  <c r="X299" i="83" s="1"/>
  <c r="X295" i="83" a="1"/>
  <c r="X295" i="83" s="1"/>
  <c r="X255" i="83" a="1"/>
  <c r="X255" i="83" s="1"/>
  <c r="X245" i="83" a="1"/>
  <c r="X245" i="83" s="1"/>
  <c r="X240" i="83" a="1"/>
  <c r="X240" i="83" s="1"/>
  <c r="X205" i="83" a="1"/>
  <c r="X205" i="83" s="1"/>
  <c r="X199" i="83" a="1"/>
  <c r="X199" i="83" s="1"/>
  <c r="X165" i="83" a="1"/>
  <c r="X165" i="83" s="1"/>
  <c r="X155" i="83" a="1"/>
  <c r="X155" i="83" s="1"/>
  <c r="X150" i="83" a="1"/>
  <c r="X150" i="83" s="1"/>
  <c r="X146" i="83" a="1"/>
  <c r="X146" i="83" s="1"/>
  <c r="X118" i="83" a="1"/>
  <c r="X118" i="83" s="1"/>
  <c r="X97" i="83" a="1"/>
  <c r="X97" i="83" s="1"/>
  <c r="X67" i="83" a="1"/>
  <c r="X67" i="83" s="1"/>
  <c r="X60" i="83" a="1"/>
  <c r="X60" i="83" s="1"/>
  <c r="X59" i="83" a="1"/>
  <c r="X59" i="83" s="1"/>
  <c r="X68" i="83" a="1"/>
  <c r="X68" i="83" s="1"/>
  <c r="X351" i="83" a="1"/>
  <c r="X351" i="83" s="1"/>
  <c r="X347" i="83" a="1"/>
  <c r="X347" i="83" s="1"/>
  <c r="X343" i="83" a="1"/>
  <c r="X343" i="83" s="1"/>
  <c r="X339" i="83" a="1"/>
  <c r="X339" i="83" s="1"/>
  <c r="X335" i="83" a="1"/>
  <c r="X335" i="83" s="1"/>
  <c r="X333" i="83" a="1"/>
  <c r="X333" i="83" s="1"/>
  <c r="X331" i="83" a="1"/>
  <c r="X331" i="83" s="1"/>
  <c r="X291" i="83" a="1"/>
  <c r="X291" i="83" s="1"/>
  <c r="X260" i="83" a="1"/>
  <c r="X260" i="83" s="1"/>
  <c r="X256" i="83" a="1"/>
  <c r="X256" i="83" s="1"/>
  <c r="X250" i="83" a="1"/>
  <c r="X250" i="83" s="1"/>
  <c r="X246" i="83" a="1"/>
  <c r="X246" i="83" s="1"/>
  <c r="X241" i="83" a="1"/>
  <c r="X241" i="83" s="1"/>
  <c r="X214" i="83" a="1"/>
  <c r="X214" i="83" s="1"/>
  <c r="X210" i="83" a="1"/>
  <c r="X210" i="83" s="1"/>
  <c r="X201" i="83" a="1"/>
  <c r="X201" i="83" s="1"/>
  <c r="X200" i="83" a="1"/>
  <c r="X200" i="83" s="1"/>
  <c r="X194" i="83" a="1"/>
  <c r="X194" i="83" s="1"/>
  <c r="X167" i="83" a="1"/>
  <c r="X167" i="83" s="1"/>
  <c r="X161" i="83" a="1"/>
  <c r="X161" i="83" s="1"/>
  <c r="X156" i="83" a="1"/>
  <c r="X156" i="83" s="1"/>
  <c r="X113" i="83" a="1"/>
  <c r="X113" i="83" s="1"/>
  <c r="X112" i="83" a="1"/>
  <c r="X112" i="83" s="1"/>
  <c r="X107" i="83" a="1"/>
  <c r="X107" i="83" s="1"/>
  <c r="X103" i="83" a="1"/>
  <c r="X103" i="83" s="1"/>
  <c r="X61" i="83" a="1"/>
  <c r="X61" i="83" s="1"/>
  <c r="X356" i="83" a="1"/>
  <c r="X356" i="83" s="1"/>
  <c r="X309" i="83" a="1"/>
  <c r="X309" i="83" s="1"/>
  <c r="X305" i="83" a="1"/>
  <c r="X305" i="83" s="1"/>
  <c r="X300" i="83" a="1"/>
  <c r="X300" i="83" s="1"/>
  <c r="X296" i="83" a="1"/>
  <c r="X296" i="83" s="1"/>
  <c r="X206" i="83" a="1"/>
  <c r="X206" i="83" s="1"/>
  <c r="X202" i="83" a="1"/>
  <c r="X202" i="83" s="1"/>
  <c r="X195" i="83" a="1"/>
  <c r="X195" i="83" s="1"/>
  <c r="X157" i="83" a="1"/>
  <c r="X157" i="83" s="1"/>
  <c r="X151" i="83" a="1"/>
  <c r="X151" i="83" s="1"/>
  <c r="X147" i="83" a="1"/>
  <c r="X147" i="83" s="1"/>
  <c r="X119" i="83" a="1"/>
  <c r="X119" i="83" s="1"/>
  <c r="X115" i="83" a="1"/>
  <c r="X115" i="83" s="1"/>
  <c r="X114" i="83" a="1"/>
  <c r="X114" i="83" s="1"/>
  <c r="X98" i="83" a="1"/>
  <c r="X98" i="83" s="1"/>
  <c r="X69" i="83" a="1"/>
  <c r="X69" i="83" s="1"/>
  <c r="X62" i="83" a="1"/>
  <c r="X62" i="83" s="1"/>
  <c r="X54" i="83" a="1"/>
  <c r="X54" i="83" s="1"/>
  <c r="X48" i="83" a="1"/>
  <c r="X48" i="83" s="1"/>
  <c r="X357" i="83" a="1"/>
  <c r="X357" i="83" s="1"/>
  <c r="X352" i="83" a="1"/>
  <c r="X352" i="83" s="1"/>
  <c r="X348" i="83" a="1"/>
  <c r="X348" i="83" s="1"/>
  <c r="X344" i="83" a="1"/>
  <c r="X344" i="83" s="1"/>
  <c r="X340" i="83" a="1"/>
  <c r="X340" i="83" s="1"/>
  <c r="X336" i="83" a="1"/>
  <c r="X336" i="83" s="1"/>
  <c r="X301" i="83" a="1"/>
  <c r="X301" i="83" s="1"/>
  <c r="X292" i="83" a="1"/>
  <c r="X292" i="83" s="1"/>
  <c r="X261" i="83" a="1"/>
  <c r="X261" i="83" s="1"/>
  <c r="X257" i="83" a="1"/>
  <c r="X257" i="83" s="1"/>
  <c r="X251" i="83" a="1"/>
  <c r="X251" i="83" s="1"/>
  <c r="X247" i="83" a="1"/>
  <c r="X247" i="83" s="1"/>
  <c r="X242" i="83" a="1"/>
  <c r="X242" i="83" s="1"/>
  <c r="X215" i="83" a="1"/>
  <c r="X215" i="83" s="1"/>
  <c r="X211" i="83" a="1"/>
  <c r="X211" i="83" s="1"/>
  <c r="X196" i="83" a="1"/>
  <c r="X196" i="83" s="1"/>
  <c r="X162" i="83" a="1"/>
  <c r="X162" i="83" s="1"/>
  <c r="X108" i="83" a="1"/>
  <c r="X108" i="83" s="1"/>
  <c r="X104" i="83" a="1"/>
  <c r="X104" i="83" s="1"/>
  <c r="X99" i="83" a="1"/>
  <c r="X99" i="83" s="1"/>
  <c r="X70" i="83" a="1"/>
  <c r="X70" i="83" s="1"/>
  <c r="X63" i="83" a="1"/>
  <c r="X63" i="83" s="1"/>
  <c r="X56" i="83" a="1"/>
  <c r="X56" i="83" s="1"/>
  <c r="X49" i="83" a="1"/>
  <c r="X49" i="83" s="1"/>
  <c r="X57" i="83" a="1"/>
  <c r="X57" i="83" s="1"/>
  <c r="X310" i="83" a="1"/>
  <c r="X310" i="83" s="1"/>
  <c r="X306" i="83" a="1"/>
  <c r="X306" i="83" s="1"/>
  <c r="X297" i="83" a="1"/>
  <c r="X297" i="83" s="1"/>
  <c r="X293" i="83" a="1"/>
  <c r="X293" i="83" s="1"/>
  <c r="X288" i="83" a="1"/>
  <c r="X288" i="83" s="1"/>
  <c r="X252" i="83" a="1"/>
  <c r="X252" i="83" s="1"/>
  <c r="X207" i="83" a="1"/>
  <c r="X207" i="83" s="1"/>
  <c r="X203" i="83" a="1"/>
  <c r="X203" i="83" s="1"/>
  <c r="X158" i="83" a="1"/>
  <c r="X158" i="83" s="1"/>
  <c r="X152" i="83" a="1"/>
  <c r="X152" i="83" s="1"/>
  <c r="X148" i="83" a="1"/>
  <c r="X148" i="83" s="1"/>
  <c r="X116" i="83" a="1"/>
  <c r="X116" i="83" s="1"/>
  <c r="X109" i="83" a="1"/>
  <c r="X109" i="83" s="1"/>
  <c r="X100" i="83" a="1"/>
  <c r="X100" i="83" s="1"/>
  <c r="X64" i="83" a="1"/>
  <c r="X64" i="83" s="1"/>
  <c r="X55" i="83" a="1"/>
  <c r="X55" i="83" s="1"/>
  <c r="X65" i="83" a="1"/>
  <c r="X65" i="83" s="1"/>
  <c r="X66" i="83" a="1"/>
  <c r="X66" i="83" s="1"/>
  <c r="X50" i="83" a="1"/>
  <c r="X50" i="83" s="1"/>
  <c r="X95" i="83" a="1"/>
  <c r="X95" i="83" s="1"/>
  <c r="X93" i="83" a="1"/>
  <c r="X93" i="83" s="1"/>
  <c r="X142" i="83" a="1"/>
  <c r="X142" i="83" s="1"/>
  <c r="X236" i="83" a="1"/>
  <c r="X236" i="83" s="1"/>
  <c r="X143" i="83" a="1"/>
  <c r="X143" i="83" s="1"/>
  <c r="X44" i="83" a="1"/>
  <c r="X44" i="83" s="1"/>
  <c r="X91" i="83" a="1"/>
  <c r="X91" i="83" s="1"/>
  <c r="X140" i="83" a="1"/>
  <c r="X140" i="83" s="1"/>
  <c r="X234" i="83" a="1"/>
  <c r="X234" i="83" s="1"/>
  <c r="X141" i="83" a="1"/>
  <c r="X141" i="83" s="1"/>
  <c r="X286" i="83" a="1"/>
  <c r="X286" i="83" s="1"/>
  <c r="X190" i="83" a="1"/>
  <c r="X190" i="83" s="1"/>
  <c r="X138" i="83" a="1"/>
  <c r="X138" i="83" s="1"/>
  <c r="X92" i="83" a="1"/>
  <c r="X92" i="83" s="1"/>
  <c r="X139" i="83" a="1"/>
  <c r="X139" i="83" s="1"/>
  <c r="X284" i="83" a="1"/>
  <c r="X284" i="83" s="1"/>
  <c r="X188" i="83" a="1"/>
  <c r="X188" i="83" s="1"/>
  <c r="X94" i="83" a="1"/>
  <c r="X94" i="83" s="1"/>
  <c r="X90" i="83" a="1"/>
  <c r="X90" i="83" s="1"/>
  <c r="X46" i="83" a="1"/>
  <c r="X46" i="83" s="1"/>
  <c r="X282" i="83" a="1"/>
  <c r="X282" i="83" s="1"/>
  <c r="X186" i="83" a="1"/>
  <c r="X186" i="83" s="1"/>
  <c r="X287" i="83" a="1"/>
  <c r="X287" i="83" s="1"/>
  <c r="X43" i="83" a="1"/>
  <c r="X43" i="83" s="1"/>
  <c r="X239" i="83" a="1"/>
  <c r="X239" i="83" s="1"/>
  <c r="X42" i="83" a="1"/>
  <c r="X42" i="83" s="1"/>
  <c r="X285" i="83" a="1"/>
  <c r="X285" i="83" s="1"/>
  <c r="X191" i="83" a="1"/>
  <c r="X191" i="83" s="1"/>
  <c r="X237" i="83" a="1"/>
  <c r="X237" i="83" s="1"/>
  <c r="X47" i="83" a="1"/>
  <c r="X47" i="83" s="1"/>
  <c r="X283" i="83" a="1"/>
  <c r="X283" i="83" s="1"/>
  <c r="X189" i="83" a="1"/>
  <c r="X189" i="83" s="1"/>
  <c r="X235" i="83" a="1"/>
  <c r="X235" i="83" s="1"/>
  <c r="X45" i="83" a="1"/>
  <c r="X45" i="83" s="1"/>
  <c r="X238" i="83" a="1"/>
  <c r="X238" i="83" s="1"/>
  <c r="X187" i="83" a="1"/>
  <c r="X187" i="83" s="1"/>
  <c r="AC337" i="83"/>
  <c r="AD337" i="83" s="1"/>
  <c r="W337" i="83"/>
  <c r="AC186" i="83"/>
  <c r="AD186" i="83" s="1"/>
  <c r="W186" i="83"/>
  <c r="W208" i="83"/>
  <c r="AC208" i="83"/>
  <c r="AD208" i="83" s="1"/>
  <c r="W350" i="83"/>
  <c r="AC350" i="83"/>
  <c r="AD350" i="83" s="1"/>
  <c r="AC250" i="83"/>
  <c r="AD250" i="83" s="1"/>
  <c r="W250" i="83"/>
  <c r="W311" i="83"/>
  <c r="AC311" i="83"/>
  <c r="AD311" i="83" s="1"/>
  <c r="AC147" i="83"/>
  <c r="AD147" i="83" s="1"/>
  <c r="W147" i="83"/>
  <c r="AC295" i="83"/>
  <c r="AD295" i="83" s="1"/>
  <c r="W295" i="83"/>
  <c r="AC292" i="83"/>
  <c r="AD292" i="83" s="1"/>
  <c r="W292" i="83"/>
  <c r="AC63" i="83"/>
  <c r="AD63" i="83" s="1"/>
  <c r="W63" i="83"/>
  <c r="AC111" i="83"/>
  <c r="AD111" i="83" s="1"/>
  <c r="W111" i="83"/>
  <c r="W157" i="83"/>
  <c r="AC157" i="83"/>
  <c r="AD157" i="83" s="1"/>
  <c r="W356" i="83"/>
  <c r="AC356" i="83"/>
  <c r="AD356" i="83" s="1"/>
  <c r="AC285" i="83"/>
  <c r="AD285" i="83" s="1"/>
  <c r="W285" i="83"/>
  <c r="W194" i="83"/>
  <c r="AC194" i="83"/>
  <c r="AD194" i="83" s="1"/>
  <c r="W291" i="83"/>
  <c r="AC291" i="83"/>
  <c r="AD291" i="83" s="1"/>
  <c r="AC42" i="83"/>
  <c r="AD42" i="83" s="1"/>
  <c r="W42" i="83"/>
  <c r="AC115" i="83"/>
  <c r="AD115" i="83" s="1"/>
  <c r="W115" i="83"/>
  <c r="AC249" i="83"/>
  <c r="AD249" i="83" s="1"/>
  <c r="W249" i="83"/>
  <c r="W62" i="83"/>
  <c r="AC62" i="83"/>
  <c r="AD62" i="83" s="1"/>
  <c r="AC69" i="83"/>
  <c r="AD69" i="83" s="1"/>
  <c r="W69" i="83"/>
  <c r="W206" i="83"/>
  <c r="AC206" i="83"/>
  <c r="AD206" i="83" s="1"/>
  <c r="AC67" i="83"/>
  <c r="AD67" i="83" s="1"/>
  <c r="W67" i="83"/>
  <c r="W345" i="83"/>
  <c r="AC345" i="83"/>
  <c r="AD345" i="83" s="1"/>
  <c r="W60" i="83"/>
  <c r="AC60" i="83"/>
  <c r="AD60" i="83" s="1"/>
  <c r="AC205" i="83"/>
  <c r="AD205" i="83" s="1"/>
  <c r="W205" i="83"/>
  <c r="AC340" i="83"/>
  <c r="AD340" i="83" s="1"/>
  <c r="W340" i="83"/>
  <c r="AC163" i="83"/>
  <c r="AD163" i="83" s="1"/>
  <c r="W163" i="83"/>
  <c r="AC330" i="83"/>
  <c r="AD330" i="83" s="1"/>
  <c r="W330" i="83"/>
  <c r="AC238" i="83"/>
  <c r="AD238" i="83" s="1"/>
  <c r="W238" i="83"/>
  <c r="W64" i="83"/>
  <c r="AC64" i="83"/>
  <c r="AD64" i="83" s="1"/>
  <c r="W48" i="83"/>
  <c r="AC48" i="83"/>
  <c r="AD48" i="83" s="1"/>
  <c r="AC259" i="83"/>
  <c r="AD259" i="83" s="1"/>
  <c r="W259" i="83"/>
  <c r="W252" i="83"/>
  <c r="AC252" i="83"/>
  <c r="AD252" i="83" s="1"/>
  <c r="AC138" i="83"/>
  <c r="AD138" i="83" s="1"/>
  <c r="W138" i="83"/>
  <c r="AC298" i="83"/>
  <c r="AD298" i="83" s="1"/>
  <c r="W298" i="83"/>
  <c r="AC353" i="83"/>
  <c r="AD353" i="83" s="1"/>
  <c r="W353" i="83"/>
  <c r="AC145" i="83"/>
  <c r="AD145" i="83" s="1"/>
  <c r="W145" i="83"/>
  <c r="W153" i="83"/>
  <c r="AC153" i="83"/>
  <c r="AD153" i="83" s="1"/>
  <c r="AC152" i="83"/>
  <c r="AD152" i="83" s="1"/>
  <c r="W152" i="83"/>
  <c r="W254" i="83"/>
  <c r="AC254" i="83"/>
  <c r="AD254" i="83" s="1"/>
  <c r="W167" i="83"/>
  <c r="AC167" i="83"/>
  <c r="AD167" i="83" s="1"/>
  <c r="AC257" i="83"/>
  <c r="AD257" i="83" s="1"/>
  <c r="W257" i="83"/>
  <c r="AC239" i="83"/>
  <c r="AD239" i="83" s="1"/>
  <c r="W239" i="83"/>
  <c r="W288" i="83"/>
  <c r="AC288" i="83"/>
  <c r="AD288" i="83" s="1"/>
  <c r="AC55" i="83"/>
  <c r="AD55" i="83" s="1"/>
  <c r="W55" i="83"/>
  <c r="AC253" i="83"/>
  <c r="AD253" i="83" s="1"/>
  <c r="W253" i="83"/>
  <c r="AC287" i="83"/>
  <c r="AD287" i="83" s="1"/>
  <c r="W287" i="83"/>
  <c r="AC307" i="83"/>
  <c r="AD307" i="83" s="1"/>
  <c r="W307" i="83"/>
  <c r="AC105" i="83"/>
  <c r="AD105" i="83" s="1"/>
  <c r="W105" i="83"/>
  <c r="AC349" i="83"/>
  <c r="AD349" i="83" s="1"/>
  <c r="W349" i="83"/>
  <c r="AC236" i="83"/>
  <c r="AD236" i="83" s="1"/>
  <c r="W236" i="83"/>
  <c r="AC258" i="83"/>
  <c r="AD258" i="83" s="1"/>
  <c r="W258" i="83"/>
  <c r="AC161" i="83"/>
  <c r="AD161" i="83" s="1"/>
  <c r="W161" i="83"/>
  <c r="AC91" i="83"/>
  <c r="AD91" i="83" s="1"/>
  <c r="W91" i="83"/>
  <c r="AC139" i="83"/>
  <c r="AD139" i="83" s="1"/>
  <c r="W139" i="83"/>
  <c r="W293" i="83"/>
  <c r="AC293" i="83"/>
  <c r="AD293" i="83" s="1"/>
  <c r="AC59" i="83"/>
  <c r="AD59" i="83" s="1"/>
  <c r="W59" i="83"/>
  <c r="AC141" i="83"/>
  <c r="AD141" i="83" s="1"/>
  <c r="W141" i="83"/>
  <c r="AC352" i="83"/>
  <c r="AD352" i="83" s="1"/>
  <c r="W352" i="83"/>
  <c r="W98" i="83"/>
  <c r="AC98" i="83"/>
  <c r="AD98" i="83" s="1"/>
  <c r="W241" i="83"/>
  <c r="AC241" i="83"/>
  <c r="AD241" i="83" s="1"/>
  <c r="AC301" i="83"/>
  <c r="AD301" i="83" s="1"/>
  <c r="W301" i="83"/>
  <c r="AC290" i="83"/>
  <c r="AD290" i="83" s="1"/>
  <c r="W290" i="83"/>
  <c r="AC304" i="83"/>
  <c r="AD304" i="83" s="1"/>
  <c r="W304" i="83"/>
  <c r="AC294" i="83"/>
  <c r="AD294" i="83" s="1"/>
  <c r="W294" i="83"/>
  <c r="AC234" i="83"/>
  <c r="AD234" i="83" s="1"/>
  <c r="W234" i="83"/>
  <c r="AC310" i="83"/>
  <c r="AD310" i="83" s="1"/>
  <c r="W310" i="83"/>
  <c r="W56" i="83"/>
  <c r="AC56" i="83"/>
  <c r="AD56" i="83" s="1"/>
  <c r="W118" i="83"/>
  <c r="AC118" i="83"/>
  <c r="AD118" i="83" s="1"/>
  <c r="AC341" i="83"/>
  <c r="AD341" i="83" s="1"/>
  <c r="W341" i="83"/>
  <c r="W109" i="83"/>
  <c r="AC109" i="83"/>
  <c r="AD109" i="83" s="1"/>
  <c r="AC70" i="83"/>
  <c r="AD70" i="83" s="1"/>
  <c r="W70" i="83"/>
  <c r="AC237" i="83"/>
  <c r="AD237" i="83" s="1"/>
  <c r="W237" i="83"/>
  <c r="W338" i="83"/>
  <c r="AC338" i="83"/>
  <c r="AD338" i="83" s="1"/>
  <c r="W247" i="83"/>
  <c r="AC247" i="83"/>
  <c r="AD247" i="83" s="1"/>
  <c r="AC57" i="83"/>
  <c r="AD57" i="83" s="1"/>
  <c r="W57" i="83"/>
  <c r="W260" i="83"/>
  <c r="AC260" i="83"/>
  <c r="AD260" i="83" s="1"/>
  <c r="AC358" i="83"/>
  <c r="AD358" i="83" s="1"/>
  <c r="W358" i="83"/>
  <c r="AC214" i="83"/>
  <c r="AD214" i="83" s="1"/>
  <c r="W214" i="83"/>
  <c r="AC114" i="83"/>
  <c r="AD114" i="83" s="1"/>
  <c r="W114" i="83"/>
  <c r="AC94" i="83"/>
  <c r="AD94" i="83" s="1"/>
  <c r="W94" i="83"/>
  <c r="AC199" i="83"/>
  <c r="AD199" i="83" s="1"/>
  <c r="W199" i="83"/>
  <c r="W52" i="83"/>
  <c r="AC52" i="83"/>
  <c r="AD52" i="83" s="1"/>
  <c r="W240" i="83"/>
  <c r="AC240" i="83"/>
  <c r="AD240" i="83" s="1"/>
  <c r="AC246" i="83"/>
  <c r="AD246" i="83" s="1"/>
  <c r="W246" i="83"/>
  <c r="AC302" i="83"/>
  <c r="AD302" i="83" s="1"/>
  <c r="W302" i="83"/>
  <c r="AC53" i="83"/>
  <c r="AD53" i="83" s="1"/>
  <c r="W53" i="83"/>
  <c r="W342" i="83"/>
  <c r="AC342" i="83"/>
  <c r="AD342" i="83" s="1"/>
  <c r="W245" i="83"/>
  <c r="AC245" i="83"/>
  <c r="AD245" i="83" s="1"/>
  <c r="W354" i="83"/>
  <c r="AC354" i="83"/>
  <c r="AD354" i="83" s="1"/>
  <c r="AC151" i="83"/>
  <c r="AD151" i="83" s="1"/>
  <c r="W151" i="83"/>
  <c r="AC210" i="83"/>
  <c r="AD210" i="83" s="1"/>
  <c r="W210" i="83"/>
  <c r="AC300" i="83"/>
  <c r="AD300" i="83" s="1"/>
  <c r="W300" i="83"/>
  <c r="AC347" i="83"/>
  <c r="AD347" i="83" s="1"/>
  <c r="W347" i="83"/>
  <c r="AC51" i="83"/>
  <c r="AD51" i="83" s="1"/>
  <c r="W51" i="83"/>
  <c r="W68" i="83"/>
  <c r="AC68" i="83"/>
  <c r="AD68" i="83" s="1"/>
  <c r="AC160" i="83"/>
  <c r="AD160" i="83" s="1"/>
  <c r="W160" i="83"/>
  <c r="AC355" i="83"/>
  <c r="AD355" i="83" s="1"/>
  <c r="W355" i="83"/>
  <c r="W244" i="83"/>
  <c r="AC244" i="83"/>
  <c r="AD244" i="83" s="1"/>
  <c r="AC95" i="83"/>
  <c r="AD95" i="83" s="1"/>
  <c r="W95" i="83"/>
  <c r="W61" i="83"/>
  <c r="AC61" i="83"/>
  <c r="AD61" i="83" s="1"/>
  <c r="AC166" i="83"/>
  <c r="AD166" i="83" s="1"/>
  <c r="W166" i="83"/>
  <c r="AC256" i="83"/>
  <c r="AD256" i="83" s="1"/>
  <c r="W256" i="83"/>
  <c r="AC344" i="83"/>
  <c r="AD344" i="83" s="1"/>
  <c r="W344" i="83"/>
  <c r="AC235" i="83"/>
  <c r="AD235" i="83" s="1"/>
  <c r="W235" i="83"/>
  <c r="W46" i="83"/>
  <c r="AC46" i="83"/>
  <c r="AD46" i="83" s="1"/>
  <c r="AC296" i="83"/>
  <c r="AD296" i="83" s="1"/>
  <c r="W296" i="83"/>
  <c r="AC92" i="83"/>
  <c r="AD92" i="83" s="1"/>
  <c r="W92" i="83"/>
  <c r="AC162" i="83"/>
  <c r="AD162" i="83" s="1"/>
  <c r="W162" i="83"/>
  <c r="AC348" i="83"/>
  <c r="AD348" i="83" s="1"/>
  <c r="W348" i="83"/>
  <c r="AC119" i="83"/>
  <c r="AD119" i="83" s="1"/>
  <c r="W119" i="83"/>
  <c r="W156" i="83"/>
  <c r="AC156" i="83"/>
  <c r="AD156" i="83" s="1"/>
  <c r="AC155" i="83"/>
  <c r="AD155" i="83" s="1"/>
  <c r="W155" i="83"/>
  <c r="AC193" i="83"/>
  <c r="AD193" i="83" s="1"/>
  <c r="W193" i="83"/>
  <c r="W102" i="83"/>
  <c r="AC102" i="83"/>
  <c r="AD102" i="83" s="1"/>
  <c r="AC100" i="83"/>
  <c r="AD100" i="83" s="1"/>
  <c r="W100" i="83"/>
  <c r="AC110" i="83"/>
  <c r="AD110" i="83" s="1"/>
  <c r="W110" i="83"/>
  <c r="AC154" i="83"/>
  <c r="AD154" i="83" s="1"/>
  <c r="W154" i="83"/>
  <c r="W204" i="83"/>
  <c r="AC204" i="83"/>
  <c r="AD204" i="83" s="1"/>
  <c r="AC261" i="83"/>
  <c r="AD261" i="83" s="1"/>
  <c r="W261" i="83"/>
  <c r="W106" i="83"/>
  <c r="AC106" i="83"/>
  <c r="AD106" i="83" s="1"/>
  <c r="AC343" i="83"/>
  <c r="AD343" i="83" s="1"/>
  <c r="W343" i="83"/>
  <c r="AC198" i="83"/>
  <c r="AD198" i="83" s="1"/>
  <c r="W198" i="83"/>
  <c r="AC112" i="83"/>
  <c r="AD112" i="83" s="1"/>
  <c r="W112" i="83"/>
  <c r="W212" i="83"/>
  <c r="AC212" i="83"/>
  <c r="AD212" i="83" s="1"/>
  <c r="AC242" i="83"/>
  <c r="AD242" i="83" s="1"/>
  <c r="W242" i="83"/>
  <c r="W309" i="83"/>
  <c r="AC309" i="83"/>
  <c r="AD309" i="83" s="1"/>
  <c r="AC284" i="83"/>
  <c r="AD284" i="83" s="1"/>
  <c r="W284" i="83"/>
  <c r="AC150" i="83"/>
  <c r="AD150" i="83" s="1"/>
  <c r="W150" i="83"/>
  <c r="AC331" i="83"/>
  <c r="AD331" i="83" s="1"/>
  <c r="W331" i="83"/>
  <c r="W195" i="83"/>
  <c r="AC195" i="83"/>
  <c r="AD195" i="83" s="1"/>
  <c r="W113" i="83"/>
  <c r="AC113" i="83"/>
  <c r="AD113" i="83" s="1"/>
  <c r="AC191" i="83"/>
  <c r="AD191" i="83" s="1"/>
  <c r="W191" i="83"/>
  <c r="AC149" i="83"/>
  <c r="AD149" i="83" s="1"/>
  <c r="W149" i="83"/>
  <c r="AC140" i="83"/>
  <c r="AD140" i="83" s="1"/>
  <c r="W140" i="83"/>
  <c r="AC351" i="83"/>
  <c r="AD351" i="83" s="1"/>
  <c r="W351" i="83"/>
  <c r="AC202" i="83"/>
  <c r="AD202" i="83" s="1"/>
  <c r="W202" i="83"/>
  <c r="AC190" i="83"/>
  <c r="AD190" i="83" s="1"/>
  <c r="W190" i="83"/>
  <c r="AC103" i="83"/>
  <c r="AD103" i="83" s="1"/>
  <c r="W103" i="83"/>
  <c r="AC333" i="83"/>
  <c r="AD333" i="83" s="1"/>
  <c r="W333" i="83"/>
  <c r="W165" i="83"/>
  <c r="AC165" i="83"/>
  <c r="AD165" i="83" s="1"/>
  <c r="AC200" i="83"/>
  <c r="AD200" i="83" s="1"/>
  <c r="W200" i="83"/>
  <c r="W359" i="83"/>
  <c r="AC359" i="83"/>
  <c r="AD359" i="83" s="1"/>
  <c r="AC142" i="83"/>
  <c r="AD142" i="83" s="1"/>
  <c r="W142" i="83"/>
  <c r="AC47" i="83"/>
  <c r="AD47" i="83" s="1"/>
  <c r="W47" i="83"/>
  <c r="W297" i="83"/>
  <c r="AC297" i="83"/>
  <c r="AD297" i="83" s="1"/>
  <c r="AC66" i="83"/>
  <c r="AD66" i="83" s="1"/>
  <c r="W66" i="83"/>
  <c r="AC303" i="83"/>
  <c r="AD303" i="83" s="1"/>
  <c r="W303" i="83"/>
  <c r="W58" i="83"/>
  <c r="AC58" i="83"/>
  <c r="AD58" i="83" s="1"/>
  <c r="AC334" i="83"/>
  <c r="AD334" i="83" s="1"/>
  <c r="W334" i="83"/>
  <c r="AC243" i="83"/>
  <c r="AD243" i="83" s="1"/>
  <c r="W243" i="83"/>
  <c r="W144" i="83"/>
  <c r="AC144" i="83"/>
  <c r="AD144" i="83" s="1"/>
  <c r="AC101" i="83"/>
  <c r="AD101" i="83" s="1"/>
  <c r="W101" i="83"/>
  <c r="W54" i="83"/>
  <c r="AC54" i="83"/>
  <c r="AD54" i="83" s="1"/>
  <c r="AC197" i="83"/>
  <c r="AD197" i="83" s="1"/>
  <c r="W197" i="83"/>
  <c r="W43" i="83"/>
  <c r="AC43" i="83"/>
  <c r="AD43" i="83" s="1"/>
  <c r="AC306" i="83"/>
  <c r="AD306" i="83" s="1"/>
  <c r="W306" i="83"/>
  <c r="AC187" i="83"/>
  <c r="AD187" i="83" s="1"/>
  <c r="W187" i="83"/>
  <c r="W116" i="83"/>
  <c r="AC116" i="83"/>
  <c r="AD116" i="83" s="1"/>
  <c r="AC159" i="83"/>
  <c r="AD159" i="83" s="1"/>
  <c r="W159" i="83"/>
  <c r="W107" i="83"/>
  <c r="AC107" i="83"/>
  <c r="AD107" i="83" s="1"/>
  <c r="AC117" i="83"/>
  <c r="AD117" i="83" s="1"/>
  <c r="W117" i="83"/>
  <c r="AC192" i="83"/>
  <c r="AD192" i="83" s="1"/>
  <c r="W192" i="83"/>
  <c r="AC203" i="83"/>
  <c r="AD203" i="83" s="1"/>
  <c r="W203" i="83"/>
  <c r="AC104" i="83"/>
  <c r="AD104" i="83" s="1"/>
  <c r="W104" i="83"/>
  <c r="W164" i="83"/>
  <c r="AC164" i="83"/>
  <c r="AD164" i="83" s="1"/>
  <c r="AC45" i="83"/>
  <c r="AD45" i="83" s="1"/>
  <c r="W45" i="83"/>
  <c r="AC335" i="83"/>
  <c r="AD335" i="83" s="1"/>
  <c r="W335" i="83"/>
  <c r="AC201" i="83"/>
  <c r="AD201" i="83" s="1"/>
  <c r="W201" i="83"/>
  <c r="AC336" i="83"/>
  <c r="AD336" i="83" s="1"/>
  <c r="W336" i="83"/>
  <c r="AC94" i="48"/>
  <c r="AD94" i="48" s="1"/>
  <c r="W94" i="48"/>
  <c r="AC93" i="48"/>
  <c r="AD93" i="48" s="1"/>
  <c r="W93" i="48"/>
  <c r="W90" i="48"/>
  <c r="AC90" i="48"/>
  <c r="AD90" i="48" s="1"/>
  <c r="AC352" i="48"/>
  <c r="AD352" i="48" s="1"/>
  <c r="W352" i="48"/>
  <c r="AC101" i="48"/>
  <c r="AD101" i="48" s="1"/>
  <c r="W101" i="48"/>
  <c r="AC106" i="48"/>
  <c r="AD106" i="48" s="1"/>
  <c r="W106" i="48"/>
  <c r="AC302" i="48"/>
  <c r="AD302" i="48" s="1"/>
  <c r="W302" i="48"/>
  <c r="AC99" i="48"/>
  <c r="AD99" i="48" s="1"/>
  <c r="W99" i="48"/>
  <c r="AC357" i="48"/>
  <c r="AD357" i="48" s="1"/>
  <c r="W357" i="48"/>
  <c r="AC264" i="48"/>
  <c r="AD264" i="48" s="1"/>
  <c r="W264" i="48"/>
  <c r="AC92" i="48"/>
  <c r="AD92" i="48" s="1"/>
  <c r="W92" i="48"/>
  <c r="AC163" i="48"/>
  <c r="AD163" i="48" s="1"/>
  <c r="W163" i="48"/>
  <c r="AC343" i="48"/>
  <c r="AD343" i="48" s="1"/>
  <c r="W343" i="48"/>
  <c r="AC252" i="48"/>
  <c r="AD252" i="48" s="1"/>
  <c r="W252" i="48"/>
  <c r="AC205" i="48"/>
  <c r="AD205" i="48" s="1"/>
  <c r="W205" i="48"/>
  <c r="AC294" i="48"/>
  <c r="AD294" i="48" s="1"/>
  <c r="W294" i="48"/>
  <c r="AC290" i="48"/>
  <c r="AD290" i="48" s="1"/>
  <c r="W290" i="48"/>
  <c r="AC161" i="48"/>
  <c r="AD161" i="48" s="1"/>
  <c r="W161" i="48"/>
  <c r="AC359" i="48"/>
  <c r="AD359" i="48" s="1"/>
  <c r="W359" i="48"/>
  <c r="AC333" i="48"/>
  <c r="AD333" i="48" s="1"/>
  <c r="W333" i="48"/>
  <c r="AC310" i="48"/>
  <c r="AD310" i="48" s="1"/>
  <c r="W310" i="48"/>
  <c r="AC341" i="48"/>
  <c r="AD341" i="48" s="1"/>
  <c r="W341" i="48"/>
  <c r="AC143" i="48"/>
  <c r="AD143" i="48" s="1"/>
  <c r="W143" i="48"/>
  <c r="AC306" i="48"/>
  <c r="AD306" i="48" s="1"/>
  <c r="W306" i="48"/>
  <c r="AC156" i="48"/>
  <c r="AD156" i="48" s="1"/>
  <c r="W156" i="48"/>
  <c r="AC105" i="48"/>
  <c r="AD105" i="48" s="1"/>
  <c r="W105" i="48"/>
  <c r="AC256" i="48"/>
  <c r="AD256" i="48" s="1"/>
  <c r="W256" i="48"/>
  <c r="AC255" i="48"/>
  <c r="AD255" i="48" s="1"/>
  <c r="W255" i="48"/>
  <c r="AC188" i="48"/>
  <c r="AD188" i="48" s="1"/>
  <c r="W188" i="48"/>
  <c r="AC153" i="48"/>
  <c r="AD153" i="48" s="1"/>
  <c r="W153" i="48"/>
  <c r="AC148" i="48"/>
  <c r="AD148" i="48" s="1"/>
  <c r="W148" i="48"/>
  <c r="AC190" i="48"/>
  <c r="AD190" i="48" s="1"/>
  <c r="W190" i="48"/>
  <c r="AC251" i="48"/>
  <c r="AD251" i="48" s="1"/>
  <c r="W251" i="48"/>
  <c r="AC287" i="48"/>
  <c r="AD287" i="48" s="1"/>
  <c r="W287" i="48"/>
  <c r="AC296" i="48"/>
  <c r="AD296" i="48" s="1"/>
  <c r="W296" i="48"/>
  <c r="AC261" i="48"/>
  <c r="AD261" i="48" s="1"/>
  <c r="W261" i="48"/>
  <c r="AC208" i="48"/>
  <c r="AD208" i="48" s="1"/>
  <c r="W208" i="48"/>
  <c r="AC358" i="48"/>
  <c r="AD358" i="48" s="1"/>
  <c r="W358" i="48"/>
  <c r="AC159" i="48"/>
  <c r="AD159" i="48" s="1"/>
  <c r="W159" i="48"/>
  <c r="AC146" i="48"/>
  <c r="AD146" i="48" s="1"/>
  <c r="W146" i="48"/>
  <c r="AC104" i="48"/>
  <c r="AD104" i="48" s="1"/>
  <c r="W104" i="48"/>
  <c r="AC120" i="48"/>
  <c r="AD120" i="48" s="1"/>
  <c r="W120" i="48"/>
  <c r="AC100" i="48"/>
  <c r="AD100" i="48" s="1"/>
  <c r="W100" i="48"/>
  <c r="AC263" i="48"/>
  <c r="AD263" i="48" s="1"/>
  <c r="W263" i="48"/>
  <c r="AC250" i="48"/>
  <c r="AD250" i="48" s="1"/>
  <c r="W250" i="48"/>
  <c r="AC160" i="48"/>
  <c r="AD160" i="48" s="1"/>
  <c r="W160" i="48"/>
  <c r="AC147" i="48"/>
  <c r="AD147" i="48" s="1"/>
  <c r="W147" i="48"/>
  <c r="AC312" i="48"/>
  <c r="AD312" i="48" s="1"/>
  <c r="W312" i="48"/>
  <c r="AC348" i="48"/>
  <c r="AD348" i="48" s="1"/>
  <c r="W348" i="48"/>
  <c r="AC201" i="48"/>
  <c r="AD201" i="48" s="1"/>
  <c r="W201" i="48"/>
  <c r="AC347" i="48"/>
  <c r="AD347" i="48" s="1"/>
  <c r="W347" i="48"/>
  <c r="AC118" i="48"/>
  <c r="AD118" i="48" s="1"/>
  <c r="W118" i="48"/>
  <c r="AC121" i="48"/>
  <c r="AD121" i="48" s="1"/>
  <c r="W121" i="48"/>
  <c r="AC155" i="48"/>
  <c r="AD155" i="48" s="1"/>
  <c r="W155" i="48"/>
  <c r="AC98" i="48"/>
  <c r="AD98" i="48" s="1"/>
  <c r="W98" i="48"/>
  <c r="AC207" i="48"/>
  <c r="AD207" i="48" s="1"/>
  <c r="W207" i="48"/>
  <c r="AC245" i="48"/>
  <c r="AD245" i="48" s="1"/>
  <c r="W245" i="48"/>
  <c r="AC291" i="48"/>
  <c r="AD291" i="48" s="1"/>
  <c r="W291" i="48"/>
  <c r="AC299" i="48"/>
  <c r="AD299" i="48" s="1"/>
  <c r="W299" i="48"/>
  <c r="AC262" i="48"/>
  <c r="AD262" i="48" s="1"/>
  <c r="W262" i="48"/>
  <c r="AC96" i="48"/>
  <c r="AD96" i="48" s="1"/>
  <c r="W96" i="48"/>
  <c r="AC336" i="48"/>
  <c r="AD336" i="48" s="1"/>
  <c r="W336" i="48"/>
  <c r="AC192" i="48"/>
  <c r="AD192" i="48" s="1"/>
  <c r="W192" i="48"/>
  <c r="AC247" i="48"/>
  <c r="AD247" i="48" s="1"/>
  <c r="W247" i="48"/>
  <c r="AC237" i="48"/>
  <c r="AD237" i="48" s="1"/>
  <c r="W237" i="48"/>
  <c r="AC351" i="48"/>
  <c r="AD351" i="48" s="1"/>
  <c r="W351" i="48"/>
  <c r="AC209" i="48"/>
  <c r="AD209" i="48" s="1"/>
  <c r="W209" i="48"/>
  <c r="AC307" i="48"/>
  <c r="AD307" i="48" s="1"/>
  <c r="W307" i="48"/>
  <c r="AC288" i="48"/>
  <c r="AD288" i="48" s="1"/>
  <c r="W288" i="48"/>
  <c r="AC334" i="48"/>
  <c r="AD334" i="48" s="1"/>
  <c r="W334" i="48"/>
  <c r="AC332" i="48"/>
  <c r="AD332" i="48" s="1"/>
  <c r="W332" i="48"/>
  <c r="AC238" i="48"/>
  <c r="AD238" i="48" s="1"/>
  <c r="W238" i="48"/>
  <c r="AC211" i="48"/>
  <c r="AD211" i="48" s="1"/>
  <c r="W211" i="48"/>
  <c r="AC295" i="48"/>
  <c r="AD295" i="48" s="1"/>
  <c r="W295" i="48"/>
  <c r="AC154" i="48"/>
  <c r="AD154" i="48" s="1"/>
  <c r="W154" i="48"/>
  <c r="AC150" i="48"/>
  <c r="AD150" i="48" s="1"/>
  <c r="W150" i="48"/>
  <c r="AC311" i="48"/>
  <c r="AD311" i="48" s="1"/>
  <c r="W311" i="48"/>
  <c r="AC165" i="48"/>
  <c r="AD165" i="48" s="1"/>
  <c r="W165" i="48"/>
  <c r="AC303" i="48"/>
  <c r="AD303" i="48" s="1"/>
  <c r="W303" i="48"/>
  <c r="AC356" i="48"/>
  <c r="AD356" i="48" s="1"/>
  <c r="W356" i="48"/>
  <c r="AC248" i="48"/>
  <c r="AD248" i="48" s="1"/>
  <c r="W248" i="48"/>
  <c r="AC293" i="48"/>
  <c r="AD293" i="48" s="1"/>
  <c r="W293" i="48"/>
  <c r="AC116" i="48"/>
  <c r="AD116" i="48" s="1"/>
  <c r="W116" i="48"/>
  <c r="AC193" i="48"/>
  <c r="AD193" i="48" s="1"/>
  <c r="W193" i="48"/>
  <c r="AC103" i="48"/>
  <c r="AD103" i="48" s="1"/>
  <c r="W103" i="48"/>
  <c r="AC191" i="48"/>
  <c r="AD191" i="48" s="1"/>
  <c r="W191" i="48"/>
  <c r="AC265" i="48"/>
  <c r="AD265" i="48" s="1"/>
  <c r="W265" i="48"/>
  <c r="AC346" i="48"/>
  <c r="AD346" i="48" s="1"/>
  <c r="W346" i="48"/>
  <c r="AC157" i="48"/>
  <c r="AD157" i="48" s="1"/>
  <c r="W157" i="48"/>
  <c r="AC214" i="48"/>
  <c r="AD214" i="48" s="1"/>
  <c r="W214" i="48"/>
  <c r="AC337" i="48"/>
  <c r="AD337" i="48" s="1"/>
  <c r="W337" i="48"/>
  <c r="AC109" i="48"/>
  <c r="AD109" i="48" s="1"/>
  <c r="W109" i="48"/>
  <c r="AC353" i="48"/>
  <c r="AD353" i="48" s="1"/>
  <c r="W353" i="48"/>
  <c r="AC292" i="48"/>
  <c r="AD292" i="48" s="1"/>
  <c r="W292" i="48"/>
  <c r="AC298" i="48"/>
  <c r="AD298" i="48" s="1"/>
  <c r="W298" i="48"/>
  <c r="AC301" i="48"/>
  <c r="AD301" i="48" s="1"/>
  <c r="W301" i="48"/>
  <c r="AC297" i="48"/>
  <c r="AD297" i="48" s="1"/>
  <c r="W297" i="48"/>
  <c r="AC144" i="48"/>
  <c r="AD144" i="48" s="1"/>
  <c r="W144" i="48"/>
  <c r="AC350" i="48"/>
  <c r="AD350" i="48" s="1"/>
  <c r="W350" i="48"/>
  <c r="AC286" i="48"/>
  <c r="AD286" i="48" s="1"/>
  <c r="W286" i="48"/>
  <c r="AC107" i="48"/>
  <c r="AD107" i="48" s="1"/>
  <c r="W107" i="48"/>
  <c r="AC197" i="48"/>
  <c r="AD197" i="48" s="1"/>
  <c r="W197" i="48"/>
  <c r="AC236" i="48"/>
  <c r="AD236" i="48" s="1"/>
  <c r="W236" i="48"/>
  <c r="AC202" i="48"/>
  <c r="AD202" i="48" s="1"/>
  <c r="W202" i="48"/>
  <c r="AC285" i="48"/>
  <c r="AD285" i="48" s="1"/>
  <c r="W285" i="48"/>
  <c r="AC151" i="48"/>
  <c r="AD151" i="48" s="1"/>
  <c r="W151" i="48"/>
  <c r="AC199" i="48"/>
  <c r="AD199" i="48" s="1"/>
  <c r="W199" i="48"/>
  <c r="AC169" i="48"/>
  <c r="AD169" i="48" s="1"/>
  <c r="W169" i="48"/>
  <c r="AC289" i="48"/>
  <c r="AD289" i="48" s="1"/>
  <c r="W289" i="48"/>
  <c r="AC110" i="48"/>
  <c r="AD110" i="48" s="1"/>
  <c r="W110" i="48"/>
  <c r="AC167" i="48"/>
  <c r="AD167" i="48" s="1"/>
  <c r="W167" i="48"/>
  <c r="AC97" i="48"/>
  <c r="AD97" i="48" s="1"/>
  <c r="W97" i="48"/>
  <c r="AC198" i="48"/>
  <c r="AD198" i="48" s="1"/>
  <c r="W198" i="48"/>
  <c r="AC162" i="48"/>
  <c r="AD162" i="48" s="1"/>
  <c r="W162" i="48"/>
  <c r="AC111" i="48"/>
  <c r="AD111" i="48" s="1"/>
  <c r="W111" i="48"/>
  <c r="AC215" i="48"/>
  <c r="AD215" i="48" s="1"/>
  <c r="W215" i="48"/>
  <c r="AC158" i="48"/>
  <c r="AD158" i="48" s="1"/>
  <c r="W158" i="48"/>
  <c r="AC102" i="48"/>
  <c r="AD102" i="48" s="1"/>
  <c r="W102" i="48"/>
  <c r="AC309" i="48"/>
  <c r="AD309" i="48" s="1"/>
  <c r="W309" i="48"/>
  <c r="AC244" i="48"/>
  <c r="AD244" i="48" s="1"/>
  <c r="W244" i="48"/>
  <c r="AC344" i="48"/>
  <c r="AD344" i="48" s="1"/>
  <c r="W344" i="48"/>
  <c r="AC354" i="48"/>
  <c r="AD354" i="48" s="1"/>
  <c r="W354" i="48"/>
  <c r="AC242" i="48"/>
  <c r="AD242" i="48" s="1"/>
  <c r="W242" i="48"/>
  <c r="AC210" i="48"/>
  <c r="AD210" i="48" s="1"/>
  <c r="W210" i="48"/>
  <c r="AC284" i="48"/>
  <c r="AD284" i="48" s="1"/>
  <c r="W284" i="48"/>
  <c r="AC195" i="48"/>
  <c r="AD195" i="48" s="1"/>
  <c r="W195" i="48"/>
  <c r="AC305" i="48"/>
  <c r="AD305" i="48" s="1"/>
  <c r="W305" i="48"/>
  <c r="AC95" i="48"/>
  <c r="AD95" i="48" s="1"/>
  <c r="W95" i="48"/>
  <c r="AC213" i="48"/>
  <c r="AD213" i="48" s="1"/>
  <c r="W213" i="48"/>
  <c r="AC246" i="48"/>
  <c r="AD246" i="48" s="1"/>
  <c r="W246" i="48"/>
  <c r="AC216" i="48"/>
  <c r="AD216" i="48" s="1"/>
  <c r="W216" i="48"/>
  <c r="AC249" i="48"/>
  <c r="AD249" i="48" s="1"/>
  <c r="W249" i="48"/>
  <c r="AC117" i="48"/>
  <c r="AD117" i="48" s="1"/>
  <c r="W117" i="48"/>
  <c r="AC361" i="48"/>
  <c r="AD361" i="48" s="1"/>
  <c r="W361" i="48"/>
  <c r="AC241" i="48"/>
  <c r="AD241" i="48" s="1"/>
  <c r="W241" i="48"/>
  <c r="AC108" i="48"/>
  <c r="AD108" i="48" s="1"/>
  <c r="W108" i="48"/>
  <c r="AC257" i="48"/>
  <c r="AD257" i="48" s="1"/>
  <c r="W257" i="48"/>
  <c r="AC313" i="48"/>
  <c r="AD313" i="48" s="1"/>
  <c r="W313" i="48"/>
  <c r="AC253" i="48"/>
  <c r="AD253" i="48" s="1"/>
  <c r="W253" i="48"/>
  <c r="AC345" i="48"/>
  <c r="AD345" i="48" s="1"/>
  <c r="W345" i="48"/>
  <c r="AC196" i="48"/>
  <c r="AD196" i="48" s="1"/>
  <c r="W196" i="48"/>
  <c r="AC239" i="48"/>
  <c r="AD239" i="48" s="1"/>
  <c r="W239" i="48"/>
  <c r="AC145" i="48"/>
  <c r="AD145" i="48" s="1"/>
  <c r="W145" i="48"/>
  <c r="AC254" i="48"/>
  <c r="AD254" i="48" s="1"/>
  <c r="W254" i="48"/>
  <c r="AC149" i="48"/>
  <c r="AD149" i="48" s="1"/>
  <c r="W149" i="48"/>
  <c r="AC140" i="48"/>
  <c r="AD140" i="48" s="1"/>
  <c r="W140" i="48"/>
  <c r="AC259" i="48"/>
  <c r="AD259" i="48" s="1"/>
  <c r="W259" i="48"/>
  <c r="AC300" i="48"/>
  <c r="AD300" i="48" s="1"/>
  <c r="W300" i="48"/>
  <c r="AC335" i="48"/>
  <c r="AD335" i="48" s="1"/>
  <c r="W335" i="48"/>
  <c r="AC168" i="48"/>
  <c r="AD168" i="48" s="1"/>
  <c r="W168" i="48"/>
  <c r="AC338" i="48"/>
  <c r="AD338" i="48" s="1"/>
  <c r="W338" i="48"/>
  <c r="AC206" i="48"/>
  <c r="AD206" i="48" s="1"/>
  <c r="W206" i="48"/>
  <c r="AC189" i="48"/>
  <c r="AD189" i="48" s="1"/>
  <c r="W189" i="48"/>
  <c r="AC342" i="48"/>
  <c r="AD342" i="48" s="1"/>
  <c r="W342" i="48"/>
  <c r="AC203" i="48"/>
  <c r="AD203" i="48" s="1"/>
  <c r="W203" i="48"/>
  <c r="AC360" i="48"/>
  <c r="AD360" i="48" s="1"/>
  <c r="W360" i="48"/>
  <c r="X70" i="48" a="1"/>
  <c r="X70" i="48" s="1"/>
  <c r="X351" i="48" a="1"/>
  <c r="X351" i="48" s="1"/>
  <c r="X343" i="48" a="1"/>
  <c r="X343" i="48" s="1"/>
  <c r="X335" i="48" a="1"/>
  <c r="X335" i="48" s="1"/>
  <c r="X312" i="48" a="1"/>
  <c r="X312" i="48" s="1"/>
  <c r="X309" i="48" a="1"/>
  <c r="X309" i="48" s="1"/>
  <c r="X306" i="48" a="1"/>
  <c r="X306" i="48" s="1"/>
  <c r="X292" i="48" a="1"/>
  <c r="X292" i="48" s="1"/>
  <c r="X287" i="48" a="1"/>
  <c r="X287" i="48" s="1"/>
  <c r="X252" i="48" a="1"/>
  <c r="X252" i="48" s="1"/>
  <c r="X246" i="48" a="1"/>
  <c r="X246" i="48" s="1"/>
  <c r="X214" i="48" a="1"/>
  <c r="X214" i="48" s="1"/>
  <c r="X211" i="48" a="1"/>
  <c r="X211" i="48" s="1"/>
  <c r="X203" i="48" a="1"/>
  <c r="X203" i="48" s="1"/>
  <c r="X192" i="48" a="1"/>
  <c r="X192" i="48" s="1"/>
  <c r="X157" i="48" a="1"/>
  <c r="X157" i="48" s="1"/>
  <c r="X154" i="48" a="1"/>
  <c r="X154" i="48" s="1"/>
  <c r="X145" i="48" a="1"/>
  <c r="X145" i="48" s="1"/>
  <c r="X140" i="48" a="1"/>
  <c r="X140" i="48" s="1"/>
  <c r="X101" i="48" a="1"/>
  <c r="X101" i="48" s="1"/>
  <c r="X360" i="48" a="1"/>
  <c r="X360" i="48" s="1"/>
  <c r="X357" i="48" a="1"/>
  <c r="X357" i="48" s="1"/>
  <c r="X354" i="48" a="1"/>
  <c r="X354" i="48" s="1"/>
  <c r="X346" i="48" a="1"/>
  <c r="X346" i="48" s="1"/>
  <c r="X338" i="48" a="1"/>
  <c r="X338" i="48" s="1"/>
  <c r="X295" i="48" a="1"/>
  <c r="X295" i="48" s="1"/>
  <c r="X264" i="48" a="1"/>
  <c r="X264" i="48" s="1"/>
  <c r="X261" i="48" a="1"/>
  <c r="X261" i="48" s="1"/>
  <c r="X258" i="48" a="1"/>
  <c r="X258" i="48" s="1"/>
  <c r="X255" i="48" a="1"/>
  <c r="X255" i="48" s="1"/>
  <c r="X249" i="48" a="1"/>
  <c r="X249" i="48" s="1"/>
  <c r="X241" i="48" a="1"/>
  <c r="X241" i="48" s="1"/>
  <c r="X238" i="48" a="1"/>
  <c r="X238" i="48" s="1"/>
  <c r="X217" i="48" a="1"/>
  <c r="X217" i="48" s="1"/>
  <c r="X206" i="48" a="1"/>
  <c r="X206" i="48" s="1"/>
  <c r="X195" i="48" a="1"/>
  <c r="X195" i="48" s="1"/>
  <c r="X166" i="48" a="1"/>
  <c r="X166" i="48" s="1"/>
  <c r="X163" i="48" a="1"/>
  <c r="X163" i="48" s="1"/>
  <c r="X160" i="48" a="1"/>
  <c r="X160" i="48" s="1"/>
  <c r="X151" i="48" a="1"/>
  <c r="X151" i="48" s="1"/>
  <c r="X148" i="48" a="1"/>
  <c r="X148" i="48" s="1"/>
  <c r="X143" i="48" a="1"/>
  <c r="X143" i="48" s="1"/>
  <c r="X117" i="48" a="1"/>
  <c r="X117" i="48" s="1"/>
  <c r="X110" i="48" a="1"/>
  <c r="X110" i="48" s="1"/>
  <c r="X96" i="48" a="1"/>
  <c r="X96" i="48" s="1"/>
  <c r="X99" i="48" a="1"/>
  <c r="X99" i="48" s="1"/>
  <c r="X349" i="48" a="1"/>
  <c r="X349" i="48" s="1"/>
  <c r="X341" i="48" a="1"/>
  <c r="X341" i="48" s="1"/>
  <c r="X333" i="48" a="1"/>
  <c r="X333" i="48" s="1"/>
  <c r="X307" i="48" a="1"/>
  <c r="X307" i="48" s="1"/>
  <c r="X304" i="48" a="1"/>
  <c r="X304" i="48" s="1"/>
  <c r="X301" i="48" a="1"/>
  <c r="X301" i="48" s="1"/>
  <c r="X298" i="48" a="1"/>
  <c r="X298" i="48" s="1"/>
  <c r="X290" i="48" a="1"/>
  <c r="X290" i="48" s="1"/>
  <c r="X285" i="48" a="1"/>
  <c r="X285" i="48" s="1"/>
  <c r="X244" i="48" a="1"/>
  <c r="X244" i="48" s="1"/>
  <c r="X209" i="48" a="1"/>
  <c r="X209" i="48" s="1"/>
  <c r="X201" i="48" a="1"/>
  <c r="X201" i="48" s="1"/>
  <c r="X198" i="48" a="1"/>
  <c r="X198" i="48" s="1"/>
  <c r="X190" i="48" a="1"/>
  <c r="X190" i="48" s="1"/>
  <c r="X169" i="48" a="1"/>
  <c r="X169" i="48" s="1"/>
  <c r="X120" i="48" a="1"/>
  <c r="X120" i="48" s="1"/>
  <c r="X102" i="48" a="1"/>
  <c r="X102" i="48" s="1"/>
  <c r="X352" i="48" a="1"/>
  <c r="X352" i="48" s="1"/>
  <c r="X344" i="48" a="1"/>
  <c r="X344" i="48" s="1"/>
  <c r="X336" i="48" a="1"/>
  <c r="X336" i="48" s="1"/>
  <c r="X313" i="48" a="1"/>
  <c r="X313" i="48" s="1"/>
  <c r="X310" i="48" a="1"/>
  <c r="X310" i="48" s="1"/>
  <c r="X293" i="48" a="1"/>
  <c r="X293" i="48" s="1"/>
  <c r="X288" i="48" a="1"/>
  <c r="X288" i="48" s="1"/>
  <c r="X259" i="48" a="1"/>
  <c r="X259" i="48" s="1"/>
  <c r="X253" i="48" a="1"/>
  <c r="X253" i="48" s="1"/>
  <c r="X247" i="48" a="1"/>
  <c r="X247" i="48" s="1"/>
  <c r="X239" i="48" a="1"/>
  <c r="X239" i="48" s="1"/>
  <c r="X236" i="48" a="1"/>
  <c r="X236" i="48" s="1"/>
  <c r="X215" i="48" a="1"/>
  <c r="X215" i="48" s="1"/>
  <c r="X212" i="48" a="1"/>
  <c r="X212" i="48" s="1"/>
  <c r="X204" i="48" a="1"/>
  <c r="X204" i="48" s="1"/>
  <c r="X193" i="48" a="1"/>
  <c r="X193" i="48" s="1"/>
  <c r="X158" i="48" a="1"/>
  <c r="X158" i="48" s="1"/>
  <c r="X155" i="48" a="1"/>
  <c r="X155" i="48" s="1"/>
  <c r="X152" i="48" a="1"/>
  <c r="X152" i="48" s="1"/>
  <c r="X149" i="48" a="1"/>
  <c r="X149" i="48" s="1"/>
  <c r="X146" i="48" a="1"/>
  <c r="X146" i="48" s="1"/>
  <c r="X111" i="48" a="1"/>
  <c r="X111" i="48" s="1"/>
  <c r="X108" i="48" a="1"/>
  <c r="X108" i="48" s="1"/>
  <c r="X361" i="48" a="1"/>
  <c r="X361" i="48" s="1"/>
  <c r="X358" i="48" a="1"/>
  <c r="X358" i="48" s="1"/>
  <c r="X355" i="48" a="1"/>
  <c r="X355" i="48" s="1"/>
  <c r="X347" i="48" a="1"/>
  <c r="X347" i="48" s="1"/>
  <c r="X339" i="48" a="1"/>
  <c r="X339" i="48" s="1"/>
  <c r="X296" i="48" a="1"/>
  <c r="X296" i="48" s="1"/>
  <c r="X265" i="48" a="1"/>
  <c r="X265" i="48" s="1"/>
  <c r="X262" i="48" a="1"/>
  <c r="X262" i="48" s="1"/>
  <c r="X256" i="48" a="1"/>
  <c r="X256" i="48" s="1"/>
  <c r="X250" i="48" a="1"/>
  <c r="X250" i="48" s="1"/>
  <c r="X242" i="48" a="1"/>
  <c r="X242" i="48" s="1"/>
  <c r="X207" i="48" a="1"/>
  <c r="X207" i="48" s="1"/>
  <c r="X199" i="48" a="1"/>
  <c r="X199" i="48" s="1"/>
  <c r="X196" i="48" a="1"/>
  <c r="X196" i="48" s="1"/>
  <c r="X188" i="48" a="1"/>
  <c r="X188" i="48" s="1"/>
  <c r="X167" i="48" a="1"/>
  <c r="X167" i="48" s="1"/>
  <c r="X164" i="48" a="1"/>
  <c r="X164" i="48" s="1"/>
  <c r="X161" i="48" a="1"/>
  <c r="X161" i="48" s="1"/>
  <c r="X144" i="48" a="1"/>
  <c r="X144" i="48" s="1"/>
  <c r="X141" i="48" a="1"/>
  <c r="X141" i="48" s="1"/>
  <c r="X118" i="48" a="1"/>
  <c r="X118" i="48" s="1"/>
  <c r="X104" i="48" a="1"/>
  <c r="X104" i="48" s="1"/>
  <c r="X100" i="48" a="1"/>
  <c r="X100" i="48" s="1"/>
  <c r="X97" i="48" a="1"/>
  <c r="X97" i="48" s="1"/>
  <c r="X350" i="48" a="1"/>
  <c r="X350" i="48" s="1"/>
  <c r="X342" i="48" a="1"/>
  <c r="X342" i="48" s="1"/>
  <c r="X334" i="48" a="1"/>
  <c r="X334" i="48" s="1"/>
  <c r="X311" i="48" a="1"/>
  <c r="X311" i="48" s="1"/>
  <c r="X308" i="48" a="1"/>
  <c r="X308" i="48" s="1"/>
  <c r="X305" i="48" a="1"/>
  <c r="X305" i="48" s="1"/>
  <c r="X302" i="48" a="1"/>
  <c r="X302" i="48" s="1"/>
  <c r="X299" i="48" a="1"/>
  <c r="X299" i="48" s="1"/>
  <c r="X291" i="48" a="1"/>
  <c r="X291" i="48" s="1"/>
  <c r="X286" i="48" a="1"/>
  <c r="X286" i="48" s="1"/>
  <c r="X245" i="48" a="1"/>
  <c r="X245" i="48" s="1"/>
  <c r="X210" i="48" a="1"/>
  <c r="X210" i="48" s="1"/>
  <c r="X202" i="48" a="1"/>
  <c r="X202" i="48" s="1"/>
  <c r="X191" i="48" a="1"/>
  <c r="X191" i="48" s="1"/>
  <c r="X121" i="48" a="1"/>
  <c r="X121" i="48" s="1"/>
  <c r="X106" i="48" a="1"/>
  <c r="X106" i="48" s="1"/>
  <c r="X98" i="48" a="1"/>
  <c r="X98" i="48" s="1"/>
  <c r="X359" i="48" a="1"/>
  <c r="X359" i="48" s="1"/>
  <c r="X353" i="48" a="1"/>
  <c r="X353" i="48" s="1"/>
  <c r="X345" i="48" a="1"/>
  <c r="X345" i="48" s="1"/>
  <c r="X337" i="48" a="1"/>
  <c r="X337" i="48" s="1"/>
  <c r="X332" i="48" a="1"/>
  <c r="X332" i="48" s="1"/>
  <c r="X294" i="48" a="1"/>
  <c r="X294" i="48" s="1"/>
  <c r="X263" i="48" a="1"/>
  <c r="X263" i="48" s="1"/>
  <c r="X260" i="48" a="1"/>
  <c r="X260" i="48" s="1"/>
  <c r="X257" i="48" a="1"/>
  <c r="X257" i="48" s="1"/>
  <c r="X254" i="48" a="1"/>
  <c r="X254" i="48" s="1"/>
  <c r="X251" i="48" a="1"/>
  <c r="X251" i="48" s="1"/>
  <c r="X248" i="48" a="1"/>
  <c r="X248" i="48" s="1"/>
  <c r="X240" i="48" a="1"/>
  <c r="X240" i="48" s="1"/>
  <c r="X237" i="48" a="1"/>
  <c r="X237" i="48" s="1"/>
  <c r="X216" i="48" a="1"/>
  <c r="X216" i="48" s="1"/>
  <c r="X213" i="48" a="1"/>
  <c r="X213" i="48" s="1"/>
  <c r="X205" i="48" a="1"/>
  <c r="X205" i="48" s="1"/>
  <c r="X194" i="48" a="1"/>
  <c r="X194" i="48" s="1"/>
  <c r="X159" i="48" a="1"/>
  <c r="X159" i="48" s="1"/>
  <c r="X156" i="48" a="1"/>
  <c r="X156" i="48" s="1"/>
  <c r="X153" i="48" a="1"/>
  <c r="X153" i="48" s="1"/>
  <c r="X150" i="48" a="1"/>
  <c r="X150" i="48" s="1"/>
  <c r="X147" i="48" a="1"/>
  <c r="X147" i="48" s="1"/>
  <c r="X116" i="48" a="1"/>
  <c r="X116" i="48" s="1"/>
  <c r="X109" i="48" a="1"/>
  <c r="X109" i="48" s="1"/>
  <c r="X103" i="48" a="1"/>
  <c r="X103" i="48" s="1"/>
  <c r="X356" i="48" a="1"/>
  <c r="X356" i="48" s="1"/>
  <c r="X348" i="48" a="1"/>
  <c r="X348" i="48" s="1"/>
  <c r="X340" i="48" a="1"/>
  <c r="X340" i="48" s="1"/>
  <c r="X303" i="48" a="1"/>
  <c r="X303" i="48" s="1"/>
  <c r="X300" i="48" a="1"/>
  <c r="X300" i="48" s="1"/>
  <c r="X297" i="48" a="1"/>
  <c r="X297" i="48" s="1"/>
  <c r="X289" i="48" a="1"/>
  <c r="X289" i="48" s="1"/>
  <c r="X284" i="48" a="1"/>
  <c r="X284" i="48" s="1"/>
  <c r="X243" i="48" a="1"/>
  <c r="X243" i="48" s="1"/>
  <c r="X208" i="48" a="1"/>
  <c r="X208" i="48" s="1"/>
  <c r="X200" i="48" a="1"/>
  <c r="X200" i="48" s="1"/>
  <c r="X197" i="48" a="1"/>
  <c r="X197" i="48" s="1"/>
  <c r="X189" i="48" a="1"/>
  <c r="X189" i="48" s="1"/>
  <c r="X168" i="48" a="1"/>
  <c r="X168" i="48" s="1"/>
  <c r="X165" i="48" a="1"/>
  <c r="X165" i="48" s="1"/>
  <c r="X162" i="48" a="1"/>
  <c r="X162" i="48" s="1"/>
  <c r="X142" i="48" a="1"/>
  <c r="X142" i="48" s="1"/>
  <c r="X119" i="48" a="1"/>
  <c r="X119" i="48" s="1"/>
  <c r="X105" i="48" a="1"/>
  <c r="X105" i="48" s="1"/>
  <c r="X107" i="48" a="1"/>
  <c r="X107" i="48" s="1"/>
  <c r="X90" i="48" a="1"/>
  <c r="X90" i="48" s="1"/>
  <c r="X94" i="48" a="1"/>
  <c r="X94" i="48" s="1"/>
  <c r="X93" i="48" a="1"/>
  <c r="X93" i="48" s="1"/>
  <c r="X91" i="48" a="1"/>
  <c r="X91" i="48" s="1"/>
  <c r="X92" i="48" a="1"/>
  <c r="X92" i="48" s="1"/>
  <c r="X95" i="48" a="1"/>
  <c r="X95" i="48" s="1"/>
  <c r="AC217" i="48"/>
  <c r="AD217" i="48" s="1"/>
  <c r="W217" i="48"/>
  <c r="AC142" i="48"/>
  <c r="AD142" i="48" s="1"/>
  <c r="W142" i="48"/>
  <c r="AC164" i="48"/>
  <c r="AD164" i="48" s="1"/>
  <c r="W164" i="48"/>
  <c r="AC340" i="48"/>
  <c r="AD340" i="48" s="1"/>
  <c r="W340" i="48"/>
  <c r="AC194" i="48"/>
  <c r="AD194" i="48" s="1"/>
  <c r="W194" i="48"/>
  <c r="AC204" i="48"/>
  <c r="AD204" i="48" s="1"/>
  <c r="W204" i="48"/>
  <c r="AC212" i="48"/>
  <c r="AD212" i="48" s="1"/>
  <c r="W212" i="48"/>
  <c r="AC339" i="48"/>
  <c r="AD339" i="48" s="1"/>
  <c r="W339" i="48"/>
  <c r="AC91" i="48"/>
  <c r="AD91" i="48" s="1"/>
  <c r="W91" i="48"/>
  <c r="AC166" i="48"/>
  <c r="AD166" i="48" s="1"/>
  <c r="W166" i="48"/>
  <c r="AC240" i="48"/>
  <c r="AD240" i="48" s="1"/>
  <c r="W240" i="48"/>
  <c r="AC308" i="48"/>
  <c r="AD308" i="48" s="1"/>
  <c r="W308" i="48"/>
  <c r="AC258" i="48"/>
  <c r="AD258" i="48" s="1"/>
  <c r="W258" i="48"/>
  <c r="AC152" i="48"/>
  <c r="AD152" i="48" s="1"/>
  <c r="W152" i="48"/>
  <c r="AC243" i="48"/>
  <c r="AD243" i="48" s="1"/>
  <c r="W243" i="48"/>
  <c r="AC260" i="48"/>
  <c r="AD260" i="48" s="1"/>
  <c r="W260" i="48"/>
  <c r="AC304" i="48"/>
  <c r="AD304" i="48" s="1"/>
  <c r="W304" i="48"/>
  <c r="AC355" i="48"/>
  <c r="AD355" i="48" s="1"/>
  <c r="W355" i="48"/>
  <c r="AC141" i="48"/>
  <c r="AD141" i="48" s="1"/>
  <c r="W141" i="48"/>
  <c r="AC119" i="48"/>
  <c r="AD119" i="48" s="1"/>
  <c r="W119" i="48"/>
  <c r="AC200" i="48"/>
  <c r="AD200" i="48" s="1"/>
  <c r="W200" i="48"/>
  <c r="AC349" i="48"/>
  <c r="AD349" i="48" s="1"/>
  <c r="W349" i="48"/>
  <c r="AD65" i="48"/>
  <c r="AD68" i="48"/>
  <c r="AD42" i="48"/>
  <c r="AD66" i="48"/>
  <c r="AD69" i="48"/>
  <c r="AD71" i="48"/>
  <c r="AD64" i="48"/>
  <c r="AD67" i="48"/>
  <c r="W70" i="48"/>
  <c r="AD70" i="48"/>
  <c r="S2" i="79" a="1"/>
  <c r="S2" i="79" s="1"/>
  <c r="R2" i="79" a="1"/>
  <c r="R2" i="79" s="1"/>
  <c r="Q2" i="79" a="1"/>
  <c r="Q2" i="79" s="1"/>
  <c r="J2" i="79" a="1"/>
  <c r="J2" i="79" s="1"/>
  <c r="M2" i="79" a="1"/>
  <c r="M2" i="79" s="1"/>
  <c r="O2" i="79" a="1"/>
  <c r="O2" i="79" s="1"/>
  <c r="P2" i="79" a="1"/>
  <c r="P2" i="79" s="1"/>
  <c r="H2" i="79" a="1"/>
  <c r="H2" i="79" s="1"/>
  <c r="G2" i="79" a="1"/>
  <c r="G2" i="79" s="1"/>
  <c r="F2" i="79" a="1"/>
  <c r="F2" i="79" s="1"/>
  <c r="L2" i="79" a="1"/>
  <c r="L2" i="79" s="1"/>
  <c r="K2" i="79" a="1"/>
  <c r="K2" i="79" s="1"/>
  <c r="I2" i="79" a="1"/>
  <c r="I2" i="79" s="1"/>
  <c r="N2" i="79" a="1"/>
  <c r="N2" i="79" s="1"/>
  <c r="FZ2" i="65" a="1"/>
  <c r="FZ2" i="65" s="1"/>
  <c r="FR2" i="65" a="1"/>
  <c r="FR2" i="65" s="1"/>
  <c r="FJ2" i="65" a="1"/>
  <c r="FJ2" i="65" s="1"/>
  <c r="FB2" i="65" a="1"/>
  <c r="FB2" i="65" s="1"/>
  <c r="ET2" i="65" a="1"/>
  <c r="ET2" i="65" s="1"/>
  <c r="EL2" i="65" a="1"/>
  <c r="EL2" i="65" s="1"/>
  <c r="ED2" i="65" a="1"/>
  <c r="ED2" i="65" s="1"/>
  <c r="DV2" i="65" a="1"/>
  <c r="DV2" i="65" s="1"/>
  <c r="DN2" i="65" a="1"/>
  <c r="DN2" i="65" s="1"/>
  <c r="FY2" i="65" a="1"/>
  <c r="FY2" i="65" s="1"/>
  <c r="FQ2" i="65" a="1"/>
  <c r="FQ2" i="65" s="1"/>
  <c r="FI2" i="65" a="1"/>
  <c r="FI2" i="65" s="1"/>
  <c r="FA2" i="65" a="1"/>
  <c r="FA2" i="65" s="1"/>
  <c r="ES2" i="65" a="1"/>
  <c r="ES2" i="65" s="1"/>
  <c r="EK2" i="65" a="1"/>
  <c r="EK2" i="65" s="1"/>
  <c r="EC2" i="65" a="1"/>
  <c r="EC2" i="65" s="1"/>
  <c r="DU2" i="65" a="1"/>
  <c r="DU2" i="65" s="1"/>
  <c r="DM2" i="65" a="1"/>
  <c r="DM2" i="65" s="1"/>
  <c r="FX2" i="65" a="1"/>
  <c r="FX2" i="65" s="1"/>
  <c r="FP2" i="65" a="1"/>
  <c r="FP2" i="65" s="1"/>
  <c r="FH2" i="65" a="1"/>
  <c r="FH2" i="65" s="1"/>
  <c r="EZ2" i="65" a="1"/>
  <c r="EZ2" i="65" s="1"/>
  <c r="ER2" i="65" a="1"/>
  <c r="ER2" i="65" s="1"/>
  <c r="EJ2" i="65" a="1"/>
  <c r="EJ2" i="65" s="1"/>
  <c r="EB2" i="65" a="1"/>
  <c r="EB2" i="65" s="1"/>
  <c r="DT2" i="65" a="1"/>
  <c r="DT2" i="65" s="1"/>
  <c r="DL2" i="65" a="1"/>
  <c r="DL2" i="65" s="1"/>
  <c r="FW2" i="65" a="1"/>
  <c r="FW2" i="65" s="1"/>
  <c r="FO2" i="65" a="1"/>
  <c r="FO2" i="65" s="1"/>
  <c r="FG2" i="65" a="1"/>
  <c r="FG2" i="65" s="1"/>
  <c r="EY2" i="65" a="1"/>
  <c r="EY2" i="65" s="1"/>
  <c r="EQ2" i="65" a="1"/>
  <c r="EQ2" i="65" s="1"/>
  <c r="EI2" i="65" a="1"/>
  <c r="EI2" i="65" s="1"/>
  <c r="EA2" i="65" a="1"/>
  <c r="EA2" i="65" s="1"/>
  <c r="DS2" i="65" a="1"/>
  <c r="DS2" i="65" s="1"/>
  <c r="DK2" i="65" a="1"/>
  <c r="DK2" i="65" s="1"/>
  <c r="FV2" i="65" a="1"/>
  <c r="FV2" i="65" s="1"/>
  <c r="FN2" i="65" a="1"/>
  <c r="FN2" i="65" s="1"/>
  <c r="FF2" i="65" a="1"/>
  <c r="FF2" i="65" s="1"/>
  <c r="EX2" i="65" a="1"/>
  <c r="EX2" i="65" s="1"/>
  <c r="EP2" i="65" a="1"/>
  <c r="EP2" i="65" s="1"/>
  <c r="EH2" i="65" a="1"/>
  <c r="EH2" i="65" s="1"/>
  <c r="DZ2" i="65" a="1"/>
  <c r="DZ2" i="65" s="1"/>
  <c r="DR2" i="65" a="1"/>
  <c r="DR2" i="65" s="1"/>
  <c r="DJ2" i="65" a="1"/>
  <c r="DJ2" i="65" s="1"/>
  <c r="FU2" i="65" a="1"/>
  <c r="FU2" i="65" s="1"/>
  <c r="FM2" i="65" a="1"/>
  <c r="FM2" i="65" s="1"/>
  <c r="FE2" i="65" a="1"/>
  <c r="FE2" i="65" s="1"/>
  <c r="EW2" i="65" a="1"/>
  <c r="EW2" i="65" s="1"/>
  <c r="EO2" i="65" a="1"/>
  <c r="EO2" i="65" s="1"/>
  <c r="EG2" i="65" a="1"/>
  <c r="EG2" i="65" s="1"/>
  <c r="DY2" i="65" a="1"/>
  <c r="DY2" i="65" s="1"/>
  <c r="DQ2" i="65" a="1"/>
  <c r="DQ2" i="65" s="1"/>
  <c r="DI2" i="65" a="1"/>
  <c r="DI2" i="65" s="1"/>
  <c r="FT2" i="65" a="1"/>
  <c r="FT2" i="65" s="1"/>
  <c r="FL2" i="65" a="1"/>
  <c r="FL2" i="65" s="1"/>
  <c r="FD2" i="65" a="1"/>
  <c r="FD2" i="65" s="1"/>
  <c r="EV2" i="65" a="1"/>
  <c r="EV2" i="65" s="1"/>
  <c r="EN2" i="65" a="1"/>
  <c r="EN2" i="65" s="1"/>
  <c r="EF2" i="65" a="1"/>
  <c r="EF2" i="65" s="1"/>
  <c r="DX2" i="65" a="1"/>
  <c r="DX2" i="65" s="1"/>
  <c r="DP2" i="65" a="1"/>
  <c r="DP2" i="65" s="1"/>
  <c r="DH2" i="65" a="1"/>
  <c r="DH2" i="65" s="1"/>
  <c r="FS2" i="65" a="1"/>
  <c r="FS2" i="65" s="1"/>
  <c r="FK2" i="65" a="1"/>
  <c r="FK2" i="65" s="1"/>
  <c r="FC2" i="65" a="1"/>
  <c r="FC2" i="65" s="1"/>
  <c r="EU2" i="65" a="1"/>
  <c r="EU2" i="65" s="1"/>
  <c r="EM2" i="65" a="1"/>
  <c r="EM2" i="65" s="1"/>
  <c r="EE2" i="65" a="1"/>
  <c r="EE2" i="65" s="1"/>
  <c r="DW2" i="65" a="1"/>
  <c r="DW2" i="65" s="1"/>
  <c r="DO2" i="65" a="1"/>
  <c r="DO2" i="65" s="1"/>
  <c r="DG2" i="65" a="1"/>
  <c r="DG2" i="65" s="1"/>
  <c r="E1" i="79"/>
  <c r="X67" i="48" a="1"/>
  <c r="X67" i="48" s="1"/>
  <c r="X66" i="48" a="1"/>
  <c r="X66" i="48" s="1"/>
  <c r="X71" i="48" a="1"/>
  <c r="X71" i="48" s="1"/>
  <c r="X64" i="48" a="1"/>
  <c r="X64" i="48" s="1"/>
  <c r="X69" i="48" a="1"/>
  <c r="X69" i="48" s="1"/>
  <c r="X65" i="48" a="1"/>
  <c r="X65" i="48" s="1"/>
  <c r="X68" i="48" a="1"/>
  <c r="X68" i="48" s="1"/>
  <c r="X42" i="48" a="1"/>
  <c r="X42" i="48" s="1"/>
  <c r="A2" i="65" a="1"/>
  <c r="A2" i="65" s="1"/>
  <c r="AD77" i="48" l="1"/>
  <c r="V77" i="48"/>
  <c r="W77" i="48" s="1"/>
  <c r="AE335" i="83"/>
  <c r="AH335" i="83"/>
  <c r="AK335" i="83" s="1"/>
  <c r="AM335" i="83" s="1"/>
  <c r="AH203" i="83"/>
  <c r="AK203" i="83" s="1"/>
  <c r="AM203" i="83" s="1"/>
  <c r="AE203" i="83"/>
  <c r="AH159" i="83"/>
  <c r="AE159" i="83"/>
  <c r="AD28" i="83"/>
  <c r="AH303" i="83"/>
  <c r="AK303" i="83" s="1"/>
  <c r="AM303" i="83" s="1"/>
  <c r="AE303" i="83"/>
  <c r="AE142" i="83"/>
  <c r="AH142" i="83"/>
  <c r="AK142" i="83" s="1"/>
  <c r="AM142" i="83" s="1"/>
  <c r="AH333" i="83"/>
  <c r="AK333" i="83" s="1"/>
  <c r="AM333" i="83" s="1"/>
  <c r="AE333" i="83"/>
  <c r="AE351" i="83"/>
  <c r="AH351" i="83"/>
  <c r="AK351" i="83" s="1"/>
  <c r="AM351" i="83" s="1"/>
  <c r="AH284" i="83"/>
  <c r="AK284" i="83" s="1"/>
  <c r="AM284" i="83" s="1"/>
  <c r="AE284" i="83"/>
  <c r="AH112" i="83"/>
  <c r="AK112" i="83" s="1"/>
  <c r="AM112" i="83" s="1"/>
  <c r="AE112" i="83"/>
  <c r="AE261" i="83"/>
  <c r="AH261" i="83"/>
  <c r="AK261" i="83" s="1"/>
  <c r="AM261" i="83" s="1"/>
  <c r="AH100" i="83"/>
  <c r="AK100" i="83" s="1"/>
  <c r="AM100" i="83" s="1"/>
  <c r="AE100" i="83"/>
  <c r="AH92" i="83"/>
  <c r="AK92" i="83" s="1"/>
  <c r="AM92" i="83" s="1"/>
  <c r="AE92" i="83"/>
  <c r="AE344" i="83"/>
  <c r="AH344" i="83"/>
  <c r="AK344" i="83" s="1"/>
  <c r="AM344" i="83" s="1"/>
  <c r="AE95" i="83"/>
  <c r="AH95" i="83"/>
  <c r="AK95" i="83" s="1"/>
  <c r="AE210" i="83"/>
  <c r="AH210" i="83"/>
  <c r="AK210" i="83" s="1"/>
  <c r="AM210" i="83" s="1"/>
  <c r="AH114" i="83"/>
  <c r="AK114" i="83" s="1"/>
  <c r="AM114" i="83" s="1"/>
  <c r="AE114" i="83"/>
  <c r="AH57" i="83"/>
  <c r="AK57" i="83" s="1"/>
  <c r="AM57" i="83" s="1"/>
  <c r="AE57" i="83"/>
  <c r="AH70" i="83"/>
  <c r="AK70" i="83" s="1"/>
  <c r="AE70" i="83"/>
  <c r="AH304" i="83"/>
  <c r="AK304" i="83" s="1"/>
  <c r="AM304" i="83" s="1"/>
  <c r="AE304" i="83"/>
  <c r="AE258" i="83"/>
  <c r="AH258" i="83"/>
  <c r="AK258" i="83" s="1"/>
  <c r="AM258" i="83" s="1"/>
  <c r="AE307" i="83"/>
  <c r="AH307" i="83"/>
  <c r="AK307" i="83" s="1"/>
  <c r="AM307" i="83" s="1"/>
  <c r="AE353" i="83"/>
  <c r="AH353" i="83"/>
  <c r="AK353" i="83" s="1"/>
  <c r="AM353" i="83" s="1"/>
  <c r="AH259" i="83"/>
  <c r="AK259" i="83" s="1"/>
  <c r="AM259" i="83" s="1"/>
  <c r="AE259" i="83"/>
  <c r="W328" i="83"/>
  <c r="V316" i="83"/>
  <c r="AE330" i="83"/>
  <c r="AH330" i="83"/>
  <c r="AH69" i="83"/>
  <c r="AK69" i="83" s="1"/>
  <c r="AM69" i="83" s="1"/>
  <c r="AE69" i="83"/>
  <c r="V29" i="83"/>
  <c r="W29" i="83" s="1"/>
  <c r="AH42" i="83"/>
  <c r="AE42" i="83"/>
  <c r="W40" i="83"/>
  <c r="AH292" i="83"/>
  <c r="AK292" i="83" s="1"/>
  <c r="AM292" i="83" s="1"/>
  <c r="AE292" i="83"/>
  <c r="AE250" i="83"/>
  <c r="AH250" i="83"/>
  <c r="AK250" i="83" s="1"/>
  <c r="AM250" i="83" s="1"/>
  <c r="AH337" i="83"/>
  <c r="AK337" i="83" s="1"/>
  <c r="AM337" i="83" s="1"/>
  <c r="AE337" i="83"/>
  <c r="AE65" i="83"/>
  <c r="AH65" i="83"/>
  <c r="AK65" i="83" s="1"/>
  <c r="AM65" i="83" s="1"/>
  <c r="AH357" i="83"/>
  <c r="AK357" i="83" s="1"/>
  <c r="AM357" i="83" s="1"/>
  <c r="AE357" i="83"/>
  <c r="AE251" i="83"/>
  <c r="AH251" i="83"/>
  <c r="AK251" i="83" s="1"/>
  <c r="AM251" i="83" s="1"/>
  <c r="AE289" i="83"/>
  <c r="AH289" i="83"/>
  <c r="AK289" i="83" s="1"/>
  <c r="AM289" i="83" s="1"/>
  <c r="AE196" i="83"/>
  <c r="AH196" i="83"/>
  <c r="AK196" i="83" s="1"/>
  <c r="AM196" i="83" s="1"/>
  <c r="AE49" i="83"/>
  <c r="AH49" i="83"/>
  <c r="AK49" i="83" s="1"/>
  <c r="AM49" i="83" s="1"/>
  <c r="AH188" i="83"/>
  <c r="AK188" i="83" s="1"/>
  <c r="AM188" i="83" s="1"/>
  <c r="AE188" i="83"/>
  <c r="AE282" i="83"/>
  <c r="W280" i="83"/>
  <c r="V269" i="83"/>
  <c r="W269" i="83" s="1"/>
  <c r="AH282" i="83"/>
  <c r="AK282" i="83" s="1"/>
  <c r="AH43" i="83"/>
  <c r="AE43" i="83"/>
  <c r="V28" i="83"/>
  <c r="AE144" i="83"/>
  <c r="AH144" i="83"/>
  <c r="AK144" i="83" s="1"/>
  <c r="AM144" i="83" s="1"/>
  <c r="AE113" i="83"/>
  <c r="AH113" i="83"/>
  <c r="AK113" i="83" s="1"/>
  <c r="AE156" i="83"/>
  <c r="AH156" i="83"/>
  <c r="AK156" i="83" s="1"/>
  <c r="AM156" i="83" s="1"/>
  <c r="AH68" i="83"/>
  <c r="AK68" i="83" s="1"/>
  <c r="AE68" i="83"/>
  <c r="AH342" i="83"/>
  <c r="AK342" i="83" s="1"/>
  <c r="AM342" i="83" s="1"/>
  <c r="AE342" i="83"/>
  <c r="AE240" i="83"/>
  <c r="AH240" i="83"/>
  <c r="AK240" i="83" s="1"/>
  <c r="AM240" i="83" s="1"/>
  <c r="AH56" i="83"/>
  <c r="AK56" i="83" s="1"/>
  <c r="AM56" i="83" s="1"/>
  <c r="AE56" i="83"/>
  <c r="AE98" i="83"/>
  <c r="AH98" i="83"/>
  <c r="AH293" i="83"/>
  <c r="AE293" i="83"/>
  <c r="AH288" i="83"/>
  <c r="AK288" i="83" s="1"/>
  <c r="AM288" i="83" s="1"/>
  <c r="AE288" i="83"/>
  <c r="AH254" i="83"/>
  <c r="AK254" i="83" s="1"/>
  <c r="AE254" i="83"/>
  <c r="AD316" i="83"/>
  <c r="AD328" i="83"/>
  <c r="AH60" i="83"/>
  <c r="AK60" i="83" s="1"/>
  <c r="AE60" i="83"/>
  <c r="AD29" i="83"/>
  <c r="AD40" i="83"/>
  <c r="AH356" i="83"/>
  <c r="AK356" i="83" s="1"/>
  <c r="AM356" i="83" s="1"/>
  <c r="AE356" i="83"/>
  <c r="AH44" i="83"/>
  <c r="AE44" i="83"/>
  <c r="AD269" i="83"/>
  <c r="AD280" i="83"/>
  <c r="AH45" i="83"/>
  <c r="AK45" i="83" s="1"/>
  <c r="AM45" i="83" s="1"/>
  <c r="AE45" i="83"/>
  <c r="AH192" i="83"/>
  <c r="AK192" i="83" s="1"/>
  <c r="AM192" i="83" s="1"/>
  <c r="AE192" i="83"/>
  <c r="AE197" i="83"/>
  <c r="AH197" i="83"/>
  <c r="AK197" i="83" s="1"/>
  <c r="AM197" i="83" s="1"/>
  <c r="AE243" i="83"/>
  <c r="AH243" i="83"/>
  <c r="AK243" i="83" s="1"/>
  <c r="AM243" i="83" s="1"/>
  <c r="AH66" i="83"/>
  <c r="AK66" i="83" s="1"/>
  <c r="AE66" i="83"/>
  <c r="AE103" i="83"/>
  <c r="AH103" i="83"/>
  <c r="AK103" i="83" s="1"/>
  <c r="AM103" i="83" s="1"/>
  <c r="AH140" i="83"/>
  <c r="AK140" i="83" s="1"/>
  <c r="AM140" i="83" s="1"/>
  <c r="AE140" i="83"/>
  <c r="AH198" i="83"/>
  <c r="AK198" i="83" s="1"/>
  <c r="AM198" i="83" s="1"/>
  <c r="AE198" i="83"/>
  <c r="AE119" i="83"/>
  <c r="AH119" i="83"/>
  <c r="AK119" i="83" s="1"/>
  <c r="AE296" i="83"/>
  <c r="AH296" i="83"/>
  <c r="AK296" i="83" s="1"/>
  <c r="AM296" i="83" s="1"/>
  <c r="AE256" i="83"/>
  <c r="AH256" i="83"/>
  <c r="AK256" i="83" s="1"/>
  <c r="AM256" i="83" s="1"/>
  <c r="AH51" i="83"/>
  <c r="AK51" i="83" s="1"/>
  <c r="AM51" i="83" s="1"/>
  <c r="AE51" i="83"/>
  <c r="AH151" i="83"/>
  <c r="AK151" i="83" s="1"/>
  <c r="AM151" i="83" s="1"/>
  <c r="AE151" i="83"/>
  <c r="AH53" i="83"/>
  <c r="AK53" i="83" s="1"/>
  <c r="AM53" i="83" s="1"/>
  <c r="AE53" i="83"/>
  <c r="AH214" i="83"/>
  <c r="AK214" i="83" s="1"/>
  <c r="AM214" i="83" s="1"/>
  <c r="AE214" i="83"/>
  <c r="AH310" i="83"/>
  <c r="AK310" i="83" s="1"/>
  <c r="AM310" i="83" s="1"/>
  <c r="AE310" i="83"/>
  <c r="AE290" i="83"/>
  <c r="AH290" i="83"/>
  <c r="AK290" i="83" s="1"/>
  <c r="AM290" i="83" s="1"/>
  <c r="AE352" i="83"/>
  <c r="AH352" i="83"/>
  <c r="AK352" i="83" s="1"/>
  <c r="AM352" i="83" s="1"/>
  <c r="V124" i="83"/>
  <c r="AH139" i="83"/>
  <c r="AE139" i="83"/>
  <c r="AH236" i="83"/>
  <c r="AK236" i="83" s="1"/>
  <c r="AE236" i="83"/>
  <c r="AE287" i="83"/>
  <c r="AH287" i="83"/>
  <c r="AK287" i="83" s="1"/>
  <c r="AE239" i="83"/>
  <c r="AH239" i="83"/>
  <c r="AK239" i="83" s="1"/>
  <c r="AM239" i="83" s="1"/>
  <c r="AH152" i="83"/>
  <c r="AK152" i="83" s="1"/>
  <c r="AM152" i="83" s="1"/>
  <c r="AE152" i="83"/>
  <c r="AE298" i="83"/>
  <c r="AH298" i="83"/>
  <c r="AK298" i="83" s="1"/>
  <c r="AM298" i="83" s="1"/>
  <c r="AH163" i="83"/>
  <c r="AK163" i="83" s="1"/>
  <c r="AM163" i="83" s="1"/>
  <c r="AE163" i="83"/>
  <c r="AE295" i="83"/>
  <c r="AH295" i="83"/>
  <c r="AK295" i="83" s="1"/>
  <c r="AM295" i="83" s="1"/>
  <c r="AE263" i="83"/>
  <c r="AH263" i="83"/>
  <c r="AK263" i="83" s="1"/>
  <c r="AM263" i="83" s="1"/>
  <c r="AE213" i="83"/>
  <c r="AH213" i="83"/>
  <c r="AK213" i="83" s="1"/>
  <c r="AM213" i="83" s="1"/>
  <c r="AE189" i="83"/>
  <c r="AH189" i="83"/>
  <c r="AK189" i="83" s="1"/>
  <c r="AH305" i="83"/>
  <c r="AK305" i="83" s="1"/>
  <c r="AM305" i="83" s="1"/>
  <c r="AE305" i="83"/>
  <c r="AH339" i="83"/>
  <c r="AK339" i="83" s="1"/>
  <c r="AM339" i="83" s="1"/>
  <c r="AE339" i="83"/>
  <c r="AH207" i="83"/>
  <c r="AK207" i="83" s="1"/>
  <c r="AM207" i="83" s="1"/>
  <c r="AE207" i="83"/>
  <c r="AE286" i="83"/>
  <c r="AH286" i="83"/>
  <c r="AK286" i="83" s="1"/>
  <c r="AM286" i="83" s="1"/>
  <c r="AH116" i="83"/>
  <c r="AK116" i="83" s="1"/>
  <c r="AE116" i="83"/>
  <c r="AH359" i="83"/>
  <c r="AK359" i="83" s="1"/>
  <c r="AM359" i="83" s="1"/>
  <c r="AE359" i="83"/>
  <c r="AH195" i="83"/>
  <c r="AK195" i="83" s="1"/>
  <c r="AM195" i="83" s="1"/>
  <c r="AE195" i="83"/>
  <c r="AH309" i="83"/>
  <c r="AK309" i="83" s="1"/>
  <c r="AE309" i="83"/>
  <c r="AH204" i="83"/>
  <c r="AK204" i="83" s="1"/>
  <c r="AE204" i="83"/>
  <c r="AE102" i="83"/>
  <c r="AH102" i="83"/>
  <c r="AK102" i="83" s="1"/>
  <c r="AM102" i="83" s="1"/>
  <c r="AH244" i="83"/>
  <c r="AK244" i="83" s="1"/>
  <c r="AM244" i="83" s="1"/>
  <c r="AE244" i="83"/>
  <c r="AH52" i="83"/>
  <c r="AK52" i="83" s="1"/>
  <c r="AM52" i="83" s="1"/>
  <c r="AE52" i="83"/>
  <c r="AE247" i="83"/>
  <c r="AH247" i="83"/>
  <c r="AK247" i="83" s="1"/>
  <c r="AM247" i="83" s="1"/>
  <c r="AH109" i="83"/>
  <c r="AK109" i="83" s="1"/>
  <c r="AE109" i="83"/>
  <c r="AD124" i="83"/>
  <c r="AH48" i="83"/>
  <c r="AK48" i="83" s="1"/>
  <c r="AE48" i="83"/>
  <c r="AH345" i="83"/>
  <c r="AK345" i="83" s="1"/>
  <c r="AE345" i="83"/>
  <c r="AH62" i="83"/>
  <c r="AK62" i="83" s="1"/>
  <c r="AE62" i="83"/>
  <c r="AH291" i="83"/>
  <c r="AK291" i="83" s="1"/>
  <c r="AE291" i="83"/>
  <c r="AH157" i="83"/>
  <c r="AK157" i="83" s="1"/>
  <c r="AM157" i="83" s="1"/>
  <c r="AE157" i="83"/>
  <c r="AH350" i="83"/>
  <c r="AK350" i="83" s="1"/>
  <c r="AM350" i="83" s="1"/>
  <c r="AE350" i="83"/>
  <c r="AE299" i="83"/>
  <c r="AH299" i="83"/>
  <c r="AK299" i="83" s="1"/>
  <c r="AM299" i="83" s="1"/>
  <c r="AE211" i="83"/>
  <c r="AH211" i="83"/>
  <c r="AK211" i="83" s="1"/>
  <c r="AM211" i="83" s="1"/>
  <c r="AE336" i="83"/>
  <c r="AH336" i="83"/>
  <c r="AK336" i="83" s="1"/>
  <c r="AM336" i="83" s="1"/>
  <c r="AH117" i="83"/>
  <c r="AK117" i="83" s="1"/>
  <c r="AM117" i="83" s="1"/>
  <c r="AE117" i="83"/>
  <c r="AE187" i="83"/>
  <c r="V172" i="83"/>
  <c r="AH187" i="83"/>
  <c r="AK187" i="83" s="1"/>
  <c r="AM187" i="83" s="1"/>
  <c r="AE334" i="83"/>
  <c r="AH334" i="83"/>
  <c r="AK334" i="83" s="1"/>
  <c r="AE200" i="83"/>
  <c r="AH200" i="83"/>
  <c r="AK200" i="83" s="1"/>
  <c r="AE190" i="83"/>
  <c r="AH190" i="83"/>
  <c r="AK190" i="83" s="1"/>
  <c r="AM190" i="83" s="1"/>
  <c r="AH149" i="83"/>
  <c r="AK149" i="83" s="1"/>
  <c r="AM149" i="83" s="1"/>
  <c r="AE149" i="83"/>
  <c r="AE331" i="83"/>
  <c r="AH331" i="83"/>
  <c r="AK331" i="83" s="1"/>
  <c r="AM331" i="83" s="1"/>
  <c r="AH242" i="83"/>
  <c r="AK242" i="83" s="1"/>
  <c r="AM242" i="83" s="1"/>
  <c r="AE242" i="83"/>
  <c r="AH343" i="83"/>
  <c r="AK343" i="83" s="1"/>
  <c r="AM343" i="83" s="1"/>
  <c r="AE343" i="83"/>
  <c r="AH154" i="83"/>
  <c r="AK154" i="83" s="1"/>
  <c r="AE154" i="83"/>
  <c r="AE193" i="83"/>
  <c r="AH193" i="83"/>
  <c r="AK193" i="83" s="1"/>
  <c r="AM193" i="83" s="1"/>
  <c r="AH348" i="83"/>
  <c r="AK348" i="83" s="1"/>
  <c r="AM348" i="83" s="1"/>
  <c r="AE348" i="83"/>
  <c r="AH166" i="83"/>
  <c r="AK166" i="83" s="1"/>
  <c r="AM166" i="83" s="1"/>
  <c r="AE166" i="83"/>
  <c r="AH355" i="83"/>
  <c r="AK355" i="83" s="1"/>
  <c r="AM355" i="83" s="1"/>
  <c r="AE355" i="83"/>
  <c r="AE347" i="83"/>
  <c r="AH347" i="83"/>
  <c r="AK347" i="83" s="1"/>
  <c r="AM347" i="83" s="1"/>
  <c r="AE302" i="83"/>
  <c r="AH302" i="83"/>
  <c r="AK302" i="83" s="1"/>
  <c r="AM302" i="83" s="1"/>
  <c r="AH199" i="83"/>
  <c r="AK199" i="83" s="1"/>
  <c r="AM199" i="83" s="1"/>
  <c r="AE199" i="83"/>
  <c r="AH358" i="83"/>
  <c r="AK358" i="83" s="1"/>
  <c r="AM358" i="83" s="1"/>
  <c r="AE358" i="83"/>
  <c r="AH341" i="83"/>
  <c r="AK341" i="83" s="1"/>
  <c r="AM341" i="83" s="1"/>
  <c r="AE341" i="83"/>
  <c r="V221" i="83"/>
  <c r="W221" i="83" s="1"/>
  <c r="AE234" i="83"/>
  <c r="W232" i="83"/>
  <c r="AH234" i="83"/>
  <c r="AK234" i="83" s="1"/>
  <c r="AH301" i="83"/>
  <c r="AK301" i="83" s="1"/>
  <c r="AM301" i="83" s="1"/>
  <c r="AE301" i="83"/>
  <c r="AH141" i="83"/>
  <c r="AK141" i="83" s="1"/>
  <c r="AM141" i="83" s="1"/>
  <c r="AE141" i="83"/>
  <c r="AE91" i="83"/>
  <c r="V76" i="83"/>
  <c r="W76" i="83" s="1"/>
  <c r="AH91" i="83"/>
  <c r="AH349" i="83"/>
  <c r="AK349" i="83" s="1"/>
  <c r="AE349" i="83"/>
  <c r="AH253" i="83"/>
  <c r="AK253" i="83" s="1"/>
  <c r="AM253" i="83" s="1"/>
  <c r="AE253" i="83"/>
  <c r="AE257" i="83"/>
  <c r="AH257" i="83"/>
  <c r="AK257" i="83" s="1"/>
  <c r="AM257" i="83" s="1"/>
  <c r="V125" i="83"/>
  <c r="W125" i="83" s="1"/>
  <c r="AH138" i="83"/>
  <c r="AK138" i="83" s="1"/>
  <c r="W136" i="83"/>
  <c r="AE138" i="83"/>
  <c r="AE340" i="83"/>
  <c r="AH340" i="83"/>
  <c r="AK340" i="83" s="1"/>
  <c r="AM340" i="83" s="1"/>
  <c r="AE67" i="83"/>
  <c r="AH67" i="83"/>
  <c r="AK67" i="83" s="1"/>
  <c r="AM67" i="83" s="1"/>
  <c r="AE249" i="83"/>
  <c r="AH249" i="83"/>
  <c r="AK249" i="83" s="1"/>
  <c r="AM249" i="83" s="1"/>
  <c r="AH111" i="83"/>
  <c r="AK111" i="83" s="1"/>
  <c r="AM111" i="83" s="1"/>
  <c r="AE111" i="83"/>
  <c r="AH147" i="83"/>
  <c r="AK147" i="83" s="1"/>
  <c r="AM147" i="83" s="1"/>
  <c r="AE147" i="83"/>
  <c r="AH143" i="83"/>
  <c r="AK143" i="83" s="1"/>
  <c r="AM143" i="83" s="1"/>
  <c r="AE143" i="83"/>
  <c r="AE71" i="83"/>
  <c r="AH71" i="83"/>
  <c r="AK71" i="83" s="1"/>
  <c r="AM71" i="83" s="1"/>
  <c r="AE308" i="83"/>
  <c r="AH308" i="83"/>
  <c r="AK308" i="83" s="1"/>
  <c r="AM308" i="83" s="1"/>
  <c r="AH283" i="83"/>
  <c r="AK283" i="83" s="1"/>
  <c r="AM283" i="83" s="1"/>
  <c r="V268" i="83"/>
  <c r="AE283" i="83"/>
  <c r="AH209" i="83"/>
  <c r="AK209" i="83" s="1"/>
  <c r="AM209" i="83" s="1"/>
  <c r="AE209" i="83"/>
  <c r="AE158" i="83"/>
  <c r="AH158" i="83"/>
  <c r="AK158" i="83" s="1"/>
  <c r="AH164" i="83"/>
  <c r="AK164" i="83" s="1"/>
  <c r="AM164" i="83" s="1"/>
  <c r="AE164" i="83"/>
  <c r="AD172" i="83"/>
  <c r="AH54" i="83"/>
  <c r="AK54" i="83" s="1"/>
  <c r="AE54" i="83"/>
  <c r="AH297" i="83"/>
  <c r="AK297" i="83" s="1"/>
  <c r="AE297" i="83"/>
  <c r="AH46" i="83"/>
  <c r="AK46" i="83" s="1"/>
  <c r="AE46" i="83"/>
  <c r="AH354" i="83"/>
  <c r="AK354" i="83" s="1"/>
  <c r="AM354" i="83" s="1"/>
  <c r="AE354" i="83"/>
  <c r="AH338" i="83"/>
  <c r="AK338" i="83" s="1"/>
  <c r="AM338" i="83" s="1"/>
  <c r="AE338" i="83"/>
  <c r="AD232" i="83"/>
  <c r="AD221" i="83"/>
  <c r="AD76" i="83"/>
  <c r="AE153" i="83"/>
  <c r="AH153" i="83"/>
  <c r="AK153" i="83" s="1"/>
  <c r="AM153" i="83" s="1"/>
  <c r="AD125" i="83"/>
  <c r="AD136" i="83"/>
  <c r="AH64" i="83"/>
  <c r="AK64" i="83" s="1"/>
  <c r="AM64" i="83" s="1"/>
  <c r="AE64" i="83"/>
  <c r="AE194" i="83"/>
  <c r="AH194" i="83"/>
  <c r="AK194" i="83" s="1"/>
  <c r="AE208" i="83"/>
  <c r="AH208" i="83"/>
  <c r="AK208" i="83" s="1"/>
  <c r="AH50" i="83"/>
  <c r="AK50" i="83" s="1"/>
  <c r="AM50" i="83" s="1"/>
  <c r="AE50" i="83"/>
  <c r="AE97" i="83"/>
  <c r="AH97" i="83"/>
  <c r="AK97" i="83" s="1"/>
  <c r="AE248" i="83"/>
  <c r="AH248" i="83"/>
  <c r="AK248" i="83" s="1"/>
  <c r="AH96" i="83"/>
  <c r="AK96" i="83" s="1"/>
  <c r="AM96" i="83" s="1"/>
  <c r="AE96" i="83"/>
  <c r="AD268" i="83"/>
  <c r="AH201" i="83"/>
  <c r="AK201" i="83" s="1"/>
  <c r="AE201" i="83"/>
  <c r="AH104" i="83"/>
  <c r="AK104" i="83" s="1"/>
  <c r="AM104" i="83" s="1"/>
  <c r="AE104" i="83"/>
  <c r="AH306" i="83"/>
  <c r="AK306" i="83" s="1"/>
  <c r="AM306" i="83" s="1"/>
  <c r="AE306" i="83"/>
  <c r="AE101" i="83"/>
  <c r="AH101" i="83"/>
  <c r="AK101" i="83" s="1"/>
  <c r="AM101" i="83" s="1"/>
  <c r="AH47" i="83"/>
  <c r="AK47" i="83" s="1"/>
  <c r="AM47" i="83" s="1"/>
  <c r="AE47" i="83"/>
  <c r="AE202" i="83"/>
  <c r="AH202" i="83"/>
  <c r="AK202" i="83" s="1"/>
  <c r="AE191" i="83"/>
  <c r="AH191" i="83"/>
  <c r="AK191" i="83" s="1"/>
  <c r="AM191" i="83" s="1"/>
  <c r="AH150" i="83"/>
  <c r="AK150" i="83" s="1"/>
  <c r="AM150" i="83" s="1"/>
  <c r="AE150" i="83"/>
  <c r="AH110" i="83"/>
  <c r="AK110" i="83" s="1"/>
  <c r="AM110" i="83" s="1"/>
  <c r="AE110" i="83"/>
  <c r="AH155" i="83"/>
  <c r="AK155" i="83" s="1"/>
  <c r="AE155" i="83"/>
  <c r="AH162" i="83"/>
  <c r="AK162" i="83" s="1"/>
  <c r="AM162" i="83" s="1"/>
  <c r="AE162" i="83"/>
  <c r="V220" i="83"/>
  <c r="AE235" i="83"/>
  <c r="AH235" i="83"/>
  <c r="AH160" i="83"/>
  <c r="AK160" i="83" s="1"/>
  <c r="AM160" i="83" s="1"/>
  <c r="AE160" i="83"/>
  <c r="AE300" i="83"/>
  <c r="AH300" i="83"/>
  <c r="AK300" i="83" s="1"/>
  <c r="AM300" i="83" s="1"/>
  <c r="AH246" i="83"/>
  <c r="AK246" i="83" s="1"/>
  <c r="AM246" i="83" s="1"/>
  <c r="AE246" i="83"/>
  <c r="AE94" i="83"/>
  <c r="AH94" i="83"/>
  <c r="AK94" i="83" s="1"/>
  <c r="AM94" i="83" s="1"/>
  <c r="AH237" i="83"/>
  <c r="AK237" i="83" s="1"/>
  <c r="AM237" i="83" s="1"/>
  <c r="AE237" i="83"/>
  <c r="AE294" i="83"/>
  <c r="AH294" i="83"/>
  <c r="AK294" i="83" s="1"/>
  <c r="AE59" i="83"/>
  <c r="AH59" i="83"/>
  <c r="AK59" i="83" s="1"/>
  <c r="AM59" i="83" s="1"/>
  <c r="AH161" i="83"/>
  <c r="AK161" i="83" s="1"/>
  <c r="AM161" i="83" s="1"/>
  <c r="AE161" i="83"/>
  <c r="AH105" i="83"/>
  <c r="AK105" i="83" s="1"/>
  <c r="AM105" i="83" s="1"/>
  <c r="AE105" i="83"/>
  <c r="AH55" i="83"/>
  <c r="AK55" i="83" s="1"/>
  <c r="AM55" i="83" s="1"/>
  <c r="AE55" i="83"/>
  <c r="AH145" i="83"/>
  <c r="AK145" i="83" s="1"/>
  <c r="AM145" i="83" s="1"/>
  <c r="AE145" i="83"/>
  <c r="AH238" i="83"/>
  <c r="AK238" i="83" s="1"/>
  <c r="AM238" i="83" s="1"/>
  <c r="AE238" i="83"/>
  <c r="AE205" i="83"/>
  <c r="AH205" i="83"/>
  <c r="AK205" i="83" s="1"/>
  <c r="AH115" i="83"/>
  <c r="AK115" i="83" s="1"/>
  <c r="AM115" i="83" s="1"/>
  <c r="AE115" i="83"/>
  <c r="AH285" i="83"/>
  <c r="AK285" i="83" s="1"/>
  <c r="AM285" i="83" s="1"/>
  <c r="AE285" i="83"/>
  <c r="AE63" i="83"/>
  <c r="AH63" i="83"/>
  <c r="AK63" i="83" s="1"/>
  <c r="AM63" i="83" s="1"/>
  <c r="W184" i="83"/>
  <c r="V173" i="83"/>
  <c r="W173" i="83" s="1"/>
  <c r="AH186" i="83"/>
  <c r="AE186" i="83"/>
  <c r="AE146" i="83"/>
  <c r="AH146" i="83"/>
  <c r="AK146" i="83" s="1"/>
  <c r="AM146" i="83" s="1"/>
  <c r="AH262" i="83"/>
  <c r="AK262" i="83" s="1"/>
  <c r="AM262" i="83" s="1"/>
  <c r="AE262" i="83"/>
  <c r="AE148" i="83"/>
  <c r="AH148" i="83"/>
  <c r="AK148" i="83" s="1"/>
  <c r="AH93" i="83"/>
  <c r="AK93" i="83" s="1"/>
  <c r="AM93" i="83" s="1"/>
  <c r="AE93" i="83"/>
  <c r="AH215" i="83"/>
  <c r="AK215" i="83" s="1"/>
  <c r="AM215" i="83" s="1"/>
  <c r="AE215" i="83"/>
  <c r="AH99" i="83"/>
  <c r="AE99" i="83"/>
  <c r="AH332" i="83"/>
  <c r="AK332" i="83" s="1"/>
  <c r="AM332" i="83" s="1"/>
  <c r="AE332" i="83"/>
  <c r="AH255" i="83"/>
  <c r="AK255" i="83" s="1"/>
  <c r="AM255" i="83" s="1"/>
  <c r="AE255" i="83"/>
  <c r="AH107" i="83"/>
  <c r="AK107" i="83" s="1"/>
  <c r="AM107" i="83" s="1"/>
  <c r="AE107" i="83"/>
  <c r="AE58" i="83"/>
  <c r="AH58" i="83"/>
  <c r="AK58" i="83" s="1"/>
  <c r="AM58" i="83" s="1"/>
  <c r="AE165" i="83"/>
  <c r="AH165" i="83"/>
  <c r="AK165" i="83" s="1"/>
  <c r="AM165" i="83" s="1"/>
  <c r="AH212" i="83"/>
  <c r="AK212" i="83" s="1"/>
  <c r="AM212" i="83" s="1"/>
  <c r="AE212" i="83"/>
  <c r="AH106" i="83"/>
  <c r="AK106" i="83" s="1"/>
  <c r="AE106" i="83"/>
  <c r="AD220" i="83"/>
  <c r="AE61" i="83"/>
  <c r="AH61" i="83"/>
  <c r="AK61" i="83" s="1"/>
  <c r="AM61" i="83" s="1"/>
  <c r="AE245" i="83"/>
  <c r="AH245" i="83"/>
  <c r="AK245" i="83" s="1"/>
  <c r="AM245" i="83" s="1"/>
  <c r="AE260" i="83"/>
  <c r="AH260" i="83"/>
  <c r="AK260" i="83" s="1"/>
  <c r="AM260" i="83" s="1"/>
  <c r="AH118" i="83"/>
  <c r="AK118" i="83" s="1"/>
  <c r="AE118" i="83"/>
  <c r="AH241" i="83"/>
  <c r="AK241" i="83" s="1"/>
  <c r="AM241" i="83" s="1"/>
  <c r="AE241" i="83"/>
  <c r="AH167" i="83"/>
  <c r="AE167" i="83"/>
  <c r="AH252" i="83"/>
  <c r="AK252" i="83" s="1"/>
  <c r="AE252" i="83"/>
  <c r="AH206" i="83"/>
  <c r="AK206" i="83" s="1"/>
  <c r="AE206" i="83"/>
  <c r="AE311" i="83"/>
  <c r="AH311" i="83"/>
  <c r="AK311" i="83" s="1"/>
  <c r="AM311" i="83" s="1"/>
  <c r="AD184" i="83"/>
  <c r="AD173" i="83"/>
  <c r="AH108" i="83"/>
  <c r="AK108" i="83" s="1"/>
  <c r="AM108" i="83" s="1"/>
  <c r="AE108" i="83"/>
  <c r="AH346" i="83"/>
  <c r="AK346" i="83" s="1"/>
  <c r="AE346" i="83"/>
  <c r="AE77" i="48"/>
  <c r="AH90" i="48"/>
  <c r="AK90" i="48" s="1"/>
  <c r="AE90" i="48"/>
  <c r="AH93" i="48"/>
  <c r="AK93" i="48" s="1"/>
  <c r="AE93" i="48"/>
  <c r="AE94" i="48"/>
  <c r="AH94" i="48"/>
  <c r="AK94" i="48" s="1"/>
  <c r="AM94" i="48" s="1"/>
  <c r="AH342" i="48"/>
  <c r="AK342" i="48" s="1"/>
  <c r="AE342" i="48"/>
  <c r="AE168" i="48"/>
  <c r="AH168" i="48"/>
  <c r="AK168" i="48" s="1"/>
  <c r="V126" i="48"/>
  <c r="W138" i="48"/>
  <c r="AH140" i="48"/>
  <c r="AE140" i="48"/>
  <c r="AE239" i="48"/>
  <c r="AH239" i="48"/>
  <c r="AK239" i="48" s="1"/>
  <c r="AM239" i="48" s="1"/>
  <c r="AE313" i="48"/>
  <c r="AH313" i="48"/>
  <c r="AK313" i="48" s="1"/>
  <c r="AM313" i="48" s="1"/>
  <c r="AH361" i="48"/>
  <c r="AK361" i="48" s="1"/>
  <c r="AE361" i="48"/>
  <c r="AE246" i="48"/>
  <c r="AH246" i="48"/>
  <c r="AK246" i="48" s="1"/>
  <c r="AM246" i="48" s="1"/>
  <c r="AH195" i="48"/>
  <c r="AK195" i="48" s="1"/>
  <c r="AM195" i="48" s="1"/>
  <c r="AE195" i="48"/>
  <c r="AE354" i="48"/>
  <c r="AH354" i="48"/>
  <c r="AK354" i="48" s="1"/>
  <c r="AM354" i="48" s="1"/>
  <c r="AH102" i="48"/>
  <c r="AK102" i="48" s="1"/>
  <c r="AM102" i="48" s="1"/>
  <c r="AE102" i="48"/>
  <c r="AH162" i="48"/>
  <c r="AK162" i="48" s="1"/>
  <c r="AE162" i="48"/>
  <c r="AE110" i="48"/>
  <c r="AH110" i="48"/>
  <c r="AK110" i="48" s="1"/>
  <c r="AM110" i="48" s="1"/>
  <c r="AH151" i="48"/>
  <c r="AK151" i="48" s="1"/>
  <c r="AM151" i="48" s="1"/>
  <c r="AE151" i="48"/>
  <c r="AH197" i="48"/>
  <c r="AK197" i="48" s="1"/>
  <c r="AM197" i="48" s="1"/>
  <c r="AE197" i="48"/>
  <c r="AH144" i="48"/>
  <c r="AK144" i="48" s="1"/>
  <c r="AM144" i="48" s="1"/>
  <c r="AE144" i="48"/>
  <c r="AH292" i="48"/>
  <c r="AK292" i="48" s="1"/>
  <c r="AM292" i="48" s="1"/>
  <c r="AE292" i="48"/>
  <c r="AH337" i="48"/>
  <c r="AK337" i="48" s="1"/>
  <c r="AM337" i="48" s="1"/>
  <c r="AE337" i="48"/>
  <c r="AE265" i="48"/>
  <c r="AH265" i="48"/>
  <c r="AK265" i="48" s="1"/>
  <c r="AH116" i="48"/>
  <c r="AK116" i="48" s="1"/>
  <c r="AE116" i="48"/>
  <c r="AH303" i="48"/>
  <c r="AK303" i="48" s="1"/>
  <c r="AE303" i="48"/>
  <c r="AE154" i="48"/>
  <c r="AH154" i="48"/>
  <c r="AK154" i="48" s="1"/>
  <c r="W330" i="48"/>
  <c r="V318" i="48"/>
  <c r="AH332" i="48"/>
  <c r="AE332" i="48"/>
  <c r="AH209" i="48"/>
  <c r="AK209" i="48" s="1"/>
  <c r="AE209" i="48"/>
  <c r="AE192" i="48"/>
  <c r="AH192" i="48"/>
  <c r="AK192" i="48" s="1"/>
  <c r="AM192" i="48" s="1"/>
  <c r="AH299" i="48"/>
  <c r="AK299" i="48" s="1"/>
  <c r="AM299" i="48" s="1"/>
  <c r="AE299" i="48"/>
  <c r="AE98" i="48"/>
  <c r="AH98" i="48"/>
  <c r="AK98" i="48" s="1"/>
  <c r="AM98" i="48" s="1"/>
  <c r="AH347" i="48"/>
  <c r="AK347" i="48" s="1"/>
  <c r="AM347" i="48" s="1"/>
  <c r="AE347" i="48"/>
  <c r="AH147" i="48"/>
  <c r="AK147" i="48" s="1"/>
  <c r="AE147" i="48"/>
  <c r="AH100" i="48"/>
  <c r="AK100" i="48" s="1"/>
  <c r="AM100" i="48" s="1"/>
  <c r="AE100" i="48"/>
  <c r="AE159" i="48"/>
  <c r="AH159" i="48"/>
  <c r="AK159" i="48" s="1"/>
  <c r="AM159" i="48" s="1"/>
  <c r="AH296" i="48"/>
  <c r="AK296" i="48" s="1"/>
  <c r="AM296" i="48" s="1"/>
  <c r="AE296" i="48"/>
  <c r="AH148" i="48"/>
  <c r="AK148" i="48" s="1"/>
  <c r="AM148" i="48" s="1"/>
  <c r="AE148" i="48"/>
  <c r="AE256" i="48"/>
  <c r="AH256" i="48"/>
  <c r="AK256" i="48" s="1"/>
  <c r="AM256" i="48" s="1"/>
  <c r="AH143" i="48"/>
  <c r="AK143" i="48" s="1"/>
  <c r="AM143" i="48" s="1"/>
  <c r="AE143" i="48"/>
  <c r="AH359" i="48"/>
  <c r="AK359" i="48" s="1"/>
  <c r="AM359" i="48" s="1"/>
  <c r="AE359" i="48"/>
  <c r="AH205" i="48"/>
  <c r="AK205" i="48" s="1"/>
  <c r="AE205" i="48"/>
  <c r="AE92" i="48"/>
  <c r="AH92" i="48"/>
  <c r="AK92" i="48" s="1"/>
  <c r="AH302" i="48"/>
  <c r="AK302" i="48" s="1"/>
  <c r="AM302" i="48" s="1"/>
  <c r="AE302" i="48"/>
  <c r="AH349" i="48"/>
  <c r="AK349" i="48" s="1"/>
  <c r="AM349" i="48" s="1"/>
  <c r="AE349" i="48"/>
  <c r="AE355" i="48"/>
  <c r="AH355" i="48"/>
  <c r="AK355" i="48" s="1"/>
  <c r="AM355" i="48" s="1"/>
  <c r="AH152" i="48"/>
  <c r="AK152" i="48" s="1"/>
  <c r="AM152" i="48" s="1"/>
  <c r="AE152" i="48"/>
  <c r="AE166" i="48"/>
  <c r="AH166" i="48"/>
  <c r="AK166" i="48" s="1"/>
  <c r="AM166" i="48" s="1"/>
  <c r="AE212" i="48"/>
  <c r="AH212" i="48"/>
  <c r="AK212" i="48" s="1"/>
  <c r="AM212" i="48" s="1"/>
  <c r="AH164" i="48"/>
  <c r="AK164" i="48" s="1"/>
  <c r="AE164" i="48"/>
  <c r="AD138" i="48"/>
  <c r="AD126" i="48"/>
  <c r="AD330" i="48"/>
  <c r="AD318" i="48"/>
  <c r="AH189" i="48"/>
  <c r="AK189" i="48" s="1"/>
  <c r="AM189" i="48" s="1"/>
  <c r="AE189" i="48"/>
  <c r="AH335" i="48"/>
  <c r="AK335" i="48" s="1"/>
  <c r="AM335" i="48" s="1"/>
  <c r="AE335" i="48"/>
  <c r="AH149" i="48"/>
  <c r="AK149" i="48" s="1"/>
  <c r="AM149" i="48" s="1"/>
  <c r="AE149" i="48"/>
  <c r="AH196" i="48"/>
  <c r="AK196" i="48" s="1"/>
  <c r="AE196" i="48"/>
  <c r="AH257" i="48"/>
  <c r="AK257" i="48" s="1"/>
  <c r="AM257" i="48" s="1"/>
  <c r="AE257" i="48"/>
  <c r="AH117" i="48"/>
  <c r="AK117" i="48" s="1"/>
  <c r="AM117" i="48" s="1"/>
  <c r="AE117" i="48"/>
  <c r="AE213" i="48"/>
  <c r="AH213" i="48"/>
  <c r="AK213" i="48" s="1"/>
  <c r="AM213" i="48" s="1"/>
  <c r="W282" i="48"/>
  <c r="AE284" i="48"/>
  <c r="AH284" i="48"/>
  <c r="V270" i="48"/>
  <c r="AH344" i="48"/>
  <c r="AK344" i="48" s="1"/>
  <c r="AM344" i="48" s="1"/>
  <c r="AE344" i="48"/>
  <c r="AH158" i="48"/>
  <c r="AK158" i="48" s="1"/>
  <c r="AM158" i="48" s="1"/>
  <c r="AE158" i="48"/>
  <c r="AH198" i="48"/>
  <c r="AK198" i="48" s="1"/>
  <c r="AM198" i="48" s="1"/>
  <c r="AE198" i="48"/>
  <c r="AH289" i="48"/>
  <c r="AK289" i="48" s="1"/>
  <c r="AE289" i="48"/>
  <c r="AH285" i="48"/>
  <c r="AK285" i="48" s="1"/>
  <c r="AM285" i="48" s="1"/>
  <c r="AE285" i="48"/>
  <c r="AE107" i="48"/>
  <c r="AH107" i="48"/>
  <c r="AK107" i="48" s="1"/>
  <c r="AM107" i="48" s="1"/>
  <c r="AH297" i="48"/>
  <c r="AK297" i="48" s="1"/>
  <c r="AE297" i="48"/>
  <c r="AE353" i="48"/>
  <c r="AH353" i="48"/>
  <c r="AK353" i="48" s="1"/>
  <c r="AM353" i="48" s="1"/>
  <c r="AH214" i="48"/>
  <c r="AK214" i="48" s="1"/>
  <c r="AM214" i="48" s="1"/>
  <c r="AE214" i="48"/>
  <c r="AE191" i="48"/>
  <c r="AH191" i="48"/>
  <c r="AK191" i="48" s="1"/>
  <c r="AM191" i="48" s="1"/>
  <c r="AE293" i="48"/>
  <c r="AH293" i="48"/>
  <c r="AK293" i="48" s="1"/>
  <c r="AM293" i="48" s="1"/>
  <c r="AH165" i="48"/>
  <c r="AK165" i="48" s="1"/>
  <c r="AM165" i="48" s="1"/>
  <c r="AE165" i="48"/>
  <c r="AE295" i="48"/>
  <c r="AH295" i="48"/>
  <c r="AK295" i="48" s="1"/>
  <c r="AM295" i="48" s="1"/>
  <c r="AE334" i="48"/>
  <c r="AH334" i="48"/>
  <c r="AK334" i="48" s="1"/>
  <c r="AM334" i="48" s="1"/>
  <c r="AH351" i="48"/>
  <c r="AK351" i="48" s="1"/>
  <c r="AM351" i="48" s="1"/>
  <c r="AE351" i="48"/>
  <c r="AH336" i="48"/>
  <c r="AK336" i="48" s="1"/>
  <c r="AM336" i="48" s="1"/>
  <c r="AE336" i="48"/>
  <c r="AE291" i="48"/>
  <c r="AH291" i="48"/>
  <c r="AK291" i="48" s="1"/>
  <c r="AM291" i="48" s="1"/>
  <c r="AE155" i="48"/>
  <c r="AH155" i="48"/>
  <c r="AK155" i="48" s="1"/>
  <c r="AH201" i="48"/>
  <c r="AK201" i="48" s="1"/>
  <c r="AE201" i="48"/>
  <c r="AH160" i="48"/>
  <c r="AK160" i="48" s="1"/>
  <c r="AE160" i="48"/>
  <c r="AH120" i="48"/>
  <c r="AK120" i="48" s="1"/>
  <c r="AM120" i="48" s="1"/>
  <c r="AE120" i="48"/>
  <c r="AH358" i="48"/>
  <c r="AK358" i="48" s="1"/>
  <c r="AM358" i="48" s="1"/>
  <c r="AE358" i="48"/>
  <c r="AE287" i="48"/>
  <c r="AH287" i="48"/>
  <c r="AK287" i="48" s="1"/>
  <c r="AM287" i="48" s="1"/>
  <c r="AH153" i="48"/>
  <c r="AK153" i="48" s="1"/>
  <c r="AM153" i="48" s="1"/>
  <c r="AE153" i="48"/>
  <c r="AH105" i="48"/>
  <c r="AK105" i="48" s="1"/>
  <c r="AM105" i="48" s="1"/>
  <c r="AE105" i="48"/>
  <c r="AE341" i="48"/>
  <c r="AH341" i="48"/>
  <c r="AK341" i="48" s="1"/>
  <c r="AM341" i="48" s="1"/>
  <c r="AH161" i="48"/>
  <c r="AK161" i="48" s="1"/>
  <c r="AM161" i="48" s="1"/>
  <c r="AE161" i="48"/>
  <c r="AE252" i="48"/>
  <c r="AH252" i="48"/>
  <c r="AK252" i="48" s="1"/>
  <c r="AM252" i="48" s="1"/>
  <c r="AH264" i="48"/>
  <c r="AK264" i="48" s="1"/>
  <c r="AM264" i="48" s="1"/>
  <c r="AE264" i="48"/>
  <c r="AH106" i="48"/>
  <c r="AK106" i="48" s="1"/>
  <c r="AM106" i="48" s="1"/>
  <c r="AE106" i="48"/>
  <c r="AH200" i="48"/>
  <c r="AK200" i="48" s="1"/>
  <c r="AE200" i="48"/>
  <c r="AH304" i="48"/>
  <c r="AK304" i="48" s="1"/>
  <c r="AE304" i="48"/>
  <c r="AH258" i="48"/>
  <c r="AK258" i="48" s="1"/>
  <c r="AM258" i="48" s="1"/>
  <c r="AE258" i="48"/>
  <c r="AH91" i="48"/>
  <c r="V76" i="48"/>
  <c r="AE91" i="48"/>
  <c r="W88" i="48"/>
  <c r="AH204" i="48"/>
  <c r="AK204" i="48" s="1"/>
  <c r="AM204" i="48" s="1"/>
  <c r="AE204" i="48"/>
  <c r="AE142" i="48"/>
  <c r="AH142" i="48"/>
  <c r="AK142" i="48" s="1"/>
  <c r="AD282" i="48"/>
  <c r="AD270" i="48"/>
  <c r="AH360" i="48"/>
  <c r="AK360" i="48" s="1"/>
  <c r="AM360" i="48" s="1"/>
  <c r="AE360" i="48"/>
  <c r="AE206" i="48"/>
  <c r="AH206" i="48"/>
  <c r="AK206" i="48" s="1"/>
  <c r="AE300" i="48"/>
  <c r="AH300" i="48"/>
  <c r="AK300" i="48" s="1"/>
  <c r="AE254" i="48"/>
  <c r="AH254" i="48"/>
  <c r="AK254" i="48" s="1"/>
  <c r="AM254" i="48" s="1"/>
  <c r="AH345" i="48"/>
  <c r="AK345" i="48" s="1"/>
  <c r="AM345" i="48" s="1"/>
  <c r="AE345" i="48"/>
  <c r="AH108" i="48"/>
  <c r="AK108" i="48" s="1"/>
  <c r="AM108" i="48" s="1"/>
  <c r="AE108" i="48"/>
  <c r="AE249" i="48"/>
  <c r="AH249" i="48"/>
  <c r="AK249" i="48" s="1"/>
  <c r="AM249" i="48" s="1"/>
  <c r="AE95" i="48"/>
  <c r="AH95" i="48"/>
  <c r="AK95" i="48" s="1"/>
  <c r="AM95" i="48" s="1"/>
  <c r="AE210" i="48"/>
  <c r="AH210" i="48"/>
  <c r="AK210" i="48" s="1"/>
  <c r="AM210" i="48" s="1"/>
  <c r="AH244" i="48"/>
  <c r="AK244" i="48" s="1"/>
  <c r="AM244" i="48" s="1"/>
  <c r="AE244" i="48"/>
  <c r="AE215" i="48"/>
  <c r="AH215" i="48"/>
  <c r="AK215" i="48" s="1"/>
  <c r="AM215" i="48" s="1"/>
  <c r="AH97" i="48"/>
  <c r="AK97" i="48" s="1"/>
  <c r="AM97" i="48" s="1"/>
  <c r="AE97" i="48"/>
  <c r="AH169" i="48"/>
  <c r="AK169" i="48" s="1"/>
  <c r="AM169" i="48" s="1"/>
  <c r="AE169" i="48"/>
  <c r="AE202" i="48"/>
  <c r="AH202" i="48"/>
  <c r="AK202" i="48" s="1"/>
  <c r="AM202" i="48" s="1"/>
  <c r="AE286" i="48"/>
  <c r="AH286" i="48"/>
  <c r="AK286" i="48" s="1"/>
  <c r="AM286" i="48" s="1"/>
  <c r="AH301" i="48"/>
  <c r="AK301" i="48" s="1"/>
  <c r="AM301" i="48" s="1"/>
  <c r="AE301" i="48"/>
  <c r="AE157" i="48"/>
  <c r="AH157" i="48"/>
  <c r="AK157" i="48" s="1"/>
  <c r="AM157" i="48" s="1"/>
  <c r="AE103" i="48"/>
  <c r="AH103" i="48"/>
  <c r="AK103" i="48" s="1"/>
  <c r="AM103" i="48" s="1"/>
  <c r="AE248" i="48"/>
  <c r="AH248" i="48"/>
  <c r="AK248" i="48" s="1"/>
  <c r="AM248" i="48" s="1"/>
  <c r="AH311" i="48"/>
  <c r="AK311" i="48" s="1"/>
  <c r="AE311" i="48"/>
  <c r="AH211" i="48"/>
  <c r="AK211" i="48" s="1"/>
  <c r="AM211" i="48" s="1"/>
  <c r="AE211" i="48"/>
  <c r="AH288" i="48"/>
  <c r="AK288" i="48" s="1"/>
  <c r="AM288" i="48" s="1"/>
  <c r="AE288" i="48"/>
  <c r="AH237" i="48"/>
  <c r="AK237" i="48" s="1"/>
  <c r="AE237" i="48"/>
  <c r="AE96" i="48"/>
  <c r="AH96" i="48"/>
  <c r="AK96" i="48" s="1"/>
  <c r="AM96" i="48" s="1"/>
  <c r="AH245" i="48"/>
  <c r="AK245" i="48" s="1"/>
  <c r="AM245" i="48" s="1"/>
  <c r="AE245" i="48"/>
  <c r="AH121" i="48"/>
  <c r="AK121" i="48" s="1"/>
  <c r="AM121" i="48" s="1"/>
  <c r="AE121" i="48"/>
  <c r="AH348" i="48"/>
  <c r="AK348" i="48" s="1"/>
  <c r="AM348" i="48" s="1"/>
  <c r="AE348" i="48"/>
  <c r="AH250" i="48"/>
  <c r="AK250" i="48" s="1"/>
  <c r="AE250" i="48"/>
  <c r="AE104" i="48"/>
  <c r="AH104" i="48"/>
  <c r="AK104" i="48" s="1"/>
  <c r="AE208" i="48"/>
  <c r="AH208" i="48"/>
  <c r="AK208" i="48" s="1"/>
  <c r="AM208" i="48" s="1"/>
  <c r="AH251" i="48"/>
  <c r="AK251" i="48" s="1"/>
  <c r="AM251" i="48" s="1"/>
  <c r="AE251" i="48"/>
  <c r="V174" i="48"/>
  <c r="AH188" i="48"/>
  <c r="W186" i="48"/>
  <c r="AE188" i="48"/>
  <c r="AH156" i="48"/>
  <c r="AK156" i="48" s="1"/>
  <c r="AM156" i="48" s="1"/>
  <c r="AE156" i="48"/>
  <c r="AH310" i="48"/>
  <c r="AK310" i="48" s="1"/>
  <c r="AM310" i="48" s="1"/>
  <c r="AE310" i="48"/>
  <c r="AH290" i="48"/>
  <c r="AK290" i="48" s="1"/>
  <c r="AE290" i="48"/>
  <c r="AH343" i="48"/>
  <c r="AK343" i="48" s="1"/>
  <c r="AM343" i="48" s="1"/>
  <c r="AE343" i="48"/>
  <c r="AE357" i="48"/>
  <c r="AH357" i="48"/>
  <c r="AK357" i="48" s="1"/>
  <c r="AM357" i="48" s="1"/>
  <c r="AE101" i="48"/>
  <c r="AH101" i="48"/>
  <c r="AK101" i="48" s="1"/>
  <c r="AM101" i="48" s="1"/>
  <c r="AH119" i="48"/>
  <c r="AK119" i="48" s="1"/>
  <c r="AM119" i="48" s="1"/>
  <c r="AE119" i="48"/>
  <c r="AH260" i="48"/>
  <c r="AK260" i="48" s="1"/>
  <c r="AM260" i="48" s="1"/>
  <c r="AE260" i="48"/>
  <c r="AE308" i="48"/>
  <c r="AH308" i="48"/>
  <c r="AK308" i="48" s="1"/>
  <c r="AM308" i="48" s="1"/>
  <c r="AE194" i="48"/>
  <c r="AH194" i="48"/>
  <c r="AK194" i="48" s="1"/>
  <c r="AM194" i="48" s="1"/>
  <c r="AE217" i="48"/>
  <c r="AH217" i="48"/>
  <c r="AK217" i="48" s="1"/>
  <c r="AM217" i="48" s="1"/>
  <c r="AD186" i="48"/>
  <c r="AD174" i="48"/>
  <c r="AE203" i="48"/>
  <c r="AH203" i="48"/>
  <c r="AK203" i="48" s="1"/>
  <c r="AM203" i="48" s="1"/>
  <c r="AE338" i="48"/>
  <c r="AH338" i="48"/>
  <c r="AK338" i="48" s="1"/>
  <c r="AM338" i="48" s="1"/>
  <c r="AE259" i="48"/>
  <c r="AH259" i="48"/>
  <c r="AK259" i="48" s="1"/>
  <c r="AM259" i="48" s="1"/>
  <c r="AE145" i="48"/>
  <c r="AH145" i="48"/>
  <c r="AK145" i="48" s="1"/>
  <c r="AM145" i="48" s="1"/>
  <c r="AH253" i="48"/>
  <c r="AK253" i="48" s="1"/>
  <c r="AE253" i="48"/>
  <c r="AH241" i="48"/>
  <c r="AK241" i="48" s="1"/>
  <c r="AM241" i="48" s="1"/>
  <c r="AE241" i="48"/>
  <c r="AE216" i="48"/>
  <c r="AH216" i="48"/>
  <c r="AK216" i="48" s="1"/>
  <c r="AM216" i="48" s="1"/>
  <c r="AE305" i="48"/>
  <c r="AH305" i="48"/>
  <c r="AK305" i="48" s="1"/>
  <c r="AM305" i="48" s="1"/>
  <c r="AE242" i="48"/>
  <c r="AH242" i="48"/>
  <c r="AK242" i="48" s="1"/>
  <c r="AH309" i="48"/>
  <c r="AK309" i="48" s="1"/>
  <c r="AM309" i="48" s="1"/>
  <c r="AE309" i="48"/>
  <c r="AH111" i="48"/>
  <c r="AK111" i="48" s="1"/>
  <c r="AM111" i="48" s="1"/>
  <c r="AE111" i="48"/>
  <c r="AH167" i="48"/>
  <c r="AK167" i="48" s="1"/>
  <c r="AM167" i="48" s="1"/>
  <c r="AE167" i="48"/>
  <c r="AE199" i="48"/>
  <c r="AH199" i="48"/>
  <c r="AK199" i="48" s="1"/>
  <c r="AM199" i="48" s="1"/>
  <c r="AH236" i="48"/>
  <c r="W234" i="48"/>
  <c r="AE236" i="48"/>
  <c r="V222" i="48"/>
  <c r="AH350" i="48"/>
  <c r="AK350" i="48" s="1"/>
  <c r="AM350" i="48" s="1"/>
  <c r="AE350" i="48"/>
  <c r="AE298" i="48"/>
  <c r="AH298" i="48"/>
  <c r="AK298" i="48" s="1"/>
  <c r="AM298" i="48" s="1"/>
  <c r="AE109" i="48"/>
  <c r="AH109" i="48"/>
  <c r="AK109" i="48" s="1"/>
  <c r="AM109" i="48" s="1"/>
  <c r="AH346" i="48"/>
  <c r="AK346" i="48" s="1"/>
  <c r="AM346" i="48" s="1"/>
  <c r="AE346" i="48"/>
  <c r="AH193" i="48"/>
  <c r="AK193" i="48" s="1"/>
  <c r="AM193" i="48" s="1"/>
  <c r="AE193" i="48"/>
  <c r="AH356" i="48"/>
  <c r="AK356" i="48" s="1"/>
  <c r="AM356" i="48" s="1"/>
  <c r="AE356" i="48"/>
  <c r="AH150" i="48"/>
  <c r="AK150" i="48" s="1"/>
  <c r="AE150" i="48"/>
  <c r="AE238" i="48"/>
  <c r="AH238" i="48"/>
  <c r="AK238" i="48" s="1"/>
  <c r="AM238" i="48" s="1"/>
  <c r="AH307" i="48"/>
  <c r="AK307" i="48" s="1"/>
  <c r="AM307" i="48" s="1"/>
  <c r="AE307" i="48"/>
  <c r="AE247" i="48"/>
  <c r="AH247" i="48"/>
  <c r="AK247" i="48" s="1"/>
  <c r="AM247" i="48" s="1"/>
  <c r="AE262" i="48"/>
  <c r="AH262" i="48"/>
  <c r="AK262" i="48" s="1"/>
  <c r="AM262" i="48" s="1"/>
  <c r="AH207" i="48"/>
  <c r="AK207" i="48" s="1"/>
  <c r="AM207" i="48" s="1"/>
  <c r="AE207" i="48"/>
  <c r="AH118" i="48"/>
  <c r="AK118" i="48" s="1"/>
  <c r="AM118" i="48" s="1"/>
  <c r="AE118" i="48"/>
  <c r="AH312" i="48"/>
  <c r="AK312" i="48" s="1"/>
  <c r="AE312" i="48"/>
  <c r="AH263" i="48"/>
  <c r="AK263" i="48" s="1"/>
  <c r="AM263" i="48" s="1"/>
  <c r="AE263" i="48"/>
  <c r="AE146" i="48"/>
  <c r="AH146" i="48"/>
  <c r="AK146" i="48" s="1"/>
  <c r="AM146" i="48" s="1"/>
  <c r="AH261" i="48"/>
  <c r="AK261" i="48" s="1"/>
  <c r="AE261" i="48"/>
  <c r="AH190" i="48"/>
  <c r="AK190" i="48" s="1"/>
  <c r="AM190" i="48" s="1"/>
  <c r="AE190" i="48"/>
  <c r="AE255" i="48"/>
  <c r="AH255" i="48"/>
  <c r="AK255" i="48" s="1"/>
  <c r="AM255" i="48" s="1"/>
  <c r="AH306" i="48"/>
  <c r="AK306" i="48" s="1"/>
  <c r="AM306" i="48" s="1"/>
  <c r="AE306" i="48"/>
  <c r="AE333" i="48"/>
  <c r="AH333" i="48"/>
  <c r="AK333" i="48" s="1"/>
  <c r="AM333" i="48" s="1"/>
  <c r="AE294" i="48"/>
  <c r="AH294" i="48"/>
  <c r="AH163" i="48"/>
  <c r="AK163" i="48" s="1"/>
  <c r="AE163" i="48"/>
  <c r="AH99" i="48"/>
  <c r="AK99" i="48" s="1"/>
  <c r="AM99" i="48" s="1"/>
  <c r="AE99" i="48"/>
  <c r="AE352" i="48"/>
  <c r="AH352" i="48"/>
  <c r="AK352" i="48" s="1"/>
  <c r="AH141" i="48"/>
  <c r="AK141" i="48" s="1"/>
  <c r="AE141" i="48"/>
  <c r="AE243" i="48"/>
  <c r="AH243" i="48"/>
  <c r="AK243" i="48" s="1"/>
  <c r="AH240" i="48"/>
  <c r="AK240" i="48" s="1"/>
  <c r="AE240" i="48"/>
  <c r="AH339" i="48"/>
  <c r="AK339" i="48" s="1"/>
  <c r="AE339" i="48"/>
  <c r="AH340" i="48"/>
  <c r="AK340" i="48" s="1"/>
  <c r="AE340" i="48"/>
  <c r="AD222" i="48"/>
  <c r="AD234" i="48"/>
  <c r="AH70" i="48"/>
  <c r="AK70" i="48" s="1"/>
  <c r="AM70" i="48" s="1"/>
  <c r="AD29" i="48"/>
  <c r="AE70" i="48"/>
  <c r="AF8" i="59"/>
  <c r="AE8" i="59"/>
  <c r="AD8" i="59"/>
  <c r="AC8" i="59"/>
  <c r="D4" i="58"/>
  <c r="L203" i="58" a="1"/>
  <c r="L203" i="58" s="1"/>
  <c r="H203" i="58"/>
  <c r="F203" i="58"/>
  <c r="M203" i="58" s="1" a="1"/>
  <c r="M203" i="58" s="1"/>
  <c r="L202" i="58" a="1"/>
  <c r="L202" i="58" s="1"/>
  <c r="H202" i="58"/>
  <c r="F202" i="58"/>
  <c r="M202" i="58" s="1" a="1"/>
  <c r="M202" i="58" s="1"/>
  <c r="L201" i="58" a="1"/>
  <c r="L201" i="58" s="1"/>
  <c r="H201" i="58"/>
  <c r="F201" i="58"/>
  <c r="M201" i="58" s="1" a="1"/>
  <c r="M201" i="58" s="1"/>
  <c r="L200" i="58" a="1"/>
  <c r="L200" i="58" s="1"/>
  <c r="H200" i="58"/>
  <c r="F200" i="58"/>
  <c r="M200" i="58" s="1" a="1"/>
  <c r="M200" i="58" s="1"/>
  <c r="L199" i="58" a="1"/>
  <c r="L199" i="58" s="1"/>
  <c r="H199" i="58"/>
  <c r="F199" i="58"/>
  <c r="M199" i="58" s="1" a="1"/>
  <c r="M199" i="58" s="1"/>
  <c r="L198" i="58" a="1"/>
  <c r="L198" i="58" s="1"/>
  <c r="H198" i="58"/>
  <c r="F198" i="58"/>
  <c r="M198" i="58" s="1" a="1"/>
  <c r="M198" i="58" s="1"/>
  <c r="L197" i="58" a="1"/>
  <c r="L197" i="58" s="1"/>
  <c r="H197" i="58"/>
  <c r="F197" i="58"/>
  <c r="M197" i="58" s="1" a="1"/>
  <c r="M197" i="58" s="1"/>
  <c r="L196" i="58" a="1"/>
  <c r="L196" i="58" s="1"/>
  <c r="H196" i="58"/>
  <c r="F196" i="58"/>
  <c r="M196" i="58" s="1" a="1"/>
  <c r="M196" i="58" s="1"/>
  <c r="L195" i="58" a="1"/>
  <c r="L195" i="58" s="1"/>
  <c r="H195" i="58"/>
  <c r="F195" i="58"/>
  <c r="M195" i="58" s="1" a="1"/>
  <c r="M195" i="58" s="1"/>
  <c r="L194" i="58" a="1"/>
  <c r="L194" i="58" s="1"/>
  <c r="H194" i="58"/>
  <c r="F194" i="58"/>
  <c r="M194" i="58" s="1" a="1"/>
  <c r="M194" i="58" s="1"/>
  <c r="L193" i="58" a="1"/>
  <c r="L193" i="58" s="1"/>
  <c r="H193" i="58"/>
  <c r="F193" i="58"/>
  <c r="M193" i="58" s="1" a="1"/>
  <c r="M193" i="58" s="1"/>
  <c r="L192" i="58" a="1"/>
  <c r="L192" i="58" s="1"/>
  <c r="H192" i="58"/>
  <c r="F192" i="58"/>
  <c r="M192" i="58" s="1" a="1"/>
  <c r="M192" i="58" s="1"/>
  <c r="L191" i="58" a="1"/>
  <c r="L191" i="58" s="1"/>
  <c r="H191" i="58"/>
  <c r="F191" i="58"/>
  <c r="M191" i="58" s="1" a="1"/>
  <c r="M191" i="58" s="1"/>
  <c r="L190" i="58" a="1"/>
  <c r="L190" i="58" s="1"/>
  <c r="H190" i="58"/>
  <c r="F190" i="58"/>
  <c r="M190" i="58" s="1" a="1"/>
  <c r="M190" i="58" s="1"/>
  <c r="L189" i="58" a="1"/>
  <c r="L189" i="58" s="1"/>
  <c r="H189" i="58"/>
  <c r="F189" i="58"/>
  <c r="M189" i="58" s="1" a="1"/>
  <c r="M189" i="58" s="1"/>
  <c r="L188" i="58" a="1"/>
  <c r="L188" i="58" s="1"/>
  <c r="H188" i="58"/>
  <c r="F188" i="58"/>
  <c r="M188" i="58" s="1" a="1"/>
  <c r="M188" i="58" s="1"/>
  <c r="L187" i="58" a="1"/>
  <c r="L187" i="58" s="1"/>
  <c r="H187" i="58"/>
  <c r="F187" i="58"/>
  <c r="M187" i="58" s="1" a="1"/>
  <c r="M187" i="58" s="1"/>
  <c r="L186" i="58" a="1"/>
  <c r="L186" i="58" s="1"/>
  <c r="H186" i="58"/>
  <c r="F186" i="58"/>
  <c r="M186" i="58" s="1" a="1"/>
  <c r="M186" i="58" s="1"/>
  <c r="L185" i="58" a="1"/>
  <c r="L185" i="58" s="1"/>
  <c r="H185" i="58"/>
  <c r="F185" i="58"/>
  <c r="M185" i="58" s="1" a="1"/>
  <c r="M185" i="58" s="1"/>
  <c r="L184" i="58" a="1"/>
  <c r="L184" i="58" s="1"/>
  <c r="H184" i="58"/>
  <c r="F184" i="58"/>
  <c r="M184" i="58" s="1" a="1"/>
  <c r="M184" i="58" s="1"/>
  <c r="L183" i="58" a="1"/>
  <c r="L183" i="58" s="1"/>
  <c r="H183" i="58"/>
  <c r="F183" i="58"/>
  <c r="M183" i="58" s="1" a="1"/>
  <c r="M183" i="58" s="1"/>
  <c r="L182" i="58" a="1"/>
  <c r="L182" i="58" s="1"/>
  <c r="H182" i="58"/>
  <c r="F182" i="58"/>
  <c r="M182" i="58" s="1" a="1"/>
  <c r="M182" i="58" s="1"/>
  <c r="L181" i="58" a="1"/>
  <c r="L181" i="58" s="1"/>
  <c r="H181" i="58"/>
  <c r="F181" i="58"/>
  <c r="M181" i="58" s="1" a="1"/>
  <c r="M181" i="58" s="1"/>
  <c r="L180" i="58" a="1"/>
  <c r="L180" i="58" s="1"/>
  <c r="H180" i="58"/>
  <c r="F180" i="58"/>
  <c r="M180" i="58" s="1" a="1"/>
  <c r="M180" i="58" s="1"/>
  <c r="L179" i="58" a="1"/>
  <c r="L179" i="58" s="1"/>
  <c r="H179" i="58"/>
  <c r="F179" i="58"/>
  <c r="M179" i="58" s="1" a="1"/>
  <c r="M179" i="58" s="1"/>
  <c r="L178" i="58" a="1"/>
  <c r="L178" i="58" s="1"/>
  <c r="H178" i="58"/>
  <c r="F178" i="58"/>
  <c r="M178" i="58" s="1" a="1"/>
  <c r="M178" i="58" s="1"/>
  <c r="L177" i="58" a="1"/>
  <c r="L177" i="58" s="1"/>
  <c r="H177" i="58"/>
  <c r="F177" i="58"/>
  <c r="M177" i="58" s="1" a="1"/>
  <c r="M177" i="58" s="1"/>
  <c r="L176" i="58" a="1"/>
  <c r="L176" i="58" s="1"/>
  <c r="H176" i="58"/>
  <c r="F176" i="58"/>
  <c r="M176" i="58" s="1" a="1"/>
  <c r="M176" i="58" s="1"/>
  <c r="L175" i="58" a="1"/>
  <c r="L175" i="58" s="1"/>
  <c r="H175" i="58"/>
  <c r="F175" i="58"/>
  <c r="M175" i="58" s="1" a="1"/>
  <c r="M175" i="58" s="1"/>
  <c r="L174" i="58" a="1"/>
  <c r="L174" i="58" s="1"/>
  <c r="H174" i="58"/>
  <c r="F174" i="58"/>
  <c r="M174" i="58" s="1" a="1"/>
  <c r="M174" i="58" s="1"/>
  <c r="L173" i="58" a="1"/>
  <c r="L173" i="58" s="1"/>
  <c r="H173" i="58"/>
  <c r="F173" i="58"/>
  <c r="M173" i="58" s="1" a="1"/>
  <c r="M173" i="58" s="1"/>
  <c r="L172" i="58" a="1"/>
  <c r="L172" i="58" s="1"/>
  <c r="H172" i="58"/>
  <c r="F172" i="58"/>
  <c r="M172" i="58" s="1" a="1"/>
  <c r="M172" i="58" s="1"/>
  <c r="L171" i="58" a="1"/>
  <c r="L171" i="58" s="1"/>
  <c r="H171" i="58"/>
  <c r="F171" i="58"/>
  <c r="M171" i="58" s="1" a="1"/>
  <c r="M171" i="58" s="1"/>
  <c r="L170" i="58" a="1"/>
  <c r="L170" i="58" s="1"/>
  <c r="H170" i="58"/>
  <c r="F170" i="58"/>
  <c r="M170" i="58" s="1" a="1"/>
  <c r="M170" i="58" s="1"/>
  <c r="L169" i="58" a="1"/>
  <c r="L169" i="58" s="1"/>
  <c r="H169" i="58"/>
  <c r="F169" i="58"/>
  <c r="M169" i="58" s="1" a="1"/>
  <c r="M169" i="58" s="1"/>
  <c r="L168" i="58" a="1"/>
  <c r="L168" i="58" s="1"/>
  <c r="H168" i="58"/>
  <c r="F168" i="58"/>
  <c r="M168" i="58" s="1" a="1"/>
  <c r="M168" i="58" s="1"/>
  <c r="L167" i="58" a="1"/>
  <c r="L167" i="58" s="1"/>
  <c r="H167" i="58"/>
  <c r="F167" i="58"/>
  <c r="M167" i="58" s="1" a="1"/>
  <c r="M167" i="58" s="1"/>
  <c r="L166" i="58" a="1"/>
  <c r="L166" i="58" s="1"/>
  <c r="H166" i="58"/>
  <c r="F166" i="58"/>
  <c r="M166" i="58" s="1" a="1"/>
  <c r="M166" i="58" s="1"/>
  <c r="L165" i="58" a="1"/>
  <c r="L165" i="58" s="1"/>
  <c r="H165" i="58"/>
  <c r="F165" i="58"/>
  <c r="M165" i="58" s="1" a="1"/>
  <c r="M165" i="58" s="1"/>
  <c r="L164" i="58" a="1"/>
  <c r="L164" i="58" s="1"/>
  <c r="H164" i="58"/>
  <c r="F164" i="58"/>
  <c r="M164" i="58" s="1" a="1"/>
  <c r="M164" i="58" s="1"/>
  <c r="L163" i="58" a="1"/>
  <c r="L163" i="58" s="1"/>
  <c r="H163" i="58"/>
  <c r="F163" i="58"/>
  <c r="M163" i="58" s="1" a="1"/>
  <c r="M163" i="58" s="1"/>
  <c r="L162" i="58" a="1"/>
  <c r="L162" i="58" s="1"/>
  <c r="H162" i="58"/>
  <c r="F162" i="58"/>
  <c r="M162" i="58" s="1" a="1"/>
  <c r="M162" i="58" s="1"/>
  <c r="L161" i="58" a="1"/>
  <c r="L161" i="58" s="1"/>
  <c r="H161" i="58"/>
  <c r="F161" i="58"/>
  <c r="M161" i="58" s="1" a="1"/>
  <c r="M161" i="58" s="1"/>
  <c r="L160" i="58" a="1"/>
  <c r="L160" i="58" s="1"/>
  <c r="H160" i="58"/>
  <c r="F160" i="58"/>
  <c r="M160" i="58" s="1" a="1"/>
  <c r="M160" i="58" s="1"/>
  <c r="L159" i="58" a="1"/>
  <c r="L159" i="58" s="1"/>
  <c r="H159" i="58"/>
  <c r="F159" i="58"/>
  <c r="M159" i="58" s="1" a="1"/>
  <c r="M159" i="58" s="1"/>
  <c r="L158" i="58" a="1"/>
  <c r="L158" i="58" s="1"/>
  <c r="H158" i="58"/>
  <c r="F158" i="58"/>
  <c r="M158" i="58" s="1" a="1"/>
  <c r="M158" i="58" s="1"/>
  <c r="L157" i="58" a="1"/>
  <c r="L157" i="58" s="1"/>
  <c r="H157" i="58"/>
  <c r="F157" i="58"/>
  <c r="M157" i="58" s="1" a="1"/>
  <c r="M157" i="58" s="1"/>
  <c r="L156" i="58" a="1"/>
  <c r="L156" i="58" s="1"/>
  <c r="H156" i="58"/>
  <c r="F156" i="58"/>
  <c r="M156" i="58" s="1" a="1"/>
  <c r="M156" i="58" s="1"/>
  <c r="L155" i="58" a="1"/>
  <c r="L155" i="58" s="1"/>
  <c r="H155" i="58"/>
  <c r="F155" i="58"/>
  <c r="M155" i="58" s="1" a="1"/>
  <c r="M155" i="58" s="1"/>
  <c r="L154" i="58" a="1"/>
  <c r="L154" i="58" s="1"/>
  <c r="H154" i="58"/>
  <c r="F154" i="58"/>
  <c r="M154" i="58" s="1" a="1"/>
  <c r="M154" i="58" s="1"/>
  <c r="L153" i="58" a="1"/>
  <c r="L153" i="58" s="1"/>
  <c r="H153" i="58"/>
  <c r="F153" i="58"/>
  <c r="M153" i="58" s="1" a="1"/>
  <c r="M153" i="58" s="1"/>
  <c r="L152" i="58" a="1"/>
  <c r="L152" i="58" s="1"/>
  <c r="H152" i="58"/>
  <c r="F152" i="58"/>
  <c r="M152" i="58" s="1" a="1"/>
  <c r="M152" i="58" s="1"/>
  <c r="L151" i="58" a="1"/>
  <c r="L151" i="58" s="1"/>
  <c r="H151" i="58"/>
  <c r="F151" i="58"/>
  <c r="M151" i="58" s="1" a="1"/>
  <c r="M151" i="58" s="1"/>
  <c r="L150" i="58" a="1"/>
  <c r="L150" i="58" s="1"/>
  <c r="H150" i="58"/>
  <c r="F150" i="58"/>
  <c r="M150" i="58" s="1" a="1"/>
  <c r="M150" i="58" s="1"/>
  <c r="L149" i="58" a="1"/>
  <c r="L149" i="58" s="1"/>
  <c r="H149" i="58"/>
  <c r="F149" i="58"/>
  <c r="M149" i="58" s="1" a="1"/>
  <c r="M149" i="58" s="1"/>
  <c r="L148" i="58" a="1"/>
  <c r="L148" i="58" s="1"/>
  <c r="H148" i="58"/>
  <c r="F148" i="58"/>
  <c r="M148" i="58" s="1" a="1"/>
  <c r="M148" i="58" s="1"/>
  <c r="L147" i="58" a="1"/>
  <c r="L147" i="58" s="1"/>
  <c r="H147" i="58"/>
  <c r="F147" i="58"/>
  <c r="M147" i="58" s="1" a="1"/>
  <c r="M147" i="58" s="1"/>
  <c r="L146" i="58" a="1"/>
  <c r="L146" i="58" s="1"/>
  <c r="H146" i="58"/>
  <c r="F146" i="58"/>
  <c r="M146" i="58" s="1" a="1"/>
  <c r="M146" i="58" s="1"/>
  <c r="L145" i="58" a="1"/>
  <c r="L145" i="58" s="1"/>
  <c r="H145" i="58"/>
  <c r="F145" i="58"/>
  <c r="M145" i="58" s="1" a="1"/>
  <c r="M145" i="58" s="1"/>
  <c r="L144" i="58" a="1"/>
  <c r="L144" i="58" s="1"/>
  <c r="H144" i="58"/>
  <c r="F144" i="58"/>
  <c r="M144" i="58" s="1" a="1"/>
  <c r="M144" i="58" s="1"/>
  <c r="L143" i="58" a="1"/>
  <c r="L143" i="58" s="1"/>
  <c r="H143" i="58"/>
  <c r="F143" i="58"/>
  <c r="M143" i="58" s="1" a="1"/>
  <c r="M143" i="58" s="1"/>
  <c r="L142" i="58" a="1"/>
  <c r="L142" i="58" s="1"/>
  <c r="H142" i="58"/>
  <c r="F142" i="58"/>
  <c r="M142" i="58" s="1" a="1"/>
  <c r="M142" i="58" s="1"/>
  <c r="L141" i="58" a="1"/>
  <c r="L141" i="58" s="1"/>
  <c r="H141" i="58"/>
  <c r="F141" i="58"/>
  <c r="M141" i="58" s="1" a="1"/>
  <c r="M141" i="58" s="1"/>
  <c r="L140" i="58" a="1"/>
  <c r="L140" i="58" s="1"/>
  <c r="H140" i="58"/>
  <c r="F140" i="58"/>
  <c r="M140" i="58" s="1" a="1"/>
  <c r="M140" i="58" s="1"/>
  <c r="L139" i="58" a="1"/>
  <c r="L139" i="58" s="1"/>
  <c r="H139" i="58"/>
  <c r="F139" i="58"/>
  <c r="M139" i="58" s="1" a="1"/>
  <c r="M139" i="58" s="1"/>
  <c r="L138" i="58" a="1"/>
  <c r="L138" i="58" s="1"/>
  <c r="H138" i="58"/>
  <c r="F138" i="58"/>
  <c r="M138" i="58" s="1" a="1"/>
  <c r="M138" i="58" s="1"/>
  <c r="L137" i="58" a="1"/>
  <c r="L137" i="58" s="1"/>
  <c r="H137" i="58"/>
  <c r="F137" i="58"/>
  <c r="M137" i="58" s="1" a="1"/>
  <c r="M137" i="58" s="1"/>
  <c r="L136" i="58" a="1"/>
  <c r="L136" i="58" s="1"/>
  <c r="H136" i="58"/>
  <c r="F136" i="58"/>
  <c r="M136" i="58" s="1" a="1"/>
  <c r="M136" i="58" s="1"/>
  <c r="L135" i="58" a="1"/>
  <c r="L135" i="58" s="1"/>
  <c r="H135" i="58"/>
  <c r="F135" i="58"/>
  <c r="M135" i="58" s="1" a="1"/>
  <c r="M135" i="58" s="1"/>
  <c r="L134" i="58" a="1"/>
  <c r="L134" i="58" s="1"/>
  <c r="H134" i="58"/>
  <c r="F134" i="58"/>
  <c r="M134" i="58" s="1" a="1"/>
  <c r="M134" i="58" s="1"/>
  <c r="L133" i="58" a="1"/>
  <c r="L133" i="58" s="1"/>
  <c r="H133" i="58"/>
  <c r="F133" i="58"/>
  <c r="M133" i="58" s="1" a="1"/>
  <c r="M133" i="58" s="1"/>
  <c r="L132" i="58" a="1"/>
  <c r="L132" i="58" s="1"/>
  <c r="H132" i="58"/>
  <c r="F132" i="58"/>
  <c r="M132" i="58" s="1" a="1"/>
  <c r="M132" i="58" s="1"/>
  <c r="L131" i="58" a="1"/>
  <c r="L131" i="58" s="1"/>
  <c r="H131" i="58"/>
  <c r="F131" i="58"/>
  <c r="M131" i="58" s="1" a="1"/>
  <c r="M131" i="58" s="1"/>
  <c r="L130" i="58" a="1"/>
  <c r="L130" i="58" s="1"/>
  <c r="H130" i="58"/>
  <c r="F130" i="58"/>
  <c r="M130" i="58" s="1" a="1"/>
  <c r="M130" i="58" s="1"/>
  <c r="L129" i="58" a="1"/>
  <c r="L129" i="58" s="1"/>
  <c r="H129" i="58"/>
  <c r="F129" i="58"/>
  <c r="M129" i="58" s="1" a="1"/>
  <c r="M129" i="58" s="1"/>
  <c r="L128" i="58" a="1"/>
  <c r="L128" i="58" s="1"/>
  <c r="H128" i="58"/>
  <c r="F128" i="58"/>
  <c r="M128" i="58" s="1" a="1"/>
  <c r="M128" i="58" s="1"/>
  <c r="L127" i="58" a="1"/>
  <c r="L127" i="58" s="1"/>
  <c r="H127" i="58"/>
  <c r="F127" i="58"/>
  <c r="M127" i="58" s="1" a="1"/>
  <c r="M127" i="58" s="1"/>
  <c r="L126" i="58" a="1"/>
  <c r="L126" i="58" s="1"/>
  <c r="H126" i="58"/>
  <c r="F126" i="58"/>
  <c r="M126" i="58" s="1" a="1"/>
  <c r="M126" i="58" s="1"/>
  <c r="L125" i="58" a="1"/>
  <c r="L125" i="58" s="1"/>
  <c r="H125" i="58"/>
  <c r="F125" i="58"/>
  <c r="M125" i="58" s="1" a="1"/>
  <c r="M125" i="58" s="1"/>
  <c r="L124" i="58" a="1"/>
  <c r="L124" i="58" s="1"/>
  <c r="H124" i="58"/>
  <c r="F124" i="58"/>
  <c r="M124" i="58" s="1" a="1"/>
  <c r="M124" i="58" s="1"/>
  <c r="L123" i="58" a="1"/>
  <c r="L123" i="58" s="1"/>
  <c r="H123" i="58"/>
  <c r="F123" i="58"/>
  <c r="M123" i="58" s="1" a="1"/>
  <c r="M123" i="58" s="1"/>
  <c r="L122" i="58" a="1"/>
  <c r="L122" i="58" s="1"/>
  <c r="H122" i="58"/>
  <c r="F122" i="58"/>
  <c r="M122" i="58" s="1" a="1"/>
  <c r="M122" i="58" s="1"/>
  <c r="L121" i="58" a="1"/>
  <c r="L121" i="58" s="1"/>
  <c r="H121" i="58"/>
  <c r="F121" i="58"/>
  <c r="M121" i="58" s="1" a="1"/>
  <c r="M121" i="58" s="1"/>
  <c r="L120" i="58" a="1"/>
  <c r="L120" i="58" s="1"/>
  <c r="H120" i="58"/>
  <c r="F120" i="58"/>
  <c r="M120" i="58" s="1" a="1"/>
  <c r="M120" i="58" s="1"/>
  <c r="L119" i="58" a="1"/>
  <c r="L119" i="58" s="1"/>
  <c r="H119" i="58"/>
  <c r="F119" i="58"/>
  <c r="M119" i="58" s="1" a="1"/>
  <c r="M119" i="58" s="1"/>
  <c r="L118" i="58" a="1"/>
  <c r="L118" i="58" s="1"/>
  <c r="H118" i="58"/>
  <c r="F118" i="58"/>
  <c r="M118" i="58" s="1" a="1"/>
  <c r="M118" i="58" s="1"/>
  <c r="L117" i="58" a="1"/>
  <c r="L117" i="58" s="1"/>
  <c r="H117" i="58"/>
  <c r="F117" i="58"/>
  <c r="M117" i="58" s="1" a="1"/>
  <c r="M117" i="58" s="1"/>
  <c r="L116" i="58" a="1"/>
  <c r="L116" i="58" s="1"/>
  <c r="H116" i="58"/>
  <c r="F116" i="58"/>
  <c r="M116" i="58" s="1" a="1"/>
  <c r="M116" i="58" s="1"/>
  <c r="L115" i="58" a="1"/>
  <c r="L115" i="58" s="1"/>
  <c r="H115" i="58"/>
  <c r="F115" i="58"/>
  <c r="M115" i="58" s="1" a="1"/>
  <c r="M115" i="58" s="1"/>
  <c r="L114" i="58" a="1"/>
  <c r="L114" i="58" s="1"/>
  <c r="H114" i="58"/>
  <c r="F114" i="58"/>
  <c r="M114" i="58" s="1" a="1"/>
  <c r="M114" i="58" s="1"/>
  <c r="L113" i="58" a="1"/>
  <c r="L113" i="58" s="1"/>
  <c r="H113" i="58"/>
  <c r="F113" i="58"/>
  <c r="M113" i="58" s="1" a="1"/>
  <c r="M113" i="58" s="1"/>
  <c r="L112" i="58" a="1"/>
  <c r="L112" i="58" s="1"/>
  <c r="H112" i="58"/>
  <c r="F112" i="58"/>
  <c r="M112" i="58" s="1" a="1"/>
  <c r="M112" i="58" s="1"/>
  <c r="L111" i="58" a="1"/>
  <c r="L111" i="58" s="1"/>
  <c r="H111" i="58"/>
  <c r="F111" i="58"/>
  <c r="M111" i="58" s="1" a="1"/>
  <c r="M111" i="58" s="1"/>
  <c r="L110" i="58" a="1"/>
  <c r="L110" i="58" s="1"/>
  <c r="H110" i="58"/>
  <c r="F110" i="58"/>
  <c r="M110" i="58" s="1" a="1"/>
  <c r="M110" i="58" s="1"/>
  <c r="L109" i="58" a="1"/>
  <c r="L109" i="58" s="1"/>
  <c r="H109" i="58"/>
  <c r="F109" i="58"/>
  <c r="M109" i="58" s="1" a="1"/>
  <c r="M109" i="58" s="1"/>
  <c r="L108" i="58" a="1"/>
  <c r="L108" i="58" s="1"/>
  <c r="H108" i="58"/>
  <c r="F108" i="58"/>
  <c r="M108" i="58" s="1" a="1"/>
  <c r="M108" i="58" s="1"/>
  <c r="L107" i="58" a="1"/>
  <c r="L107" i="58" s="1"/>
  <c r="H107" i="58"/>
  <c r="F107" i="58"/>
  <c r="M107" i="58" s="1" a="1"/>
  <c r="M107" i="58" s="1"/>
  <c r="L106" i="58" a="1"/>
  <c r="L106" i="58" s="1"/>
  <c r="H106" i="58"/>
  <c r="F106" i="58"/>
  <c r="M106" i="58" s="1" a="1"/>
  <c r="M106" i="58" s="1"/>
  <c r="L105" i="58" a="1"/>
  <c r="L105" i="58" s="1"/>
  <c r="H105" i="58"/>
  <c r="F105" i="58"/>
  <c r="M105" i="58" s="1" a="1"/>
  <c r="M105" i="58" s="1"/>
  <c r="L104" i="58" a="1"/>
  <c r="L104" i="58" s="1"/>
  <c r="H104" i="58"/>
  <c r="F104" i="58"/>
  <c r="M104" i="58" s="1" a="1"/>
  <c r="M104" i="58" s="1"/>
  <c r="L103" i="58" a="1"/>
  <c r="L103" i="58" s="1"/>
  <c r="H103" i="58"/>
  <c r="F103" i="58"/>
  <c r="M103" i="58" s="1" a="1"/>
  <c r="M103" i="58" s="1"/>
  <c r="L102" i="58" a="1"/>
  <c r="L102" i="58" s="1"/>
  <c r="H102" i="58"/>
  <c r="F102" i="58"/>
  <c r="M102" i="58" s="1" a="1"/>
  <c r="M102" i="58" s="1"/>
  <c r="L101" i="58" a="1"/>
  <c r="L101" i="58" s="1"/>
  <c r="H101" i="58"/>
  <c r="F101" i="58"/>
  <c r="M101" i="58" s="1" a="1"/>
  <c r="M101" i="58" s="1"/>
  <c r="L100" i="58" a="1"/>
  <c r="L100" i="58" s="1"/>
  <c r="H100" i="58"/>
  <c r="F100" i="58"/>
  <c r="M100" i="58" s="1" a="1"/>
  <c r="M100" i="58" s="1"/>
  <c r="L99" i="58" a="1"/>
  <c r="L99" i="58" s="1"/>
  <c r="H99" i="58"/>
  <c r="F99" i="58"/>
  <c r="M99" i="58" s="1" a="1"/>
  <c r="M99" i="58" s="1"/>
  <c r="L98" i="58" a="1"/>
  <c r="L98" i="58" s="1"/>
  <c r="H98" i="58"/>
  <c r="F98" i="58"/>
  <c r="M98" i="58" s="1" a="1"/>
  <c r="M98" i="58" s="1"/>
  <c r="L97" i="58" a="1"/>
  <c r="L97" i="58" s="1"/>
  <c r="H97" i="58"/>
  <c r="F97" i="58"/>
  <c r="M97" i="58" s="1" a="1"/>
  <c r="M97" i="58" s="1"/>
  <c r="L96" i="58" a="1"/>
  <c r="L96" i="58" s="1"/>
  <c r="H96" i="58"/>
  <c r="F96" i="58"/>
  <c r="M96" i="58" s="1" a="1"/>
  <c r="M96" i="58" s="1"/>
  <c r="L95" i="58" a="1"/>
  <c r="L95" i="58" s="1"/>
  <c r="H95" i="58"/>
  <c r="F95" i="58"/>
  <c r="M95" i="58" s="1" a="1"/>
  <c r="M95" i="58" s="1"/>
  <c r="L94" i="58" a="1"/>
  <c r="L94" i="58" s="1"/>
  <c r="H94" i="58"/>
  <c r="F94" i="58"/>
  <c r="M94" i="58" s="1" a="1"/>
  <c r="M94" i="58" s="1"/>
  <c r="L93" i="58" a="1"/>
  <c r="L93" i="58" s="1"/>
  <c r="H93" i="58"/>
  <c r="F93" i="58"/>
  <c r="M93" i="58" s="1" a="1"/>
  <c r="M93" i="58" s="1"/>
  <c r="L92" i="58" a="1"/>
  <c r="L92" i="58" s="1"/>
  <c r="H92" i="58"/>
  <c r="F92" i="58"/>
  <c r="M92" i="58" s="1" a="1"/>
  <c r="M92" i="58" s="1"/>
  <c r="L91" i="58" a="1"/>
  <c r="L91" i="58" s="1"/>
  <c r="H91" i="58"/>
  <c r="F91" i="58"/>
  <c r="M91" i="58" s="1" a="1"/>
  <c r="M91" i="58" s="1"/>
  <c r="L90" i="58" a="1"/>
  <c r="L90" i="58" s="1"/>
  <c r="H90" i="58"/>
  <c r="F90" i="58"/>
  <c r="M90" i="58" s="1" a="1"/>
  <c r="M90" i="58" s="1"/>
  <c r="L89" i="58" a="1"/>
  <c r="L89" i="58" s="1"/>
  <c r="H89" i="58"/>
  <c r="F89" i="58"/>
  <c r="M89" i="58" s="1" a="1"/>
  <c r="M89" i="58" s="1"/>
  <c r="L88" i="58" a="1"/>
  <c r="L88" i="58" s="1"/>
  <c r="H88" i="58"/>
  <c r="F88" i="58"/>
  <c r="M88" i="58" s="1" a="1"/>
  <c r="M88" i="58" s="1"/>
  <c r="L87" i="58" a="1"/>
  <c r="L87" i="58" s="1"/>
  <c r="H87" i="58"/>
  <c r="F87" i="58"/>
  <c r="M87" i="58" s="1" a="1"/>
  <c r="M87" i="58" s="1"/>
  <c r="L86" i="58" a="1"/>
  <c r="L86" i="58" s="1"/>
  <c r="H86" i="58"/>
  <c r="F86" i="58"/>
  <c r="M86" i="58" s="1" a="1"/>
  <c r="M86" i="58" s="1"/>
  <c r="L85" i="58" a="1"/>
  <c r="L85" i="58" s="1"/>
  <c r="H85" i="58"/>
  <c r="F85" i="58"/>
  <c r="M85" i="58" s="1" a="1"/>
  <c r="M85" i="58" s="1"/>
  <c r="L84" i="58" a="1"/>
  <c r="L84" i="58" s="1"/>
  <c r="H84" i="58"/>
  <c r="F84" i="58"/>
  <c r="M84" i="58" s="1" a="1"/>
  <c r="M84" i="58" s="1"/>
  <c r="L83" i="58" a="1"/>
  <c r="L83" i="58" s="1"/>
  <c r="H83" i="58"/>
  <c r="F83" i="58"/>
  <c r="M83" i="58" s="1" a="1"/>
  <c r="M83" i="58" s="1"/>
  <c r="L82" i="58" a="1"/>
  <c r="L82" i="58" s="1"/>
  <c r="H82" i="58"/>
  <c r="F82" i="58"/>
  <c r="M82" i="58" s="1" a="1"/>
  <c r="M82" i="58" s="1"/>
  <c r="L81" i="58" a="1"/>
  <c r="L81" i="58" s="1"/>
  <c r="H81" i="58"/>
  <c r="F81" i="58"/>
  <c r="M81" i="58" s="1" a="1"/>
  <c r="M81" i="58" s="1"/>
  <c r="L80" i="58" a="1"/>
  <c r="L80" i="58" s="1"/>
  <c r="H80" i="58"/>
  <c r="F80" i="58"/>
  <c r="M80" i="58" s="1" a="1"/>
  <c r="M80" i="58" s="1"/>
  <c r="L79" i="58" a="1"/>
  <c r="L79" i="58" s="1"/>
  <c r="H79" i="58"/>
  <c r="F79" i="58"/>
  <c r="M79" i="58" s="1" a="1"/>
  <c r="M79" i="58" s="1"/>
  <c r="L78" i="58" a="1"/>
  <c r="L78" i="58" s="1"/>
  <c r="H78" i="58"/>
  <c r="F78" i="58"/>
  <c r="M78" i="58" s="1" a="1"/>
  <c r="M78" i="58" s="1"/>
  <c r="L77" i="58" a="1"/>
  <c r="L77" i="58" s="1"/>
  <c r="H77" i="58"/>
  <c r="F77" i="58"/>
  <c r="M77" i="58" s="1" a="1"/>
  <c r="M77" i="58" s="1"/>
  <c r="L76" i="58" a="1"/>
  <c r="L76" i="58" s="1"/>
  <c r="H76" i="58"/>
  <c r="F76" i="58"/>
  <c r="M76" i="58" s="1" a="1"/>
  <c r="M76" i="58" s="1"/>
  <c r="L75" i="58" a="1"/>
  <c r="L75" i="58" s="1"/>
  <c r="H75" i="58"/>
  <c r="F75" i="58"/>
  <c r="M75" i="58" s="1" a="1"/>
  <c r="M75" i="58" s="1"/>
  <c r="L74" i="58" a="1"/>
  <c r="L74" i="58" s="1"/>
  <c r="H74" i="58"/>
  <c r="F74" i="58"/>
  <c r="M74" i="58" s="1" a="1"/>
  <c r="M74" i="58" s="1"/>
  <c r="L73" i="58" a="1"/>
  <c r="L73" i="58" s="1"/>
  <c r="H73" i="58"/>
  <c r="F73" i="58"/>
  <c r="M73" i="58" s="1" a="1"/>
  <c r="M73" i="58" s="1"/>
  <c r="L72" i="58" a="1"/>
  <c r="L72" i="58" s="1"/>
  <c r="H72" i="58"/>
  <c r="F72" i="58"/>
  <c r="M72" i="58" s="1" a="1"/>
  <c r="M72" i="58" s="1"/>
  <c r="L71" i="58" a="1"/>
  <c r="L71" i="58" s="1"/>
  <c r="H71" i="58"/>
  <c r="F71" i="58"/>
  <c r="M71" i="58" s="1" a="1"/>
  <c r="M71" i="58" s="1"/>
  <c r="L70" i="58" a="1"/>
  <c r="L70" i="58" s="1"/>
  <c r="H70" i="58"/>
  <c r="F70" i="58"/>
  <c r="M70" i="58" s="1" a="1"/>
  <c r="M70" i="58" s="1"/>
  <c r="L69" i="58" a="1"/>
  <c r="L69" i="58" s="1"/>
  <c r="H69" i="58"/>
  <c r="F69" i="58"/>
  <c r="M69" i="58" s="1" a="1"/>
  <c r="M69" i="58" s="1"/>
  <c r="L68" i="58" a="1"/>
  <c r="L68" i="58" s="1"/>
  <c r="H68" i="58"/>
  <c r="F68" i="58"/>
  <c r="M68" i="58" s="1" a="1"/>
  <c r="M68" i="58" s="1"/>
  <c r="L67" i="58" a="1"/>
  <c r="L67" i="58" s="1"/>
  <c r="H67" i="58"/>
  <c r="F67" i="58"/>
  <c r="M67" i="58" s="1" a="1"/>
  <c r="M67" i="58" s="1"/>
  <c r="L66" i="58" a="1"/>
  <c r="L66" i="58" s="1"/>
  <c r="H66" i="58"/>
  <c r="F66" i="58"/>
  <c r="M66" i="58" s="1" a="1"/>
  <c r="M66" i="58" s="1"/>
  <c r="L65" i="58" a="1"/>
  <c r="L65" i="58" s="1"/>
  <c r="H65" i="58"/>
  <c r="F65" i="58"/>
  <c r="M65" i="58" s="1" a="1"/>
  <c r="M65" i="58" s="1"/>
  <c r="L64" i="58" a="1"/>
  <c r="L64" i="58" s="1"/>
  <c r="H64" i="58"/>
  <c r="F64" i="58"/>
  <c r="M64" i="58" s="1" a="1"/>
  <c r="M64" i="58" s="1"/>
  <c r="L63" i="58" a="1"/>
  <c r="L63" i="58" s="1"/>
  <c r="H63" i="58"/>
  <c r="F63" i="58"/>
  <c r="M63" i="58" s="1" a="1"/>
  <c r="M63" i="58" s="1"/>
  <c r="L62" i="58" a="1"/>
  <c r="L62" i="58" s="1"/>
  <c r="H62" i="58"/>
  <c r="F62" i="58"/>
  <c r="M62" i="58" s="1" a="1"/>
  <c r="M62" i="58" s="1"/>
  <c r="L61" i="58" a="1"/>
  <c r="L61" i="58" s="1"/>
  <c r="H61" i="58"/>
  <c r="F61" i="58"/>
  <c r="M61" i="58" s="1" a="1"/>
  <c r="M61" i="58" s="1"/>
  <c r="L60" i="58" a="1"/>
  <c r="L60" i="58" s="1"/>
  <c r="H60" i="58"/>
  <c r="F60" i="58"/>
  <c r="M60" i="58" s="1" a="1"/>
  <c r="M60" i="58" s="1"/>
  <c r="L59" i="58" a="1"/>
  <c r="L59" i="58" s="1"/>
  <c r="H59" i="58"/>
  <c r="F59" i="58"/>
  <c r="M59" i="58" s="1" a="1"/>
  <c r="M59" i="58" s="1"/>
  <c r="L58" i="58" a="1"/>
  <c r="L58" i="58" s="1"/>
  <c r="H58" i="58"/>
  <c r="F58" i="58"/>
  <c r="M58" i="58" s="1" a="1"/>
  <c r="M58" i="58" s="1"/>
  <c r="L57" i="58" a="1"/>
  <c r="L57" i="58" s="1"/>
  <c r="H57" i="58"/>
  <c r="F57" i="58"/>
  <c r="M57" i="58" s="1" a="1"/>
  <c r="M57" i="58" s="1"/>
  <c r="L56" i="58" a="1"/>
  <c r="L56" i="58" s="1"/>
  <c r="H56" i="58"/>
  <c r="F56" i="58"/>
  <c r="M56" i="58" s="1" a="1"/>
  <c r="M56" i="58" s="1"/>
  <c r="L55" i="58" a="1"/>
  <c r="L55" i="58" s="1"/>
  <c r="H55" i="58"/>
  <c r="F55" i="58"/>
  <c r="M55" i="58" s="1" a="1"/>
  <c r="M55" i="58" s="1"/>
  <c r="L54" i="58" a="1"/>
  <c r="L54" i="58" s="1"/>
  <c r="H54" i="58"/>
  <c r="F54" i="58"/>
  <c r="M54" i="58" s="1" a="1"/>
  <c r="M54" i="58" s="1"/>
  <c r="L53" i="58" a="1"/>
  <c r="L53" i="58" s="1"/>
  <c r="H53" i="58"/>
  <c r="F53" i="58"/>
  <c r="M53" i="58" s="1" a="1"/>
  <c r="M53" i="58" s="1"/>
  <c r="L52" i="58" a="1"/>
  <c r="L52" i="58" s="1"/>
  <c r="H52" i="58"/>
  <c r="F52" i="58"/>
  <c r="M52" i="58" s="1" a="1"/>
  <c r="M52" i="58" s="1"/>
  <c r="L51" i="58" a="1"/>
  <c r="L51" i="58" s="1"/>
  <c r="H51" i="58"/>
  <c r="F51" i="58"/>
  <c r="M51" i="58" s="1" a="1"/>
  <c r="M51" i="58" s="1"/>
  <c r="L50" i="58" a="1"/>
  <c r="L50" i="58" s="1"/>
  <c r="H50" i="58"/>
  <c r="F50" i="58"/>
  <c r="M50" i="58" s="1" a="1"/>
  <c r="M50" i="58" s="1"/>
  <c r="L49" i="58" a="1"/>
  <c r="L49" i="58" s="1"/>
  <c r="H49" i="58"/>
  <c r="F49" i="58"/>
  <c r="M49" i="58" s="1" a="1"/>
  <c r="M49" i="58" s="1"/>
  <c r="L48" i="58" a="1"/>
  <c r="L48" i="58" s="1"/>
  <c r="H48" i="58"/>
  <c r="F48" i="58"/>
  <c r="M48" i="58" s="1" a="1"/>
  <c r="M48" i="58" s="1"/>
  <c r="L47" i="58" a="1"/>
  <c r="L47" i="58" s="1"/>
  <c r="H47" i="58"/>
  <c r="F47" i="58"/>
  <c r="M47" i="58" s="1" a="1"/>
  <c r="M47" i="58" s="1"/>
  <c r="L46" i="58" a="1"/>
  <c r="L46" i="58" s="1"/>
  <c r="H46" i="58"/>
  <c r="F46" i="58"/>
  <c r="M46" i="58" s="1" a="1"/>
  <c r="M46" i="58" s="1"/>
  <c r="L45" i="58" a="1"/>
  <c r="L45" i="58" s="1"/>
  <c r="H45" i="58"/>
  <c r="F45" i="58"/>
  <c r="M45" i="58" s="1" a="1"/>
  <c r="M45" i="58" s="1"/>
  <c r="L44" i="58" a="1"/>
  <c r="L44" i="58" s="1"/>
  <c r="H44" i="58"/>
  <c r="F44" i="58"/>
  <c r="M44" i="58" s="1" a="1"/>
  <c r="M44" i="58" s="1"/>
  <c r="L43" i="58" a="1"/>
  <c r="L43" i="58" s="1"/>
  <c r="H43" i="58"/>
  <c r="F43" i="58"/>
  <c r="M43" i="58" s="1" a="1"/>
  <c r="M43" i="58" s="1"/>
  <c r="L42" i="58" a="1"/>
  <c r="L42" i="58" s="1"/>
  <c r="H42" i="58"/>
  <c r="F42" i="58"/>
  <c r="M42" i="58" s="1" a="1"/>
  <c r="M42" i="58" s="1"/>
  <c r="L41" i="58" a="1"/>
  <c r="L41" i="58" s="1"/>
  <c r="H41" i="58"/>
  <c r="F41" i="58"/>
  <c r="M41" i="58" s="1" a="1"/>
  <c r="M41" i="58" s="1"/>
  <c r="L40" i="58" a="1"/>
  <c r="L40" i="58" s="1"/>
  <c r="H40" i="58"/>
  <c r="F40" i="58"/>
  <c r="M40" i="58" s="1" a="1"/>
  <c r="M40" i="58" s="1"/>
  <c r="L39" i="58" a="1"/>
  <c r="L39" i="58" s="1"/>
  <c r="H39" i="58"/>
  <c r="F39" i="58"/>
  <c r="M39" i="58" s="1" a="1"/>
  <c r="M39" i="58" s="1"/>
  <c r="L38" i="58" a="1"/>
  <c r="L38" i="58" s="1"/>
  <c r="H38" i="58"/>
  <c r="F38" i="58"/>
  <c r="M38" i="58" s="1" a="1"/>
  <c r="M38" i="58" s="1"/>
  <c r="L37" i="58" a="1"/>
  <c r="L37" i="58" s="1"/>
  <c r="H37" i="58"/>
  <c r="F37" i="58"/>
  <c r="M37" i="58" s="1" a="1"/>
  <c r="M37" i="58" s="1"/>
  <c r="L36" i="58" a="1"/>
  <c r="L36" i="58" s="1"/>
  <c r="H36" i="58"/>
  <c r="F36" i="58"/>
  <c r="M36" i="58" s="1" a="1"/>
  <c r="M36" i="58" s="1"/>
  <c r="L35" i="58" a="1"/>
  <c r="L35" i="58" s="1"/>
  <c r="H35" i="58"/>
  <c r="F35" i="58"/>
  <c r="M35" i="58" s="1" a="1"/>
  <c r="M35" i="58" s="1"/>
  <c r="L34" i="58" a="1"/>
  <c r="L34" i="58" s="1"/>
  <c r="H34" i="58"/>
  <c r="F34" i="58"/>
  <c r="M34" i="58" s="1" a="1"/>
  <c r="M34" i="58" s="1"/>
  <c r="L33" i="58" a="1"/>
  <c r="L33" i="58" s="1"/>
  <c r="H33" i="58"/>
  <c r="F33" i="58"/>
  <c r="M33" i="58" s="1" a="1"/>
  <c r="M33" i="58" s="1"/>
  <c r="L32" i="58" a="1"/>
  <c r="L32" i="58" s="1"/>
  <c r="H32" i="58"/>
  <c r="F32" i="58"/>
  <c r="M32" i="58" s="1" a="1"/>
  <c r="M32" i="58" s="1"/>
  <c r="L31" i="58" a="1"/>
  <c r="L31" i="58" s="1"/>
  <c r="H31" i="58"/>
  <c r="F31" i="58"/>
  <c r="M31" i="58" s="1" a="1"/>
  <c r="M31" i="58" s="1"/>
  <c r="L30" i="58" a="1"/>
  <c r="L30" i="58" s="1"/>
  <c r="H30" i="58"/>
  <c r="F30" i="58"/>
  <c r="M30" i="58" s="1" a="1"/>
  <c r="M30" i="58" s="1"/>
  <c r="L29" i="58" a="1"/>
  <c r="L29" i="58" s="1"/>
  <c r="H29" i="58"/>
  <c r="F29" i="58"/>
  <c r="M29" i="58" s="1" a="1"/>
  <c r="M29" i="58" s="1"/>
  <c r="L28" i="58" a="1"/>
  <c r="L28" i="58" s="1"/>
  <c r="H28" i="58"/>
  <c r="F28" i="58"/>
  <c r="M28" i="58" s="1" a="1"/>
  <c r="M28" i="58" s="1"/>
  <c r="L27" i="58" a="1"/>
  <c r="L27" i="58" s="1"/>
  <c r="H27" i="58"/>
  <c r="F27" i="58"/>
  <c r="M27" i="58" s="1" a="1"/>
  <c r="M27" i="58" s="1"/>
  <c r="L26" i="58" a="1"/>
  <c r="L26" i="58" s="1"/>
  <c r="H26" i="58"/>
  <c r="F26" i="58"/>
  <c r="M26" i="58" s="1" a="1"/>
  <c r="M26" i="58" s="1"/>
  <c r="L25" i="58" a="1"/>
  <c r="L25" i="58" s="1"/>
  <c r="H25" i="58"/>
  <c r="F25" i="58"/>
  <c r="M25" i="58" s="1" a="1"/>
  <c r="M25" i="58" s="1"/>
  <c r="L24" i="58" a="1"/>
  <c r="L24" i="58" s="1"/>
  <c r="H24" i="58"/>
  <c r="F24" i="58"/>
  <c r="M24" i="58" s="1" a="1"/>
  <c r="M24" i="58" s="1"/>
  <c r="L23" i="58" a="1"/>
  <c r="L23" i="58" s="1"/>
  <c r="H23" i="58"/>
  <c r="F23" i="58"/>
  <c r="M23" i="58" s="1" a="1"/>
  <c r="M23" i="58" s="1"/>
  <c r="L22" i="58" a="1"/>
  <c r="L22" i="58" s="1"/>
  <c r="H22" i="58"/>
  <c r="F22" i="58"/>
  <c r="M22" i="58" s="1" a="1"/>
  <c r="M22" i="58" s="1"/>
  <c r="L21" i="58" a="1"/>
  <c r="L21" i="58" s="1"/>
  <c r="H21" i="58"/>
  <c r="F21" i="58"/>
  <c r="M21" i="58" s="1" a="1"/>
  <c r="M21" i="58" s="1"/>
  <c r="L20" i="58" a="1"/>
  <c r="L20" i="58" s="1"/>
  <c r="H20" i="58"/>
  <c r="F20" i="58"/>
  <c r="M20" i="58" s="1" a="1"/>
  <c r="M20" i="58" s="1"/>
  <c r="L19" i="58" a="1"/>
  <c r="L19" i="58" s="1"/>
  <c r="H19" i="58"/>
  <c r="F19" i="58"/>
  <c r="M19" i="58" s="1" a="1"/>
  <c r="M19" i="58" s="1"/>
  <c r="L18" i="58" a="1"/>
  <c r="L18" i="58" s="1"/>
  <c r="H18" i="58"/>
  <c r="F18" i="58"/>
  <c r="M18" i="58" s="1" a="1"/>
  <c r="M18" i="58" s="1"/>
  <c r="L17" i="58" a="1"/>
  <c r="L17" i="58" s="1"/>
  <c r="H17" i="58"/>
  <c r="F17" i="58"/>
  <c r="M17" i="58" s="1" a="1"/>
  <c r="M17" i="58" s="1"/>
  <c r="L16" i="58" a="1"/>
  <c r="L16" i="58" s="1"/>
  <c r="H16" i="58"/>
  <c r="F16" i="58"/>
  <c r="M16" i="58" s="1" a="1"/>
  <c r="M16" i="58" s="1"/>
  <c r="L15" i="58" a="1"/>
  <c r="L15" i="58" s="1"/>
  <c r="H15" i="58"/>
  <c r="F15" i="58"/>
  <c r="M15" i="58" s="1" a="1"/>
  <c r="M15" i="58" s="1"/>
  <c r="L14" i="58" a="1"/>
  <c r="L14" i="58" s="1"/>
  <c r="H14" i="58"/>
  <c r="F14" i="58"/>
  <c r="M14" i="58" s="1" a="1"/>
  <c r="M14" i="58" s="1"/>
  <c r="L13" i="58" a="1"/>
  <c r="L13" i="58" s="1"/>
  <c r="H13" i="58"/>
  <c r="F13" i="58"/>
  <c r="M13" i="58" s="1" a="1"/>
  <c r="M13" i="58" s="1"/>
  <c r="L12" i="58" a="1"/>
  <c r="L12" i="58" s="1"/>
  <c r="H12" i="58"/>
  <c r="F12" i="58"/>
  <c r="M12" i="58" s="1" a="1"/>
  <c r="M12" i="58" s="1"/>
  <c r="L11" i="58" a="1"/>
  <c r="L11" i="58" s="1"/>
  <c r="H11" i="58"/>
  <c r="F11" i="58"/>
  <c r="M11" i="58" s="1" a="1"/>
  <c r="M11" i="58" s="1"/>
  <c r="L10" i="58" a="1"/>
  <c r="L10" i="58" s="1"/>
  <c r="H10" i="58"/>
  <c r="F10" i="58"/>
  <c r="M10" i="58" s="1" a="1"/>
  <c r="M10" i="58" s="1"/>
  <c r="L9" i="58" a="1"/>
  <c r="L9" i="58" s="1"/>
  <c r="H9" i="58"/>
  <c r="F9" i="58"/>
  <c r="M9" i="58" s="1" a="1"/>
  <c r="M9" i="58" s="1"/>
  <c r="L8" i="58" a="1"/>
  <c r="L8" i="58" s="1"/>
  <c r="H8" i="58"/>
  <c r="F8" i="58"/>
  <c r="M8" i="58" s="1" a="1"/>
  <c r="M8" i="58" s="1"/>
  <c r="L7" i="58" a="1"/>
  <c r="L7" i="58" s="1"/>
  <c r="H7" i="58"/>
  <c r="F7" i="58"/>
  <c r="M7" i="58" s="1" a="1"/>
  <c r="M7" i="58" s="1"/>
  <c r="L6" i="58" a="1"/>
  <c r="L6" i="58" s="1"/>
  <c r="H6" i="58"/>
  <c r="F6" i="58"/>
  <c r="M6" i="58" s="1" a="1"/>
  <c r="M6" i="58" s="1"/>
  <c r="L5" i="58" a="1"/>
  <c r="L5" i="58" s="1"/>
  <c r="L4" i="58" a="1"/>
  <c r="L4" i="58" s="1"/>
  <c r="H5" i="58"/>
  <c r="F5" i="58"/>
  <c r="M5" i="58" s="1" a="1"/>
  <c r="M5" i="58" s="1"/>
  <c r="H4" i="58"/>
  <c r="M4" i="58" a="1"/>
  <c r="M4" i="58" s="1"/>
  <c r="AM119" i="83" l="1"/>
  <c r="AM148" i="83"/>
  <c r="AM236" i="83"/>
  <c r="AM70" i="83"/>
  <c r="AM106" i="83"/>
  <c r="AM289" i="48"/>
  <c r="AM48" i="83"/>
  <c r="AM95" i="83"/>
  <c r="AM287" i="83"/>
  <c r="AM158" i="83"/>
  <c r="AM109" i="83"/>
  <c r="AM237" i="48"/>
  <c r="AM194" i="83"/>
  <c r="AM345" i="83"/>
  <c r="AM311" i="48"/>
  <c r="AM201" i="48"/>
  <c r="AM66" i="83"/>
  <c r="AM147" i="48"/>
  <c r="AM201" i="83"/>
  <c r="AM204" i="83"/>
  <c r="AM346" i="83"/>
  <c r="AE232" i="83"/>
  <c r="AM189" i="83"/>
  <c r="AM138" i="83"/>
  <c r="AJ125" i="83"/>
  <c r="AK125" i="83" s="1"/>
  <c r="AM282" i="83"/>
  <c r="AJ269" i="83"/>
  <c r="AK269" i="83" s="1"/>
  <c r="AM155" i="83"/>
  <c r="AM154" i="83"/>
  <c r="AG221" i="83"/>
  <c r="AH221" i="83" s="1"/>
  <c r="AH232" i="83"/>
  <c r="AM297" i="83"/>
  <c r="AM62" i="83"/>
  <c r="AG316" i="83"/>
  <c r="AH328" i="83"/>
  <c r="AM254" i="83"/>
  <c r="AM118" i="83"/>
  <c r="AE172" i="83"/>
  <c r="AD174" i="83"/>
  <c r="AD126" i="83"/>
  <c r="AE124" i="83"/>
  <c r="AG124" i="83"/>
  <c r="AE269" i="83"/>
  <c r="AK98" i="83"/>
  <c r="AM98" i="83" s="1"/>
  <c r="AK43" i="83"/>
  <c r="AG28" i="83"/>
  <c r="AH40" i="83"/>
  <c r="AG29" i="83"/>
  <c r="AH29" i="83" s="1"/>
  <c r="AM209" i="48"/>
  <c r="AM205" i="83"/>
  <c r="AM294" i="83"/>
  <c r="AM349" i="83"/>
  <c r="AM200" i="83"/>
  <c r="V126" i="83"/>
  <c r="W124" i="83"/>
  <c r="AM116" i="83"/>
  <c r="AK44" i="83"/>
  <c r="AM44" i="83" s="1"/>
  <c r="AE29" i="83"/>
  <c r="V318" i="83"/>
  <c r="W316" i="83"/>
  <c r="AK159" i="83"/>
  <c r="AM159" i="83" s="1"/>
  <c r="AM261" i="48"/>
  <c r="AE173" i="83"/>
  <c r="AM252" i="83"/>
  <c r="V270" i="83"/>
  <c r="W268" i="83"/>
  <c r="AM46" i="83"/>
  <c r="AM54" i="83"/>
  <c r="AH280" i="83"/>
  <c r="AG269" i="83"/>
  <c r="AH269" i="83" s="1"/>
  <c r="AE328" i="83"/>
  <c r="AM68" i="83"/>
  <c r="AK186" i="83"/>
  <c r="AG173" i="83"/>
  <c r="AH173" i="83" s="1"/>
  <c r="AH184" i="83"/>
  <c r="AE76" i="83"/>
  <c r="AG268" i="83"/>
  <c r="AJ172" i="83"/>
  <c r="AM202" i="83"/>
  <c r="AK99" i="83"/>
  <c r="AM99" i="83" s="1"/>
  <c r="AK235" i="83"/>
  <c r="AK232" i="83" s="1"/>
  <c r="AG220" i="83"/>
  <c r="AE268" i="83"/>
  <c r="AD270" i="83"/>
  <c r="AM234" i="83"/>
  <c r="AM334" i="83"/>
  <c r="AM248" i="83"/>
  <c r="AM97" i="83"/>
  <c r="AE136" i="83"/>
  <c r="AG172" i="83"/>
  <c r="AK293" i="83"/>
  <c r="AM293" i="83" s="1"/>
  <c r="AE280" i="83"/>
  <c r="AM113" i="83"/>
  <c r="AK167" i="83"/>
  <c r="AM167" i="83" s="1"/>
  <c r="AE184" i="83"/>
  <c r="AM206" i="83"/>
  <c r="AE221" i="83"/>
  <c r="AM208" i="83"/>
  <c r="AH136" i="83"/>
  <c r="AG125" i="83"/>
  <c r="AH125" i="83" s="1"/>
  <c r="V174" i="83"/>
  <c r="W172" i="83"/>
  <c r="AK42" i="83"/>
  <c r="AM60" i="83"/>
  <c r="AE220" i="83"/>
  <c r="AD222" i="83"/>
  <c r="W220" i="83"/>
  <c r="V222" i="83"/>
  <c r="AE125" i="83"/>
  <c r="AK91" i="83"/>
  <c r="AG76" i="83"/>
  <c r="AH76" i="83" s="1"/>
  <c r="AJ221" i="83"/>
  <c r="AK221" i="83" s="1"/>
  <c r="AM291" i="83"/>
  <c r="AK139" i="83"/>
  <c r="AM309" i="83"/>
  <c r="AE316" i="83"/>
  <c r="AD318" i="83"/>
  <c r="V30" i="83"/>
  <c r="W28" i="83"/>
  <c r="AE40" i="83"/>
  <c r="AK330" i="83"/>
  <c r="AM330" i="83" s="1"/>
  <c r="AE28" i="83"/>
  <c r="AD30" i="83"/>
  <c r="AM342" i="48"/>
  <c r="AM163" i="48"/>
  <c r="AM312" i="48"/>
  <c r="AM297" i="48"/>
  <c r="AM265" i="48"/>
  <c r="AM162" i="48"/>
  <c r="AG77" i="48"/>
  <c r="AH77" i="48" s="1"/>
  <c r="AM90" i="48"/>
  <c r="AJ77" i="48"/>
  <c r="AK77" i="48" s="1"/>
  <c r="AM93" i="48"/>
  <c r="AM104" i="48"/>
  <c r="AM154" i="48"/>
  <c r="AM304" i="48"/>
  <c r="AM196" i="48"/>
  <c r="AM303" i="48"/>
  <c r="AM240" i="48"/>
  <c r="AM242" i="48"/>
  <c r="AM300" i="48"/>
  <c r="AM200" i="48"/>
  <c r="AM243" i="48"/>
  <c r="AK294" i="48"/>
  <c r="AM294" i="48" s="1"/>
  <c r="AM160" i="48"/>
  <c r="AM164" i="48"/>
  <c r="AE138" i="48"/>
  <c r="AE222" i="48"/>
  <c r="AD224" i="48"/>
  <c r="W76" i="48"/>
  <c r="V78" i="48"/>
  <c r="W126" i="48"/>
  <c r="V128" i="48"/>
  <c r="AM352" i="48"/>
  <c r="AM290" i="48"/>
  <c r="AE126" i="48"/>
  <c r="AD128" i="48"/>
  <c r="AE330" i="48"/>
  <c r="AM253" i="48"/>
  <c r="AM206" i="48"/>
  <c r="V176" i="48"/>
  <c r="W174" i="48"/>
  <c r="AM142" i="48"/>
  <c r="AM92" i="48"/>
  <c r="AH234" i="48"/>
  <c r="AG222" i="48"/>
  <c r="AE318" i="48"/>
  <c r="AD320" i="48"/>
  <c r="AK332" i="48"/>
  <c r="AM332" i="48" s="1"/>
  <c r="AG318" i="48"/>
  <c r="AH330" i="48"/>
  <c r="AE186" i="48"/>
  <c r="W318" i="48"/>
  <c r="V320" i="48"/>
  <c r="AK188" i="48"/>
  <c r="AM188" i="48" s="1"/>
  <c r="AH186" i="48"/>
  <c r="AG174" i="48"/>
  <c r="AK91" i="48"/>
  <c r="AG76" i="48"/>
  <c r="AH88" i="48"/>
  <c r="AM141" i="48"/>
  <c r="W222" i="48"/>
  <c r="V224" i="48"/>
  <c r="AE174" i="48"/>
  <c r="AD176" i="48"/>
  <c r="AM155" i="48"/>
  <c r="W270" i="48"/>
  <c r="V272" i="48"/>
  <c r="AM205" i="48"/>
  <c r="AM116" i="48"/>
  <c r="AM168" i="48"/>
  <c r="AK284" i="48"/>
  <c r="AG270" i="48"/>
  <c r="AH282" i="48"/>
  <c r="AE234" i="48"/>
  <c r="AM340" i="48"/>
  <c r="AM150" i="48"/>
  <c r="AK236" i="48"/>
  <c r="AM250" i="48"/>
  <c r="AE270" i="48"/>
  <c r="AD272" i="48"/>
  <c r="AE282" i="48"/>
  <c r="AM361" i="48"/>
  <c r="AK140" i="48"/>
  <c r="AG126" i="48"/>
  <c r="AH138" i="48"/>
  <c r="AM339" i="48"/>
  <c r="T8" i="58"/>
  <c r="O8" i="58"/>
  <c r="T16" i="58"/>
  <c r="O16" i="58"/>
  <c r="O56" i="58"/>
  <c r="T56" i="58"/>
  <c r="T64" i="58"/>
  <c r="O64" i="58"/>
  <c r="T72" i="58"/>
  <c r="O72" i="58"/>
  <c r="O96" i="58"/>
  <c r="T96" i="58"/>
  <c r="O104" i="58"/>
  <c r="T104" i="58"/>
  <c r="T112" i="58"/>
  <c r="O112" i="58"/>
  <c r="O168" i="58"/>
  <c r="T168" i="58"/>
  <c r="T176" i="58"/>
  <c r="O176" i="58"/>
  <c r="T27" i="58"/>
  <c r="O27" i="58"/>
  <c r="T99" i="58"/>
  <c r="O99" i="58"/>
  <c r="T123" i="58"/>
  <c r="O123" i="58"/>
  <c r="T147" i="58"/>
  <c r="O147" i="58"/>
  <c r="T163" i="58"/>
  <c r="O163" i="58"/>
  <c r="T179" i="58"/>
  <c r="O179" i="58"/>
  <c r="T187" i="58"/>
  <c r="O187" i="58"/>
  <c r="T195" i="58"/>
  <c r="O195" i="58"/>
  <c r="T203" i="58"/>
  <c r="O203" i="58"/>
  <c r="O38" i="58"/>
  <c r="T38" i="58"/>
  <c r="O46" i="58"/>
  <c r="T46" i="58"/>
  <c r="O54" i="58"/>
  <c r="T54" i="58"/>
  <c r="O118" i="58"/>
  <c r="T118" i="58"/>
  <c r="O126" i="58"/>
  <c r="T126" i="58"/>
  <c r="O142" i="58"/>
  <c r="T142" i="58"/>
  <c r="O150" i="58"/>
  <c r="T150" i="58"/>
  <c r="O158" i="58"/>
  <c r="T158" i="58"/>
  <c r="O166" i="58"/>
  <c r="T166" i="58"/>
  <c r="O182" i="58"/>
  <c r="T182" i="58"/>
  <c r="O190" i="58"/>
  <c r="T190" i="58"/>
  <c r="O198" i="58"/>
  <c r="T198" i="58"/>
  <c r="T9" i="58"/>
  <c r="O9" i="58"/>
  <c r="T33" i="58"/>
  <c r="O33" i="58"/>
  <c r="T73" i="58"/>
  <c r="O73" i="58"/>
  <c r="T81" i="58"/>
  <c r="O81" i="58"/>
  <c r="T121" i="58"/>
  <c r="O121" i="58"/>
  <c r="T129" i="58"/>
  <c r="O129" i="58"/>
  <c r="T153" i="58"/>
  <c r="O153" i="58"/>
  <c r="T12" i="58"/>
  <c r="O12" i="58"/>
  <c r="O28" i="58"/>
  <c r="T28" i="58"/>
  <c r="O44" i="58"/>
  <c r="T44" i="58"/>
  <c r="O60" i="58"/>
  <c r="T60" i="58"/>
  <c r="T76" i="58"/>
  <c r="O76" i="58"/>
  <c r="O84" i="58"/>
  <c r="T84" i="58"/>
  <c r="O100" i="58"/>
  <c r="T100" i="58"/>
  <c r="O124" i="58"/>
  <c r="T124" i="58"/>
  <c r="T5" i="58"/>
  <c r="O5" i="58"/>
  <c r="T10" i="58"/>
  <c r="O10" i="58"/>
  <c r="T18" i="58"/>
  <c r="O18" i="58"/>
  <c r="T26" i="58"/>
  <c r="O26" i="58"/>
  <c r="T34" i="58"/>
  <c r="O34" i="58"/>
  <c r="T42" i="58"/>
  <c r="O42" i="58"/>
  <c r="T50" i="58"/>
  <c r="O50" i="58"/>
  <c r="T58" i="58"/>
  <c r="O58" i="58"/>
  <c r="T66" i="58"/>
  <c r="O66" i="58"/>
  <c r="T74" i="58"/>
  <c r="O74" i="58"/>
  <c r="T82" i="58"/>
  <c r="O82" i="58"/>
  <c r="T90" i="58"/>
  <c r="O90" i="58"/>
  <c r="T98" i="58"/>
  <c r="O98" i="58"/>
  <c r="T106" i="58"/>
  <c r="O106" i="58"/>
  <c r="T114" i="58"/>
  <c r="O114" i="58"/>
  <c r="T122" i="58"/>
  <c r="O122" i="58"/>
  <c r="T130" i="58"/>
  <c r="O130" i="58"/>
  <c r="T138" i="58"/>
  <c r="O138" i="58"/>
  <c r="T146" i="58"/>
  <c r="O146" i="58"/>
  <c r="T154" i="58"/>
  <c r="O154" i="58"/>
  <c r="T162" i="58"/>
  <c r="O162" i="58"/>
  <c r="T170" i="58"/>
  <c r="O170" i="58"/>
  <c r="T178" i="58"/>
  <c r="O178" i="58"/>
  <c r="T186" i="58"/>
  <c r="O186" i="58"/>
  <c r="T194" i="58"/>
  <c r="O194" i="58"/>
  <c r="T202" i="58"/>
  <c r="O202" i="58"/>
  <c r="T24" i="58"/>
  <c r="O24" i="58"/>
  <c r="O48" i="58"/>
  <c r="T48" i="58"/>
  <c r="T120" i="58"/>
  <c r="O120" i="58"/>
  <c r="T128" i="58"/>
  <c r="O128" i="58"/>
  <c r="T136" i="58"/>
  <c r="O136" i="58"/>
  <c r="O192" i="58"/>
  <c r="T192" i="58"/>
  <c r="T200" i="58"/>
  <c r="O200" i="58"/>
  <c r="T19" i="58"/>
  <c r="O19" i="58"/>
  <c r="T59" i="58"/>
  <c r="O59" i="58"/>
  <c r="T67" i="58"/>
  <c r="O67" i="58"/>
  <c r="T107" i="58"/>
  <c r="O107" i="58"/>
  <c r="T131" i="58"/>
  <c r="O131" i="58"/>
  <c r="T155" i="58"/>
  <c r="O155" i="58"/>
  <c r="O14" i="58"/>
  <c r="T14" i="58"/>
  <c r="O22" i="58"/>
  <c r="T22" i="58"/>
  <c r="O30" i="58"/>
  <c r="T30" i="58"/>
  <c r="O70" i="58"/>
  <c r="T70" i="58"/>
  <c r="O78" i="58"/>
  <c r="T78" i="58"/>
  <c r="T41" i="58"/>
  <c r="O41" i="58"/>
  <c r="T97" i="58"/>
  <c r="O97" i="58"/>
  <c r="T105" i="58"/>
  <c r="O105" i="58"/>
  <c r="T113" i="58"/>
  <c r="O113" i="58"/>
  <c r="T137" i="58"/>
  <c r="O137" i="58"/>
  <c r="T161" i="58"/>
  <c r="O161" i="58"/>
  <c r="T177" i="58"/>
  <c r="O177" i="58"/>
  <c r="T185" i="58"/>
  <c r="O185" i="58"/>
  <c r="T13" i="58"/>
  <c r="O13" i="58"/>
  <c r="O21" i="58"/>
  <c r="T21" i="58"/>
  <c r="T29" i="58"/>
  <c r="O29" i="58"/>
  <c r="T37" i="58"/>
  <c r="O37" i="58"/>
  <c r="T45" i="58"/>
  <c r="O45" i="58"/>
  <c r="T53" i="58"/>
  <c r="O53" i="58"/>
  <c r="T61" i="58"/>
  <c r="O61" i="58"/>
  <c r="T69" i="58"/>
  <c r="O69" i="58"/>
  <c r="T77" i="58"/>
  <c r="O77" i="58"/>
  <c r="T85" i="58"/>
  <c r="O85" i="58"/>
  <c r="T93" i="58"/>
  <c r="O93" i="58"/>
  <c r="O101" i="58"/>
  <c r="T101" i="58"/>
  <c r="T109" i="58"/>
  <c r="O109" i="58"/>
  <c r="T117" i="58"/>
  <c r="O117" i="58"/>
  <c r="T125" i="58"/>
  <c r="O125" i="58"/>
  <c r="T133" i="58"/>
  <c r="O133" i="58"/>
  <c r="T141" i="58"/>
  <c r="O141" i="58"/>
  <c r="O149" i="58"/>
  <c r="T149" i="58"/>
  <c r="T157" i="58"/>
  <c r="O157" i="58"/>
  <c r="T165" i="58"/>
  <c r="O165" i="58"/>
  <c r="O173" i="58"/>
  <c r="T173" i="58"/>
  <c r="T181" i="58"/>
  <c r="O181" i="58"/>
  <c r="O189" i="58"/>
  <c r="T189" i="58"/>
  <c r="O197" i="58"/>
  <c r="T197" i="58"/>
  <c r="T32" i="58"/>
  <c r="O32" i="58"/>
  <c r="T40" i="58"/>
  <c r="O40" i="58"/>
  <c r="O80" i="58"/>
  <c r="T80" i="58"/>
  <c r="T88" i="58"/>
  <c r="O88" i="58"/>
  <c r="O144" i="58"/>
  <c r="T144" i="58"/>
  <c r="T152" i="58"/>
  <c r="O152" i="58"/>
  <c r="O160" i="58"/>
  <c r="T160" i="58"/>
  <c r="O184" i="58"/>
  <c r="T184" i="58"/>
  <c r="O6" i="58"/>
  <c r="T6" i="58"/>
  <c r="O62" i="58"/>
  <c r="T62" i="58"/>
  <c r="O86" i="58"/>
  <c r="T86" i="58"/>
  <c r="O94" i="58"/>
  <c r="T94" i="58"/>
  <c r="O102" i="58"/>
  <c r="T102" i="58"/>
  <c r="O110" i="58"/>
  <c r="T110" i="58"/>
  <c r="O134" i="58"/>
  <c r="T134" i="58"/>
  <c r="O174" i="58"/>
  <c r="T174" i="58"/>
  <c r="T11" i="58"/>
  <c r="O11" i="58"/>
  <c r="T35" i="58"/>
  <c r="O35" i="58"/>
  <c r="T43" i="58"/>
  <c r="O43" i="58"/>
  <c r="T51" i="58"/>
  <c r="O51" i="58"/>
  <c r="T75" i="58"/>
  <c r="O75" i="58"/>
  <c r="T83" i="58"/>
  <c r="O83" i="58"/>
  <c r="T91" i="58"/>
  <c r="O91" i="58"/>
  <c r="T115" i="58"/>
  <c r="O115" i="58"/>
  <c r="T139" i="58"/>
  <c r="O139" i="58"/>
  <c r="T171" i="58"/>
  <c r="O171" i="58"/>
  <c r="T17" i="58"/>
  <c r="O17" i="58"/>
  <c r="T25" i="58"/>
  <c r="O25" i="58"/>
  <c r="T49" i="58"/>
  <c r="O49" i="58"/>
  <c r="T57" i="58"/>
  <c r="O57" i="58"/>
  <c r="T65" i="58"/>
  <c r="O65" i="58"/>
  <c r="T89" i="58"/>
  <c r="O89" i="58"/>
  <c r="T145" i="58"/>
  <c r="O145" i="58"/>
  <c r="T169" i="58"/>
  <c r="O169" i="58"/>
  <c r="T193" i="58"/>
  <c r="O193" i="58"/>
  <c r="T201" i="58"/>
  <c r="O201" i="58"/>
  <c r="T4" i="58"/>
  <c r="O4" i="58"/>
  <c r="O20" i="58"/>
  <c r="T20" i="58"/>
  <c r="T36" i="58"/>
  <c r="O36" i="58"/>
  <c r="T52" i="58"/>
  <c r="O52" i="58"/>
  <c r="O68" i="58"/>
  <c r="T68" i="58"/>
  <c r="T92" i="58"/>
  <c r="O92" i="58"/>
  <c r="T108" i="58"/>
  <c r="O108" i="58"/>
  <c r="O116" i="58"/>
  <c r="T116" i="58"/>
  <c r="T132" i="58"/>
  <c r="O132" i="58"/>
  <c r="O140" i="58"/>
  <c r="T140" i="58"/>
  <c r="T148" i="58"/>
  <c r="O148" i="58"/>
  <c r="O156" i="58"/>
  <c r="T156" i="58"/>
  <c r="T164" i="58"/>
  <c r="O164" i="58"/>
  <c r="O172" i="58"/>
  <c r="T172" i="58"/>
  <c r="O180" i="58"/>
  <c r="T180" i="58"/>
  <c r="T188" i="58"/>
  <c r="O188" i="58"/>
  <c r="O196" i="58"/>
  <c r="T196" i="58"/>
  <c r="O7" i="58"/>
  <c r="T7" i="58"/>
  <c r="O15" i="58"/>
  <c r="T15" i="58"/>
  <c r="O23" i="58"/>
  <c r="T23" i="58"/>
  <c r="O31" i="58"/>
  <c r="T31" i="58"/>
  <c r="O39" i="58"/>
  <c r="T39" i="58"/>
  <c r="O47" i="58"/>
  <c r="T47" i="58"/>
  <c r="O55" i="58"/>
  <c r="T55" i="58"/>
  <c r="O63" i="58"/>
  <c r="T63" i="58"/>
  <c r="O71" i="58"/>
  <c r="T71" i="58"/>
  <c r="O79" i="58"/>
  <c r="T79" i="58"/>
  <c r="O87" i="58"/>
  <c r="T87" i="58"/>
  <c r="O95" i="58"/>
  <c r="T95" i="58"/>
  <c r="O103" i="58"/>
  <c r="T103" i="58"/>
  <c r="O111" i="58"/>
  <c r="T111" i="58"/>
  <c r="O119" i="58"/>
  <c r="T119" i="58"/>
  <c r="O127" i="58"/>
  <c r="T127" i="58"/>
  <c r="O135" i="58"/>
  <c r="T135" i="58"/>
  <c r="O143" i="58"/>
  <c r="T143" i="58"/>
  <c r="O151" i="58"/>
  <c r="T151" i="58"/>
  <c r="O159" i="58"/>
  <c r="T159" i="58"/>
  <c r="O167" i="58"/>
  <c r="T167" i="58"/>
  <c r="O175" i="58"/>
  <c r="T175" i="58"/>
  <c r="O183" i="58"/>
  <c r="T183" i="58"/>
  <c r="O191" i="58"/>
  <c r="T191" i="58"/>
  <c r="O199" i="58"/>
  <c r="T199" i="58"/>
  <c r="N149" i="58"/>
  <c r="S149" i="58" s="1"/>
  <c r="N189" i="58"/>
  <c r="S189" i="58" s="1"/>
  <c r="N199" i="58"/>
  <c r="S199" i="58" s="1"/>
  <c r="N37" i="58"/>
  <c r="S37" i="58" s="1"/>
  <c r="N114" i="58"/>
  <c r="S114" i="58" s="1"/>
  <c r="N162" i="58"/>
  <c r="S162" i="58" s="1"/>
  <c r="N157" i="58"/>
  <c r="S157" i="58" s="1"/>
  <c r="N136" i="58"/>
  <c r="S136" i="58" s="1"/>
  <c r="N144" i="58"/>
  <c r="S144" i="58" s="1"/>
  <c r="N18" i="58"/>
  <c r="S18" i="58" s="1"/>
  <c r="N191" i="58"/>
  <c r="S191" i="58" s="1"/>
  <c r="N25" i="58"/>
  <c r="S25" i="58" s="1"/>
  <c r="N7" i="58"/>
  <c r="S7" i="58" s="1"/>
  <c r="N33" i="58"/>
  <c r="S33" i="58" s="1"/>
  <c r="N158" i="58"/>
  <c r="S158" i="58" s="1"/>
  <c r="N174" i="58"/>
  <c r="S174" i="58" s="1"/>
  <c r="N91" i="58"/>
  <c r="S91" i="58" s="1"/>
  <c r="N119" i="58"/>
  <c r="S119" i="58" s="1"/>
  <c r="N140" i="58"/>
  <c r="S140" i="58" s="1"/>
  <c r="N36" i="58"/>
  <c r="S36" i="58" s="1"/>
  <c r="N102" i="58"/>
  <c r="S102" i="58" s="1"/>
  <c r="N84" i="58"/>
  <c r="S84" i="58" s="1"/>
  <c r="N111" i="58"/>
  <c r="S111" i="58" s="1"/>
  <c r="N9" i="58"/>
  <c r="S9" i="58" s="1"/>
  <c r="N89" i="58"/>
  <c r="S89" i="58" s="1"/>
  <c r="N24" i="58"/>
  <c r="S24" i="58" s="1"/>
  <c r="N12" i="58"/>
  <c r="S12" i="58" s="1"/>
  <c r="N146" i="58"/>
  <c r="S146" i="58" s="1"/>
  <c r="N200" i="58"/>
  <c r="S200" i="58" s="1"/>
  <c r="N109" i="58"/>
  <c r="S109" i="58" s="1"/>
  <c r="N107" i="58"/>
  <c r="S107" i="58" s="1"/>
  <c r="N16" i="58"/>
  <c r="S16" i="58" s="1"/>
  <c r="N23" i="58"/>
  <c r="S23" i="58" s="1"/>
  <c r="N82" i="58"/>
  <c r="S82" i="58" s="1"/>
  <c r="N112" i="58"/>
  <c r="S112" i="58" s="1"/>
  <c r="N178" i="58"/>
  <c r="S178" i="58" s="1"/>
  <c r="N196" i="58"/>
  <c r="S196" i="58" s="1"/>
  <c r="N14" i="58"/>
  <c r="S14" i="58" s="1"/>
  <c r="N21" i="58"/>
  <c r="S21" i="58" s="1"/>
  <c r="N80" i="58"/>
  <c r="S80" i="58" s="1"/>
  <c r="N121" i="58"/>
  <c r="S121" i="58" s="1"/>
  <c r="N133" i="58"/>
  <c r="S133" i="58" s="1"/>
  <c r="N138" i="58"/>
  <c r="S138" i="58" s="1"/>
  <c r="N74" i="58"/>
  <c r="S74" i="58" s="1"/>
  <c r="N128" i="58"/>
  <c r="S128" i="58" s="1"/>
  <c r="N22" i="58"/>
  <c r="S22" i="58" s="1"/>
  <c r="N10" i="58"/>
  <c r="S10" i="58" s="1"/>
  <c r="N81" i="58"/>
  <c r="S81" i="58" s="1"/>
  <c r="N92" i="58"/>
  <c r="S92" i="58" s="1"/>
  <c r="N101" i="58"/>
  <c r="S101" i="58" s="1"/>
  <c r="N160" i="58"/>
  <c r="S160" i="58" s="1"/>
  <c r="N195" i="58"/>
  <c r="S195" i="58" s="1"/>
  <c r="N8" i="58"/>
  <c r="S8" i="58" s="1"/>
  <c r="N20" i="58"/>
  <c r="S20" i="58" s="1"/>
  <c r="N67" i="58"/>
  <c r="S67" i="58" s="1"/>
  <c r="N69" i="58"/>
  <c r="S69" i="58" s="1"/>
  <c r="N71" i="58"/>
  <c r="S71" i="58" s="1"/>
  <c r="N145" i="58"/>
  <c r="S145" i="58" s="1"/>
  <c r="N77" i="58"/>
  <c r="S77" i="58" s="1"/>
  <c r="N85" i="58"/>
  <c r="S85" i="58" s="1"/>
  <c r="N153" i="58"/>
  <c r="S153" i="58" s="1"/>
  <c r="N105" i="58"/>
  <c r="S105" i="58" s="1"/>
  <c r="N79" i="58"/>
  <c r="S79" i="58" s="1"/>
  <c r="N47" i="58"/>
  <c r="S47" i="58" s="1"/>
  <c r="N98" i="58"/>
  <c r="S98" i="58" s="1"/>
  <c r="N134" i="58"/>
  <c r="S134" i="58" s="1"/>
  <c r="N11" i="58"/>
  <c r="S11" i="58" s="1"/>
  <c r="N38" i="58"/>
  <c r="S38" i="58" s="1"/>
  <c r="N76" i="58"/>
  <c r="S76" i="58" s="1"/>
  <c r="N148" i="58"/>
  <c r="S148" i="58" s="1"/>
  <c r="N155" i="58"/>
  <c r="S155" i="58" s="1"/>
  <c r="N164" i="58"/>
  <c r="S164" i="58" s="1"/>
  <c r="N171" i="58"/>
  <c r="S171" i="58" s="1"/>
  <c r="N172" i="58"/>
  <c r="S172" i="58" s="1"/>
  <c r="N183" i="58"/>
  <c r="S183" i="58" s="1"/>
  <c r="N28" i="58"/>
  <c r="S28" i="58" s="1"/>
  <c r="N51" i="58"/>
  <c r="S51" i="58" s="1"/>
  <c r="N53" i="58"/>
  <c r="S53" i="58" s="1"/>
  <c r="N55" i="58"/>
  <c r="S55" i="58" s="1"/>
  <c r="N57" i="58"/>
  <c r="S57" i="58" s="1"/>
  <c r="N59" i="58"/>
  <c r="S59" i="58" s="1"/>
  <c r="N61" i="58"/>
  <c r="S61" i="58" s="1"/>
  <c r="N63" i="58"/>
  <c r="S63" i="58" s="1"/>
  <c r="N65" i="58"/>
  <c r="S65" i="58" s="1"/>
  <c r="N103" i="58"/>
  <c r="S103" i="58" s="1"/>
  <c r="N129" i="58"/>
  <c r="S129" i="58" s="1"/>
  <c r="N169" i="58"/>
  <c r="S169" i="58" s="1"/>
  <c r="N173" i="58"/>
  <c r="S173" i="58" s="1"/>
  <c r="N182" i="58"/>
  <c r="S182" i="58" s="1"/>
  <c r="N184" i="58"/>
  <c r="S184" i="58" s="1"/>
  <c r="N194" i="58"/>
  <c r="S194" i="58" s="1"/>
  <c r="N44" i="58"/>
  <c r="S44" i="58" s="1"/>
  <c r="N73" i="58"/>
  <c r="S73" i="58" s="1"/>
  <c r="N99" i="58"/>
  <c r="S99" i="58" s="1"/>
  <c r="N108" i="58"/>
  <c r="S108" i="58" s="1"/>
  <c r="N115" i="58"/>
  <c r="S115" i="58" s="1"/>
  <c r="N151" i="58"/>
  <c r="S151" i="58" s="1"/>
  <c r="N180" i="58"/>
  <c r="S180" i="58" s="1"/>
  <c r="N27" i="58"/>
  <c r="S27" i="58" s="1"/>
  <c r="N34" i="58"/>
  <c r="S34" i="58" s="1"/>
  <c r="N40" i="58"/>
  <c r="S40" i="58" s="1"/>
  <c r="N43" i="58"/>
  <c r="S43" i="58" s="1"/>
  <c r="N45" i="58"/>
  <c r="S45" i="58" s="1"/>
  <c r="N83" i="58"/>
  <c r="S83" i="58" s="1"/>
  <c r="N93" i="58"/>
  <c r="S93" i="58" s="1"/>
  <c r="N100" i="58"/>
  <c r="S100" i="58" s="1"/>
  <c r="N116" i="58"/>
  <c r="S116" i="58" s="1"/>
  <c r="N125" i="58"/>
  <c r="S125" i="58" s="1"/>
  <c r="N132" i="58"/>
  <c r="S132" i="58" s="1"/>
  <c r="N175" i="58"/>
  <c r="S175" i="58" s="1"/>
  <c r="N202" i="58"/>
  <c r="S202" i="58" s="1"/>
  <c r="N39" i="58"/>
  <c r="S39" i="58" s="1"/>
  <c r="N156" i="58"/>
  <c r="S156" i="58" s="1"/>
  <c r="N176" i="58"/>
  <c r="S176" i="58" s="1"/>
  <c r="N190" i="58"/>
  <c r="S190" i="58" s="1"/>
  <c r="N19" i="58"/>
  <c r="S19" i="58" s="1"/>
  <c r="N30" i="58"/>
  <c r="S30" i="58" s="1"/>
  <c r="N52" i="58"/>
  <c r="S52" i="58" s="1"/>
  <c r="N54" i="58"/>
  <c r="S54" i="58" s="1"/>
  <c r="N56" i="58"/>
  <c r="S56" i="58" s="1"/>
  <c r="N78" i="58"/>
  <c r="S78" i="58" s="1"/>
  <c r="N86" i="58"/>
  <c r="S86" i="58" s="1"/>
  <c r="N97" i="58"/>
  <c r="S97" i="58" s="1"/>
  <c r="N104" i="58"/>
  <c r="S104" i="58" s="1"/>
  <c r="N113" i="58"/>
  <c r="S113" i="58" s="1"/>
  <c r="N124" i="58"/>
  <c r="S124" i="58" s="1"/>
  <c r="N126" i="58"/>
  <c r="S126" i="58" s="1"/>
  <c r="N130" i="58"/>
  <c r="S130" i="58" s="1"/>
  <c r="N161" i="58"/>
  <c r="S161" i="58" s="1"/>
  <c r="N46" i="58"/>
  <c r="S46" i="58" s="1"/>
  <c r="N48" i="58"/>
  <c r="S48" i="58" s="1"/>
  <c r="N87" i="58"/>
  <c r="S87" i="58" s="1"/>
  <c r="N120" i="58"/>
  <c r="S120" i="58" s="1"/>
  <c r="N122" i="58"/>
  <c r="S122" i="58" s="1"/>
  <c r="N137" i="58"/>
  <c r="S137" i="58" s="1"/>
  <c r="N143" i="58"/>
  <c r="S143" i="58" s="1"/>
  <c r="N152" i="58"/>
  <c r="S152" i="58" s="1"/>
  <c r="N159" i="58"/>
  <c r="S159" i="58" s="1"/>
  <c r="N168" i="58"/>
  <c r="S168" i="58" s="1"/>
  <c r="N179" i="58"/>
  <c r="S179" i="58" s="1"/>
  <c r="N181" i="58"/>
  <c r="S181" i="58" s="1"/>
  <c r="N188" i="58"/>
  <c r="S188" i="58" s="1"/>
  <c r="N198" i="58"/>
  <c r="S198" i="58" s="1"/>
  <c r="N13" i="58"/>
  <c r="S13" i="58" s="1"/>
  <c r="N15" i="58"/>
  <c r="S15" i="58" s="1"/>
  <c r="N17" i="58"/>
  <c r="S17" i="58" s="1"/>
  <c r="N26" i="58"/>
  <c r="S26" i="58" s="1"/>
  <c r="N35" i="58"/>
  <c r="S35" i="58" s="1"/>
  <c r="N42" i="58"/>
  <c r="S42" i="58" s="1"/>
  <c r="N94" i="58"/>
  <c r="S94" i="58" s="1"/>
  <c r="N95" i="58"/>
  <c r="S95" i="58" s="1"/>
  <c r="N110" i="58"/>
  <c r="S110" i="58" s="1"/>
  <c r="N117" i="58"/>
  <c r="S117" i="58" s="1"/>
  <c r="N118" i="58"/>
  <c r="S118" i="58" s="1"/>
  <c r="N135" i="58"/>
  <c r="S135" i="58" s="1"/>
  <c r="N166" i="58"/>
  <c r="S166" i="58" s="1"/>
  <c r="N177" i="58"/>
  <c r="S177" i="58" s="1"/>
  <c r="N186" i="58"/>
  <c r="S186" i="58" s="1"/>
  <c r="N197" i="58"/>
  <c r="S197" i="58" s="1"/>
  <c r="N41" i="58"/>
  <c r="S41" i="58" s="1"/>
  <c r="N142" i="58"/>
  <c r="S142" i="58" s="1"/>
  <c r="N193" i="58"/>
  <c r="S193" i="58" s="1"/>
  <c r="N90" i="58"/>
  <c r="S90" i="58" s="1"/>
  <c r="N106" i="58"/>
  <c r="S106" i="58" s="1"/>
  <c r="N141" i="58"/>
  <c r="S141" i="58" s="1"/>
  <c r="N165" i="58"/>
  <c r="S165" i="58" s="1"/>
  <c r="N185" i="58"/>
  <c r="S185" i="58" s="1"/>
  <c r="N201" i="58"/>
  <c r="S201" i="58" s="1"/>
  <c r="N6" i="58"/>
  <c r="S6" i="58" s="1"/>
  <c r="N32" i="58"/>
  <c r="S32" i="58" s="1"/>
  <c r="N31" i="58"/>
  <c r="S31" i="58" s="1"/>
  <c r="N29" i="58"/>
  <c r="S29" i="58" s="1"/>
  <c r="N96" i="58"/>
  <c r="S96" i="58" s="1"/>
  <c r="N58" i="58"/>
  <c r="S58" i="58" s="1"/>
  <c r="N60" i="58"/>
  <c r="S60" i="58" s="1"/>
  <c r="N62" i="58"/>
  <c r="S62" i="58" s="1"/>
  <c r="N64" i="58"/>
  <c r="S64" i="58" s="1"/>
  <c r="N66" i="58"/>
  <c r="S66" i="58" s="1"/>
  <c r="N68" i="58"/>
  <c r="S68" i="58" s="1"/>
  <c r="N70" i="58"/>
  <c r="S70" i="58" s="1"/>
  <c r="N88" i="58"/>
  <c r="S88" i="58" s="1"/>
  <c r="N49" i="58"/>
  <c r="S49" i="58" s="1"/>
  <c r="N50" i="58"/>
  <c r="S50" i="58" s="1"/>
  <c r="N72" i="58"/>
  <c r="S72" i="58" s="1"/>
  <c r="N75" i="58"/>
  <c r="S75" i="58" s="1"/>
  <c r="N150" i="58"/>
  <c r="S150" i="58" s="1"/>
  <c r="N167" i="58"/>
  <c r="S167" i="58" s="1"/>
  <c r="N123" i="58"/>
  <c r="S123" i="58" s="1"/>
  <c r="N127" i="58"/>
  <c r="S127" i="58" s="1"/>
  <c r="N187" i="58"/>
  <c r="S187" i="58" s="1"/>
  <c r="N203" i="58"/>
  <c r="S203" i="58" s="1"/>
  <c r="N131" i="58"/>
  <c r="S131" i="58" s="1"/>
  <c r="N147" i="58"/>
  <c r="S147" i="58" s="1"/>
  <c r="N154" i="58"/>
  <c r="S154" i="58" s="1"/>
  <c r="N163" i="58"/>
  <c r="S163" i="58" s="1"/>
  <c r="N170" i="58"/>
  <c r="S170" i="58" s="1"/>
  <c r="N192" i="58"/>
  <c r="S192" i="58" s="1"/>
  <c r="N139" i="58"/>
  <c r="S139" i="58" s="1"/>
  <c r="N5" i="58"/>
  <c r="S5" i="58" s="1"/>
  <c r="N4" i="58"/>
  <c r="S4" i="58" s="1"/>
  <c r="AJ124" i="83" l="1"/>
  <c r="AK124" i="83" s="1"/>
  <c r="AN221" i="83"/>
  <c r="AO221" i="83" s="1"/>
  <c r="AN125" i="83"/>
  <c r="AO125" i="83" s="1"/>
  <c r="AM328" i="83"/>
  <c r="AH124" i="83"/>
  <c r="AG126" i="83"/>
  <c r="AH172" i="83"/>
  <c r="AG174" i="83"/>
  <c r="AE270" i="83"/>
  <c r="AK172" i="83"/>
  <c r="AH28" i="83"/>
  <c r="AG30" i="83"/>
  <c r="AE126" i="83"/>
  <c r="AM139" i="83"/>
  <c r="V31" i="83"/>
  <c r="W30" i="83"/>
  <c r="W222" i="83"/>
  <c r="V223" i="83"/>
  <c r="AG270" i="83"/>
  <c r="AH268" i="83"/>
  <c r="V319" i="83"/>
  <c r="W318" i="83"/>
  <c r="V127" i="83"/>
  <c r="V133" i="83" s="1"/>
  <c r="W133" i="83" s="1"/>
  <c r="W126" i="83"/>
  <c r="AM43" i="83"/>
  <c r="AJ28" i="83"/>
  <c r="AK280" i="83"/>
  <c r="AK136" i="83"/>
  <c r="AE222" i="83"/>
  <c r="W270" i="83"/>
  <c r="V271" i="83"/>
  <c r="AG318" i="83"/>
  <c r="AH316" i="83"/>
  <c r="AE30" i="83"/>
  <c r="V175" i="83"/>
  <c r="W174" i="83"/>
  <c r="AN269" i="83"/>
  <c r="AO269" i="83" s="1"/>
  <c r="AJ268" i="83"/>
  <c r="AM280" i="83"/>
  <c r="AE318" i="83"/>
  <c r="AJ76" i="83"/>
  <c r="AK76" i="83" s="1"/>
  <c r="AM91" i="83"/>
  <c r="AG222" i="83"/>
  <c r="AH220" i="83"/>
  <c r="AM186" i="83"/>
  <c r="AJ173" i="83"/>
  <c r="AJ174" i="83" s="1"/>
  <c r="AK184" i="83"/>
  <c r="AN172" i="83"/>
  <c r="AO172" i="83" s="1"/>
  <c r="AJ316" i="83"/>
  <c r="AK328" i="83"/>
  <c r="AJ29" i="83"/>
  <c r="AK29" i="83" s="1"/>
  <c r="AK40" i="83"/>
  <c r="AM42" i="83"/>
  <c r="AJ220" i="83"/>
  <c r="AM235" i="83"/>
  <c r="AE174" i="83"/>
  <c r="AN77" i="48"/>
  <c r="AO77" i="48" s="1"/>
  <c r="AM330" i="48"/>
  <c r="AG128" i="48"/>
  <c r="AH128" i="48" s="1"/>
  <c r="AH126" i="48"/>
  <c r="AG272" i="48"/>
  <c r="AH272" i="48" s="1"/>
  <c r="AH270" i="48"/>
  <c r="AJ76" i="48"/>
  <c r="AK88" i="48"/>
  <c r="AM91" i="48"/>
  <c r="AM88" i="48" s="1"/>
  <c r="AM186" i="48"/>
  <c r="AG176" i="48"/>
  <c r="AH176" i="48" s="1"/>
  <c r="AH174" i="48"/>
  <c r="W176" i="48"/>
  <c r="V177" i="48"/>
  <c r="W128" i="48"/>
  <c r="V129" i="48"/>
  <c r="AH76" i="48"/>
  <c r="AG78" i="48"/>
  <c r="AH78" i="48" s="1"/>
  <c r="AK138" i="48"/>
  <c r="AJ126" i="48"/>
  <c r="AM140" i="48"/>
  <c r="AM138" i="48" s="1"/>
  <c r="AM236" i="48"/>
  <c r="AM234" i="48" s="1"/>
  <c r="AJ222" i="48"/>
  <c r="AK234" i="48"/>
  <c r="AH318" i="48"/>
  <c r="AG320" i="48"/>
  <c r="AH320" i="48" s="1"/>
  <c r="AM284" i="48"/>
  <c r="AM282" i="48" s="1"/>
  <c r="AJ270" i="48"/>
  <c r="AK282" i="48"/>
  <c r="AE176" i="48"/>
  <c r="AK330" i="48"/>
  <c r="AJ318" i="48"/>
  <c r="V225" i="48"/>
  <c r="W224" i="48"/>
  <c r="AJ174" i="48"/>
  <c r="AK186" i="48"/>
  <c r="AE320" i="48"/>
  <c r="W320" i="48"/>
  <c r="V321" i="48"/>
  <c r="W78" i="48"/>
  <c r="V79" i="48"/>
  <c r="AE272" i="48"/>
  <c r="W272" i="48"/>
  <c r="V273" i="48"/>
  <c r="AG224" i="48"/>
  <c r="AH224" i="48" s="1"/>
  <c r="AH222" i="48"/>
  <c r="AE128" i="48"/>
  <c r="AE224" i="48"/>
  <c r="U4" i="58"/>
  <c r="V4" i="58"/>
  <c r="T2" i="58"/>
  <c r="V115" i="58"/>
  <c r="U164" i="58"/>
  <c r="V57" i="58"/>
  <c r="U173" i="58"/>
  <c r="U7" i="58"/>
  <c r="V166" i="58"/>
  <c r="V189" i="58"/>
  <c r="U108" i="58"/>
  <c r="V80" i="58"/>
  <c r="V54" i="58"/>
  <c r="U157" i="58"/>
  <c r="U135" i="58"/>
  <c r="U109" i="58"/>
  <c r="U138" i="58"/>
  <c r="U188" i="58"/>
  <c r="V103" i="58"/>
  <c r="V144" i="58"/>
  <c r="V85" i="58"/>
  <c r="V122" i="58"/>
  <c r="V77" i="58"/>
  <c r="V18" i="58"/>
  <c r="V78" i="58"/>
  <c r="V119" i="58"/>
  <c r="U113" i="58"/>
  <c r="V202" i="58"/>
  <c r="V16" i="58"/>
  <c r="V61" i="58"/>
  <c r="V25" i="58"/>
  <c r="V149" i="58"/>
  <c r="U95" i="58"/>
  <c r="U126" i="58"/>
  <c r="V191" i="58"/>
  <c r="U151" i="58"/>
  <c r="V9" i="58"/>
  <c r="V190" i="58"/>
  <c r="V186" i="58"/>
  <c r="U54" i="58"/>
  <c r="V121" i="58"/>
  <c r="U18" i="58"/>
  <c r="V114" i="58"/>
  <c r="U115" i="58"/>
  <c r="U36" i="58"/>
  <c r="U186" i="58"/>
  <c r="V36" i="58"/>
  <c r="V199" i="58"/>
  <c r="U199" i="58"/>
  <c r="U85" i="58"/>
  <c r="V45" i="58"/>
  <c r="U45" i="58"/>
  <c r="U114" i="58"/>
  <c r="AN124" i="83" l="1"/>
  <c r="AO124" i="83" s="1"/>
  <c r="AJ126" i="83"/>
  <c r="AN126" i="83" s="1"/>
  <c r="AO126" i="83" s="1"/>
  <c r="AN76" i="83"/>
  <c r="AO76" i="83" s="1"/>
  <c r="AN174" i="83"/>
  <c r="AO174" i="83" s="1"/>
  <c r="AK174" i="83"/>
  <c r="AM184" i="83"/>
  <c r="V181" i="83"/>
  <c r="AG175" i="83"/>
  <c r="AH175" i="83" s="1"/>
  <c r="AD175" i="83"/>
  <c r="W175" i="83"/>
  <c r="AH174" i="83"/>
  <c r="AN316" i="83"/>
  <c r="AO316" i="83" s="1"/>
  <c r="AK316" i="83"/>
  <c r="AJ318" i="83"/>
  <c r="W319" i="83"/>
  <c r="AG319" i="83"/>
  <c r="AH319" i="83" s="1"/>
  <c r="AD319" i="83"/>
  <c r="AH222" i="83"/>
  <c r="V229" i="83"/>
  <c r="W223" i="83"/>
  <c r="AG223" i="83"/>
  <c r="AH223" i="83" s="1"/>
  <c r="AD223" i="83"/>
  <c r="AN29" i="83"/>
  <c r="AO29" i="83" s="1"/>
  <c r="AH318" i="83"/>
  <c r="AK220" i="83"/>
  <c r="AJ222" i="83"/>
  <c r="AN222" i="83" s="1"/>
  <c r="AO222" i="83" s="1"/>
  <c r="AN220" i="83"/>
  <c r="AO220" i="83" s="1"/>
  <c r="V277" i="83"/>
  <c r="AD271" i="83"/>
  <c r="AG271" i="83"/>
  <c r="AH271" i="83" s="1"/>
  <c r="W271" i="83"/>
  <c r="AH126" i="83"/>
  <c r="AM40" i="83"/>
  <c r="AM232" i="83"/>
  <c r="AK268" i="83"/>
  <c r="AJ270" i="83"/>
  <c r="AN268" i="83"/>
  <c r="AO268" i="83" s="1"/>
  <c r="V37" i="83"/>
  <c r="W31" i="83"/>
  <c r="AD31" i="83"/>
  <c r="AG31" i="83"/>
  <c r="AH31" i="83" s="1"/>
  <c r="AH30" i="83"/>
  <c r="AJ30" i="83"/>
  <c r="AK28" i="83"/>
  <c r="AN28" i="83"/>
  <c r="AO28" i="83" s="1"/>
  <c r="W127" i="83"/>
  <c r="AG127" i="83"/>
  <c r="AH127" i="83" s="1"/>
  <c r="AD127" i="83"/>
  <c r="AM136" i="83"/>
  <c r="AK173" i="83"/>
  <c r="AN173" i="83"/>
  <c r="AO173" i="83" s="1"/>
  <c r="V325" i="83"/>
  <c r="AH270" i="83"/>
  <c r="AK318" i="48"/>
  <c r="AJ320" i="48"/>
  <c r="AN222" i="48"/>
  <c r="AO222" i="48" s="1"/>
  <c r="AJ224" i="48"/>
  <c r="AK222" i="48"/>
  <c r="AJ78" i="48"/>
  <c r="AK76" i="48"/>
  <c r="AD79" i="48"/>
  <c r="AE79" i="48" s="1"/>
  <c r="W79" i="48"/>
  <c r="AG79" i="48"/>
  <c r="AH79" i="48" s="1"/>
  <c r="AD177" i="48"/>
  <c r="W177" i="48"/>
  <c r="AG177" i="48"/>
  <c r="AH177" i="48" s="1"/>
  <c r="AK174" i="48"/>
  <c r="AJ176" i="48"/>
  <c r="AN174" i="48"/>
  <c r="AO174" i="48" s="1"/>
  <c r="AN270" i="48"/>
  <c r="AO270" i="48" s="1"/>
  <c r="AK270" i="48"/>
  <c r="AJ272" i="48"/>
  <c r="AD129" i="48"/>
  <c r="W129" i="48"/>
  <c r="AG129" i="48"/>
  <c r="AH129" i="48" s="1"/>
  <c r="AD321" i="48"/>
  <c r="W321" i="48"/>
  <c r="AG321" i="48"/>
  <c r="AH321" i="48" s="1"/>
  <c r="AN126" i="48"/>
  <c r="AO126" i="48" s="1"/>
  <c r="AJ128" i="48"/>
  <c r="AK126" i="48"/>
  <c r="AD225" i="48"/>
  <c r="W225" i="48"/>
  <c r="AG225" i="48"/>
  <c r="AH225" i="48" s="1"/>
  <c r="AD273" i="48"/>
  <c r="AE273" i="48" s="1"/>
  <c r="W273" i="48"/>
  <c r="AG273" i="48"/>
  <c r="AH273" i="48" s="1"/>
  <c r="AN318" i="48"/>
  <c r="AO318" i="48" s="1"/>
  <c r="V164" i="58"/>
  <c r="U80" i="58"/>
  <c r="U143" i="58"/>
  <c r="V157" i="58"/>
  <c r="U191" i="58"/>
  <c r="U172" i="58"/>
  <c r="V173" i="58"/>
  <c r="V95" i="58"/>
  <c r="U189" i="58"/>
  <c r="U101" i="58"/>
  <c r="V108" i="58"/>
  <c r="V15" i="58"/>
  <c r="U122" i="58"/>
  <c r="U77" i="58"/>
  <c r="U61" i="58"/>
  <c r="U15" i="58"/>
  <c r="V126" i="58"/>
  <c r="U149" i="58"/>
  <c r="V151" i="58"/>
  <c r="U144" i="58"/>
  <c r="V101" i="58"/>
  <c r="U73" i="58"/>
  <c r="V138" i="58"/>
  <c r="V19" i="58"/>
  <c r="U63" i="58"/>
  <c r="V47" i="58"/>
  <c r="V148" i="58"/>
  <c r="U82" i="58"/>
  <c r="U81" i="58"/>
  <c r="V129" i="58"/>
  <c r="V51" i="58"/>
  <c r="U10" i="58"/>
  <c r="U168" i="58"/>
  <c r="V91" i="58"/>
  <c r="V196" i="58"/>
  <c r="U33" i="58"/>
  <c r="V162" i="58"/>
  <c r="V188" i="58"/>
  <c r="V136" i="58"/>
  <c r="U104" i="58"/>
  <c r="V146" i="58"/>
  <c r="U57" i="58"/>
  <c r="V86" i="58"/>
  <c r="U24" i="58"/>
  <c r="V30" i="58"/>
  <c r="U92" i="58"/>
  <c r="V43" i="58"/>
  <c r="U79" i="58"/>
  <c r="U118" i="58"/>
  <c r="U176" i="58"/>
  <c r="U20" i="58"/>
  <c r="U37" i="58"/>
  <c r="U94" i="58"/>
  <c r="U8" i="58"/>
  <c r="V174" i="58"/>
  <c r="V107" i="58"/>
  <c r="V55" i="58"/>
  <c r="U34" i="58"/>
  <c r="V159" i="58"/>
  <c r="V160" i="58"/>
  <c r="V11" i="58"/>
  <c r="U137" i="58"/>
  <c r="U100" i="58"/>
  <c r="U169" i="58"/>
  <c r="U112" i="58"/>
  <c r="U98" i="58"/>
  <c r="V42" i="58"/>
  <c r="U22" i="58"/>
  <c r="U132" i="58"/>
  <c r="V97" i="58"/>
  <c r="V200" i="58"/>
  <c r="U46" i="58"/>
  <c r="V172" i="58"/>
  <c r="U65" i="58"/>
  <c r="V116" i="58"/>
  <c r="U13" i="58"/>
  <c r="U87" i="58"/>
  <c r="V69" i="58"/>
  <c r="V38" i="58"/>
  <c r="V120" i="58"/>
  <c r="V110" i="58"/>
  <c r="U26" i="58"/>
  <c r="V134" i="58"/>
  <c r="U12" i="58"/>
  <c r="U124" i="58"/>
  <c r="V48" i="58"/>
  <c r="V39" i="58"/>
  <c r="V184" i="58"/>
  <c r="U178" i="58"/>
  <c r="U52" i="58"/>
  <c r="V155" i="58"/>
  <c r="U99" i="58"/>
  <c r="U74" i="58"/>
  <c r="U182" i="58"/>
  <c r="U83" i="58"/>
  <c r="V67" i="58"/>
  <c r="V152" i="58"/>
  <c r="U180" i="58"/>
  <c r="V156" i="58"/>
  <c r="V161" i="58"/>
  <c r="V153" i="58"/>
  <c r="U35" i="58"/>
  <c r="U133" i="58"/>
  <c r="U28" i="58"/>
  <c r="U84" i="58"/>
  <c r="V102" i="58"/>
  <c r="V105" i="58"/>
  <c r="V158" i="58"/>
  <c r="U25" i="58"/>
  <c r="U128" i="58"/>
  <c r="U181" i="58"/>
  <c r="V23" i="58"/>
  <c r="V89" i="58"/>
  <c r="V27" i="58"/>
  <c r="V198" i="58"/>
  <c r="V183" i="58"/>
  <c r="U71" i="58"/>
  <c r="U177" i="58"/>
  <c r="U53" i="58"/>
  <c r="U171" i="58"/>
  <c r="V93" i="58"/>
  <c r="V194" i="58"/>
  <c r="V117" i="58"/>
  <c r="U59" i="58"/>
  <c r="V14" i="58"/>
  <c r="U175" i="58"/>
  <c r="V179" i="58"/>
  <c r="U76" i="58"/>
  <c r="U44" i="58"/>
  <c r="U195" i="58"/>
  <c r="U17" i="58"/>
  <c r="V111" i="58"/>
  <c r="V130" i="58"/>
  <c r="U140" i="58"/>
  <c r="V145" i="58"/>
  <c r="V7" i="58"/>
  <c r="V178" i="58"/>
  <c r="V26" i="58"/>
  <c r="V94" i="58"/>
  <c r="V135" i="58"/>
  <c r="U9" i="58"/>
  <c r="U121" i="58"/>
  <c r="V73" i="58"/>
  <c r="V109" i="58"/>
  <c r="V34" i="58"/>
  <c r="U166" i="58"/>
  <c r="U16" i="58"/>
  <c r="U190" i="58"/>
  <c r="U202" i="58"/>
  <c r="U50" i="58"/>
  <c r="U96" i="58"/>
  <c r="U103" i="58"/>
  <c r="V113" i="58"/>
  <c r="V125" i="58"/>
  <c r="U125" i="58"/>
  <c r="U119" i="58"/>
  <c r="V21" i="58"/>
  <c r="U21" i="58"/>
  <c r="V10" i="58"/>
  <c r="V170" i="58"/>
  <c r="U30" i="58"/>
  <c r="V72" i="58"/>
  <c r="U5" i="58"/>
  <c r="V40" i="58"/>
  <c r="U40" i="58"/>
  <c r="V81" i="58"/>
  <c r="U183" i="58"/>
  <c r="U11" i="58"/>
  <c r="U60" i="58"/>
  <c r="V82" i="58"/>
  <c r="U192" i="58"/>
  <c r="U88" i="58"/>
  <c r="U58" i="58"/>
  <c r="U147" i="58"/>
  <c r="U127" i="58"/>
  <c r="V56" i="58"/>
  <c r="U56" i="58"/>
  <c r="V143" i="58"/>
  <c r="V142" i="58"/>
  <c r="V70" i="58"/>
  <c r="U90" i="58"/>
  <c r="V66" i="58"/>
  <c r="V31" i="58"/>
  <c r="U150" i="58"/>
  <c r="U68" i="58"/>
  <c r="U6" i="58"/>
  <c r="U29" i="58"/>
  <c r="U78" i="58"/>
  <c r="U62" i="58"/>
  <c r="V154" i="58"/>
  <c r="U106" i="58"/>
  <c r="V150" i="58"/>
  <c r="V6" i="58"/>
  <c r="V29" i="58"/>
  <c r="V139" i="58"/>
  <c r="U139" i="58"/>
  <c r="V75" i="58"/>
  <c r="U75" i="58"/>
  <c r="V147" i="58"/>
  <c r="U154" i="58"/>
  <c r="V41" i="58"/>
  <c r="U41" i="58"/>
  <c r="V167" i="58"/>
  <c r="U167" i="58"/>
  <c r="V165" i="58"/>
  <c r="U165" i="58"/>
  <c r="U70" i="58"/>
  <c r="V127" i="58"/>
  <c r="U142" i="58"/>
  <c r="V62" i="58"/>
  <c r="V123" i="58"/>
  <c r="U123" i="58"/>
  <c r="V192" i="58"/>
  <c r="V88" i="58"/>
  <c r="V58" i="58"/>
  <c r="V5" i="58"/>
  <c r="V141" i="58"/>
  <c r="U141" i="58"/>
  <c r="V185" i="58"/>
  <c r="U185" i="58"/>
  <c r="V32" i="58"/>
  <c r="U32" i="58"/>
  <c r="V163" i="58"/>
  <c r="U163" i="58"/>
  <c r="V64" i="58"/>
  <c r="U64" i="58"/>
  <c r="V49" i="58"/>
  <c r="U49" i="58"/>
  <c r="V106" i="58"/>
  <c r="U66" i="58"/>
  <c r="V197" i="58"/>
  <c r="U197" i="58"/>
  <c r="U31" i="58"/>
  <c r="U72" i="58"/>
  <c r="U170" i="58"/>
  <c r="V60" i="58"/>
  <c r="V187" i="58"/>
  <c r="U187" i="58"/>
  <c r="V131" i="58"/>
  <c r="U131" i="58"/>
  <c r="V193" i="58"/>
  <c r="U193" i="58"/>
  <c r="V201" i="58"/>
  <c r="U201" i="58"/>
  <c r="V96" i="58"/>
  <c r="V50" i="58"/>
  <c r="V90" i="58"/>
  <c r="V68" i="58"/>
  <c r="V203" i="58"/>
  <c r="U203" i="58"/>
  <c r="AK126" i="83" l="1"/>
  <c r="AG277" i="83"/>
  <c r="AH277" i="83" s="1"/>
  <c r="AJ31" i="83"/>
  <c r="AN31" i="83" s="1"/>
  <c r="AG181" i="83"/>
  <c r="AH181" i="83" s="1"/>
  <c r="AJ175" i="83"/>
  <c r="AK175" i="83" s="1"/>
  <c r="AJ127" i="83"/>
  <c r="AN127" i="83" s="1"/>
  <c r="AG37" i="83"/>
  <c r="AH37" i="83" s="1"/>
  <c r="AK270" i="83"/>
  <c r="AN270" i="83"/>
  <c r="AO270" i="83" s="1"/>
  <c r="AJ271" i="83"/>
  <c r="AN271" i="83" s="1"/>
  <c r="W229" i="83"/>
  <c r="AE319" i="83"/>
  <c r="AD325" i="83"/>
  <c r="W181" i="83"/>
  <c r="AE127" i="83"/>
  <c r="AD133" i="83"/>
  <c r="AE271" i="83"/>
  <c r="AD277" i="83"/>
  <c r="AJ225" i="48"/>
  <c r="AK225" i="48" s="1"/>
  <c r="AE31" i="83"/>
  <c r="AD37" i="83"/>
  <c r="W277" i="83"/>
  <c r="AJ223" i="83"/>
  <c r="AK223" i="83" s="1"/>
  <c r="AG229" i="83"/>
  <c r="AH229" i="83" s="1"/>
  <c r="AK222" i="83"/>
  <c r="AE223" i="83"/>
  <c r="AD229" i="83"/>
  <c r="AN318" i="83"/>
  <c r="AO318" i="83" s="1"/>
  <c r="AK318" i="83"/>
  <c r="W37" i="83"/>
  <c r="AG133" i="83"/>
  <c r="AH133" i="83" s="1"/>
  <c r="AE175" i="83"/>
  <c r="AD181" i="83"/>
  <c r="W325" i="83"/>
  <c r="AK30" i="83"/>
  <c r="AN30" i="83"/>
  <c r="AO30" i="83" s="1"/>
  <c r="AG325" i="83"/>
  <c r="AH325" i="83" s="1"/>
  <c r="AJ319" i="83"/>
  <c r="AK319" i="83" s="1"/>
  <c r="AJ273" i="48"/>
  <c r="AN273" i="48" s="1"/>
  <c r="AO273" i="48" s="1"/>
  <c r="AJ79" i="48"/>
  <c r="AK79" i="48" s="1"/>
  <c r="AK128" i="48"/>
  <c r="AN128" i="48"/>
  <c r="AO128" i="48" s="1"/>
  <c r="AJ177" i="48"/>
  <c r="AK177" i="48" s="1"/>
  <c r="AE129" i="48"/>
  <c r="AK78" i="48"/>
  <c r="AJ321" i="48"/>
  <c r="AK321" i="48" s="1"/>
  <c r="AK272" i="48"/>
  <c r="AN272" i="48"/>
  <c r="AO272" i="48" s="1"/>
  <c r="AK224" i="48"/>
  <c r="AN224" i="48"/>
  <c r="AO224" i="48" s="1"/>
  <c r="AE177" i="48"/>
  <c r="AE321" i="48"/>
  <c r="AK320" i="48"/>
  <c r="AN320" i="48"/>
  <c r="AO320" i="48" s="1"/>
  <c r="AE225" i="48"/>
  <c r="AJ129" i="48"/>
  <c r="AK129" i="48" s="1"/>
  <c r="AK176" i="48"/>
  <c r="AN176" i="48"/>
  <c r="AO176" i="48" s="1"/>
  <c r="V13" i="58"/>
  <c r="V12" i="58"/>
  <c r="U161" i="58"/>
  <c r="V20" i="58"/>
  <c r="V176" i="58"/>
  <c r="V182" i="58"/>
  <c r="V17" i="58"/>
  <c r="V92" i="58"/>
  <c r="V128" i="58"/>
  <c r="V98" i="58"/>
  <c r="V112" i="58"/>
  <c r="V28" i="58"/>
  <c r="U55" i="58"/>
  <c r="V84" i="58"/>
  <c r="U152" i="58"/>
  <c r="U110" i="58"/>
  <c r="U19" i="58"/>
  <c r="V140" i="58"/>
  <c r="V8" i="58"/>
  <c r="V118" i="58"/>
  <c r="V87" i="58"/>
  <c r="U39" i="58"/>
  <c r="V133" i="58"/>
  <c r="V74" i="58"/>
  <c r="U97" i="58"/>
  <c r="V177" i="58"/>
  <c r="U117" i="58"/>
  <c r="V137" i="58"/>
  <c r="V76" i="58"/>
  <c r="V168" i="58"/>
  <c r="U158" i="58"/>
  <c r="U194" i="58"/>
  <c r="V79" i="58"/>
  <c r="V99" i="58"/>
  <c r="V63" i="58"/>
  <c r="U198" i="58"/>
  <c r="U179" i="58"/>
  <c r="V100" i="58"/>
  <c r="V195" i="58"/>
  <c r="U69" i="58"/>
  <c r="V53" i="58"/>
  <c r="U145" i="58"/>
  <c r="U184" i="58"/>
  <c r="U136" i="58"/>
  <c r="V35" i="58"/>
  <c r="U162" i="58"/>
  <c r="U153" i="58"/>
  <c r="V175" i="58"/>
  <c r="U27" i="58"/>
  <c r="V124" i="58"/>
  <c r="U67" i="58"/>
  <c r="U120" i="58"/>
  <c r="V132" i="58"/>
  <c r="V44" i="58"/>
  <c r="V52" i="58"/>
  <c r="U107" i="58"/>
  <c r="V181" i="58"/>
  <c r="V104" i="58"/>
  <c r="U156" i="58"/>
  <c r="V59" i="58"/>
  <c r="V24" i="58"/>
  <c r="V22" i="58"/>
  <c r="V83" i="58"/>
  <c r="U159" i="58"/>
  <c r="U111" i="58"/>
  <c r="U130" i="58"/>
  <c r="U14" i="58"/>
  <c r="U93" i="58"/>
  <c r="V71" i="58"/>
  <c r="U89" i="58"/>
  <c r="V46" i="58"/>
  <c r="V169" i="58"/>
  <c r="U160" i="58"/>
  <c r="V37" i="58"/>
  <c r="U196" i="58"/>
  <c r="U51" i="58"/>
  <c r="U148" i="58"/>
  <c r="U23" i="58"/>
  <c r="U200" i="58"/>
  <c r="U42" i="58"/>
  <c r="U174" i="58"/>
  <c r="U43" i="58"/>
  <c r="U86" i="58"/>
  <c r="U91" i="58"/>
  <c r="U129" i="58"/>
  <c r="U47" i="58"/>
  <c r="U155" i="58"/>
  <c r="U105" i="58"/>
  <c r="U134" i="58"/>
  <c r="U38" i="58"/>
  <c r="U116" i="58"/>
  <c r="V171" i="58"/>
  <c r="U48" i="58"/>
  <c r="U102" i="58"/>
  <c r="V180" i="58"/>
  <c r="V65" i="58"/>
  <c r="U146" i="58"/>
  <c r="V33" i="58"/>
  <c r="AJ37" i="83" l="1"/>
  <c r="AK37" i="83" s="1"/>
  <c r="AN321" i="48"/>
  <c r="AO321" i="48" s="1"/>
  <c r="AN58" i="83"/>
  <c r="AO58" i="83" s="1"/>
  <c r="AN64" i="83"/>
  <c r="AO64" i="83" s="1"/>
  <c r="AN51" i="83"/>
  <c r="AO51" i="83" s="1"/>
  <c r="AN68" i="83"/>
  <c r="AO68" i="83" s="1"/>
  <c r="AN225" i="48"/>
  <c r="AO225" i="48" s="1"/>
  <c r="AK31" i="83"/>
  <c r="AN175" i="83"/>
  <c r="AN189" i="83" s="1"/>
  <c r="AO189" i="83" s="1"/>
  <c r="AJ181" i="83"/>
  <c r="AN181" i="83" s="1"/>
  <c r="AN158" i="83"/>
  <c r="AO158" i="83" s="1"/>
  <c r="AN150" i="83"/>
  <c r="AO150" i="83" s="1"/>
  <c r="AN157" i="83"/>
  <c r="AO157" i="83" s="1"/>
  <c r="AN161" i="83"/>
  <c r="AO161" i="83" s="1"/>
  <c r="AN156" i="83"/>
  <c r="AO156" i="83" s="1"/>
  <c r="AN145" i="83"/>
  <c r="AO145" i="83" s="1"/>
  <c r="AN162" i="83"/>
  <c r="AO162" i="83" s="1"/>
  <c r="AN152" i="83"/>
  <c r="AO152" i="83" s="1"/>
  <c r="AN149" i="83"/>
  <c r="AO149" i="83" s="1"/>
  <c r="AN148" i="83"/>
  <c r="AO148" i="83" s="1"/>
  <c r="AN143" i="83"/>
  <c r="AO143" i="83" s="1"/>
  <c r="AN144" i="83"/>
  <c r="AO144" i="83" s="1"/>
  <c r="AN155" i="83"/>
  <c r="AO155" i="83" s="1"/>
  <c r="AN141" i="83"/>
  <c r="AO141" i="83" s="1"/>
  <c r="AN159" i="83"/>
  <c r="AO159" i="83" s="1"/>
  <c r="AN146" i="83"/>
  <c r="AO146" i="83" s="1"/>
  <c r="AN166" i="83"/>
  <c r="AO166" i="83" s="1"/>
  <c r="AN164" i="83"/>
  <c r="AO164" i="83" s="1"/>
  <c r="AN147" i="83"/>
  <c r="AO147" i="83" s="1"/>
  <c r="AN153" i="83"/>
  <c r="AO153" i="83" s="1"/>
  <c r="AN154" i="83"/>
  <c r="AO154" i="83" s="1"/>
  <c r="AN140" i="83"/>
  <c r="AO140" i="83" s="1"/>
  <c r="AN167" i="83"/>
  <c r="AO167" i="83" s="1"/>
  <c r="AN160" i="83"/>
  <c r="AO160" i="83" s="1"/>
  <c r="AN165" i="83"/>
  <c r="AO165" i="83" s="1"/>
  <c r="AN163" i="83"/>
  <c r="AO163" i="83" s="1"/>
  <c r="AN151" i="83"/>
  <c r="AO151" i="83" s="1"/>
  <c r="AN138" i="83"/>
  <c r="AO138" i="83" s="1"/>
  <c r="AN142" i="83"/>
  <c r="AO142" i="83" s="1"/>
  <c r="AN304" i="83"/>
  <c r="AO304" i="83" s="1"/>
  <c r="AO271" i="83"/>
  <c r="AT285" i="83"/>
  <c r="AV285" i="83" s="1"/>
  <c r="AW285" i="83" s="1"/>
  <c r="AT302" i="83"/>
  <c r="AV302" i="83" s="1"/>
  <c r="AW302" i="83" s="1"/>
  <c r="AT286" i="83"/>
  <c r="AV286" i="83" s="1"/>
  <c r="AW286" i="83" s="1"/>
  <c r="AT289" i="83"/>
  <c r="AV289" i="83" s="1"/>
  <c r="AW289" i="83" s="1"/>
  <c r="AT305" i="83"/>
  <c r="AV305" i="83" s="1"/>
  <c r="AW305" i="83" s="1"/>
  <c r="AT308" i="83"/>
  <c r="AV308" i="83" s="1"/>
  <c r="AW308" i="83" s="1"/>
  <c r="AT283" i="83"/>
  <c r="AV283" i="83" s="1"/>
  <c r="AW283" i="83" s="1"/>
  <c r="AT298" i="83"/>
  <c r="AV298" i="83" s="1"/>
  <c r="AW298" i="83" s="1"/>
  <c r="AT311" i="83"/>
  <c r="AV311" i="83" s="1"/>
  <c r="AW311" i="83" s="1"/>
  <c r="AT300" i="83"/>
  <c r="AV300" i="83" s="1"/>
  <c r="AW300" i="83" s="1"/>
  <c r="AT301" i="83"/>
  <c r="AV301" i="83" s="1"/>
  <c r="AW301" i="83" s="1"/>
  <c r="AT295" i="83"/>
  <c r="AV295" i="83" s="1"/>
  <c r="AW295" i="83" s="1"/>
  <c r="AT306" i="83"/>
  <c r="AV306" i="83" s="1"/>
  <c r="AW306" i="83" s="1"/>
  <c r="AT310" i="83"/>
  <c r="AV310" i="83" s="1"/>
  <c r="AW310" i="83" s="1"/>
  <c r="AT290" i="83"/>
  <c r="AV290" i="83" s="1"/>
  <c r="AW290" i="83" s="1"/>
  <c r="AT296" i="83"/>
  <c r="AV296" i="83" s="1"/>
  <c r="AW296" i="83" s="1"/>
  <c r="AT288" i="83"/>
  <c r="AV288" i="83" s="1"/>
  <c r="AW288" i="83" s="1"/>
  <c r="AT307" i="83"/>
  <c r="AV307" i="83" s="1"/>
  <c r="AW307" i="83" s="1"/>
  <c r="AT284" i="83"/>
  <c r="AV284" i="83" s="1"/>
  <c r="AW284" i="83" s="1"/>
  <c r="AT299" i="83"/>
  <c r="AV299" i="83" s="1"/>
  <c r="AW299" i="83" s="1"/>
  <c r="AT292" i="83"/>
  <c r="AV292" i="83" s="1"/>
  <c r="AW292" i="83" s="1"/>
  <c r="AT304" i="83"/>
  <c r="AV304" i="83" s="1"/>
  <c r="AW304" i="83" s="1"/>
  <c r="AT303" i="83"/>
  <c r="AV303" i="83" s="1"/>
  <c r="AW303" i="83" s="1"/>
  <c r="AT287" i="83"/>
  <c r="AV287" i="83" s="1"/>
  <c r="AW287" i="83" s="1"/>
  <c r="AT293" i="83"/>
  <c r="AV293" i="83" s="1"/>
  <c r="AW293" i="83" s="1"/>
  <c r="AT294" i="83"/>
  <c r="AV294" i="83" s="1"/>
  <c r="AW294" i="83" s="1"/>
  <c r="AT291" i="83"/>
  <c r="AV291" i="83" s="1"/>
  <c r="AW291" i="83" s="1"/>
  <c r="AN291" i="83"/>
  <c r="AO291" i="83" s="1"/>
  <c r="AT282" i="83"/>
  <c r="AT309" i="83"/>
  <c r="AV309" i="83" s="1"/>
  <c r="AW309" i="83" s="1"/>
  <c r="AT297" i="83"/>
  <c r="AV297" i="83" s="1"/>
  <c r="AW297" i="83" s="1"/>
  <c r="AN294" i="83"/>
  <c r="AO294" i="83" s="1"/>
  <c r="AN297" i="83"/>
  <c r="AO297" i="83" s="1"/>
  <c r="AN309" i="83"/>
  <c r="AO309" i="83" s="1"/>
  <c r="AN302" i="83"/>
  <c r="AO302" i="83" s="1"/>
  <c r="AN295" i="83"/>
  <c r="AO295" i="83" s="1"/>
  <c r="AN286" i="83"/>
  <c r="AO286" i="83" s="1"/>
  <c r="AN283" i="83"/>
  <c r="AO283" i="83" s="1"/>
  <c r="AN306" i="83"/>
  <c r="AO306" i="83" s="1"/>
  <c r="AN289" i="83"/>
  <c r="AO289" i="83" s="1"/>
  <c r="AN298" i="83"/>
  <c r="AO298" i="83" s="1"/>
  <c r="AN310" i="83"/>
  <c r="AO310" i="83" s="1"/>
  <c r="AN299" i="83"/>
  <c r="AO299" i="83" s="1"/>
  <c r="AN300" i="83"/>
  <c r="AO300" i="83" s="1"/>
  <c r="AN284" i="83"/>
  <c r="AO284" i="83" s="1"/>
  <c r="AN293" i="83"/>
  <c r="AO293" i="83" s="1"/>
  <c r="AN282" i="83"/>
  <c r="AN305" i="83"/>
  <c r="AO305" i="83" s="1"/>
  <c r="AN301" i="83"/>
  <c r="AO301" i="83" s="1"/>
  <c r="AN296" i="83"/>
  <c r="AO296" i="83" s="1"/>
  <c r="AN303" i="83"/>
  <c r="AO303" i="83" s="1"/>
  <c r="AN290" i="83"/>
  <c r="AO290" i="83" s="1"/>
  <c r="AN292" i="83"/>
  <c r="AO292" i="83" s="1"/>
  <c r="AN308" i="83"/>
  <c r="AO308" i="83" s="1"/>
  <c r="AN288" i="83"/>
  <c r="AO288" i="83" s="1"/>
  <c r="AN307" i="83"/>
  <c r="AO307" i="83" s="1"/>
  <c r="AN287" i="83"/>
  <c r="AO287" i="83" s="1"/>
  <c r="AN311" i="83"/>
  <c r="AO311" i="83" s="1"/>
  <c r="AN285" i="83"/>
  <c r="AO285" i="83" s="1"/>
  <c r="AO31" i="83"/>
  <c r="AT66" i="83"/>
  <c r="AV66" i="83" s="1"/>
  <c r="AW66" i="83" s="1"/>
  <c r="AT53" i="83"/>
  <c r="AV53" i="83" s="1"/>
  <c r="AW53" i="83" s="1"/>
  <c r="AT59" i="83"/>
  <c r="AV59" i="83" s="1"/>
  <c r="AW59" i="83" s="1"/>
  <c r="AT52" i="83"/>
  <c r="AV52" i="83" s="1"/>
  <c r="AW52" i="83" s="1"/>
  <c r="AT55" i="83"/>
  <c r="AV55" i="83" s="1"/>
  <c r="AW55" i="83" s="1"/>
  <c r="AT56" i="83"/>
  <c r="AV56" i="83" s="1"/>
  <c r="AW56" i="83" s="1"/>
  <c r="AT64" i="83"/>
  <c r="AV64" i="83" s="1"/>
  <c r="AW64" i="83" s="1"/>
  <c r="AT67" i="83"/>
  <c r="AV67" i="83" s="1"/>
  <c r="AW67" i="83" s="1"/>
  <c r="AT45" i="83"/>
  <c r="AV45" i="83" s="1"/>
  <c r="AW45" i="83" s="1"/>
  <c r="AT50" i="83"/>
  <c r="AV50" i="83" s="1"/>
  <c r="AW50" i="83" s="1"/>
  <c r="AT57" i="83"/>
  <c r="AV57" i="83" s="1"/>
  <c r="AW57" i="83" s="1"/>
  <c r="AT49" i="83"/>
  <c r="AV49" i="83" s="1"/>
  <c r="AW49" i="83" s="1"/>
  <c r="AT63" i="83"/>
  <c r="AV63" i="83" s="1"/>
  <c r="AW63" i="83" s="1"/>
  <c r="AT58" i="83"/>
  <c r="AV58" i="83" s="1"/>
  <c r="AW58" i="83" s="1"/>
  <c r="AT69" i="83"/>
  <c r="AV69" i="83" s="1"/>
  <c r="AW69" i="83" s="1"/>
  <c r="AT65" i="83"/>
  <c r="AV65" i="83" s="1"/>
  <c r="AW65" i="83" s="1"/>
  <c r="AT47" i="83"/>
  <c r="AV47" i="83" s="1"/>
  <c r="AW47" i="83" s="1"/>
  <c r="AT61" i="83"/>
  <c r="AV61" i="83" s="1"/>
  <c r="AW61" i="83" s="1"/>
  <c r="AT51" i="83"/>
  <c r="AV51" i="83" s="1"/>
  <c r="AW51" i="83" s="1"/>
  <c r="AT71" i="83"/>
  <c r="AV71" i="83" s="1"/>
  <c r="AW71" i="83" s="1"/>
  <c r="AT48" i="83"/>
  <c r="AV48" i="83" s="1"/>
  <c r="AW48" i="83" s="1"/>
  <c r="AT70" i="83"/>
  <c r="AV70" i="83" s="1"/>
  <c r="AW70" i="83" s="1"/>
  <c r="AT62" i="83"/>
  <c r="AV62" i="83" s="1"/>
  <c r="AW62" i="83" s="1"/>
  <c r="AT46" i="83"/>
  <c r="AV46" i="83" s="1"/>
  <c r="AW46" i="83" s="1"/>
  <c r="AT54" i="83"/>
  <c r="AV54" i="83" s="1"/>
  <c r="AW54" i="83" s="1"/>
  <c r="AT44" i="83"/>
  <c r="AV44" i="83" s="1"/>
  <c r="AW44" i="83" s="1"/>
  <c r="AT68" i="83"/>
  <c r="AV68" i="83" s="1"/>
  <c r="AW68" i="83" s="1"/>
  <c r="AT60" i="83"/>
  <c r="AV60" i="83" s="1"/>
  <c r="AW60" i="83" s="1"/>
  <c r="AN42" i="83"/>
  <c r="AT42" i="83"/>
  <c r="AT43" i="83"/>
  <c r="AV43" i="83" s="1"/>
  <c r="AW43" i="83" s="1"/>
  <c r="AN43" i="83"/>
  <c r="AO43" i="83" s="1"/>
  <c r="AN44" i="83"/>
  <c r="AO44" i="83" s="1"/>
  <c r="AN70" i="83"/>
  <c r="AO70" i="83" s="1"/>
  <c r="AN50" i="83"/>
  <c r="AO50" i="83" s="1"/>
  <c r="AN56" i="83"/>
  <c r="AO56" i="83" s="1"/>
  <c r="AE133" i="83"/>
  <c r="AN223" i="83"/>
  <c r="AN46" i="83"/>
  <c r="AO46" i="83" s="1"/>
  <c r="AN65" i="83"/>
  <c r="AO65" i="83" s="1"/>
  <c r="AN45" i="83"/>
  <c r="AO45" i="83" s="1"/>
  <c r="AO127" i="83"/>
  <c r="AT151" i="83"/>
  <c r="AV151" i="83" s="1"/>
  <c r="AW151" i="83" s="1"/>
  <c r="AT146" i="83"/>
  <c r="AV146" i="83" s="1"/>
  <c r="AW146" i="83" s="1"/>
  <c r="AT142" i="83"/>
  <c r="AV142" i="83" s="1"/>
  <c r="AW142" i="83" s="1"/>
  <c r="AT158" i="83"/>
  <c r="AV158" i="83" s="1"/>
  <c r="AW158" i="83" s="1"/>
  <c r="AT164" i="83"/>
  <c r="AV164" i="83" s="1"/>
  <c r="AW164" i="83" s="1"/>
  <c r="AT140" i="83"/>
  <c r="AV140" i="83" s="1"/>
  <c r="AW140" i="83" s="1"/>
  <c r="AT144" i="83"/>
  <c r="AV144" i="83" s="1"/>
  <c r="AW144" i="83" s="1"/>
  <c r="AT147" i="83"/>
  <c r="AV147" i="83" s="1"/>
  <c r="AW147" i="83" s="1"/>
  <c r="AT152" i="83"/>
  <c r="AV152" i="83" s="1"/>
  <c r="AW152" i="83" s="1"/>
  <c r="AT166" i="83"/>
  <c r="AV166" i="83" s="1"/>
  <c r="AW166" i="83" s="1"/>
  <c r="AT163" i="83"/>
  <c r="AV163" i="83" s="1"/>
  <c r="AW163" i="83" s="1"/>
  <c r="AT148" i="83"/>
  <c r="AV148" i="83" s="1"/>
  <c r="AW148" i="83" s="1"/>
  <c r="AT150" i="83"/>
  <c r="AV150" i="83" s="1"/>
  <c r="AW150" i="83" s="1"/>
  <c r="AT162" i="83"/>
  <c r="AV162" i="83" s="1"/>
  <c r="AW162" i="83" s="1"/>
  <c r="AT149" i="83"/>
  <c r="AV149" i="83" s="1"/>
  <c r="AW149" i="83" s="1"/>
  <c r="AT153" i="83"/>
  <c r="AV153" i="83" s="1"/>
  <c r="AW153" i="83" s="1"/>
  <c r="AT157" i="83"/>
  <c r="AV157" i="83" s="1"/>
  <c r="AW157" i="83" s="1"/>
  <c r="AT161" i="83"/>
  <c r="AV161" i="83" s="1"/>
  <c r="AW161" i="83" s="1"/>
  <c r="AT143" i="83"/>
  <c r="AV143" i="83" s="1"/>
  <c r="AW143" i="83" s="1"/>
  <c r="AT145" i="83"/>
  <c r="AV145" i="83" s="1"/>
  <c r="AW145" i="83" s="1"/>
  <c r="AT156" i="83"/>
  <c r="AV156" i="83" s="1"/>
  <c r="AW156" i="83" s="1"/>
  <c r="AT141" i="83"/>
  <c r="AV141" i="83" s="1"/>
  <c r="AW141" i="83" s="1"/>
  <c r="AT160" i="83"/>
  <c r="AV160" i="83" s="1"/>
  <c r="AW160" i="83" s="1"/>
  <c r="AT165" i="83"/>
  <c r="AV165" i="83" s="1"/>
  <c r="AW165" i="83" s="1"/>
  <c r="AT159" i="83"/>
  <c r="AV159" i="83" s="1"/>
  <c r="AW159" i="83" s="1"/>
  <c r="AT155" i="83"/>
  <c r="AV155" i="83" s="1"/>
  <c r="AW155" i="83" s="1"/>
  <c r="AT167" i="83"/>
  <c r="AV167" i="83" s="1"/>
  <c r="AW167" i="83" s="1"/>
  <c r="AT154" i="83"/>
  <c r="AV154" i="83" s="1"/>
  <c r="AW154" i="83" s="1"/>
  <c r="AT138" i="83"/>
  <c r="AN139" i="83"/>
  <c r="AO139" i="83" s="1"/>
  <c r="AT139" i="83"/>
  <c r="AV139" i="83" s="1"/>
  <c r="AW139" i="83" s="1"/>
  <c r="AE229" i="83"/>
  <c r="AN54" i="83"/>
  <c r="AO54" i="83" s="1"/>
  <c r="AN48" i="83"/>
  <c r="AO48" i="83" s="1"/>
  <c r="AN63" i="83"/>
  <c r="AO63" i="83" s="1"/>
  <c r="AJ277" i="83"/>
  <c r="AN277" i="83" s="1"/>
  <c r="AK271" i="83"/>
  <c r="AJ229" i="83"/>
  <c r="AN69" i="83"/>
  <c r="AO69" i="83" s="1"/>
  <c r="AN53" i="83"/>
  <c r="AO53" i="83" s="1"/>
  <c r="AN61" i="83"/>
  <c r="AO61" i="83" s="1"/>
  <c r="AN52" i="83"/>
  <c r="AO52" i="83" s="1"/>
  <c r="AJ325" i="83"/>
  <c r="AK325" i="83" s="1"/>
  <c r="AN62" i="83"/>
  <c r="AO62" i="83" s="1"/>
  <c r="AN66" i="83"/>
  <c r="AO66" i="83" s="1"/>
  <c r="AN49" i="83"/>
  <c r="AO49" i="83" s="1"/>
  <c r="AN57" i="83"/>
  <c r="AO57" i="83" s="1"/>
  <c r="AE325" i="83"/>
  <c r="AE181" i="83"/>
  <c r="AN59" i="83"/>
  <c r="AO59" i="83" s="1"/>
  <c r="AN55" i="83"/>
  <c r="AO55" i="83" s="1"/>
  <c r="AN60" i="83"/>
  <c r="AO60" i="83" s="1"/>
  <c r="AN71" i="83"/>
  <c r="AO71" i="83" s="1"/>
  <c r="AN47" i="83"/>
  <c r="AO47" i="83" s="1"/>
  <c r="AN67" i="83"/>
  <c r="AO67" i="83" s="1"/>
  <c r="AE37" i="83"/>
  <c r="AE277" i="83"/>
  <c r="AN319" i="83"/>
  <c r="AK127" i="83"/>
  <c r="AJ133" i="83"/>
  <c r="AN133" i="83" s="1"/>
  <c r="AN129" i="48"/>
  <c r="AO129" i="48" s="1"/>
  <c r="AN79" i="48"/>
  <c r="AO79" i="48" s="1"/>
  <c r="AK273" i="48"/>
  <c r="AN177" i="48"/>
  <c r="AO177" i="48" s="1"/>
  <c r="I8" i="36"/>
  <c r="P8" i="36" s="1"/>
  <c r="I7" i="36"/>
  <c r="P7" i="36" s="1"/>
  <c r="I6" i="36"/>
  <c r="P6" i="36" s="1"/>
  <c r="I5" i="36"/>
  <c r="P5" i="36" s="1"/>
  <c r="I4" i="36"/>
  <c r="P4" i="36" s="1"/>
  <c r="AT202" i="83" l="1"/>
  <c r="AV202" i="83" s="1"/>
  <c r="AW202" i="83" s="1"/>
  <c r="AN206" i="83"/>
  <c r="AO206" i="83" s="1"/>
  <c r="AT207" i="83"/>
  <c r="AV207" i="83" s="1"/>
  <c r="AW207" i="83" s="1"/>
  <c r="AN213" i="83"/>
  <c r="AO213" i="83" s="1"/>
  <c r="AT187" i="83"/>
  <c r="AV187" i="83" s="1"/>
  <c r="AW187" i="83" s="1"/>
  <c r="AT188" i="83"/>
  <c r="AV188" i="83" s="1"/>
  <c r="AW188" i="83" s="1"/>
  <c r="AN187" i="83"/>
  <c r="AO187" i="83" s="1"/>
  <c r="AN197" i="83"/>
  <c r="AO197" i="83" s="1"/>
  <c r="AN203" i="83"/>
  <c r="AO203" i="83" s="1"/>
  <c r="AN190" i="83"/>
  <c r="AO190" i="83" s="1"/>
  <c r="AN208" i="83"/>
  <c r="AO208" i="83" s="1"/>
  <c r="AT211" i="83"/>
  <c r="AV211" i="83" s="1"/>
  <c r="AW211" i="83" s="1"/>
  <c r="AT215" i="83"/>
  <c r="AV215" i="83" s="1"/>
  <c r="AW215" i="83" s="1"/>
  <c r="AT192" i="83"/>
  <c r="AV192" i="83" s="1"/>
  <c r="AW192" i="83" s="1"/>
  <c r="AO175" i="83"/>
  <c r="AN193" i="83"/>
  <c r="AO193" i="83" s="1"/>
  <c r="AN202" i="83"/>
  <c r="AO202" i="83" s="1"/>
  <c r="AN211" i="83"/>
  <c r="AO211" i="83" s="1"/>
  <c r="AN214" i="83"/>
  <c r="AO214" i="83" s="1"/>
  <c r="AN186" i="83"/>
  <c r="AO186" i="83" s="1"/>
  <c r="AT210" i="83"/>
  <c r="AV210" i="83" s="1"/>
  <c r="AW210" i="83" s="1"/>
  <c r="AT209" i="83"/>
  <c r="AV209" i="83" s="1"/>
  <c r="AW209" i="83" s="1"/>
  <c r="AT203" i="83"/>
  <c r="AV203" i="83" s="1"/>
  <c r="AW203" i="83" s="1"/>
  <c r="AN195" i="83"/>
  <c r="AO195" i="83" s="1"/>
  <c r="AN215" i="83"/>
  <c r="AO215" i="83" s="1"/>
  <c r="AN194" i="83"/>
  <c r="AO194" i="83" s="1"/>
  <c r="AN37" i="83"/>
  <c r="AV33" i="83" s="1"/>
  <c r="AW33" i="83" s="1"/>
  <c r="AN196" i="83"/>
  <c r="AO196" i="83" s="1"/>
  <c r="AT186" i="83"/>
  <c r="AV186" i="83" s="1"/>
  <c r="AW186" i="83" s="1"/>
  <c r="AT197" i="83"/>
  <c r="AV197" i="83" s="1"/>
  <c r="AW197" i="83" s="1"/>
  <c r="AT196" i="83"/>
  <c r="AV196" i="83" s="1"/>
  <c r="AW196" i="83" s="1"/>
  <c r="AT191" i="83"/>
  <c r="AV191" i="83" s="1"/>
  <c r="AW191" i="83" s="1"/>
  <c r="AN188" i="83"/>
  <c r="AO188" i="83" s="1"/>
  <c r="AN198" i="83"/>
  <c r="AO198" i="83" s="1"/>
  <c r="AT205" i="83"/>
  <c r="AV205" i="83" s="1"/>
  <c r="AW205" i="83" s="1"/>
  <c r="AT213" i="83"/>
  <c r="AV213" i="83" s="1"/>
  <c r="AW213" i="83" s="1"/>
  <c r="AT190" i="83"/>
  <c r="AV190" i="83" s="1"/>
  <c r="AW190" i="83" s="1"/>
  <c r="AT193" i="83"/>
  <c r="AV193" i="83" s="1"/>
  <c r="AW193" i="83" s="1"/>
  <c r="AT208" i="83"/>
  <c r="AV208" i="83" s="1"/>
  <c r="AW208" i="83" s="1"/>
  <c r="AT189" i="83"/>
  <c r="AV189" i="83" s="1"/>
  <c r="AW189" i="83" s="1"/>
  <c r="AT195" i="83"/>
  <c r="AV195" i="83" s="1"/>
  <c r="AW195" i="83" s="1"/>
  <c r="AT198" i="83"/>
  <c r="AV198" i="83" s="1"/>
  <c r="AW198" i="83" s="1"/>
  <c r="AN201" i="83"/>
  <c r="AO201" i="83" s="1"/>
  <c r="AN205" i="83"/>
  <c r="AO205" i="83" s="1"/>
  <c r="AN209" i="83"/>
  <c r="AO209" i="83" s="1"/>
  <c r="AN204" i="83"/>
  <c r="AO204" i="83" s="1"/>
  <c r="AT206" i="83"/>
  <c r="AV206" i="83" s="1"/>
  <c r="AW206" i="83" s="1"/>
  <c r="AT212" i="83"/>
  <c r="AV212" i="83" s="1"/>
  <c r="AW212" i="83" s="1"/>
  <c r="AT204" i="83"/>
  <c r="AV204" i="83" s="1"/>
  <c r="AW204" i="83" s="1"/>
  <c r="AT194" i="83"/>
  <c r="AV194" i="83" s="1"/>
  <c r="AW194" i="83" s="1"/>
  <c r="AN191" i="83"/>
  <c r="AO191" i="83" s="1"/>
  <c r="AN199" i="83"/>
  <c r="AO199" i="83" s="1"/>
  <c r="AT200" i="83"/>
  <c r="AV200" i="83" s="1"/>
  <c r="AW200" i="83" s="1"/>
  <c r="AT214" i="83"/>
  <c r="AV214" i="83" s="1"/>
  <c r="AW214" i="83" s="1"/>
  <c r="AT201" i="83"/>
  <c r="AV201" i="83" s="1"/>
  <c r="AW201" i="83" s="1"/>
  <c r="AT199" i="83"/>
  <c r="AV199" i="83" s="1"/>
  <c r="AW199" i="83" s="1"/>
  <c r="AN325" i="83"/>
  <c r="AO325" i="83" s="1"/>
  <c r="AN210" i="83"/>
  <c r="AO210" i="83" s="1"/>
  <c r="AN207" i="83"/>
  <c r="AO207" i="83" s="1"/>
  <c r="AV31" i="83"/>
  <c r="AW31" i="83" s="1"/>
  <c r="AN200" i="83"/>
  <c r="AO200" i="83" s="1"/>
  <c r="AV319" i="83"/>
  <c r="AW319" i="83" s="1"/>
  <c r="AN212" i="83"/>
  <c r="AO212" i="83" s="1"/>
  <c r="AN192" i="83"/>
  <c r="AO192" i="83" s="1"/>
  <c r="AK181" i="83"/>
  <c r="AV175" i="83"/>
  <c r="AW175" i="83" s="1"/>
  <c r="AV128" i="83"/>
  <c r="AW128" i="83" s="1"/>
  <c r="AO133" i="83"/>
  <c r="AV130" i="83"/>
  <c r="AW130" i="83" s="1"/>
  <c r="AV129" i="83"/>
  <c r="AW129" i="83" s="1"/>
  <c r="AN241" i="83"/>
  <c r="AO241" i="83" s="1"/>
  <c r="AO223" i="83"/>
  <c r="AT260" i="83"/>
  <c r="AV260" i="83" s="1"/>
  <c r="AW260" i="83" s="1"/>
  <c r="AT262" i="83"/>
  <c r="AV262" i="83" s="1"/>
  <c r="AW262" i="83" s="1"/>
  <c r="AT251" i="83"/>
  <c r="AV251" i="83" s="1"/>
  <c r="AW251" i="83" s="1"/>
  <c r="AT241" i="83"/>
  <c r="AV241" i="83" s="1"/>
  <c r="AW241" i="83" s="1"/>
  <c r="AT261" i="83"/>
  <c r="AV261" i="83" s="1"/>
  <c r="AW261" i="83" s="1"/>
  <c r="AT244" i="83"/>
  <c r="AV244" i="83" s="1"/>
  <c r="AW244" i="83" s="1"/>
  <c r="AT250" i="83"/>
  <c r="AV250" i="83" s="1"/>
  <c r="AW250" i="83" s="1"/>
  <c r="AT238" i="83"/>
  <c r="AV238" i="83" s="1"/>
  <c r="AW238" i="83" s="1"/>
  <c r="AT247" i="83"/>
  <c r="AV247" i="83" s="1"/>
  <c r="AW247" i="83" s="1"/>
  <c r="AT242" i="83"/>
  <c r="AV242" i="83" s="1"/>
  <c r="AW242" i="83" s="1"/>
  <c r="AT236" i="83"/>
  <c r="AV236" i="83" s="1"/>
  <c r="AW236" i="83" s="1"/>
  <c r="AT245" i="83"/>
  <c r="AV245" i="83" s="1"/>
  <c r="AW245" i="83" s="1"/>
  <c r="AT253" i="83"/>
  <c r="AV253" i="83" s="1"/>
  <c r="AW253" i="83" s="1"/>
  <c r="AT243" i="83"/>
  <c r="AV243" i="83" s="1"/>
  <c r="AW243" i="83" s="1"/>
  <c r="AT240" i="83"/>
  <c r="AV240" i="83" s="1"/>
  <c r="AW240" i="83" s="1"/>
  <c r="AT263" i="83"/>
  <c r="AV263" i="83" s="1"/>
  <c r="AW263" i="83" s="1"/>
  <c r="AT239" i="83"/>
  <c r="AV239" i="83" s="1"/>
  <c r="AW239" i="83" s="1"/>
  <c r="AT256" i="83"/>
  <c r="AV256" i="83" s="1"/>
  <c r="AW256" i="83" s="1"/>
  <c r="AT246" i="83"/>
  <c r="AV246" i="83" s="1"/>
  <c r="AW246" i="83" s="1"/>
  <c r="AT255" i="83"/>
  <c r="AV255" i="83" s="1"/>
  <c r="AW255" i="83" s="1"/>
  <c r="AT259" i="83"/>
  <c r="AV259" i="83" s="1"/>
  <c r="AW259" i="83" s="1"/>
  <c r="AT257" i="83"/>
  <c r="AV257" i="83" s="1"/>
  <c r="AW257" i="83" s="1"/>
  <c r="AT237" i="83"/>
  <c r="AV237" i="83" s="1"/>
  <c r="AW237" i="83" s="1"/>
  <c r="AT258" i="83"/>
  <c r="AV258" i="83" s="1"/>
  <c r="AW258" i="83" s="1"/>
  <c r="AT249" i="83"/>
  <c r="AV249" i="83" s="1"/>
  <c r="AW249" i="83" s="1"/>
  <c r="AT248" i="83"/>
  <c r="AV248" i="83" s="1"/>
  <c r="AW248" i="83" s="1"/>
  <c r="AT234" i="83"/>
  <c r="AT252" i="83"/>
  <c r="AV252" i="83" s="1"/>
  <c r="AW252" i="83" s="1"/>
  <c r="AT254" i="83"/>
  <c r="AV254" i="83" s="1"/>
  <c r="AW254" i="83" s="1"/>
  <c r="AT235" i="83"/>
  <c r="AV235" i="83" s="1"/>
  <c r="AW235" i="83" s="1"/>
  <c r="AN244" i="83"/>
  <c r="AO244" i="83" s="1"/>
  <c r="AN255" i="83"/>
  <c r="AO255" i="83" s="1"/>
  <c r="AN259" i="83"/>
  <c r="AO259" i="83" s="1"/>
  <c r="AN236" i="83"/>
  <c r="AO236" i="83" s="1"/>
  <c r="AN261" i="83"/>
  <c r="AO261" i="83" s="1"/>
  <c r="AN250" i="83"/>
  <c r="AO250" i="83" s="1"/>
  <c r="AN257" i="83"/>
  <c r="AO257" i="83" s="1"/>
  <c r="AN254" i="83"/>
  <c r="AO254" i="83" s="1"/>
  <c r="AN237" i="83"/>
  <c r="AO237" i="83" s="1"/>
  <c r="AN252" i="83"/>
  <c r="AO252" i="83" s="1"/>
  <c r="AN258" i="83"/>
  <c r="AO258" i="83" s="1"/>
  <c r="AN238" i="83"/>
  <c r="AO238" i="83" s="1"/>
  <c r="AN239" i="83"/>
  <c r="AO239" i="83" s="1"/>
  <c r="AN234" i="83"/>
  <c r="AN247" i="83"/>
  <c r="AO247" i="83" s="1"/>
  <c r="AN260" i="83"/>
  <c r="AO260" i="83" s="1"/>
  <c r="AN242" i="83"/>
  <c r="AO242" i="83" s="1"/>
  <c r="AN249" i="83"/>
  <c r="AO249" i="83" s="1"/>
  <c r="AN248" i="83"/>
  <c r="AO248" i="83" s="1"/>
  <c r="AN245" i="83"/>
  <c r="AO245" i="83" s="1"/>
  <c r="AN243" i="83"/>
  <c r="AO243" i="83" s="1"/>
  <c r="AN246" i="83"/>
  <c r="AO246" i="83" s="1"/>
  <c r="AN262" i="83"/>
  <c r="AO262" i="83" s="1"/>
  <c r="AN251" i="83"/>
  <c r="AO251" i="83" s="1"/>
  <c r="AN263" i="83"/>
  <c r="AO263" i="83" s="1"/>
  <c r="AN256" i="83"/>
  <c r="AO256" i="83" s="1"/>
  <c r="AN235" i="83"/>
  <c r="AO235" i="83" s="1"/>
  <c r="AN240" i="83"/>
  <c r="AO240" i="83" s="1"/>
  <c r="AN253" i="83"/>
  <c r="AO253" i="83" s="1"/>
  <c r="AN136" i="83"/>
  <c r="AV282" i="83"/>
  <c r="AW282" i="83" s="1"/>
  <c r="AT280" i="83"/>
  <c r="AV127" i="83"/>
  <c r="AK133" i="83"/>
  <c r="AV177" i="83"/>
  <c r="AW177" i="83" s="1"/>
  <c r="AO181" i="83"/>
  <c r="AV176" i="83"/>
  <c r="AV178" i="83"/>
  <c r="AW178" i="83" s="1"/>
  <c r="AK229" i="83"/>
  <c r="AV223" i="83"/>
  <c r="AV138" i="83"/>
  <c r="AW138" i="83" s="1"/>
  <c r="AT136" i="83"/>
  <c r="AV42" i="83"/>
  <c r="AW42" i="83" s="1"/>
  <c r="AT40" i="83"/>
  <c r="AV272" i="83"/>
  <c r="AW272" i="83" s="1"/>
  <c r="AV274" i="83"/>
  <c r="AW274" i="83" s="1"/>
  <c r="AV273" i="83"/>
  <c r="AW273" i="83" s="1"/>
  <c r="AO277" i="83"/>
  <c r="AK277" i="83"/>
  <c r="AV271" i="83"/>
  <c r="AN40" i="83"/>
  <c r="AO42" i="83"/>
  <c r="AN348" i="83"/>
  <c r="AO348" i="83" s="1"/>
  <c r="AO319" i="83"/>
  <c r="AT338" i="83"/>
  <c r="AV338" i="83" s="1"/>
  <c r="AW338" i="83" s="1"/>
  <c r="AT346" i="83"/>
  <c r="AV346" i="83" s="1"/>
  <c r="AW346" i="83" s="1"/>
  <c r="AT356" i="83"/>
  <c r="AV356" i="83" s="1"/>
  <c r="AW356" i="83" s="1"/>
  <c r="AT357" i="83"/>
  <c r="AV357" i="83" s="1"/>
  <c r="AW357" i="83" s="1"/>
  <c r="AT333" i="83"/>
  <c r="AV333" i="83" s="1"/>
  <c r="AW333" i="83" s="1"/>
  <c r="AT332" i="83"/>
  <c r="AV332" i="83" s="1"/>
  <c r="AW332" i="83" s="1"/>
  <c r="AT339" i="83"/>
  <c r="AV339" i="83" s="1"/>
  <c r="AW339" i="83" s="1"/>
  <c r="AT354" i="83"/>
  <c r="AV354" i="83" s="1"/>
  <c r="AW354" i="83" s="1"/>
  <c r="AT341" i="83"/>
  <c r="AV341" i="83" s="1"/>
  <c r="AW341" i="83" s="1"/>
  <c r="AT355" i="83"/>
  <c r="AV355" i="83" s="1"/>
  <c r="AW355" i="83" s="1"/>
  <c r="AT337" i="83"/>
  <c r="AV337" i="83" s="1"/>
  <c r="AW337" i="83" s="1"/>
  <c r="AT336" i="83"/>
  <c r="AV336" i="83" s="1"/>
  <c r="AW336" i="83" s="1"/>
  <c r="AT359" i="83"/>
  <c r="AV359" i="83" s="1"/>
  <c r="AW359" i="83" s="1"/>
  <c r="AT342" i="83"/>
  <c r="AV342" i="83" s="1"/>
  <c r="AW342" i="83" s="1"/>
  <c r="AT345" i="83"/>
  <c r="AV345" i="83" s="1"/>
  <c r="AW345" i="83" s="1"/>
  <c r="AT347" i="83"/>
  <c r="AV347" i="83" s="1"/>
  <c r="AW347" i="83" s="1"/>
  <c r="AT353" i="83"/>
  <c r="AV353" i="83" s="1"/>
  <c r="AW353" i="83" s="1"/>
  <c r="AT340" i="83"/>
  <c r="AV340" i="83" s="1"/>
  <c r="AW340" i="83" s="1"/>
  <c r="AT352" i="83"/>
  <c r="AV352" i="83" s="1"/>
  <c r="AW352" i="83" s="1"/>
  <c r="AT348" i="83"/>
  <c r="AV348" i="83" s="1"/>
  <c r="AW348" i="83" s="1"/>
  <c r="AT335" i="83"/>
  <c r="AV335" i="83" s="1"/>
  <c r="AW335" i="83" s="1"/>
  <c r="AT331" i="83"/>
  <c r="AV331" i="83" s="1"/>
  <c r="AW331" i="83" s="1"/>
  <c r="AT350" i="83"/>
  <c r="AV350" i="83" s="1"/>
  <c r="AW350" i="83" s="1"/>
  <c r="AT358" i="83"/>
  <c r="AV358" i="83" s="1"/>
  <c r="AW358" i="83" s="1"/>
  <c r="AT344" i="83"/>
  <c r="AV344" i="83" s="1"/>
  <c r="AW344" i="83" s="1"/>
  <c r="AT343" i="83"/>
  <c r="AV343" i="83" s="1"/>
  <c r="AW343" i="83" s="1"/>
  <c r="AT351" i="83"/>
  <c r="AV351" i="83" s="1"/>
  <c r="AW351" i="83" s="1"/>
  <c r="AT330" i="83"/>
  <c r="AN334" i="83"/>
  <c r="AO334" i="83" s="1"/>
  <c r="AT334" i="83"/>
  <c r="AV334" i="83" s="1"/>
  <c r="AW334" i="83" s="1"/>
  <c r="AT349" i="83"/>
  <c r="AV349" i="83" s="1"/>
  <c r="AW349" i="83" s="1"/>
  <c r="AN351" i="83"/>
  <c r="AO351" i="83" s="1"/>
  <c r="AN359" i="83"/>
  <c r="AO359" i="83" s="1"/>
  <c r="AN342" i="83"/>
  <c r="AO342" i="83" s="1"/>
  <c r="AN339" i="83"/>
  <c r="AO339" i="83" s="1"/>
  <c r="AN345" i="83"/>
  <c r="AO345" i="83" s="1"/>
  <c r="AN350" i="83"/>
  <c r="AO350" i="83" s="1"/>
  <c r="AN341" i="83"/>
  <c r="AO341" i="83" s="1"/>
  <c r="AN354" i="83"/>
  <c r="AO354" i="83" s="1"/>
  <c r="AN358" i="83"/>
  <c r="AO358" i="83" s="1"/>
  <c r="AN346" i="83"/>
  <c r="AO346" i="83" s="1"/>
  <c r="AN347" i="83"/>
  <c r="AO347" i="83" s="1"/>
  <c r="AN344" i="83"/>
  <c r="AO344" i="83" s="1"/>
  <c r="AN330" i="83"/>
  <c r="AN357" i="83"/>
  <c r="AO357" i="83" s="1"/>
  <c r="AN353" i="83"/>
  <c r="AO353" i="83" s="1"/>
  <c r="AN335" i="83"/>
  <c r="AO335" i="83" s="1"/>
  <c r="AN355" i="83"/>
  <c r="AO355" i="83" s="1"/>
  <c r="AN340" i="83"/>
  <c r="AO340" i="83" s="1"/>
  <c r="AN338" i="83"/>
  <c r="AO338" i="83" s="1"/>
  <c r="AN343" i="83"/>
  <c r="AO343" i="83" s="1"/>
  <c r="AN337" i="83"/>
  <c r="AO337" i="83" s="1"/>
  <c r="AN336" i="83"/>
  <c r="AO336" i="83" s="1"/>
  <c r="AN331" i="83"/>
  <c r="AO331" i="83" s="1"/>
  <c r="AN349" i="83"/>
  <c r="AO349" i="83" s="1"/>
  <c r="AN332" i="83"/>
  <c r="AO332" i="83" s="1"/>
  <c r="AN333" i="83"/>
  <c r="AO333" i="83" s="1"/>
  <c r="AN352" i="83"/>
  <c r="AO352" i="83" s="1"/>
  <c r="AN356" i="83"/>
  <c r="AO356" i="83" s="1"/>
  <c r="AN229" i="83"/>
  <c r="AO282" i="83"/>
  <c r="AN280" i="83"/>
  <c r="S4" i="36"/>
  <c r="S5" i="36"/>
  <c r="S6" i="36"/>
  <c r="T6" i="36" s="1"/>
  <c r="S7" i="36"/>
  <c r="T7" i="36" s="1"/>
  <c r="S8" i="36"/>
  <c r="T8" i="36" s="1"/>
  <c r="Q7" i="36"/>
  <c r="R7" i="36"/>
  <c r="R6" i="36"/>
  <c r="Q6" i="36"/>
  <c r="Q5" i="36"/>
  <c r="R5" i="36"/>
  <c r="R8" i="36"/>
  <c r="Q8" i="36"/>
  <c r="R4" i="36"/>
  <c r="Q4" i="36"/>
  <c r="AJ34" i="48"/>
  <c r="W34" i="48"/>
  <c r="AD34" i="48"/>
  <c r="AV34" i="83" l="1"/>
  <c r="AW34" i="83" s="1"/>
  <c r="AO37" i="83"/>
  <c r="AV321" i="83"/>
  <c r="AW321" i="83" s="1"/>
  <c r="AV322" i="83"/>
  <c r="AW322" i="83" s="1"/>
  <c r="AV320" i="83"/>
  <c r="AW320" i="83" s="1"/>
  <c r="AV32" i="83"/>
  <c r="AW32" i="83" s="1"/>
  <c r="AT184" i="83"/>
  <c r="AN184" i="83"/>
  <c r="AW223" i="83"/>
  <c r="AW127" i="83"/>
  <c r="AV125" i="83"/>
  <c r="AV330" i="83"/>
  <c r="AW330" i="83" s="1"/>
  <c r="AT328" i="83"/>
  <c r="AW271" i="83"/>
  <c r="AV269" i="83"/>
  <c r="AO234" i="83"/>
  <c r="AN232" i="83"/>
  <c r="AV226" i="83"/>
  <c r="AW226" i="83" s="1"/>
  <c r="AV224" i="83"/>
  <c r="AW224" i="83" s="1"/>
  <c r="AV225" i="83"/>
  <c r="AW225" i="83" s="1"/>
  <c r="AO229" i="83"/>
  <c r="AO330" i="83"/>
  <c r="AN328" i="83"/>
  <c r="AW176" i="83"/>
  <c r="AV173" i="83"/>
  <c r="AT232" i="83"/>
  <c r="AV234" i="83"/>
  <c r="AW234" i="83" s="1"/>
  <c r="AD181" i="48"/>
  <c r="AD229" i="48"/>
  <c r="AD325" i="48"/>
  <c r="AD133" i="48"/>
  <c r="AD277" i="48"/>
  <c r="V133" i="48"/>
  <c r="W133" i="48" s="1"/>
  <c r="V325" i="48"/>
  <c r="W325" i="48" s="1"/>
  <c r="V181" i="48"/>
  <c r="W181" i="48" s="1"/>
  <c r="V229" i="48"/>
  <c r="W229" i="48" s="1"/>
  <c r="V277" i="48"/>
  <c r="W277" i="48" s="1"/>
  <c r="AD84" i="48"/>
  <c r="AE84" i="48" s="1"/>
  <c r="AD278" i="48"/>
  <c r="AD182" i="48"/>
  <c r="AD134" i="48"/>
  <c r="AD230" i="48"/>
  <c r="AD326" i="48"/>
  <c r="V326" i="48"/>
  <c r="W326" i="48" s="1"/>
  <c r="V230" i="48"/>
  <c r="W230" i="48" s="1"/>
  <c r="V134" i="48"/>
  <c r="W134" i="48" s="1"/>
  <c r="V182" i="48"/>
  <c r="W182" i="48" s="1"/>
  <c r="V278" i="48"/>
  <c r="W278" i="48" s="1"/>
  <c r="AG134" i="48"/>
  <c r="AH134" i="48" s="1"/>
  <c r="AG230" i="48"/>
  <c r="AH230" i="48" s="1"/>
  <c r="AG326" i="48"/>
  <c r="AH326" i="48" s="1"/>
  <c r="AG278" i="48"/>
  <c r="AH278" i="48" s="1"/>
  <c r="AG182" i="48"/>
  <c r="AH182" i="48" s="1"/>
  <c r="AG325" i="48"/>
  <c r="AH325" i="48" s="1"/>
  <c r="AG277" i="48"/>
  <c r="AH277" i="48" s="1"/>
  <c r="AG133" i="48"/>
  <c r="AH133" i="48" s="1"/>
  <c r="AG181" i="48"/>
  <c r="AH181" i="48" s="1"/>
  <c r="AG229" i="48"/>
  <c r="AH229" i="48" s="1"/>
  <c r="T4" i="36"/>
  <c r="AG83" i="48"/>
  <c r="AH83" i="48" s="1"/>
  <c r="V35" i="48"/>
  <c r="W35" i="48" s="1"/>
  <c r="V83" i="48"/>
  <c r="W83" i="48" s="1"/>
  <c r="V36" i="48"/>
  <c r="V84" i="48"/>
  <c r="W84" i="48" s="1"/>
  <c r="T5" i="36"/>
  <c r="AG84" i="48"/>
  <c r="AH84" i="48" s="1"/>
  <c r="AD35" i="48"/>
  <c r="AE35" i="48" s="1"/>
  <c r="AD83" i="48"/>
  <c r="AG35" i="48"/>
  <c r="AG36" i="48"/>
  <c r="AH36" i="48" s="1"/>
  <c r="AN34" i="48"/>
  <c r="AO34" i="48" s="1"/>
  <c r="AK34" i="48"/>
  <c r="AE34" i="48"/>
  <c r="D1" i="65" a="1"/>
  <c r="DD2" i="65" l="1" a="1"/>
  <c r="DD2" i="65" s="1"/>
  <c r="DF2" i="65" a="1"/>
  <c r="DF2" i="65" s="1"/>
  <c r="DE2" i="65" a="1"/>
  <c r="DE2" i="65" s="1"/>
  <c r="DB2" i="65" a="1"/>
  <c r="DB2" i="65" s="1"/>
  <c r="DC2" i="65" a="1"/>
  <c r="DC2" i="65" s="1"/>
  <c r="DA2" i="65" a="1"/>
  <c r="DA2" i="65" s="1"/>
  <c r="CZ2" i="65" a="1"/>
  <c r="CZ2" i="65" s="1"/>
  <c r="CX2" i="65" a="1"/>
  <c r="CX2" i="65" s="1"/>
  <c r="CY2" i="65" a="1"/>
  <c r="CY2" i="65" s="1"/>
  <c r="CV2" i="65" a="1"/>
  <c r="CV2" i="65" s="1"/>
  <c r="CW2" i="65" a="1"/>
  <c r="CW2" i="65" s="1"/>
  <c r="CT2" i="65" a="1"/>
  <c r="CT2" i="65" s="1"/>
  <c r="CU2" i="65" a="1"/>
  <c r="CU2" i="65" s="1"/>
  <c r="CR2" i="65" a="1"/>
  <c r="CR2" i="65" s="1"/>
  <c r="CS2" i="65" a="1"/>
  <c r="CS2" i="65" s="1"/>
  <c r="CP2" i="65" a="1"/>
  <c r="CP2" i="65" s="1"/>
  <c r="CQ2" i="65" a="1"/>
  <c r="CQ2" i="65" s="1"/>
  <c r="CN2" i="65" a="1"/>
  <c r="CN2" i="65" s="1"/>
  <c r="CO2" i="65" a="1"/>
  <c r="CO2" i="65" s="1"/>
  <c r="CL2" i="65" a="1"/>
  <c r="CL2" i="65" s="1"/>
  <c r="CM2" i="65" a="1"/>
  <c r="CM2" i="65" s="1"/>
  <c r="CJ2" i="65" a="1"/>
  <c r="CJ2" i="65" s="1"/>
  <c r="CK2" i="65" a="1"/>
  <c r="CK2" i="65" s="1"/>
  <c r="CH2" i="65" a="1"/>
  <c r="CH2" i="65" s="1"/>
  <c r="CI2" i="65" a="1"/>
  <c r="CI2" i="65" s="1"/>
  <c r="CF2" i="65" a="1"/>
  <c r="CF2" i="65" s="1"/>
  <c r="CG2" i="65" a="1"/>
  <c r="CG2" i="65" s="1"/>
  <c r="CD2" i="65" a="1"/>
  <c r="CD2" i="65" s="1"/>
  <c r="CE2" i="65" a="1"/>
  <c r="CE2" i="65" s="1"/>
  <c r="AV317" i="83"/>
  <c r="AV29" i="83"/>
  <c r="CB2" i="65" a="1"/>
  <c r="CB2" i="65" s="1"/>
  <c r="BX2" i="65" a="1"/>
  <c r="BX2" i="65" s="1"/>
  <c r="CC2" i="65" a="1"/>
  <c r="CC2" i="65" s="1"/>
  <c r="BY2" i="65" a="1"/>
  <c r="BY2" i="65" s="1"/>
  <c r="BU2" i="65" a="1"/>
  <c r="BU2" i="65" s="1"/>
  <c r="BZ2" i="65" a="1"/>
  <c r="BZ2" i="65" s="1"/>
  <c r="BV2" i="65" a="1"/>
  <c r="BV2" i="65" s="1"/>
  <c r="CA2" i="65" a="1"/>
  <c r="CA2" i="65" s="1"/>
  <c r="BW2" i="65" a="1"/>
  <c r="BW2" i="65" s="1"/>
  <c r="BT2" i="65" a="1"/>
  <c r="BT2" i="65" s="1"/>
  <c r="BR2" i="65" a="1"/>
  <c r="BR2" i="65" s="1"/>
  <c r="BS2" i="65" a="1"/>
  <c r="BS2" i="65" s="1"/>
  <c r="Y311" i="83" a="1"/>
  <c r="Y311" i="83" s="1"/>
  <c r="Y307" i="83" a="1"/>
  <c r="Y307" i="83" s="1"/>
  <c r="Y303" i="83" a="1"/>
  <c r="Y303" i="83" s="1"/>
  <c r="Y298" i="83" a="1"/>
  <c r="Y298" i="83" s="1"/>
  <c r="Y294" i="83" a="1"/>
  <c r="Y294" i="83" s="1"/>
  <c r="Y254" i="83" a="1"/>
  <c r="Y254" i="83" s="1"/>
  <c r="Y208" i="83" a="1"/>
  <c r="Y208" i="83" s="1"/>
  <c r="Y204" i="83" a="1"/>
  <c r="Y204" i="83" s="1"/>
  <c r="Y198" i="83" a="1"/>
  <c r="Y198" i="83" s="1"/>
  <c r="Y154" i="83" a="1"/>
  <c r="Y154" i="83" s="1"/>
  <c r="Y149" i="83" a="1"/>
  <c r="Y149" i="83" s="1"/>
  <c r="Y144" i="83" a="1"/>
  <c r="Y144" i="83" s="1"/>
  <c r="Y117" i="83" a="1"/>
  <c r="Y117" i="83" s="1"/>
  <c r="Y101" i="83" a="1"/>
  <c r="Y101" i="83" s="1"/>
  <c r="Y66" i="83" a="1"/>
  <c r="Y66" i="83" s="1"/>
  <c r="Y58" i="83" a="1"/>
  <c r="Y58" i="83" s="1"/>
  <c r="Y59" i="83" a="1"/>
  <c r="Y59" i="83" s="1"/>
  <c r="Y359" i="83" a="1"/>
  <c r="Y359" i="83" s="1"/>
  <c r="Y354" i="83" a="1"/>
  <c r="Y354" i="83" s="1"/>
  <c r="Y350" i="83" a="1"/>
  <c r="Y350" i="83" s="1"/>
  <c r="Y346" i="83" a="1"/>
  <c r="Y346" i="83" s="1"/>
  <c r="Y342" i="83" a="1"/>
  <c r="Y342" i="83" s="1"/>
  <c r="Y338" i="83" a="1"/>
  <c r="Y338" i="83" s="1"/>
  <c r="Y290" i="83" a="1"/>
  <c r="Y290" i="83" s="1"/>
  <c r="Y263" i="83" a="1"/>
  <c r="Y263" i="83" s="1"/>
  <c r="Y259" i="83" a="1"/>
  <c r="Y259" i="83" s="1"/>
  <c r="Y249" i="83" a="1"/>
  <c r="Y249" i="83" s="1"/>
  <c r="Y244" i="83" a="1"/>
  <c r="Y244" i="83" s="1"/>
  <c r="Y213" i="83" a="1"/>
  <c r="Y213" i="83" s="1"/>
  <c r="Y209" i="83" a="1"/>
  <c r="Y209" i="83" s="1"/>
  <c r="Y199" i="83" a="1"/>
  <c r="Y199" i="83" s="1"/>
  <c r="Y193" i="83" a="1"/>
  <c r="Y193" i="83" s="1"/>
  <c r="Y166" i="83" a="1"/>
  <c r="Y166" i="83" s="1"/>
  <c r="Y165" i="83" a="1"/>
  <c r="Y165" i="83" s="1"/>
  <c r="Y164" i="83" a="1"/>
  <c r="Y164" i="83" s="1"/>
  <c r="Y160" i="83" a="1"/>
  <c r="Y160" i="83" s="1"/>
  <c r="Y145" i="83" a="1"/>
  <c r="Y145" i="83" s="1"/>
  <c r="Y111" i="83" a="1"/>
  <c r="Y111" i="83" s="1"/>
  <c r="Y106" i="83" a="1"/>
  <c r="Y106" i="83" s="1"/>
  <c r="Y102" i="83" a="1"/>
  <c r="Y102" i="83" s="1"/>
  <c r="Y96" i="83" a="1"/>
  <c r="Y96" i="83" s="1"/>
  <c r="Y67" i="83" a="1"/>
  <c r="Y67" i="83" s="1"/>
  <c r="Y355" i="83" a="1"/>
  <c r="Y355" i="83" s="1"/>
  <c r="Y308" i="83" a="1"/>
  <c r="Y308" i="83" s="1"/>
  <c r="Y304" i="83" a="1"/>
  <c r="Y304" i="83" s="1"/>
  <c r="Y299" i="83" a="1"/>
  <c r="Y299" i="83" s="1"/>
  <c r="Y295" i="83" a="1"/>
  <c r="Y295" i="83" s="1"/>
  <c r="Y255" i="83" a="1"/>
  <c r="Y255" i="83" s="1"/>
  <c r="Y245" i="83" a="1"/>
  <c r="Y245" i="83" s="1"/>
  <c r="Y240" i="83" a="1"/>
  <c r="Y240" i="83" s="1"/>
  <c r="Y205" i="83" a="1"/>
  <c r="Y205" i="83" s="1"/>
  <c r="Y201" i="83" a="1"/>
  <c r="Y201" i="83" s="1"/>
  <c r="Y200" i="83" a="1"/>
  <c r="Y200" i="83" s="1"/>
  <c r="Y155" i="83" a="1"/>
  <c r="Y155" i="83" s="1"/>
  <c r="Y150" i="83" a="1"/>
  <c r="Y150" i="83" s="1"/>
  <c r="Y146" i="83" a="1"/>
  <c r="Y146" i="83" s="1"/>
  <c r="Y118" i="83" a="1"/>
  <c r="Y118" i="83" s="1"/>
  <c r="Y97" i="83" a="1"/>
  <c r="Y97" i="83" s="1"/>
  <c r="Y60" i="83" a="1"/>
  <c r="Y60" i="83" s="1"/>
  <c r="Y62" i="83" a="1"/>
  <c r="Y62" i="83" s="1"/>
  <c r="Y351" i="83" a="1"/>
  <c r="Y351" i="83" s="1"/>
  <c r="Y347" i="83" a="1"/>
  <c r="Y347" i="83" s="1"/>
  <c r="Y343" i="83" a="1"/>
  <c r="Y343" i="83" s="1"/>
  <c r="Y339" i="83" a="1"/>
  <c r="Y339" i="83" s="1"/>
  <c r="Y335" i="83" a="1"/>
  <c r="Y335" i="83" s="1"/>
  <c r="Y333" i="83" a="1"/>
  <c r="Y333" i="83" s="1"/>
  <c r="Y331" i="83" a="1"/>
  <c r="Y331" i="83" s="1"/>
  <c r="Y291" i="83" a="1"/>
  <c r="Y291" i="83" s="1"/>
  <c r="Y260" i="83" a="1"/>
  <c r="Y260" i="83" s="1"/>
  <c r="Y256" i="83" a="1"/>
  <c r="Y256" i="83" s="1"/>
  <c r="Y250" i="83" a="1"/>
  <c r="Y250" i="83" s="1"/>
  <c r="Y246" i="83" a="1"/>
  <c r="Y246" i="83" s="1"/>
  <c r="Y241" i="83" a="1"/>
  <c r="Y241" i="83" s="1"/>
  <c r="Y214" i="83" a="1"/>
  <c r="Y214" i="83" s="1"/>
  <c r="Y210" i="83" a="1"/>
  <c r="Y210" i="83" s="1"/>
  <c r="Y194" i="83" a="1"/>
  <c r="Y194" i="83" s="1"/>
  <c r="Y167" i="83" a="1"/>
  <c r="Y167" i="83" s="1"/>
  <c r="Y161" i="83" a="1"/>
  <c r="Y161" i="83" s="1"/>
  <c r="Y156" i="83" a="1"/>
  <c r="Y156" i="83" s="1"/>
  <c r="Y113" i="83" a="1"/>
  <c r="Y113" i="83" s="1"/>
  <c r="Y112" i="83" a="1"/>
  <c r="Y112" i="83" s="1"/>
  <c r="Y107" i="83" a="1"/>
  <c r="Y107" i="83" s="1"/>
  <c r="Y103" i="83" a="1"/>
  <c r="Y103" i="83" s="1"/>
  <c r="Y68" i="83" a="1"/>
  <c r="Y68" i="83" s="1"/>
  <c r="Y61" i="83" a="1"/>
  <c r="Y61" i="83" s="1"/>
  <c r="Y53" i="83" a="1"/>
  <c r="Y53" i="83" s="1"/>
  <c r="Y54" i="83" a="1"/>
  <c r="Y54" i="83" s="1"/>
  <c r="Y356" i="83" a="1"/>
  <c r="Y356" i="83" s="1"/>
  <c r="Y309" i="83" a="1"/>
  <c r="Y309" i="83" s="1"/>
  <c r="Y305" i="83" a="1"/>
  <c r="Y305" i="83" s="1"/>
  <c r="Y300" i="83" a="1"/>
  <c r="Y300" i="83" s="1"/>
  <c r="Y296" i="83" a="1"/>
  <c r="Y296" i="83" s="1"/>
  <c r="Y206" i="83" a="1"/>
  <c r="Y206" i="83" s="1"/>
  <c r="Y202" i="83" a="1"/>
  <c r="Y202" i="83" s="1"/>
  <c r="Y195" i="83" a="1"/>
  <c r="Y195" i="83" s="1"/>
  <c r="Y157" i="83" a="1"/>
  <c r="Y157" i="83" s="1"/>
  <c r="Y151" i="83" a="1"/>
  <c r="Y151" i="83" s="1"/>
  <c r="Y147" i="83" a="1"/>
  <c r="Y147" i="83" s="1"/>
  <c r="Y119" i="83" a="1"/>
  <c r="Y119" i="83" s="1"/>
  <c r="Y115" i="83" a="1"/>
  <c r="Y115" i="83" s="1"/>
  <c r="Y114" i="83" a="1"/>
  <c r="Y114" i="83" s="1"/>
  <c r="Y99" i="83" a="1"/>
  <c r="Y99" i="83" s="1"/>
  <c r="Y98" i="83" a="1"/>
  <c r="Y98" i="83" s="1"/>
  <c r="Y69" i="83" a="1"/>
  <c r="Y69" i="83" s="1"/>
  <c r="Y48" i="83" a="1"/>
  <c r="Y48" i="83" s="1"/>
  <c r="Y357" i="83" a="1"/>
  <c r="Y357" i="83" s="1"/>
  <c r="Y352" i="83" a="1"/>
  <c r="Y352" i="83" s="1"/>
  <c r="Y348" i="83" a="1"/>
  <c r="Y348" i="83" s="1"/>
  <c r="Y344" i="83" a="1"/>
  <c r="Y344" i="83" s="1"/>
  <c r="Y340" i="83" a="1"/>
  <c r="Y340" i="83" s="1"/>
  <c r="Y336" i="83" a="1"/>
  <c r="Y336" i="83" s="1"/>
  <c r="Y301" i="83" a="1"/>
  <c r="Y301" i="83" s="1"/>
  <c r="Y292" i="83" a="1"/>
  <c r="Y292" i="83" s="1"/>
  <c r="Y261" i="83" a="1"/>
  <c r="Y261" i="83" s="1"/>
  <c r="Y257" i="83" a="1"/>
  <c r="Y257" i="83" s="1"/>
  <c r="Y251" i="83" a="1"/>
  <c r="Y251" i="83" s="1"/>
  <c r="Y247" i="83" a="1"/>
  <c r="Y247" i="83" s="1"/>
  <c r="Y242" i="83" a="1"/>
  <c r="Y242" i="83" s="1"/>
  <c r="Y215" i="83" a="1"/>
  <c r="Y215" i="83" s="1"/>
  <c r="Y211" i="83" a="1"/>
  <c r="Y211" i="83" s="1"/>
  <c r="Y196" i="83" a="1"/>
  <c r="Y196" i="83" s="1"/>
  <c r="Y162" i="83" a="1"/>
  <c r="Y162" i="83" s="1"/>
  <c r="Y108" i="83" a="1"/>
  <c r="Y108" i="83" s="1"/>
  <c r="Y104" i="83" a="1"/>
  <c r="Y104" i="83" s="1"/>
  <c r="Y70" i="83" a="1"/>
  <c r="Y70" i="83" s="1"/>
  <c r="Y63" i="83" a="1"/>
  <c r="Y63" i="83" s="1"/>
  <c r="Y55" i="83" a="1"/>
  <c r="Y55" i="83" s="1"/>
  <c r="Y310" i="83" a="1"/>
  <c r="Y310" i="83" s="1"/>
  <c r="Y306" i="83" a="1"/>
  <c r="Y306" i="83" s="1"/>
  <c r="Y297" i="83" a="1"/>
  <c r="Y297" i="83" s="1"/>
  <c r="Y293" i="83" a="1"/>
  <c r="Y293" i="83" s="1"/>
  <c r="Y288" i="83" a="1"/>
  <c r="Y288" i="83" s="1"/>
  <c r="Y252" i="83" a="1"/>
  <c r="Y252" i="83" s="1"/>
  <c r="Y207" i="83" a="1"/>
  <c r="Y207" i="83" s="1"/>
  <c r="Y203" i="83" a="1"/>
  <c r="Y203" i="83" s="1"/>
  <c r="Y158" i="83" a="1"/>
  <c r="Y158" i="83" s="1"/>
  <c r="Y152" i="83" a="1"/>
  <c r="Y152" i="83" s="1"/>
  <c r="Y148" i="83" a="1"/>
  <c r="Y148" i="83" s="1"/>
  <c r="Y116" i="83" a="1"/>
  <c r="Y116" i="83" s="1"/>
  <c r="Y109" i="83" a="1"/>
  <c r="Y109" i="83" s="1"/>
  <c r="Y100" i="83" a="1"/>
  <c r="Y100" i="83" s="1"/>
  <c r="Y71" i="83" a="1"/>
  <c r="Y71" i="83" s="1"/>
  <c r="Y64" i="83" a="1"/>
  <c r="Y64" i="83" s="1"/>
  <c r="Y56" i="83" a="1"/>
  <c r="Y56" i="83" s="1"/>
  <c r="Y49" i="83" a="1"/>
  <c r="Y49" i="83" s="1"/>
  <c r="Y50" i="83" a="1"/>
  <c r="Y50" i="83" s="1"/>
  <c r="Y52" i="83" a="1"/>
  <c r="Y52" i="83" s="1"/>
  <c r="Y358" i="83" a="1"/>
  <c r="Y358" i="83" s="1"/>
  <c r="Y353" i="83" a="1"/>
  <c r="Y353" i="83" s="1"/>
  <c r="Y349" i="83" a="1"/>
  <c r="Y349" i="83" s="1"/>
  <c r="Y345" i="83" a="1"/>
  <c r="Y345" i="83" s="1"/>
  <c r="Y341" i="83" a="1"/>
  <c r="Y341" i="83" s="1"/>
  <c r="Y337" i="83" a="1"/>
  <c r="Y337" i="83" s="1"/>
  <c r="Y334" i="83" a="1"/>
  <c r="Y334" i="83" s="1"/>
  <c r="Y332" i="83" a="1"/>
  <c r="Y332" i="83" s="1"/>
  <c r="Y330" i="83" a="1"/>
  <c r="Y330" i="83" s="1"/>
  <c r="Y302" i="83" a="1"/>
  <c r="Y302" i="83" s="1"/>
  <c r="Y289" i="83" a="1"/>
  <c r="Y289" i="83" s="1"/>
  <c r="Y262" i="83" a="1"/>
  <c r="Y262" i="83" s="1"/>
  <c r="Y258" i="83" a="1"/>
  <c r="Y258" i="83" s="1"/>
  <c r="Y253" i="83" a="1"/>
  <c r="Y253" i="83" s="1"/>
  <c r="Y248" i="83" a="1"/>
  <c r="Y248" i="83" s="1"/>
  <c r="Y243" i="83" a="1"/>
  <c r="Y243" i="83" s="1"/>
  <c r="Y212" i="83" a="1"/>
  <c r="Y212" i="83" s="1"/>
  <c r="Y197" i="83" a="1"/>
  <c r="Y197" i="83" s="1"/>
  <c r="Y192" i="83" a="1"/>
  <c r="Y192" i="83" s="1"/>
  <c r="Y163" i="83" a="1"/>
  <c r="Y163" i="83" s="1"/>
  <c r="Y159" i="83" a="1"/>
  <c r="Y159" i="83" s="1"/>
  <c r="Y153" i="83" a="1"/>
  <c r="Y153" i="83" s="1"/>
  <c r="Y110" i="83" a="1"/>
  <c r="Y110" i="83" s="1"/>
  <c r="Y105" i="83" a="1"/>
  <c r="Y105" i="83" s="1"/>
  <c r="Y65" i="83" a="1"/>
  <c r="Y65" i="83" s="1"/>
  <c r="Y57" i="83" a="1"/>
  <c r="Y57" i="83" s="1"/>
  <c r="Y51" i="83" a="1"/>
  <c r="Y51" i="83" s="1"/>
  <c r="Y237" i="83" a="1"/>
  <c r="Y237" i="83" s="1"/>
  <c r="Y142" i="83" a="1"/>
  <c r="Y142" i="83" s="1"/>
  <c r="Y283" i="83" a="1"/>
  <c r="Y283" i="83" s="1"/>
  <c r="Y187" i="83" a="1"/>
  <c r="Y187" i="83" s="1"/>
  <c r="Y235" i="83" a="1"/>
  <c r="Y235" i="83" s="1"/>
  <c r="Y140" i="83" a="1"/>
  <c r="Y140" i="83" s="1"/>
  <c r="Y238" i="83" a="1"/>
  <c r="Y238" i="83" s="1"/>
  <c r="Y143" i="83" a="1"/>
  <c r="Y143" i="83" s="1"/>
  <c r="Y93" i="83" a="1"/>
  <c r="Y93" i="83" s="1"/>
  <c r="Y138" i="83" a="1"/>
  <c r="Y138" i="83" s="1"/>
  <c r="Y236" i="83" a="1"/>
  <c r="Y236" i="83" s="1"/>
  <c r="Y141" i="83" a="1"/>
  <c r="Y141" i="83" s="1"/>
  <c r="Y91" i="83" a="1"/>
  <c r="Y91" i="83" s="1"/>
  <c r="Y47" i="83" a="1"/>
  <c r="Y47" i="83" s="1"/>
  <c r="Y234" i="83" a="1"/>
  <c r="Y234" i="83" s="1"/>
  <c r="Y139" i="83" a="1"/>
  <c r="Y139" i="83" s="1"/>
  <c r="Y286" i="83" a="1"/>
  <c r="Y286" i="83" s="1"/>
  <c r="Y190" i="83" a="1"/>
  <c r="Y190" i="83" s="1"/>
  <c r="Y45" i="83" a="1"/>
  <c r="Y45" i="83" s="1"/>
  <c r="Y92" i="83" a="1"/>
  <c r="Y92" i="83" s="1"/>
  <c r="Y46" i="83" a="1"/>
  <c r="Y46" i="83" s="1"/>
  <c r="Y284" i="83" a="1"/>
  <c r="Y284" i="83" s="1"/>
  <c r="Y188" i="83" a="1"/>
  <c r="Y188" i="83" s="1"/>
  <c r="Y94" i="83" a="1"/>
  <c r="Y94" i="83" s="1"/>
  <c r="Y90" i="83" a="1"/>
  <c r="Y90" i="83" s="1"/>
  <c r="Y44" i="83" a="1"/>
  <c r="Y44" i="83" s="1"/>
  <c r="Y282" i="83" a="1"/>
  <c r="Y282" i="83" s="1"/>
  <c r="Y186" i="83" a="1"/>
  <c r="Y186" i="83" s="1"/>
  <c r="Y287" i="83" a="1"/>
  <c r="Y287" i="83" s="1"/>
  <c r="Y191" i="83" a="1"/>
  <c r="Y191" i="83" s="1"/>
  <c r="Y95" i="83" a="1"/>
  <c r="Y95" i="83" s="1"/>
  <c r="Y239" i="83" a="1"/>
  <c r="Y239" i="83" s="1"/>
  <c r="Y42" i="83" a="1"/>
  <c r="Y42" i="83" s="1"/>
  <c r="Y285" i="83" a="1"/>
  <c r="Y285" i="83" s="1"/>
  <c r="Y189" i="83" a="1"/>
  <c r="Y189" i="83" s="1"/>
  <c r="Y43" i="83" a="1"/>
  <c r="Y43" i="83" s="1"/>
  <c r="AV221" i="83"/>
  <c r="Y70" i="48" a="1"/>
  <c r="Y70" i="48" s="1"/>
  <c r="Y360" i="48" a="1"/>
  <c r="Y360" i="48" s="1"/>
  <c r="Y357" i="48" a="1"/>
  <c r="Y357" i="48" s="1"/>
  <c r="Y354" i="48" a="1"/>
  <c r="Y354" i="48" s="1"/>
  <c r="Y346" i="48" a="1"/>
  <c r="Y346" i="48" s="1"/>
  <c r="Y338" i="48" a="1"/>
  <c r="Y338" i="48" s="1"/>
  <c r="Y295" i="48" a="1"/>
  <c r="Y295" i="48" s="1"/>
  <c r="Y264" i="48" a="1"/>
  <c r="Y264" i="48" s="1"/>
  <c r="Y261" i="48" a="1"/>
  <c r="Y261" i="48" s="1"/>
  <c r="Y258" i="48" a="1"/>
  <c r="Y258" i="48" s="1"/>
  <c r="Y255" i="48" a="1"/>
  <c r="Y255" i="48" s="1"/>
  <c r="Y249" i="48" a="1"/>
  <c r="Y249" i="48" s="1"/>
  <c r="Y241" i="48" a="1"/>
  <c r="Y241" i="48" s="1"/>
  <c r="Y238" i="48" a="1"/>
  <c r="Y238" i="48" s="1"/>
  <c r="Y217" i="48" a="1"/>
  <c r="Y217" i="48" s="1"/>
  <c r="Y206" i="48" a="1"/>
  <c r="Y206" i="48" s="1"/>
  <c r="Y195" i="48" a="1"/>
  <c r="Y195" i="48" s="1"/>
  <c r="Y166" i="48" a="1"/>
  <c r="Y166" i="48" s="1"/>
  <c r="Y163" i="48" a="1"/>
  <c r="Y163" i="48" s="1"/>
  <c r="Y160" i="48" a="1"/>
  <c r="Y160" i="48" s="1"/>
  <c r="Y151" i="48" a="1"/>
  <c r="Y151" i="48" s="1"/>
  <c r="Y148" i="48" a="1"/>
  <c r="Y148" i="48" s="1"/>
  <c r="Y143" i="48" a="1"/>
  <c r="Y143" i="48" s="1"/>
  <c r="Y117" i="48" a="1"/>
  <c r="Y117" i="48" s="1"/>
  <c r="Y110" i="48" a="1"/>
  <c r="Y110" i="48" s="1"/>
  <c r="Y349" i="48" a="1"/>
  <c r="Y349" i="48" s="1"/>
  <c r="Y341" i="48" a="1"/>
  <c r="Y341" i="48" s="1"/>
  <c r="Y333" i="48" a="1"/>
  <c r="Y333" i="48" s="1"/>
  <c r="Y307" i="48" a="1"/>
  <c r="Y307" i="48" s="1"/>
  <c r="Y304" i="48" a="1"/>
  <c r="Y304" i="48" s="1"/>
  <c r="Y301" i="48" a="1"/>
  <c r="Y301" i="48" s="1"/>
  <c r="Y298" i="48" a="1"/>
  <c r="Y298" i="48" s="1"/>
  <c r="Y290" i="48" a="1"/>
  <c r="Y290" i="48" s="1"/>
  <c r="Y285" i="48" a="1"/>
  <c r="Y285" i="48" s="1"/>
  <c r="Y244" i="48" a="1"/>
  <c r="Y244" i="48" s="1"/>
  <c r="Y209" i="48" a="1"/>
  <c r="Y209" i="48" s="1"/>
  <c r="Y201" i="48" a="1"/>
  <c r="Y201" i="48" s="1"/>
  <c r="Y198" i="48" a="1"/>
  <c r="Y198" i="48" s="1"/>
  <c r="Y190" i="48" a="1"/>
  <c r="Y190" i="48" s="1"/>
  <c r="Y169" i="48" a="1"/>
  <c r="Y169" i="48" s="1"/>
  <c r="Y120" i="48" a="1"/>
  <c r="Y120" i="48" s="1"/>
  <c r="Y96" i="48" a="1"/>
  <c r="Y96" i="48" s="1"/>
  <c r="Y352" i="48" a="1"/>
  <c r="Y352" i="48" s="1"/>
  <c r="Y344" i="48" a="1"/>
  <c r="Y344" i="48" s="1"/>
  <c r="Y336" i="48" a="1"/>
  <c r="Y336" i="48" s="1"/>
  <c r="Y313" i="48" a="1"/>
  <c r="Y313" i="48" s="1"/>
  <c r="Y310" i="48" a="1"/>
  <c r="Y310" i="48" s="1"/>
  <c r="Y293" i="48" a="1"/>
  <c r="Y293" i="48" s="1"/>
  <c r="Y288" i="48" a="1"/>
  <c r="Y288" i="48" s="1"/>
  <c r="Y259" i="48" a="1"/>
  <c r="Y259" i="48" s="1"/>
  <c r="Y253" i="48" a="1"/>
  <c r="Y253" i="48" s="1"/>
  <c r="Y247" i="48" a="1"/>
  <c r="Y247" i="48" s="1"/>
  <c r="Y239" i="48" a="1"/>
  <c r="Y239" i="48" s="1"/>
  <c r="Y236" i="48" a="1"/>
  <c r="Y236" i="48" s="1"/>
  <c r="Y215" i="48" a="1"/>
  <c r="Y215" i="48" s="1"/>
  <c r="Y212" i="48" a="1"/>
  <c r="Y212" i="48" s="1"/>
  <c r="Y204" i="48" a="1"/>
  <c r="Y204" i="48" s="1"/>
  <c r="Y193" i="48" a="1"/>
  <c r="Y193" i="48" s="1"/>
  <c r="Y158" i="48" a="1"/>
  <c r="Y158" i="48" s="1"/>
  <c r="Y155" i="48" a="1"/>
  <c r="Y155" i="48" s="1"/>
  <c r="Y152" i="48" a="1"/>
  <c r="Y152" i="48" s="1"/>
  <c r="Y149" i="48" a="1"/>
  <c r="Y149" i="48" s="1"/>
  <c r="Y146" i="48" a="1"/>
  <c r="Y146" i="48" s="1"/>
  <c r="Y111" i="48" a="1"/>
  <c r="Y111" i="48" s="1"/>
  <c r="Y108" i="48" a="1"/>
  <c r="Y108" i="48" s="1"/>
  <c r="Y102" i="48" a="1"/>
  <c r="Y102" i="48" s="1"/>
  <c r="Y99" i="48" a="1"/>
  <c r="Y99" i="48" s="1"/>
  <c r="Y361" i="48" a="1"/>
  <c r="Y361" i="48" s="1"/>
  <c r="Y358" i="48" a="1"/>
  <c r="Y358" i="48" s="1"/>
  <c r="Y355" i="48" a="1"/>
  <c r="Y355" i="48" s="1"/>
  <c r="Y347" i="48" a="1"/>
  <c r="Y347" i="48" s="1"/>
  <c r="Y339" i="48" a="1"/>
  <c r="Y339" i="48" s="1"/>
  <c r="Y296" i="48" a="1"/>
  <c r="Y296" i="48" s="1"/>
  <c r="Y265" i="48" a="1"/>
  <c r="Y265" i="48" s="1"/>
  <c r="Y262" i="48" a="1"/>
  <c r="Y262" i="48" s="1"/>
  <c r="Y256" i="48" a="1"/>
  <c r="Y256" i="48" s="1"/>
  <c r="Y250" i="48" a="1"/>
  <c r="Y250" i="48" s="1"/>
  <c r="Y242" i="48" a="1"/>
  <c r="Y242" i="48" s="1"/>
  <c r="Y207" i="48" a="1"/>
  <c r="Y207" i="48" s="1"/>
  <c r="Y199" i="48" a="1"/>
  <c r="Y199" i="48" s="1"/>
  <c r="Y196" i="48" a="1"/>
  <c r="Y196" i="48" s="1"/>
  <c r="Y188" i="48" a="1"/>
  <c r="Y188" i="48" s="1"/>
  <c r="Y167" i="48" a="1"/>
  <c r="Y167" i="48" s="1"/>
  <c r="Y164" i="48" a="1"/>
  <c r="Y164" i="48" s="1"/>
  <c r="Y161" i="48" a="1"/>
  <c r="Y161" i="48" s="1"/>
  <c r="Y144" i="48" a="1"/>
  <c r="Y144" i="48" s="1"/>
  <c r="Y141" i="48" a="1"/>
  <c r="Y141" i="48" s="1"/>
  <c r="Y118" i="48" a="1"/>
  <c r="Y118" i="48" s="1"/>
  <c r="Y104" i="48" a="1"/>
  <c r="Y104" i="48" s="1"/>
  <c r="Y350" i="48" a="1"/>
  <c r="Y350" i="48" s="1"/>
  <c r="Y342" i="48" a="1"/>
  <c r="Y342" i="48" s="1"/>
  <c r="Y334" i="48" a="1"/>
  <c r="Y334" i="48" s="1"/>
  <c r="Y311" i="48" a="1"/>
  <c r="Y311" i="48" s="1"/>
  <c r="Y308" i="48" a="1"/>
  <c r="Y308" i="48" s="1"/>
  <c r="Y305" i="48" a="1"/>
  <c r="Y305" i="48" s="1"/>
  <c r="Y302" i="48" a="1"/>
  <c r="Y302" i="48" s="1"/>
  <c r="Y299" i="48" a="1"/>
  <c r="Y299" i="48" s="1"/>
  <c r="Y291" i="48" a="1"/>
  <c r="Y291" i="48" s="1"/>
  <c r="Y286" i="48" a="1"/>
  <c r="Y286" i="48" s="1"/>
  <c r="Y245" i="48" a="1"/>
  <c r="Y245" i="48" s="1"/>
  <c r="Y210" i="48" a="1"/>
  <c r="Y210" i="48" s="1"/>
  <c r="Y202" i="48" a="1"/>
  <c r="Y202" i="48" s="1"/>
  <c r="Y191" i="48" a="1"/>
  <c r="Y191" i="48" s="1"/>
  <c r="Y121" i="48" a="1"/>
  <c r="Y121" i="48" s="1"/>
  <c r="Y106" i="48" a="1"/>
  <c r="Y106" i="48" s="1"/>
  <c r="Y100" i="48" a="1"/>
  <c r="Y100" i="48" s="1"/>
  <c r="Y97" i="48" a="1"/>
  <c r="Y97" i="48" s="1"/>
  <c r="Y109" i="48" a="1"/>
  <c r="Y109" i="48" s="1"/>
  <c r="Y359" i="48" a="1"/>
  <c r="Y359" i="48" s="1"/>
  <c r="Y353" i="48" a="1"/>
  <c r="Y353" i="48" s="1"/>
  <c r="Y345" i="48" a="1"/>
  <c r="Y345" i="48" s="1"/>
  <c r="Y337" i="48" a="1"/>
  <c r="Y337" i="48" s="1"/>
  <c r="Y332" i="48" a="1"/>
  <c r="Y332" i="48" s="1"/>
  <c r="Y294" i="48" a="1"/>
  <c r="Y294" i="48" s="1"/>
  <c r="Y263" i="48" a="1"/>
  <c r="Y263" i="48" s="1"/>
  <c r="Y260" i="48" a="1"/>
  <c r="Y260" i="48" s="1"/>
  <c r="Y257" i="48" a="1"/>
  <c r="Y257" i="48" s="1"/>
  <c r="Y254" i="48" a="1"/>
  <c r="Y254" i="48" s="1"/>
  <c r="Y251" i="48" a="1"/>
  <c r="Y251" i="48" s="1"/>
  <c r="Y248" i="48" a="1"/>
  <c r="Y248" i="48" s="1"/>
  <c r="Y240" i="48" a="1"/>
  <c r="Y240" i="48" s="1"/>
  <c r="Y237" i="48" a="1"/>
  <c r="Y237" i="48" s="1"/>
  <c r="Y216" i="48" a="1"/>
  <c r="Y216" i="48" s="1"/>
  <c r="Y213" i="48" a="1"/>
  <c r="Y213" i="48" s="1"/>
  <c r="Y205" i="48" a="1"/>
  <c r="Y205" i="48" s="1"/>
  <c r="Y194" i="48" a="1"/>
  <c r="Y194" i="48" s="1"/>
  <c r="Y159" i="48" a="1"/>
  <c r="Y159" i="48" s="1"/>
  <c r="Y156" i="48" a="1"/>
  <c r="Y156" i="48" s="1"/>
  <c r="Y153" i="48" a="1"/>
  <c r="Y153" i="48" s="1"/>
  <c r="Y150" i="48" a="1"/>
  <c r="Y150" i="48" s="1"/>
  <c r="Y147" i="48" a="1"/>
  <c r="Y147" i="48" s="1"/>
  <c r="Y116" i="48" a="1"/>
  <c r="Y116" i="48" s="1"/>
  <c r="Y103" i="48" a="1"/>
  <c r="Y103" i="48" s="1"/>
  <c r="Y356" i="48" a="1"/>
  <c r="Y356" i="48" s="1"/>
  <c r="Y348" i="48" a="1"/>
  <c r="Y348" i="48" s="1"/>
  <c r="Y340" i="48" a="1"/>
  <c r="Y340" i="48" s="1"/>
  <c r="Y303" i="48" a="1"/>
  <c r="Y303" i="48" s="1"/>
  <c r="Y300" i="48" a="1"/>
  <c r="Y300" i="48" s="1"/>
  <c r="Y297" i="48" a="1"/>
  <c r="Y297" i="48" s="1"/>
  <c r="Y289" i="48" a="1"/>
  <c r="Y289" i="48" s="1"/>
  <c r="Y284" i="48" a="1"/>
  <c r="Y284" i="48" s="1"/>
  <c r="Y243" i="48" a="1"/>
  <c r="Y243" i="48" s="1"/>
  <c r="Y208" i="48" a="1"/>
  <c r="Y208" i="48" s="1"/>
  <c r="Y200" i="48" a="1"/>
  <c r="Y200" i="48" s="1"/>
  <c r="Y197" i="48" a="1"/>
  <c r="Y197" i="48" s="1"/>
  <c r="Y189" i="48" a="1"/>
  <c r="Y189" i="48" s="1"/>
  <c r="Y168" i="48" a="1"/>
  <c r="Y168" i="48" s="1"/>
  <c r="Y165" i="48" a="1"/>
  <c r="Y165" i="48" s="1"/>
  <c r="Y162" i="48" a="1"/>
  <c r="Y162" i="48" s="1"/>
  <c r="Y142" i="48" a="1"/>
  <c r="Y142" i="48" s="1"/>
  <c r="Y119" i="48" a="1"/>
  <c r="Y119" i="48" s="1"/>
  <c r="Y105" i="48" a="1"/>
  <c r="Y105" i="48" s="1"/>
  <c r="Y351" i="48" a="1"/>
  <c r="Y351" i="48" s="1"/>
  <c r="Y343" i="48" a="1"/>
  <c r="Y343" i="48" s="1"/>
  <c r="Y335" i="48" a="1"/>
  <c r="Y335" i="48" s="1"/>
  <c r="Y312" i="48" a="1"/>
  <c r="Y312" i="48" s="1"/>
  <c r="Y309" i="48" a="1"/>
  <c r="Y309" i="48" s="1"/>
  <c r="Y306" i="48" a="1"/>
  <c r="Y306" i="48" s="1"/>
  <c r="Y292" i="48" a="1"/>
  <c r="Y292" i="48" s="1"/>
  <c r="Y287" i="48" a="1"/>
  <c r="Y287" i="48" s="1"/>
  <c r="Y252" i="48" a="1"/>
  <c r="Y252" i="48" s="1"/>
  <c r="Y246" i="48" a="1"/>
  <c r="Y246" i="48" s="1"/>
  <c r="Y214" i="48" a="1"/>
  <c r="Y214" i="48" s="1"/>
  <c r="Y211" i="48" a="1"/>
  <c r="Y211" i="48" s="1"/>
  <c r="Y203" i="48" a="1"/>
  <c r="Y203" i="48" s="1"/>
  <c r="Y192" i="48" a="1"/>
  <c r="Y192" i="48" s="1"/>
  <c r="Y157" i="48" a="1"/>
  <c r="Y157" i="48" s="1"/>
  <c r="Y154" i="48" a="1"/>
  <c r="Y154" i="48" s="1"/>
  <c r="Y145" i="48" a="1"/>
  <c r="Y145" i="48" s="1"/>
  <c r="Y140" i="48" a="1"/>
  <c r="Y140" i="48" s="1"/>
  <c r="Y107" i="48" a="1"/>
  <c r="Y107" i="48" s="1"/>
  <c r="Y101" i="48" a="1"/>
  <c r="Y101" i="48" s="1"/>
  <c r="Y98" i="48" a="1"/>
  <c r="Y98" i="48" s="1"/>
  <c r="Y90" i="48" a="1"/>
  <c r="Y90" i="48" s="1"/>
  <c r="Y91" i="48" a="1"/>
  <c r="Y91" i="48" s="1"/>
  <c r="Y92" i="48" a="1"/>
  <c r="Y92" i="48" s="1"/>
  <c r="Y95" i="48" a="1"/>
  <c r="Y95" i="48" s="1"/>
  <c r="Y94" i="48" a="1"/>
  <c r="Y94" i="48" s="1"/>
  <c r="Y93" i="48" a="1"/>
  <c r="Y93" i="48" s="1"/>
  <c r="AE230" i="48"/>
  <c r="AJ133" i="48"/>
  <c r="AK133" i="48" s="1"/>
  <c r="AJ229" i="48"/>
  <c r="AK229" i="48" s="1"/>
  <c r="AJ277" i="48"/>
  <c r="AK277" i="48" s="1"/>
  <c r="AJ325" i="48"/>
  <c r="AK325" i="48" s="1"/>
  <c r="AJ181" i="48"/>
  <c r="AK181" i="48" s="1"/>
  <c r="AE326" i="48"/>
  <c r="AJ84" i="48"/>
  <c r="AK84" i="48" s="1"/>
  <c r="AJ326" i="48"/>
  <c r="AK326" i="48" s="1"/>
  <c r="AJ182" i="48"/>
  <c r="AK182" i="48" s="1"/>
  <c r="AJ230" i="48"/>
  <c r="AK230" i="48" s="1"/>
  <c r="AJ134" i="48"/>
  <c r="AK134" i="48" s="1"/>
  <c r="AJ278" i="48"/>
  <c r="AK278" i="48" s="1"/>
  <c r="AE134" i="48"/>
  <c r="AE182" i="48"/>
  <c r="AE277" i="48"/>
  <c r="AE278" i="48"/>
  <c r="AE133" i="48"/>
  <c r="AE325" i="48"/>
  <c r="AE229" i="48"/>
  <c r="AE181" i="48"/>
  <c r="AE83" i="48"/>
  <c r="AJ35" i="48"/>
  <c r="AK35" i="48" s="1"/>
  <c r="AJ83" i="48"/>
  <c r="AK83" i="48" s="1"/>
  <c r="AH35" i="48"/>
  <c r="BK2" i="65" a="1"/>
  <c r="BK2" i="65" s="1"/>
  <c r="BL2" i="65" a="1"/>
  <c r="BL2" i="65" s="1"/>
  <c r="BM2" i="65" a="1"/>
  <c r="BM2" i="65" s="1"/>
  <c r="BN2" i="65" a="1"/>
  <c r="BN2" i="65" s="1"/>
  <c r="BO2" i="65" a="1"/>
  <c r="BO2" i="65" s="1"/>
  <c r="BQ2" i="65" a="1"/>
  <c r="BQ2" i="65" s="1"/>
  <c r="BP2" i="65" a="1"/>
  <c r="BP2" i="65" s="1"/>
  <c r="BJ2" i="65" a="1"/>
  <c r="BJ2" i="65" s="1"/>
  <c r="BI2" i="65" a="1"/>
  <c r="BI2" i="65" s="1"/>
  <c r="BG2" i="65" a="1"/>
  <c r="BG2" i="65" s="1"/>
  <c r="BH2" i="65" a="1"/>
  <c r="BH2" i="65" s="1"/>
  <c r="BB2" i="65" a="1"/>
  <c r="BB2" i="65" s="1"/>
  <c r="BA2" i="65" a="1"/>
  <c r="BA2" i="65" s="1"/>
  <c r="BF2" i="65" a="1"/>
  <c r="BF2" i="65" s="1"/>
  <c r="BE2" i="65" a="1"/>
  <c r="BE2" i="65" s="1"/>
  <c r="BD2" i="65" a="1"/>
  <c r="BD2" i="65" s="1"/>
  <c r="BC2" i="65" a="1"/>
  <c r="BC2" i="65" s="1"/>
  <c r="AZ2" i="65" a="1"/>
  <c r="AZ2" i="65" s="1"/>
  <c r="AY2" i="65" a="1"/>
  <c r="AY2" i="65" s="1"/>
  <c r="AX2" i="65" a="1"/>
  <c r="AX2" i="65" s="1"/>
  <c r="AW2" i="65" a="1"/>
  <c r="AW2" i="65" s="1"/>
  <c r="AV2" i="65" a="1"/>
  <c r="AV2" i="65" s="1"/>
  <c r="AT2" i="65" a="1"/>
  <c r="AT2" i="65" s="1"/>
  <c r="AU2" i="65" a="1"/>
  <c r="AU2" i="65" s="1"/>
  <c r="AS2" i="65" a="1"/>
  <c r="AS2" i="65" s="1"/>
  <c r="AR2" i="65" a="1"/>
  <c r="AR2" i="65" s="1"/>
  <c r="AQ2" i="65" a="1"/>
  <c r="AQ2" i="65" s="1"/>
  <c r="Y64" i="48" a="1"/>
  <c r="Y64" i="48" s="1"/>
  <c r="Y65" i="48" a="1"/>
  <c r="Y65" i="48" s="1"/>
  <c r="Y69" i="48" a="1"/>
  <c r="Y69" i="48" s="1"/>
  <c r="AD28" i="48"/>
  <c r="Y42" i="48" a="1"/>
  <c r="Y42" i="48" s="1"/>
  <c r="Y68" i="48" a="1"/>
  <c r="Y68" i="48" s="1"/>
  <c r="Y67" i="48" a="1"/>
  <c r="Y67" i="48" s="1"/>
  <c r="Y66" i="48" a="1"/>
  <c r="Y66" i="48" s="1"/>
  <c r="Y71" i="48" a="1"/>
  <c r="Y71" i="48" s="1"/>
  <c r="V2" i="65" a="1"/>
  <c r="V2" i="65" s="1"/>
  <c r="K2" i="65" a="1"/>
  <c r="K2" i="65" s="1"/>
  <c r="Z2" i="65" a="1"/>
  <c r="Z2" i="65" s="1"/>
  <c r="H2" i="65" a="1"/>
  <c r="H2" i="65" s="1"/>
  <c r="N2" i="65" a="1"/>
  <c r="N2" i="65" s="1"/>
  <c r="AK2" i="65" a="1"/>
  <c r="AK2" i="65" s="1"/>
  <c r="R2" i="65" a="1"/>
  <c r="R2" i="65" s="1"/>
  <c r="AM2" i="65" a="1"/>
  <c r="AM2" i="65" s="1"/>
  <c r="F2" i="65" a="1"/>
  <c r="F2" i="65" s="1"/>
  <c r="AC2" i="65" a="1"/>
  <c r="AC2" i="65" s="1"/>
  <c r="J2" i="65" a="1"/>
  <c r="J2" i="65" s="1"/>
  <c r="AO2" i="65" a="1"/>
  <c r="AO2" i="65" s="1"/>
  <c r="U2" i="65" a="1"/>
  <c r="U2" i="65" s="1"/>
  <c r="Y2" i="65" a="1"/>
  <c r="Y2" i="65" s="1"/>
  <c r="M2" i="65" a="1"/>
  <c r="M2" i="65" s="1"/>
  <c r="AJ2" i="65" a="1"/>
  <c r="AJ2" i="65" s="1"/>
  <c r="AN2" i="65" a="1"/>
  <c r="AN2" i="65" s="1"/>
  <c r="AE2" i="65" a="1"/>
  <c r="AE2" i="65" s="1"/>
  <c r="E2" i="65" a="1"/>
  <c r="E2" i="65" s="1"/>
  <c r="AB2" i="65" a="1"/>
  <c r="AB2" i="65" s="1"/>
  <c r="AI2" i="65" a="1"/>
  <c r="AI2" i="65" s="1"/>
  <c r="AF2" i="65" a="1"/>
  <c r="AF2" i="65" s="1"/>
  <c r="I2" i="65" a="1"/>
  <c r="I2" i="65" s="1"/>
  <c r="W2" i="65" a="1"/>
  <c r="W2" i="65" s="1"/>
  <c r="AL2" i="65" a="1"/>
  <c r="AL2" i="65" s="1"/>
  <c r="T2" i="65" a="1"/>
  <c r="T2" i="65" s="1"/>
  <c r="Q2" i="65" a="1"/>
  <c r="Q2" i="65" s="1"/>
  <c r="AA2" i="65" a="1"/>
  <c r="AA2" i="65" s="1"/>
  <c r="AP2" i="65" a="1"/>
  <c r="AP2" i="65" s="1"/>
  <c r="AG2" i="65" a="1"/>
  <c r="AG2" i="65" s="1"/>
  <c r="X2" i="65" a="1"/>
  <c r="X2" i="65" s="1"/>
  <c r="O2" i="65" a="1"/>
  <c r="O2" i="65" s="1"/>
  <c r="AD2" i="65" a="1"/>
  <c r="AD2" i="65" s="1"/>
  <c r="L2" i="65" a="1"/>
  <c r="L2" i="65" s="1"/>
  <c r="S2" i="65" a="1"/>
  <c r="S2" i="65" s="1"/>
  <c r="AH2" i="65" a="1"/>
  <c r="AH2" i="65" s="1"/>
  <c r="P2" i="65" a="1"/>
  <c r="P2" i="65" s="1"/>
  <c r="G2" i="65" a="1"/>
  <c r="G2" i="65" s="1"/>
  <c r="D1" i="65"/>
  <c r="AD76" i="48" l="1"/>
  <c r="AD5" i="48" s="1"/>
  <c r="AD88" i="48"/>
  <c r="AE88" i="48" s="1"/>
  <c r="AD13" i="83"/>
  <c r="AD11" i="83"/>
  <c r="AG15" i="83"/>
  <c r="AH15" i="83" s="1"/>
  <c r="AJ14" i="83"/>
  <c r="AK14" i="83" s="1"/>
  <c r="V12" i="83"/>
  <c r="W12" i="83" s="1"/>
  <c r="V14" i="83"/>
  <c r="W14" i="83" s="1"/>
  <c r="AJ15" i="83"/>
  <c r="AK15" i="83" s="1"/>
  <c r="V11" i="83"/>
  <c r="W11" i="83" s="1"/>
  <c r="V13" i="83"/>
  <c r="W13" i="83" s="1"/>
  <c r="AJ11" i="83"/>
  <c r="AK11" i="83" s="1"/>
  <c r="AD15" i="83"/>
  <c r="AJ13" i="83"/>
  <c r="AK13" i="83" s="1"/>
  <c r="AG11" i="83"/>
  <c r="AH11" i="83" s="1"/>
  <c r="AG13" i="83"/>
  <c r="AH13" i="83" s="1"/>
  <c r="V15" i="83"/>
  <c r="W15" i="83" s="1"/>
  <c r="AG12" i="83"/>
  <c r="AH12" i="83" s="1"/>
  <c r="AJ12" i="83"/>
  <c r="AK12" i="83" s="1"/>
  <c r="AG14" i="83"/>
  <c r="AH14" i="83" s="1"/>
  <c r="AD12" i="83"/>
  <c r="AD14" i="83"/>
  <c r="U5" i="83"/>
  <c r="AD5" i="83"/>
  <c r="AE5" i="83" s="1"/>
  <c r="V5" i="83"/>
  <c r="W5" i="83" s="1"/>
  <c r="AG5" i="83"/>
  <c r="AH5" i="83" s="1"/>
  <c r="AJ5" i="83"/>
  <c r="AN325" i="48"/>
  <c r="AO325" i="48" s="1"/>
  <c r="AN278" i="48"/>
  <c r="AO278" i="48" s="1"/>
  <c r="AN277" i="48"/>
  <c r="AO277" i="48" s="1"/>
  <c r="AN229" i="48"/>
  <c r="AO229" i="48" s="1"/>
  <c r="AN83" i="48"/>
  <c r="AO83" i="48" s="1"/>
  <c r="AN84" i="48"/>
  <c r="AO84" i="48" s="1"/>
  <c r="AN182" i="48"/>
  <c r="AO182" i="48" s="1"/>
  <c r="AN35" i="48"/>
  <c r="AO35" i="48" s="1"/>
  <c r="AN230" i="48"/>
  <c r="AO230" i="48" s="1"/>
  <c r="AN181" i="48"/>
  <c r="AO181" i="48" s="1"/>
  <c r="AN133" i="48"/>
  <c r="AO133" i="48" s="1"/>
  <c r="AN134" i="48"/>
  <c r="AO134" i="48" s="1"/>
  <c r="AN326" i="48"/>
  <c r="AO326" i="48" s="1"/>
  <c r="AG13" i="48"/>
  <c r="AD6" i="48"/>
  <c r="AG15" i="48"/>
  <c r="AJ13" i="48"/>
  <c r="AJ14" i="48"/>
  <c r="AD14" i="48"/>
  <c r="AG14" i="48"/>
  <c r="AD13" i="48"/>
  <c r="U5" i="48"/>
  <c r="U6" i="48"/>
  <c r="V13" i="48"/>
  <c r="V14" i="48"/>
  <c r="V15" i="48"/>
  <c r="AD78" i="48" l="1"/>
  <c r="AE76" i="48"/>
  <c r="AN76" i="48"/>
  <c r="AO76" i="48" s="1"/>
  <c r="AN5" i="83"/>
  <c r="AO5" i="83" s="1"/>
  <c r="AK5" i="83"/>
  <c r="AE14" i="83"/>
  <c r="AN14" i="83"/>
  <c r="AO14" i="83" s="1"/>
  <c r="AE12" i="83"/>
  <c r="AN12" i="83"/>
  <c r="AO12" i="83" s="1"/>
  <c r="AN15" i="83"/>
  <c r="AO15" i="83" s="1"/>
  <c r="AE15" i="83"/>
  <c r="AN11" i="83"/>
  <c r="AO11" i="83" s="1"/>
  <c r="AE11" i="83"/>
  <c r="AE13" i="83"/>
  <c r="AN13" i="83"/>
  <c r="AO13" i="83" s="1"/>
  <c r="AH14" i="48"/>
  <c r="AN14" i="48"/>
  <c r="AH13" i="48"/>
  <c r="AN13" i="48"/>
  <c r="G36" i="59"/>
  <c r="BA36" i="59" s="1"/>
  <c r="G35" i="59"/>
  <c r="BA35" i="59" s="1"/>
  <c r="N34" i="59"/>
  <c r="G34" i="59"/>
  <c r="BA34" i="59" s="1"/>
  <c r="G33" i="59"/>
  <c r="BA33" i="59" s="1"/>
  <c r="N32" i="59"/>
  <c r="G32" i="59"/>
  <c r="BA32" i="59" s="1"/>
  <c r="G31" i="59"/>
  <c r="BA31" i="59" s="1"/>
  <c r="G30" i="59"/>
  <c r="BA30" i="59" s="1"/>
  <c r="G29" i="59"/>
  <c r="BA29" i="59" s="1"/>
  <c r="M16" i="59"/>
  <c r="L17" i="59" s="1"/>
  <c r="W16" i="59"/>
  <c r="W17" i="59" s="1" a="1"/>
  <c r="C203" i="58"/>
  <c r="C202" i="58"/>
  <c r="C201" i="58"/>
  <c r="C200" i="58"/>
  <c r="C199" i="58"/>
  <c r="C198" i="58"/>
  <c r="C197" i="58"/>
  <c r="C5" i="58"/>
  <c r="C4" i="58"/>
  <c r="K2" i="58"/>
  <c r="F19" i="57"/>
  <c r="F18" i="57"/>
  <c r="F17" i="57"/>
  <c r="F16" i="57"/>
  <c r="F15" i="57"/>
  <c r="F14" i="57"/>
  <c r="F13" i="57"/>
  <c r="F12" i="57"/>
  <c r="F11" i="57"/>
  <c r="H7" i="57"/>
  <c r="H6" i="57"/>
  <c r="H5" i="57"/>
  <c r="H4" i="57"/>
  <c r="H3" i="57"/>
  <c r="H2" i="57"/>
  <c r="I2" i="57" s="1"/>
  <c r="L174" i="56"/>
  <c r="L173" i="56"/>
  <c r="L172" i="56"/>
  <c r="L171" i="56"/>
  <c r="L170" i="56"/>
  <c r="L169" i="56"/>
  <c r="L168" i="56"/>
  <c r="L167" i="56"/>
  <c r="L166" i="56"/>
  <c r="L165" i="56"/>
  <c r="L164" i="56"/>
  <c r="L163" i="56"/>
  <c r="L162" i="56"/>
  <c r="L161" i="56"/>
  <c r="L160" i="56"/>
  <c r="L159" i="56"/>
  <c r="L158" i="56"/>
  <c r="L157" i="56"/>
  <c r="L156" i="56"/>
  <c r="L155" i="56"/>
  <c r="L154" i="56"/>
  <c r="L153" i="56"/>
  <c r="L152" i="56"/>
  <c r="L151" i="56"/>
  <c r="L150" i="56"/>
  <c r="L149" i="56"/>
  <c r="L148" i="56"/>
  <c r="L147" i="56"/>
  <c r="L146" i="56"/>
  <c r="L145" i="56"/>
  <c r="L144" i="56"/>
  <c r="L143" i="56"/>
  <c r="L142" i="56"/>
  <c r="L141" i="56"/>
  <c r="L140" i="56"/>
  <c r="L139" i="56"/>
  <c r="L138" i="56"/>
  <c r="L137" i="56"/>
  <c r="L136" i="56"/>
  <c r="L135" i="56"/>
  <c r="L134" i="56"/>
  <c r="L133" i="56"/>
  <c r="L132" i="56"/>
  <c r="L131" i="56"/>
  <c r="L130" i="56"/>
  <c r="L129" i="56"/>
  <c r="L128" i="56"/>
  <c r="L127" i="56"/>
  <c r="L126" i="56"/>
  <c r="L125" i="56"/>
  <c r="L124" i="56"/>
  <c r="L123" i="56"/>
  <c r="L122" i="56"/>
  <c r="L121" i="56"/>
  <c r="L120" i="56"/>
  <c r="L119" i="56"/>
  <c r="L118" i="56"/>
  <c r="L117" i="56"/>
  <c r="L116" i="56"/>
  <c r="L115" i="56"/>
  <c r="L114" i="56"/>
  <c r="L113" i="56"/>
  <c r="L112" i="56"/>
  <c r="L111" i="56"/>
  <c r="L110" i="56"/>
  <c r="L109" i="56"/>
  <c r="L108" i="56"/>
  <c r="L107" i="56"/>
  <c r="L106" i="56"/>
  <c r="L105" i="56"/>
  <c r="L104" i="56"/>
  <c r="L103" i="56"/>
  <c r="L102" i="56"/>
  <c r="L101" i="56"/>
  <c r="L100" i="56"/>
  <c r="L99" i="56"/>
  <c r="L98" i="56"/>
  <c r="L97" i="56"/>
  <c r="L96" i="56"/>
  <c r="L95" i="56"/>
  <c r="L94" i="56"/>
  <c r="L93" i="56"/>
  <c r="L92" i="56"/>
  <c r="L91" i="56"/>
  <c r="L90" i="56"/>
  <c r="L89" i="56"/>
  <c r="L88" i="56"/>
  <c r="L87" i="56"/>
  <c r="L86" i="56"/>
  <c r="L85" i="56"/>
  <c r="L84" i="56"/>
  <c r="L83" i="56"/>
  <c r="L82" i="56"/>
  <c r="L81" i="56"/>
  <c r="L80" i="56"/>
  <c r="L79" i="56"/>
  <c r="L78" i="56"/>
  <c r="L77" i="56"/>
  <c r="L76" i="56"/>
  <c r="L75" i="56"/>
  <c r="L74" i="56"/>
  <c r="L73" i="56"/>
  <c r="L72" i="56"/>
  <c r="L71" i="56"/>
  <c r="L70" i="56"/>
  <c r="L69" i="56"/>
  <c r="L68" i="56"/>
  <c r="L67" i="56"/>
  <c r="L66" i="56"/>
  <c r="L65" i="56"/>
  <c r="L64" i="56"/>
  <c r="L63" i="56"/>
  <c r="L62" i="56"/>
  <c r="L61" i="56"/>
  <c r="L60" i="56"/>
  <c r="L59" i="56"/>
  <c r="L58" i="56"/>
  <c r="L57" i="56"/>
  <c r="L56" i="56"/>
  <c r="L55" i="56"/>
  <c r="L54" i="56"/>
  <c r="L53" i="56"/>
  <c r="L52" i="56"/>
  <c r="L51" i="56"/>
  <c r="L50" i="56"/>
  <c r="L49" i="56"/>
  <c r="L48" i="56"/>
  <c r="L47" i="56"/>
  <c r="L46" i="56"/>
  <c r="L45" i="56"/>
  <c r="L44" i="56"/>
  <c r="L43" i="56"/>
  <c r="L42" i="56"/>
  <c r="L41" i="56"/>
  <c r="L40" i="56"/>
  <c r="L39" i="56"/>
  <c r="L38" i="56"/>
  <c r="L37" i="56"/>
  <c r="L36" i="56"/>
  <c r="L35" i="56"/>
  <c r="L34" i="56"/>
  <c r="L33" i="56"/>
  <c r="L32" i="56"/>
  <c r="L31" i="56"/>
  <c r="L30" i="56"/>
  <c r="L29" i="56"/>
  <c r="L28" i="56"/>
  <c r="L27" i="56"/>
  <c r="L26" i="56"/>
  <c r="L25" i="56"/>
  <c r="L24" i="56"/>
  <c r="L23" i="56"/>
  <c r="L22" i="56"/>
  <c r="L21" i="56"/>
  <c r="L20" i="56"/>
  <c r="L19" i="56"/>
  <c r="L18" i="56"/>
  <c r="L17" i="56"/>
  <c r="L16" i="56"/>
  <c r="L15" i="56"/>
  <c r="L14" i="56"/>
  <c r="L13" i="56"/>
  <c r="L12" i="56"/>
  <c r="L11" i="56"/>
  <c r="L10" i="56"/>
  <c r="L9" i="56"/>
  <c r="L8" i="56"/>
  <c r="L7" i="56"/>
  <c r="L6" i="56"/>
  <c r="L5" i="56"/>
  <c r="L4" i="56"/>
  <c r="L3" i="56"/>
  <c r="L2" i="56"/>
  <c r="AE78" i="48" l="1"/>
  <c r="AN78" i="48"/>
  <c r="AO78" i="48" s="1"/>
  <c r="W17" i="59"/>
  <c r="W18" i="59" s="1"/>
  <c r="C37" i="59"/>
  <c r="W29" i="59" s="1"/>
  <c r="W30" i="59" s="1" a="1"/>
  <c r="AG17" i="59"/>
  <c r="C21" i="59" l="1"/>
  <c r="C7" i="59" s="1"/>
  <c r="C8" i="59"/>
  <c r="W30" i="59"/>
  <c r="L31" i="59" s="1"/>
  <c r="AG18" i="59"/>
  <c r="M17" i="59"/>
  <c r="L18" i="59" s="1"/>
  <c r="O2" i="58"/>
  <c r="V2" i="58" s="1"/>
  <c r="R90" i="83" a="1"/>
  <c r="R90" i="83" l="1"/>
  <c r="T90" i="83" s="1"/>
  <c r="L33" i="59"/>
  <c r="L32" i="59"/>
  <c r="L35" i="59"/>
  <c r="L34" i="59"/>
  <c r="U2" i="58"/>
  <c r="AG19" i="59"/>
  <c r="M18" i="59"/>
  <c r="L19" i="59" s="1"/>
  <c r="T88" i="83" l="1"/>
  <c r="O77" i="83"/>
  <c r="W90" i="83"/>
  <c r="AD90" i="83"/>
  <c r="AG20" i="59"/>
  <c r="M19" i="59"/>
  <c r="L20" i="59" s="1"/>
  <c r="W88" i="83" l="1"/>
  <c r="AH90" i="83"/>
  <c r="AK90" i="83" s="1"/>
  <c r="AM90" i="83" s="1"/>
  <c r="AE90" i="83"/>
  <c r="V77" i="83"/>
  <c r="U6" i="83"/>
  <c r="U7" i="83" s="1"/>
  <c r="O78" i="83"/>
  <c r="O79" i="83" s="1"/>
  <c r="AD77" i="83"/>
  <c r="AD88" i="83"/>
  <c r="AG21" i="59"/>
  <c r="M20" i="59"/>
  <c r="L21" i="59" s="1"/>
  <c r="P76" i="83" l="1"/>
  <c r="P77" i="83"/>
  <c r="P78" i="83"/>
  <c r="W77" i="83"/>
  <c r="V6" i="83"/>
  <c r="V78" i="83"/>
  <c r="AM88" i="83"/>
  <c r="AJ77" i="83"/>
  <c r="AK88" i="83"/>
  <c r="AE77" i="83"/>
  <c r="AD78" i="83"/>
  <c r="AD6" i="83"/>
  <c r="AG77" i="83"/>
  <c r="AH88" i="83"/>
  <c r="AE88" i="83"/>
  <c r="AG22" i="59"/>
  <c r="M21" i="59"/>
  <c r="L22" i="59" s="1"/>
  <c r="AG78" i="83" l="1"/>
  <c r="AH77" i="83"/>
  <c r="AG6" i="83"/>
  <c r="AN77" i="83"/>
  <c r="AO77" i="83" s="1"/>
  <c r="AD7" i="83"/>
  <c r="AE6" i="83"/>
  <c r="V79" i="83"/>
  <c r="W78" i="83"/>
  <c r="W6" i="83"/>
  <c r="V7" i="83"/>
  <c r="AJ78" i="83"/>
  <c r="AK77" i="83"/>
  <c r="AJ6" i="83"/>
  <c r="AE78" i="83"/>
  <c r="P79" i="83"/>
  <c r="AG23" i="59"/>
  <c r="M22" i="59"/>
  <c r="L23" i="59" s="1"/>
  <c r="AN78" i="83" l="1"/>
  <c r="AO78" i="83" s="1"/>
  <c r="AN6" i="83"/>
  <c r="AN7" i="83" s="1"/>
  <c r="V85" i="83"/>
  <c r="V10" i="83"/>
  <c r="AG79" i="83"/>
  <c r="AJ79" i="83" s="1"/>
  <c r="AD79" i="83"/>
  <c r="W79" i="83"/>
  <c r="AK6" i="83"/>
  <c r="AJ7" i="83"/>
  <c r="AE7" i="83"/>
  <c r="AK78" i="83"/>
  <c r="AH6" i="83"/>
  <c r="AG7" i="83"/>
  <c r="W7" i="83"/>
  <c r="AH78" i="83"/>
  <c r="AG24" i="59"/>
  <c r="M23" i="59"/>
  <c r="L24" i="59" s="1"/>
  <c r="AO6" i="83" l="1"/>
  <c r="AK79" i="83"/>
  <c r="AJ10" i="83"/>
  <c r="AJ85" i="83"/>
  <c r="AK85" i="83" s="1"/>
  <c r="AD10" i="83"/>
  <c r="AE79" i="83"/>
  <c r="AN79" i="83"/>
  <c r="AD85" i="83"/>
  <c r="AH7" i="83"/>
  <c r="AH79" i="83"/>
  <c r="AG10" i="83"/>
  <c r="V16" i="83"/>
  <c r="W10" i="83"/>
  <c r="W85" i="83"/>
  <c r="AG85" i="83"/>
  <c r="AH85" i="83" s="1"/>
  <c r="AK7" i="83"/>
  <c r="AO7" i="83"/>
  <c r="AG25" i="59"/>
  <c r="M24" i="59"/>
  <c r="L25" i="59" s="1"/>
  <c r="AE10" i="83" l="1"/>
  <c r="AD16" i="83"/>
  <c r="AN10" i="83"/>
  <c r="AG16" i="83"/>
  <c r="AH10" i="83"/>
  <c r="AV79" i="83"/>
  <c r="AN111" i="83"/>
  <c r="AO111" i="83" s="1"/>
  <c r="AN103" i="83"/>
  <c r="AO103" i="83" s="1"/>
  <c r="AN100" i="83"/>
  <c r="AO100" i="83" s="1"/>
  <c r="AT116" i="83"/>
  <c r="AV116" i="83" s="1"/>
  <c r="AW116" i="83" s="1"/>
  <c r="AN106" i="83"/>
  <c r="AO106" i="83" s="1"/>
  <c r="AN107" i="83"/>
  <c r="AO107" i="83" s="1"/>
  <c r="AT93" i="83"/>
  <c r="AV93" i="83" s="1"/>
  <c r="AW93" i="83" s="1"/>
  <c r="AN117" i="83"/>
  <c r="AO117" i="83" s="1"/>
  <c r="AT117" i="83"/>
  <c r="AV117" i="83" s="1"/>
  <c r="AW117" i="83" s="1"/>
  <c r="AT114" i="83"/>
  <c r="AV114" i="83" s="1"/>
  <c r="AW114" i="83" s="1"/>
  <c r="AT119" i="83"/>
  <c r="AV119" i="83" s="1"/>
  <c r="AW119" i="83" s="1"/>
  <c r="AN104" i="83"/>
  <c r="AO104" i="83" s="1"/>
  <c r="AN94" i="83"/>
  <c r="AO94" i="83" s="1"/>
  <c r="AT109" i="83"/>
  <c r="AV109" i="83" s="1"/>
  <c r="AW109" i="83" s="1"/>
  <c r="AN110" i="83"/>
  <c r="AO110" i="83" s="1"/>
  <c r="AN119" i="83"/>
  <c r="AO119" i="83" s="1"/>
  <c r="AN102" i="83"/>
  <c r="AO102" i="83" s="1"/>
  <c r="AN116" i="83"/>
  <c r="AO116" i="83" s="1"/>
  <c r="AT118" i="83"/>
  <c r="AV118" i="83" s="1"/>
  <c r="AW118" i="83" s="1"/>
  <c r="AT96" i="83"/>
  <c r="AV96" i="83" s="1"/>
  <c r="AW96" i="83" s="1"/>
  <c r="AN93" i="83"/>
  <c r="AO93" i="83" s="1"/>
  <c r="AN112" i="83"/>
  <c r="AO112" i="83" s="1"/>
  <c r="AN91" i="83"/>
  <c r="AO91" i="83" s="1"/>
  <c r="AT103" i="83"/>
  <c r="AV103" i="83" s="1"/>
  <c r="AW103" i="83" s="1"/>
  <c r="AT100" i="83"/>
  <c r="AV100" i="83" s="1"/>
  <c r="AW100" i="83" s="1"/>
  <c r="AT112" i="83"/>
  <c r="AV112" i="83" s="1"/>
  <c r="AW112" i="83" s="1"/>
  <c r="AT106" i="83"/>
  <c r="AV106" i="83" s="1"/>
  <c r="AW106" i="83" s="1"/>
  <c r="AN105" i="83"/>
  <c r="AO105" i="83" s="1"/>
  <c r="AN114" i="83"/>
  <c r="AO114" i="83" s="1"/>
  <c r="AN101" i="83"/>
  <c r="AO101" i="83" s="1"/>
  <c r="AT92" i="83"/>
  <c r="AV92" i="83" s="1"/>
  <c r="AW92" i="83" s="1"/>
  <c r="AN115" i="83"/>
  <c r="AO115" i="83" s="1"/>
  <c r="AN118" i="83"/>
  <c r="AO118" i="83" s="1"/>
  <c r="AT104" i="83"/>
  <c r="AV104" i="83" s="1"/>
  <c r="AW104" i="83" s="1"/>
  <c r="AN99" i="83"/>
  <c r="AO99" i="83" s="1"/>
  <c r="AT107" i="83"/>
  <c r="AV107" i="83" s="1"/>
  <c r="AW107" i="83" s="1"/>
  <c r="AT98" i="83"/>
  <c r="AV98" i="83" s="1"/>
  <c r="AW98" i="83" s="1"/>
  <c r="AT101" i="83"/>
  <c r="AV101" i="83" s="1"/>
  <c r="AW101" i="83" s="1"/>
  <c r="AN98" i="83"/>
  <c r="AO98" i="83" s="1"/>
  <c r="AT95" i="83"/>
  <c r="AV95" i="83" s="1"/>
  <c r="AW95" i="83" s="1"/>
  <c r="AN92" i="83"/>
  <c r="AO92" i="83" s="1"/>
  <c r="AT99" i="83"/>
  <c r="AV99" i="83" s="1"/>
  <c r="AW99" i="83" s="1"/>
  <c r="AN95" i="83"/>
  <c r="AO95" i="83" s="1"/>
  <c r="AT105" i="83"/>
  <c r="AV105" i="83" s="1"/>
  <c r="AW105" i="83" s="1"/>
  <c r="AN97" i="83"/>
  <c r="AO97" i="83" s="1"/>
  <c r="AN109" i="83"/>
  <c r="AO109" i="83" s="1"/>
  <c r="AT110" i="83"/>
  <c r="AV110" i="83" s="1"/>
  <c r="AW110" i="83" s="1"/>
  <c r="AT102" i="83"/>
  <c r="AV102" i="83" s="1"/>
  <c r="AW102" i="83" s="1"/>
  <c r="AT115" i="83"/>
  <c r="AV115" i="83" s="1"/>
  <c r="AW115" i="83" s="1"/>
  <c r="AT94" i="83"/>
  <c r="AV94" i="83" s="1"/>
  <c r="AW94" i="83" s="1"/>
  <c r="AT97" i="83"/>
  <c r="AV97" i="83" s="1"/>
  <c r="AW97" i="83" s="1"/>
  <c r="AO79" i="83"/>
  <c r="AN113" i="83"/>
  <c r="AO113" i="83" s="1"/>
  <c r="AN96" i="83"/>
  <c r="AO96" i="83" s="1"/>
  <c r="AT108" i="83"/>
  <c r="AV108" i="83" s="1"/>
  <c r="AW108" i="83" s="1"/>
  <c r="AT111" i="83"/>
  <c r="AV111" i="83" s="1"/>
  <c r="AW111" i="83" s="1"/>
  <c r="AT91" i="83"/>
  <c r="AV91" i="83" s="1"/>
  <c r="AW91" i="83" s="1"/>
  <c r="AN108" i="83"/>
  <c r="AO108" i="83" s="1"/>
  <c r="AT113" i="83"/>
  <c r="AV113" i="83" s="1"/>
  <c r="AW113" i="83" s="1"/>
  <c r="AT90" i="83"/>
  <c r="AN90" i="83"/>
  <c r="AJ16" i="83"/>
  <c r="AK10" i="83"/>
  <c r="AE85" i="83"/>
  <c r="AN85" i="83"/>
  <c r="W16" i="83"/>
  <c r="V21" i="83"/>
  <c r="AG26" i="59"/>
  <c r="M25" i="59"/>
  <c r="L26" i="59" s="1"/>
  <c r="AW79" i="83" l="1"/>
  <c r="AO85" i="83"/>
  <c r="AV82" i="83"/>
  <c r="AW82" i="83" s="1"/>
  <c r="AV81" i="83"/>
  <c r="AW81" i="83" s="1"/>
  <c r="AV80" i="83"/>
  <c r="AW80" i="83" s="1"/>
  <c r="Z15" i="59" s="1" a="1"/>
  <c r="Z15" i="59" s="1"/>
  <c r="AH16" i="83"/>
  <c r="AG19" i="83"/>
  <c r="AO90" i="83"/>
  <c r="AN88" i="83"/>
  <c r="AN16" i="83"/>
  <c r="AO10" i="83"/>
  <c r="AV90" i="83"/>
  <c r="AW90" i="83" s="1"/>
  <c r="AT88" i="83"/>
  <c r="AE16" i="83"/>
  <c r="AD19" i="83"/>
  <c r="AK16" i="83"/>
  <c r="AJ19" i="83"/>
  <c r="W21" i="83"/>
  <c r="M26" i="59"/>
  <c r="L27" i="59" s="1"/>
  <c r="AG27" i="59"/>
  <c r="M27" i="59" s="1"/>
  <c r="AG21" i="83" l="1"/>
  <c r="AH19" i="83"/>
  <c r="AD21" i="83"/>
  <c r="AE21" i="83" s="1"/>
  <c r="AE19" i="83"/>
  <c r="AO16" i="83"/>
  <c r="AN19" i="83"/>
  <c r="AK19" i="83"/>
  <c r="AJ21" i="83"/>
  <c r="AK21" i="83" s="1"/>
  <c r="AV77" i="83"/>
  <c r="W26" i="59"/>
  <c r="W24" i="59"/>
  <c r="W25" i="59"/>
  <c r="W19" i="59"/>
  <c r="G13" i="59"/>
  <c r="AN21" i="83" l="1"/>
  <c r="AO19" i="83"/>
  <c r="AH21" i="83"/>
  <c r="AV20" i="83"/>
  <c r="T40" i="48"/>
  <c r="AW20" i="83" l="1"/>
  <c r="AO21" i="83"/>
  <c r="AV19" i="83"/>
  <c r="AW19" i="83" s="1"/>
  <c r="AV21" i="83" l="1"/>
  <c r="W20" i="59" l="1"/>
  <c r="W27" i="59"/>
  <c r="W28" i="59"/>
  <c r="W21" i="59"/>
  <c r="H17" i="59" l="1"/>
  <c r="H19" i="59" l="1"/>
  <c r="H23" i="59" s="1"/>
  <c r="M33" i="59"/>
  <c r="M34" i="59"/>
  <c r="M35" i="59"/>
  <c r="M31" i="59"/>
  <c r="M32" i="59"/>
  <c r="C20" i="59" l="1"/>
  <c r="C23" i="59" s="1"/>
  <c r="AD7" i="59"/>
  <c r="AC7" i="59"/>
  <c r="AF7" i="59"/>
  <c r="AE7" i="59"/>
  <c r="C6" i="59" l="1"/>
  <c r="AI3" i="59"/>
  <c r="AC9" i="59"/>
  <c r="AE9" i="59"/>
  <c r="AI5" i="59"/>
  <c r="AI6" i="59"/>
  <c r="AF9" i="59"/>
  <c r="AI4" i="59"/>
  <c r="AD9" i="59"/>
  <c r="C9" i="59" l="1"/>
  <c r="Z16" i="59" l="1"/>
  <c r="AB15" i="59"/>
  <c r="AD15" i="59" s="1"/>
  <c r="AE15" i="59" s="1"/>
  <c r="J13" i="59" l="1"/>
  <c r="O15" i="59"/>
  <c r="AB16" i="59"/>
  <c r="AD16" i="59" s="1"/>
  <c r="AE16" i="59" s="1"/>
  <c r="O16" i="59" s="1"/>
  <c r="Z17" i="59"/>
  <c r="Q16" i="59" l="1"/>
  <c r="N17" i="59"/>
  <c r="P17" i="59" s="1"/>
  <c r="Z18" i="59"/>
  <c r="AB17" i="59"/>
  <c r="AD17" i="59" s="1"/>
  <c r="AE17" i="59" s="1"/>
  <c r="O17" i="59" s="1"/>
  <c r="P15" i="59"/>
  <c r="Q15" i="59"/>
  <c r="N16" i="59"/>
  <c r="P16" i="59" s="1"/>
  <c r="N15" i="59"/>
  <c r="Q17" i="59" l="1"/>
  <c r="N18" i="59"/>
  <c r="P18" i="59" s="1"/>
  <c r="AB18" i="59"/>
  <c r="AD18" i="59" s="1"/>
  <c r="AE18" i="59" s="1"/>
  <c r="O18" i="59" s="1"/>
  <c r="Z19" i="59"/>
  <c r="N19" i="59" l="1"/>
  <c r="P19" i="59" s="1"/>
  <c r="Q18" i="59"/>
  <c r="AB19" i="59"/>
  <c r="AD19" i="59" s="1"/>
  <c r="AE19" i="59" s="1"/>
  <c r="O19" i="59" s="1"/>
  <c r="Z20" i="59"/>
  <c r="AB20" i="59" l="1"/>
  <c r="AD20" i="59" s="1"/>
  <c r="AE20" i="59" s="1"/>
  <c r="O20" i="59" s="1"/>
  <c r="Z21" i="59"/>
  <c r="Q19" i="59"/>
  <c r="N20" i="59"/>
  <c r="P20" i="59" s="1"/>
  <c r="AB21" i="59" l="1"/>
  <c r="AD21" i="59" s="1"/>
  <c r="AE21" i="59" s="1"/>
  <c r="O21" i="59" s="1"/>
  <c r="Z22" i="59"/>
  <c r="N21" i="59"/>
  <c r="P21" i="59" s="1"/>
  <c r="Q20" i="59"/>
  <c r="AB22" i="59" l="1"/>
  <c r="AD22" i="59" s="1"/>
  <c r="AE22" i="59" s="1"/>
  <c r="O22" i="59" s="1"/>
  <c r="Z23" i="59"/>
  <c r="Q21" i="59"/>
  <c r="N22" i="59"/>
  <c r="P22" i="59" s="1"/>
  <c r="AB23" i="59" l="1"/>
  <c r="AD23" i="59" s="1"/>
  <c r="AE23" i="59" s="1"/>
  <c r="O23" i="59" s="1"/>
  <c r="Z24" i="59"/>
  <c r="Q22" i="59"/>
  <c r="N23" i="59"/>
  <c r="P23" i="59" s="1"/>
  <c r="Z25" i="59" l="1"/>
  <c r="AB24" i="59"/>
  <c r="AD24" i="59" s="1"/>
  <c r="AE24" i="59" s="1"/>
  <c r="O24" i="59" s="1"/>
  <c r="N24" i="59"/>
  <c r="P24" i="59" s="1"/>
  <c r="Q23" i="59"/>
  <c r="N25" i="59" l="1"/>
  <c r="P25" i="59" s="1"/>
  <c r="Q24" i="59"/>
  <c r="AB25" i="59"/>
  <c r="AD25" i="59" s="1"/>
  <c r="AE25" i="59" s="1"/>
  <c r="O25" i="59" s="1"/>
  <c r="Z26" i="59"/>
  <c r="AB26" i="59" l="1"/>
  <c r="AD26" i="59" s="1"/>
  <c r="AE26" i="59" s="1"/>
  <c r="O26" i="59" s="1"/>
  <c r="Z27" i="59"/>
  <c r="AB27" i="59" s="1"/>
  <c r="AD27" i="59" s="1"/>
  <c r="AE27" i="59" s="1"/>
  <c r="O27" i="59" s="1"/>
  <c r="Q27" i="59" s="1"/>
  <c r="Q25" i="59"/>
  <c r="N26" i="59"/>
  <c r="P26" i="59" s="1"/>
  <c r="W22" i="59" s="1"/>
  <c r="Q26" i="59" l="1"/>
  <c r="W23" i="59" s="1"/>
  <c r="N27" i="59"/>
  <c r="P27" i="59" s="1"/>
  <c r="O31" i="48" l="1"/>
  <c r="P28" i="48" l="1"/>
  <c r="P29" i="48"/>
  <c r="P30" i="48"/>
  <c r="M6" i="50"/>
  <c r="N6" i="50" s="1"/>
  <c r="N9" i="50" s="1"/>
  <c r="W69" i="48"/>
  <c r="W64" i="48"/>
  <c r="W68" i="48"/>
  <c r="W65" i="48"/>
  <c r="W67" i="48"/>
  <c r="W66" i="48"/>
  <c r="W71" i="48"/>
  <c r="AE69" i="48" l="1"/>
  <c r="AE67" i="48"/>
  <c r="AE65" i="48"/>
  <c r="AE66" i="48"/>
  <c r="AE68" i="48"/>
  <c r="AH64" i="48"/>
  <c r="AK64" i="48" s="1"/>
  <c r="AE64" i="48"/>
  <c r="AH71" i="48"/>
  <c r="AE71" i="48"/>
  <c r="AH69" i="48"/>
  <c r="AK69" i="48" s="1"/>
  <c r="AH67" i="48"/>
  <c r="AK67" i="48" s="1"/>
  <c r="AH65" i="48"/>
  <c r="AK65" i="48" s="1"/>
  <c r="AH66" i="48"/>
  <c r="AK66" i="48" s="1"/>
  <c r="AH68" i="48"/>
  <c r="AK68" i="48" s="1"/>
  <c r="P31" i="48"/>
  <c r="W42" i="48"/>
  <c r="AH42" i="48" s="1"/>
  <c r="AD40" i="48"/>
  <c r="AK71" i="48" l="1"/>
  <c r="AM71" i="48" s="1"/>
  <c r="AM68" i="48"/>
  <c r="AM64" i="48"/>
  <c r="AM67" i="48"/>
  <c r="AM69" i="48"/>
  <c r="AM66" i="48"/>
  <c r="AM65" i="48"/>
  <c r="AK42" i="48"/>
  <c r="AM42" i="48" s="1"/>
  <c r="AE42" i="48"/>
  <c r="V28" i="48"/>
  <c r="V5" i="48" s="1"/>
  <c r="V29" i="48"/>
  <c r="V6" i="48" s="1"/>
  <c r="W40" i="48"/>
  <c r="AE40" i="48" s="1"/>
  <c r="AJ28" i="48" l="1"/>
  <c r="AJ5" i="48" s="1"/>
  <c r="AG29" i="48"/>
  <c r="AH40" i="48"/>
  <c r="AG28" i="48"/>
  <c r="AK40" i="48"/>
  <c r="AE29" i="48"/>
  <c r="AJ29" i="48"/>
  <c r="AJ6" i="48" s="1"/>
  <c r="W29" i="48"/>
  <c r="W28" i="48"/>
  <c r="AD30" i="48"/>
  <c r="AE28" i="48"/>
  <c r="V30" i="48"/>
  <c r="AN28" i="48" l="1"/>
  <c r="AM40" i="48"/>
  <c r="AH28" i="48"/>
  <c r="AG5" i="48"/>
  <c r="AH29" i="48"/>
  <c r="AG6" i="48"/>
  <c r="AJ30" i="48"/>
  <c r="AG30" i="48"/>
  <c r="AH30" i="48" s="1"/>
  <c r="J2" i="74"/>
  <c r="L2" i="74"/>
  <c r="AN29" i="48"/>
  <c r="AE30" i="48"/>
  <c r="AK28" i="48"/>
  <c r="W30" i="48"/>
  <c r="V31" i="48"/>
  <c r="AD31" i="48" s="1"/>
  <c r="AK29" i="48"/>
  <c r="AG226" i="48" l="1"/>
  <c r="AG274" i="48"/>
  <c r="AG322" i="48"/>
  <c r="AG178" i="48"/>
  <c r="AG130" i="48"/>
  <c r="V80" i="48"/>
  <c r="V178" i="48"/>
  <c r="V226" i="48"/>
  <c r="V130" i="48"/>
  <c r="V274" i="48"/>
  <c r="V322" i="48"/>
  <c r="AG32" i="48"/>
  <c r="AG80" i="48"/>
  <c r="AD10" i="48"/>
  <c r="AG31" i="48"/>
  <c r="AJ31" i="48" s="1"/>
  <c r="M2" i="74"/>
  <c r="AN30" i="48"/>
  <c r="AH6" i="48"/>
  <c r="AH5" i="48"/>
  <c r="AG7" i="48"/>
  <c r="AH7" i="48" s="1"/>
  <c r="AO29" i="48"/>
  <c r="AK6" i="48" s="1"/>
  <c r="AO28" i="48"/>
  <c r="AN5" i="48" s="1"/>
  <c r="V10" i="48"/>
  <c r="AK30" i="48"/>
  <c r="W31" i="48"/>
  <c r="V32" i="48"/>
  <c r="AG11" i="48" l="1"/>
  <c r="W226" i="48"/>
  <c r="W80" i="48"/>
  <c r="AJ274" i="48"/>
  <c r="AJ322" i="48"/>
  <c r="AJ178" i="48"/>
  <c r="AJ130" i="48"/>
  <c r="AJ226" i="48"/>
  <c r="AH32" i="48"/>
  <c r="W178" i="48"/>
  <c r="AH130" i="48"/>
  <c r="AH178" i="48"/>
  <c r="W322" i="48"/>
  <c r="AH322" i="48"/>
  <c r="W274" i="48"/>
  <c r="AH274" i="48"/>
  <c r="W130" i="48"/>
  <c r="AH226" i="48"/>
  <c r="AJ32" i="48"/>
  <c r="AJ80" i="48"/>
  <c r="AH80" i="48"/>
  <c r="AG10" i="48"/>
  <c r="AJ10" i="48"/>
  <c r="AH31" i="48"/>
  <c r="AN6" i="48"/>
  <c r="AN7" i="48" s="1"/>
  <c r="AJ7" i="48"/>
  <c r="AK7" i="48" s="1"/>
  <c r="AK5" i="48"/>
  <c r="AN31" i="48"/>
  <c r="AO30" i="48"/>
  <c r="AE31" i="48"/>
  <c r="AK31" i="48"/>
  <c r="W32" i="48"/>
  <c r="V11" i="48"/>
  <c r="I2" i="36"/>
  <c r="P2" i="36" s="1"/>
  <c r="AJ11" i="48" l="1"/>
  <c r="AK130" i="48"/>
  <c r="AK178" i="48"/>
  <c r="AK322" i="48"/>
  <c r="AK274" i="48"/>
  <c r="AK226" i="48"/>
  <c r="AK80" i="48"/>
  <c r="S2" i="36"/>
  <c r="Q2" i="36"/>
  <c r="R2" i="36"/>
  <c r="AH10" i="48"/>
  <c r="AO31" i="48"/>
  <c r="AK32" i="48"/>
  <c r="V81" i="48" l="1"/>
  <c r="V179" i="48"/>
  <c r="V323" i="48"/>
  <c r="V131" i="48"/>
  <c r="V227" i="48"/>
  <c r="V275" i="48"/>
  <c r="AG323" i="48"/>
  <c r="AG131" i="48"/>
  <c r="AG227" i="48"/>
  <c r="AG275" i="48"/>
  <c r="AG179" i="48"/>
  <c r="AD81" i="48"/>
  <c r="AE81" i="48" s="1"/>
  <c r="AD179" i="48"/>
  <c r="AD323" i="48"/>
  <c r="AD227" i="48"/>
  <c r="AD131" i="48"/>
  <c r="AD275" i="48"/>
  <c r="T2" i="36"/>
  <c r="AG81" i="48"/>
  <c r="AG33" i="48"/>
  <c r="AG37" i="48" s="1"/>
  <c r="AH37" i="48" s="1"/>
  <c r="AH11" i="48"/>
  <c r="W36" i="48"/>
  <c r="V33" i="48"/>
  <c r="V37" i="48" s="1"/>
  <c r="AH131" i="48" l="1"/>
  <c r="AG135" i="48"/>
  <c r="AH135" i="48" s="1"/>
  <c r="AE131" i="48"/>
  <c r="AE227" i="48"/>
  <c r="AH323" i="48"/>
  <c r="AG327" i="48"/>
  <c r="AH327" i="48" s="1"/>
  <c r="AE323" i="48"/>
  <c r="W275" i="48"/>
  <c r="V279" i="48"/>
  <c r="AH227" i="48"/>
  <c r="AG231" i="48"/>
  <c r="AH231" i="48" s="1"/>
  <c r="AH81" i="48"/>
  <c r="AG85" i="48"/>
  <c r="AH85" i="48" s="1"/>
  <c r="AE179" i="48"/>
  <c r="W227" i="48"/>
  <c r="V231" i="48"/>
  <c r="AJ81" i="48"/>
  <c r="AJ323" i="48"/>
  <c r="AJ227" i="48"/>
  <c r="AJ131" i="48"/>
  <c r="AJ275" i="48"/>
  <c r="AN275" i="48" s="1"/>
  <c r="AO275" i="48" s="1"/>
  <c r="AJ179" i="48"/>
  <c r="W131" i="48"/>
  <c r="V135" i="48"/>
  <c r="AE275" i="48"/>
  <c r="AH179" i="48"/>
  <c r="AG183" i="48"/>
  <c r="AH183" i="48" s="1"/>
  <c r="W323" i="48"/>
  <c r="V327" i="48"/>
  <c r="W179" i="48"/>
  <c r="V183" i="48"/>
  <c r="AH275" i="48"/>
  <c r="AG279" i="48"/>
  <c r="AH279" i="48" s="1"/>
  <c r="W81" i="48"/>
  <c r="V85" i="48"/>
  <c r="AH33" i="48"/>
  <c r="AG12" i="48"/>
  <c r="AG16" i="48" s="1"/>
  <c r="AJ36" i="48"/>
  <c r="AJ15" i="48" s="1"/>
  <c r="AJ33" i="48"/>
  <c r="V12" i="48"/>
  <c r="V16" i="48" s="1"/>
  <c r="W16" i="48" s="1"/>
  <c r="W33" i="48"/>
  <c r="AD36" i="48"/>
  <c r="AD15" i="48" s="1"/>
  <c r="AD33" i="48"/>
  <c r="AD12" i="48" s="1"/>
  <c r="AK131" i="48" l="1"/>
  <c r="AJ135" i="48"/>
  <c r="AK135" i="48" s="1"/>
  <c r="AK227" i="48"/>
  <c r="AJ231" i="48"/>
  <c r="AK231" i="48" s="1"/>
  <c r="AK323" i="48"/>
  <c r="AJ327" i="48"/>
  <c r="AK327" i="48" s="1"/>
  <c r="AK81" i="48"/>
  <c r="AJ85" i="48"/>
  <c r="AK85" i="48" s="1"/>
  <c r="AN81" i="48"/>
  <c r="AO81" i="48" s="1"/>
  <c r="AN227" i="48"/>
  <c r="AO227" i="48" s="1"/>
  <c r="AJ12" i="48"/>
  <c r="W183" i="48"/>
  <c r="W135" i="48"/>
  <c r="W231" i="48"/>
  <c r="W279" i="48"/>
  <c r="AN131" i="48"/>
  <c r="AO131" i="48" s="1"/>
  <c r="AK179" i="48"/>
  <c r="AJ183" i="48"/>
  <c r="AK183" i="48" s="1"/>
  <c r="W85" i="48"/>
  <c r="W327" i="48"/>
  <c r="AK275" i="48"/>
  <c r="AJ279" i="48"/>
  <c r="AK279" i="48" s="1"/>
  <c r="AN179" i="48"/>
  <c r="AO179" i="48" s="1"/>
  <c r="AN323" i="48"/>
  <c r="AO323" i="48" s="1"/>
  <c r="AH12" i="48"/>
  <c r="AN36" i="48"/>
  <c r="AJ37" i="48"/>
  <c r="AV31" i="48" s="1"/>
  <c r="AN33" i="48"/>
  <c r="AK33" i="48"/>
  <c r="AK36" i="48"/>
  <c r="AE36" i="48"/>
  <c r="W37" i="48"/>
  <c r="AE33" i="48"/>
  <c r="AV129" i="48" l="1"/>
  <c r="AW129" i="48" s="1"/>
  <c r="AV79" i="48"/>
  <c r="AW79" i="48" s="1"/>
  <c r="AV321" i="48"/>
  <c r="AV177" i="48"/>
  <c r="AV273" i="48"/>
  <c r="AV225" i="48"/>
  <c r="AO36" i="48"/>
  <c r="AN15" i="48" s="1"/>
  <c r="AH15" i="48"/>
  <c r="AK37" i="48"/>
  <c r="AO33" i="48"/>
  <c r="AN12" i="48" s="1"/>
  <c r="AW31" i="48"/>
  <c r="AW225" i="48" l="1"/>
  <c r="AW177" i="48"/>
  <c r="AW321" i="48"/>
  <c r="AW273" i="48"/>
  <c r="AG19" i="48"/>
  <c r="AG21" i="48" s="1"/>
  <c r="AH16" i="48"/>
  <c r="AN10" i="48"/>
  <c r="AE13" i="48"/>
  <c r="AE15" i="48"/>
  <c r="AK12" i="48"/>
  <c r="W13" i="48"/>
  <c r="AK13" i="48"/>
  <c r="AK10" i="48"/>
  <c r="AK14" i="48"/>
  <c r="AE6" i="48"/>
  <c r="W15" i="48"/>
  <c r="W14" i="48"/>
  <c r="AK15" i="48"/>
  <c r="AE14" i="48"/>
  <c r="W11" i="48"/>
  <c r="W12" i="48"/>
  <c r="W6" i="48"/>
  <c r="AE12" i="48"/>
  <c r="AH21" i="48" l="1"/>
  <c r="AH19" i="48"/>
  <c r="AE5" i="48"/>
  <c r="AE10" i="48"/>
  <c r="U7" i="48"/>
  <c r="AO14" i="48"/>
  <c r="AO12" i="48"/>
  <c r="AO13" i="48"/>
  <c r="AO6" i="48"/>
  <c r="AO15" i="48"/>
  <c r="W5" i="48"/>
  <c r="V7" i="48"/>
  <c r="W7" i="48" s="1"/>
  <c r="W10" i="48"/>
  <c r="AD7" i="48"/>
  <c r="AO10" i="48" l="1"/>
  <c r="AO7" i="48"/>
  <c r="AO5" i="48"/>
  <c r="AE7" i="48"/>
  <c r="V21" i="48" l="1"/>
  <c r="W21" i="48" l="1"/>
  <c r="AJ16" i="48" l="1"/>
  <c r="AK11" i="48"/>
  <c r="AJ19" i="48" l="1"/>
  <c r="AJ21" i="48" s="1"/>
  <c r="AK16" i="48"/>
  <c r="AK19" i="48" l="1"/>
  <c r="AK21" i="48" l="1"/>
  <c r="AV20" i="48"/>
  <c r="AW20" i="48" s="1"/>
  <c r="G64" i="73" l="1"/>
  <c r="K2" i="74"/>
  <c r="AD32" i="48" s="1"/>
  <c r="AD37" i="48" s="1"/>
  <c r="AD80" i="48" l="1"/>
  <c r="AE80" i="48" s="1"/>
  <c r="AD178" i="48"/>
  <c r="AD130" i="48"/>
  <c r="AD274" i="48"/>
  <c r="AD322" i="48"/>
  <c r="AD226" i="48"/>
  <c r="AN37" i="48"/>
  <c r="AE37" i="48"/>
  <c r="AE32" i="48"/>
  <c r="AN32" i="48"/>
  <c r="AT71" i="48" l="1"/>
  <c r="AV71" i="48" s="1"/>
  <c r="AW71" i="48" s="1"/>
  <c r="AT42" i="48"/>
  <c r="AT66" i="48"/>
  <c r="AV66" i="48" s="1"/>
  <c r="AW66" i="48" s="1"/>
  <c r="AT64" i="48"/>
  <c r="AV64" i="48" s="1"/>
  <c r="AW64" i="48" s="1"/>
  <c r="AT67" i="48"/>
  <c r="AV67" i="48" s="1"/>
  <c r="AW67" i="48" s="1"/>
  <c r="AT65" i="48"/>
  <c r="AV65" i="48" s="1"/>
  <c r="AW65" i="48" s="1"/>
  <c r="AT68" i="48"/>
  <c r="AV68" i="48" s="1"/>
  <c r="AW68" i="48" s="1"/>
  <c r="AT69" i="48"/>
  <c r="AV69" i="48" s="1"/>
  <c r="AW69" i="48" s="1"/>
  <c r="AT70" i="48"/>
  <c r="AV70" i="48" s="1"/>
  <c r="AW70" i="48" s="1"/>
  <c r="AN67" i="48"/>
  <c r="AO67" i="48" s="1"/>
  <c r="AN64" i="48"/>
  <c r="AO64" i="48" s="1"/>
  <c r="AN66" i="48"/>
  <c r="AO66" i="48" s="1"/>
  <c r="AN42" i="48"/>
  <c r="AN71" i="48"/>
  <c r="AO71" i="48" s="1"/>
  <c r="AN70" i="48"/>
  <c r="AO70" i="48" s="1"/>
  <c r="AN69" i="48"/>
  <c r="AO69" i="48" s="1"/>
  <c r="AN68" i="48"/>
  <c r="AO68" i="48" s="1"/>
  <c r="AN65" i="48"/>
  <c r="AO65" i="48" s="1"/>
  <c r="AD11" i="48"/>
  <c r="AD16" i="48" s="1"/>
  <c r="AN80" i="48"/>
  <c r="AD85" i="48"/>
  <c r="AN85" i="48" s="1"/>
  <c r="AN226" i="48"/>
  <c r="AE226" i="48"/>
  <c r="AD231" i="48"/>
  <c r="AE322" i="48"/>
  <c r="AN322" i="48"/>
  <c r="AD327" i="48"/>
  <c r="AE274" i="48"/>
  <c r="AN274" i="48"/>
  <c r="AD279" i="48"/>
  <c r="AE130" i="48"/>
  <c r="AN130" i="48"/>
  <c r="AD135" i="48"/>
  <c r="AE178" i="48"/>
  <c r="AN178" i="48"/>
  <c r="AD183" i="48"/>
  <c r="AO32" i="48"/>
  <c r="AV32" i="48"/>
  <c r="AV33" i="48"/>
  <c r="AW33" i="48" s="1"/>
  <c r="AV34" i="48"/>
  <c r="AW34" i="48" s="1"/>
  <c r="AO37" i="48"/>
  <c r="AT121" i="48" l="1"/>
  <c r="AV121" i="48" s="1"/>
  <c r="AW121" i="48" s="1"/>
  <c r="AT90" i="48"/>
  <c r="AV90" i="48" s="1"/>
  <c r="AW90" i="48" s="1"/>
  <c r="AT98" i="48"/>
  <c r="AV98" i="48" s="1"/>
  <c r="AW98" i="48" s="1"/>
  <c r="AT105" i="48"/>
  <c r="AV105" i="48" s="1"/>
  <c r="AW105" i="48" s="1"/>
  <c r="AT116" i="48"/>
  <c r="AV116" i="48" s="1"/>
  <c r="AW116" i="48" s="1"/>
  <c r="AT91" i="48"/>
  <c r="AV91" i="48" s="1"/>
  <c r="AW91" i="48" s="1"/>
  <c r="AT99" i="48"/>
  <c r="AV99" i="48" s="1"/>
  <c r="AW99" i="48" s="1"/>
  <c r="AT117" i="48"/>
  <c r="AV117" i="48" s="1"/>
  <c r="AW117" i="48" s="1"/>
  <c r="AT111" i="48"/>
  <c r="AV111" i="48" s="1"/>
  <c r="AW111" i="48" s="1"/>
  <c r="AT92" i="48"/>
  <c r="AV92" i="48" s="1"/>
  <c r="AW92" i="48" s="1"/>
  <c r="AT100" i="48"/>
  <c r="AV100" i="48" s="1"/>
  <c r="AW100" i="48" s="1"/>
  <c r="AT106" i="48"/>
  <c r="AV106" i="48" s="1"/>
  <c r="AW106" i="48" s="1"/>
  <c r="AT118" i="48"/>
  <c r="AV118" i="48" s="1"/>
  <c r="AW118" i="48" s="1"/>
  <c r="AT93" i="48"/>
  <c r="AV93" i="48" s="1"/>
  <c r="AW93" i="48" s="1"/>
  <c r="AT101" i="48"/>
  <c r="AV101" i="48" s="1"/>
  <c r="AW101" i="48" s="1"/>
  <c r="AT107" i="48"/>
  <c r="AV107" i="48" s="1"/>
  <c r="AW107" i="48" s="1"/>
  <c r="AT119" i="48"/>
  <c r="AV119" i="48" s="1"/>
  <c r="AW119" i="48" s="1"/>
  <c r="AT104" i="48"/>
  <c r="AV104" i="48" s="1"/>
  <c r="AW104" i="48" s="1"/>
  <c r="AT94" i="48"/>
  <c r="AV94" i="48" s="1"/>
  <c r="AW94" i="48" s="1"/>
  <c r="AT102" i="48"/>
  <c r="AV102" i="48" s="1"/>
  <c r="AW102" i="48" s="1"/>
  <c r="AT108" i="48"/>
  <c r="AV108" i="48" s="1"/>
  <c r="AW108" i="48" s="1"/>
  <c r="AT120" i="48"/>
  <c r="AV120" i="48" s="1"/>
  <c r="AW120" i="48" s="1"/>
  <c r="AT96" i="48"/>
  <c r="AV96" i="48" s="1"/>
  <c r="AW96" i="48" s="1"/>
  <c r="AT97" i="48"/>
  <c r="AV97" i="48" s="1"/>
  <c r="AW97" i="48" s="1"/>
  <c r="AT95" i="48"/>
  <c r="AV95" i="48" s="1"/>
  <c r="AW95" i="48" s="1"/>
  <c r="AT103" i="48"/>
  <c r="AV103" i="48" s="1"/>
  <c r="AW103" i="48" s="1"/>
  <c r="AT109" i="48"/>
  <c r="AV109" i="48" s="1"/>
  <c r="AW109" i="48" s="1"/>
  <c r="AT110" i="48"/>
  <c r="AV110" i="48" s="1"/>
  <c r="AW110" i="48" s="1"/>
  <c r="AT169" i="48"/>
  <c r="AV169" i="48" s="1"/>
  <c r="AW169" i="48" s="1"/>
  <c r="AT140" i="48"/>
  <c r="AT148" i="48"/>
  <c r="AV148" i="48" s="1"/>
  <c r="AW148" i="48" s="1"/>
  <c r="AT156" i="48"/>
  <c r="AV156" i="48" s="1"/>
  <c r="AW156" i="48" s="1"/>
  <c r="AT164" i="48"/>
  <c r="AV164" i="48" s="1"/>
  <c r="AW164" i="48" s="1"/>
  <c r="AT141" i="48"/>
  <c r="AV141" i="48" s="1"/>
  <c r="AW141" i="48" s="1"/>
  <c r="AT149" i="48"/>
  <c r="AV149" i="48" s="1"/>
  <c r="AW149" i="48" s="1"/>
  <c r="AT157" i="48"/>
  <c r="AV157" i="48" s="1"/>
  <c r="AW157" i="48" s="1"/>
  <c r="AT165" i="48"/>
  <c r="AV165" i="48" s="1"/>
  <c r="AW165" i="48" s="1"/>
  <c r="AT142" i="48"/>
  <c r="AV142" i="48" s="1"/>
  <c r="AW142" i="48" s="1"/>
  <c r="AT150" i="48"/>
  <c r="AV150" i="48" s="1"/>
  <c r="AW150" i="48" s="1"/>
  <c r="AT158" i="48"/>
  <c r="AV158" i="48" s="1"/>
  <c r="AW158" i="48" s="1"/>
  <c r="AT166" i="48"/>
  <c r="AV166" i="48" s="1"/>
  <c r="AW166" i="48" s="1"/>
  <c r="AT143" i="48"/>
  <c r="AV143" i="48" s="1"/>
  <c r="AW143" i="48" s="1"/>
  <c r="AT151" i="48"/>
  <c r="AV151" i="48" s="1"/>
  <c r="AW151" i="48" s="1"/>
  <c r="AT159" i="48"/>
  <c r="AV159" i="48" s="1"/>
  <c r="AW159" i="48" s="1"/>
  <c r="AT167" i="48"/>
  <c r="AV167" i="48" s="1"/>
  <c r="AW167" i="48" s="1"/>
  <c r="AT144" i="48"/>
  <c r="AV144" i="48" s="1"/>
  <c r="AW144" i="48" s="1"/>
  <c r="AT152" i="48"/>
  <c r="AV152" i="48" s="1"/>
  <c r="AW152" i="48" s="1"/>
  <c r="AT160" i="48"/>
  <c r="AV160" i="48" s="1"/>
  <c r="AW160" i="48" s="1"/>
  <c r="AT168" i="48"/>
  <c r="AV168" i="48" s="1"/>
  <c r="AW168" i="48" s="1"/>
  <c r="AT145" i="48"/>
  <c r="AV145" i="48" s="1"/>
  <c r="AW145" i="48" s="1"/>
  <c r="AT153" i="48"/>
  <c r="AV153" i="48" s="1"/>
  <c r="AW153" i="48" s="1"/>
  <c r="AT161" i="48"/>
  <c r="AV161" i="48" s="1"/>
  <c r="AW161" i="48" s="1"/>
  <c r="AT146" i="48"/>
  <c r="AV146" i="48" s="1"/>
  <c r="AW146" i="48" s="1"/>
  <c r="AT154" i="48"/>
  <c r="AV154" i="48" s="1"/>
  <c r="AW154" i="48" s="1"/>
  <c r="AT162" i="48"/>
  <c r="AV162" i="48" s="1"/>
  <c r="AW162" i="48" s="1"/>
  <c r="AT147" i="48"/>
  <c r="AV147" i="48" s="1"/>
  <c r="AW147" i="48" s="1"/>
  <c r="AT155" i="48"/>
  <c r="AV155" i="48" s="1"/>
  <c r="AW155" i="48" s="1"/>
  <c r="AT163" i="48"/>
  <c r="AV163" i="48" s="1"/>
  <c r="AW163" i="48" s="1"/>
  <c r="AT217" i="48"/>
  <c r="AV217" i="48" s="1"/>
  <c r="AW217" i="48" s="1"/>
  <c r="AT188" i="48"/>
  <c r="AT196" i="48"/>
  <c r="AV196" i="48" s="1"/>
  <c r="AW196" i="48" s="1"/>
  <c r="AT204" i="48"/>
  <c r="AV204" i="48" s="1"/>
  <c r="AW204" i="48" s="1"/>
  <c r="AT212" i="48"/>
  <c r="AV212" i="48" s="1"/>
  <c r="AW212" i="48" s="1"/>
  <c r="AT189" i="48"/>
  <c r="AV189" i="48" s="1"/>
  <c r="AW189" i="48" s="1"/>
  <c r="AT197" i="48"/>
  <c r="AV197" i="48" s="1"/>
  <c r="AW197" i="48" s="1"/>
  <c r="AT205" i="48"/>
  <c r="AV205" i="48" s="1"/>
  <c r="AW205" i="48" s="1"/>
  <c r="AT213" i="48"/>
  <c r="AV213" i="48" s="1"/>
  <c r="AW213" i="48" s="1"/>
  <c r="AT190" i="48"/>
  <c r="AV190" i="48" s="1"/>
  <c r="AW190" i="48" s="1"/>
  <c r="AT198" i="48"/>
  <c r="AV198" i="48" s="1"/>
  <c r="AW198" i="48" s="1"/>
  <c r="AT206" i="48"/>
  <c r="AV206" i="48" s="1"/>
  <c r="AW206" i="48" s="1"/>
  <c r="AT214" i="48"/>
  <c r="AV214" i="48" s="1"/>
  <c r="AW214" i="48" s="1"/>
  <c r="AT191" i="48"/>
  <c r="AV191" i="48" s="1"/>
  <c r="AW191" i="48" s="1"/>
  <c r="AT199" i="48"/>
  <c r="AV199" i="48" s="1"/>
  <c r="AW199" i="48" s="1"/>
  <c r="AT207" i="48"/>
  <c r="AV207" i="48" s="1"/>
  <c r="AW207" i="48" s="1"/>
  <c r="AT215" i="48"/>
  <c r="AV215" i="48" s="1"/>
  <c r="AW215" i="48" s="1"/>
  <c r="AT192" i="48"/>
  <c r="AV192" i="48" s="1"/>
  <c r="AW192" i="48" s="1"/>
  <c r="AT200" i="48"/>
  <c r="AV200" i="48" s="1"/>
  <c r="AW200" i="48" s="1"/>
  <c r="AT208" i="48"/>
  <c r="AV208" i="48" s="1"/>
  <c r="AW208" i="48" s="1"/>
  <c r="AT216" i="48"/>
  <c r="AV216" i="48" s="1"/>
  <c r="AW216" i="48" s="1"/>
  <c r="AT193" i="48"/>
  <c r="AV193" i="48" s="1"/>
  <c r="AW193" i="48" s="1"/>
  <c r="AT201" i="48"/>
  <c r="AV201" i="48" s="1"/>
  <c r="AW201" i="48" s="1"/>
  <c r="AT209" i="48"/>
  <c r="AV209" i="48" s="1"/>
  <c r="AW209" i="48" s="1"/>
  <c r="AT194" i="48"/>
  <c r="AV194" i="48" s="1"/>
  <c r="AW194" i="48" s="1"/>
  <c r="AT202" i="48"/>
  <c r="AV202" i="48" s="1"/>
  <c r="AW202" i="48" s="1"/>
  <c r="AT210" i="48"/>
  <c r="AV210" i="48" s="1"/>
  <c r="AW210" i="48" s="1"/>
  <c r="AT195" i="48"/>
  <c r="AV195" i="48" s="1"/>
  <c r="AW195" i="48" s="1"/>
  <c r="AT203" i="48"/>
  <c r="AV203" i="48" s="1"/>
  <c r="AW203" i="48" s="1"/>
  <c r="AT211" i="48"/>
  <c r="AV211" i="48" s="1"/>
  <c r="AW211" i="48" s="1"/>
  <c r="AT265" i="48"/>
  <c r="AV265" i="48" s="1"/>
  <c r="AW265" i="48" s="1"/>
  <c r="AT236" i="48"/>
  <c r="AT244" i="48"/>
  <c r="AV244" i="48" s="1"/>
  <c r="AW244" i="48" s="1"/>
  <c r="AT252" i="48"/>
  <c r="AV252" i="48" s="1"/>
  <c r="AW252" i="48" s="1"/>
  <c r="AT260" i="48"/>
  <c r="AV260" i="48" s="1"/>
  <c r="AW260" i="48" s="1"/>
  <c r="AT237" i="48"/>
  <c r="AV237" i="48" s="1"/>
  <c r="AW237" i="48" s="1"/>
  <c r="AT245" i="48"/>
  <c r="AV245" i="48" s="1"/>
  <c r="AW245" i="48" s="1"/>
  <c r="AT253" i="48"/>
  <c r="AV253" i="48" s="1"/>
  <c r="AW253" i="48" s="1"/>
  <c r="AT261" i="48"/>
  <c r="AV261" i="48" s="1"/>
  <c r="AW261" i="48" s="1"/>
  <c r="AT238" i="48"/>
  <c r="AV238" i="48" s="1"/>
  <c r="AW238" i="48" s="1"/>
  <c r="AT246" i="48"/>
  <c r="AV246" i="48" s="1"/>
  <c r="AW246" i="48" s="1"/>
  <c r="AT254" i="48"/>
  <c r="AV254" i="48" s="1"/>
  <c r="AW254" i="48" s="1"/>
  <c r="AT262" i="48"/>
  <c r="AV262" i="48" s="1"/>
  <c r="AW262" i="48" s="1"/>
  <c r="AT239" i="48"/>
  <c r="AV239" i="48" s="1"/>
  <c r="AW239" i="48" s="1"/>
  <c r="AT247" i="48"/>
  <c r="AV247" i="48" s="1"/>
  <c r="AW247" i="48" s="1"/>
  <c r="AT255" i="48"/>
  <c r="AV255" i="48" s="1"/>
  <c r="AW255" i="48" s="1"/>
  <c r="AT263" i="48"/>
  <c r="AV263" i="48" s="1"/>
  <c r="AW263" i="48" s="1"/>
  <c r="AT240" i="48"/>
  <c r="AV240" i="48" s="1"/>
  <c r="AW240" i="48" s="1"/>
  <c r="AT248" i="48"/>
  <c r="AV248" i="48" s="1"/>
  <c r="AW248" i="48" s="1"/>
  <c r="AT256" i="48"/>
  <c r="AV256" i="48" s="1"/>
  <c r="AW256" i="48" s="1"/>
  <c r="AT264" i="48"/>
  <c r="AV264" i="48" s="1"/>
  <c r="AW264" i="48" s="1"/>
  <c r="AT241" i="48"/>
  <c r="AV241" i="48" s="1"/>
  <c r="AW241" i="48" s="1"/>
  <c r="AT249" i="48"/>
  <c r="AV249" i="48" s="1"/>
  <c r="AW249" i="48" s="1"/>
  <c r="AT257" i="48"/>
  <c r="AV257" i="48" s="1"/>
  <c r="AW257" i="48" s="1"/>
  <c r="AT242" i="48"/>
  <c r="AV242" i="48" s="1"/>
  <c r="AW242" i="48" s="1"/>
  <c r="AT250" i="48"/>
  <c r="AV250" i="48" s="1"/>
  <c r="AW250" i="48" s="1"/>
  <c r="AT258" i="48"/>
  <c r="AV258" i="48" s="1"/>
  <c r="AW258" i="48" s="1"/>
  <c r="AT243" i="48"/>
  <c r="AV243" i="48" s="1"/>
  <c r="AW243" i="48" s="1"/>
  <c r="AT251" i="48"/>
  <c r="AV251" i="48" s="1"/>
  <c r="AW251" i="48" s="1"/>
  <c r="AT259" i="48"/>
  <c r="AV259" i="48" s="1"/>
  <c r="AW259" i="48" s="1"/>
  <c r="AT284" i="48"/>
  <c r="AT292" i="48"/>
  <c r="AV292" i="48" s="1"/>
  <c r="AW292" i="48" s="1"/>
  <c r="AT300" i="48"/>
  <c r="AV300" i="48" s="1"/>
  <c r="AW300" i="48" s="1"/>
  <c r="AT308" i="48"/>
  <c r="AV308" i="48" s="1"/>
  <c r="AW308" i="48" s="1"/>
  <c r="AT285" i="48"/>
  <c r="AV285" i="48" s="1"/>
  <c r="AW285" i="48" s="1"/>
  <c r="AT293" i="48"/>
  <c r="AV293" i="48" s="1"/>
  <c r="AW293" i="48" s="1"/>
  <c r="AT301" i="48"/>
  <c r="AV301" i="48" s="1"/>
  <c r="AW301" i="48" s="1"/>
  <c r="AT309" i="48"/>
  <c r="AV309" i="48" s="1"/>
  <c r="AW309" i="48" s="1"/>
  <c r="AT286" i="48"/>
  <c r="AV286" i="48" s="1"/>
  <c r="AW286" i="48" s="1"/>
  <c r="AT294" i="48"/>
  <c r="AV294" i="48" s="1"/>
  <c r="AW294" i="48" s="1"/>
  <c r="AT302" i="48"/>
  <c r="AV302" i="48" s="1"/>
  <c r="AW302" i="48" s="1"/>
  <c r="AT310" i="48"/>
  <c r="AV310" i="48" s="1"/>
  <c r="AW310" i="48" s="1"/>
  <c r="AT298" i="48"/>
  <c r="AV298" i="48" s="1"/>
  <c r="AW298" i="48" s="1"/>
  <c r="AT299" i="48"/>
  <c r="AV299" i="48" s="1"/>
  <c r="AW299" i="48" s="1"/>
  <c r="AT287" i="48"/>
  <c r="AV287" i="48" s="1"/>
  <c r="AW287" i="48" s="1"/>
  <c r="AT295" i="48"/>
  <c r="AV295" i="48" s="1"/>
  <c r="AW295" i="48" s="1"/>
  <c r="AT303" i="48"/>
  <c r="AV303" i="48" s="1"/>
  <c r="AW303" i="48" s="1"/>
  <c r="AT311" i="48"/>
  <c r="AV311" i="48" s="1"/>
  <c r="AW311" i="48" s="1"/>
  <c r="AT306" i="48"/>
  <c r="AV306" i="48" s="1"/>
  <c r="AW306" i="48" s="1"/>
  <c r="AT307" i="48"/>
  <c r="AV307" i="48" s="1"/>
  <c r="AW307" i="48" s="1"/>
  <c r="AT288" i="48"/>
  <c r="AV288" i="48" s="1"/>
  <c r="AW288" i="48" s="1"/>
  <c r="AT296" i="48"/>
  <c r="AV296" i="48" s="1"/>
  <c r="AW296" i="48" s="1"/>
  <c r="AT304" i="48"/>
  <c r="AV304" i="48" s="1"/>
  <c r="AW304" i="48" s="1"/>
  <c r="AT312" i="48"/>
  <c r="AV312" i="48" s="1"/>
  <c r="AW312" i="48" s="1"/>
  <c r="AT289" i="48"/>
  <c r="AV289" i="48" s="1"/>
  <c r="AW289" i="48" s="1"/>
  <c r="AT297" i="48"/>
  <c r="AV297" i="48" s="1"/>
  <c r="AW297" i="48" s="1"/>
  <c r="AT305" i="48"/>
  <c r="AV305" i="48" s="1"/>
  <c r="AW305" i="48" s="1"/>
  <c r="AT290" i="48"/>
  <c r="AV290" i="48" s="1"/>
  <c r="AW290" i="48" s="1"/>
  <c r="AT291" i="48"/>
  <c r="AV291" i="48" s="1"/>
  <c r="AW291" i="48" s="1"/>
  <c r="AT313" i="48"/>
  <c r="AV313" i="48" s="1"/>
  <c r="AW313" i="48" s="1"/>
  <c r="AT360" i="48"/>
  <c r="AV360" i="48" s="1"/>
  <c r="AW360" i="48" s="1"/>
  <c r="AT361" i="48"/>
  <c r="AV361" i="48" s="1"/>
  <c r="AW361" i="48" s="1"/>
  <c r="AT358" i="48"/>
  <c r="AV358" i="48" s="1"/>
  <c r="AW358" i="48" s="1"/>
  <c r="AT359" i="48"/>
  <c r="AV359" i="48" s="1"/>
  <c r="AW359" i="48" s="1"/>
  <c r="AT356" i="48"/>
  <c r="AV356" i="48" s="1"/>
  <c r="AW356" i="48" s="1"/>
  <c r="AT357" i="48"/>
  <c r="AV357" i="48" s="1"/>
  <c r="AW357" i="48" s="1"/>
  <c r="AT354" i="48"/>
  <c r="AV354" i="48" s="1"/>
  <c r="AW354" i="48" s="1"/>
  <c r="AT355" i="48"/>
  <c r="AV355" i="48" s="1"/>
  <c r="AW355" i="48" s="1"/>
  <c r="AT352" i="48"/>
  <c r="AV352" i="48" s="1"/>
  <c r="AW352" i="48" s="1"/>
  <c r="AT353" i="48"/>
  <c r="AV353" i="48" s="1"/>
  <c r="AW353" i="48" s="1"/>
  <c r="AT350" i="48"/>
  <c r="AV350" i="48" s="1"/>
  <c r="AW350" i="48" s="1"/>
  <c r="AT351" i="48"/>
  <c r="AV351" i="48" s="1"/>
  <c r="AW351" i="48" s="1"/>
  <c r="AT348" i="48"/>
  <c r="AV348" i="48" s="1"/>
  <c r="AW348" i="48" s="1"/>
  <c r="AT349" i="48"/>
  <c r="AV349" i="48" s="1"/>
  <c r="AW349" i="48" s="1"/>
  <c r="AT346" i="48"/>
  <c r="AV346" i="48" s="1"/>
  <c r="AW346" i="48" s="1"/>
  <c r="AT347" i="48"/>
  <c r="AV347" i="48" s="1"/>
  <c r="AW347" i="48" s="1"/>
  <c r="AT344" i="48"/>
  <c r="AV344" i="48" s="1"/>
  <c r="AW344" i="48" s="1"/>
  <c r="AT345" i="48"/>
  <c r="AV345" i="48" s="1"/>
  <c r="AW345" i="48" s="1"/>
  <c r="AT342" i="48"/>
  <c r="AV342" i="48" s="1"/>
  <c r="AW342" i="48" s="1"/>
  <c r="AT343" i="48"/>
  <c r="AV343" i="48" s="1"/>
  <c r="AW343" i="48" s="1"/>
  <c r="AT340" i="48"/>
  <c r="AV340" i="48" s="1"/>
  <c r="AW340" i="48" s="1"/>
  <c r="AT341" i="48"/>
  <c r="AV341" i="48" s="1"/>
  <c r="AW341" i="48" s="1"/>
  <c r="AT338" i="48"/>
  <c r="AV338" i="48" s="1"/>
  <c r="AW338" i="48" s="1"/>
  <c r="AT339" i="48"/>
  <c r="AV339" i="48" s="1"/>
  <c r="AW339" i="48" s="1"/>
  <c r="AT336" i="48"/>
  <c r="AV336" i="48" s="1"/>
  <c r="AW336" i="48" s="1"/>
  <c r="AT337" i="48"/>
  <c r="AV337" i="48" s="1"/>
  <c r="AW337" i="48" s="1"/>
  <c r="AT334" i="48"/>
  <c r="AV334" i="48" s="1"/>
  <c r="AW334" i="48" s="1"/>
  <c r="AT335" i="48"/>
  <c r="AV335" i="48" s="1"/>
  <c r="AW335" i="48" s="1"/>
  <c r="AT332" i="48"/>
  <c r="AT333" i="48"/>
  <c r="AV333" i="48" s="1"/>
  <c r="AW333" i="48" s="1"/>
  <c r="AN311" i="48"/>
  <c r="AO311" i="48" s="1"/>
  <c r="AN303" i="48"/>
  <c r="AO303" i="48" s="1"/>
  <c r="AN295" i="48"/>
  <c r="AO295" i="48" s="1"/>
  <c r="AN287" i="48"/>
  <c r="AO287" i="48" s="1"/>
  <c r="AN310" i="48"/>
  <c r="AO310" i="48" s="1"/>
  <c r="AN302" i="48"/>
  <c r="AO302" i="48" s="1"/>
  <c r="AN294" i="48"/>
  <c r="AO294" i="48" s="1"/>
  <c r="AN286" i="48"/>
  <c r="AO286" i="48" s="1"/>
  <c r="AN309" i="48"/>
  <c r="AO309" i="48" s="1"/>
  <c r="AN301" i="48"/>
  <c r="AO301" i="48" s="1"/>
  <c r="AN293" i="48"/>
  <c r="AO293" i="48" s="1"/>
  <c r="AN285" i="48"/>
  <c r="AO285" i="48" s="1"/>
  <c r="AN308" i="48"/>
  <c r="AO308" i="48" s="1"/>
  <c r="AN300" i="48"/>
  <c r="AO300" i="48" s="1"/>
  <c r="AN292" i="48"/>
  <c r="AO292" i="48" s="1"/>
  <c r="AN284" i="48"/>
  <c r="AN307" i="48"/>
  <c r="AO307" i="48" s="1"/>
  <c r="AN299" i="48"/>
  <c r="AO299" i="48" s="1"/>
  <c r="AN291" i="48"/>
  <c r="AO291" i="48" s="1"/>
  <c r="AN306" i="48"/>
  <c r="AO306" i="48" s="1"/>
  <c r="AN298" i="48"/>
  <c r="AO298" i="48" s="1"/>
  <c r="AN290" i="48"/>
  <c r="AO290" i="48" s="1"/>
  <c r="AN313" i="48"/>
  <c r="AO313" i="48" s="1"/>
  <c r="AN305" i="48"/>
  <c r="AO305" i="48" s="1"/>
  <c r="AN297" i="48"/>
  <c r="AO297" i="48" s="1"/>
  <c r="AN289" i="48"/>
  <c r="AO289" i="48" s="1"/>
  <c r="AN312" i="48"/>
  <c r="AO312" i="48" s="1"/>
  <c r="AN304" i="48"/>
  <c r="AO304" i="48" s="1"/>
  <c r="AN296" i="48"/>
  <c r="AO296" i="48" s="1"/>
  <c r="AN288" i="48"/>
  <c r="AO288" i="48" s="1"/>
  <c r="AN169" i="48"/>
  <c r="AO169" i="48" s="1"/>
  <c r="AN161" i="48"/>
  <c r="AO161" i="48" s="1"/>
  <c r="AN153" i="48"/>
  <c r="AO153" i="48" s="1"/>
  <c r="AN145" i="48"/>
  <c r="AO145" i="48" s="1"/>
  <c r="AN168" i="48"/>
  <c r="AO168" i="48" s="1"/>
  <c r="AN160" i="48"/>
  <c r="AO160" i="48" s="1"/>
  <c r="AN152" i="48"/>
  <c r="AO152" i="48" s="1"/>
  <c r="AN144" i="48"/>
  <c r="AO144" i="48" s="1"/>
  <c r="AN167" i="48"/>
  <c r="AO167" i="48" s="1"/>
  <c r="AN159" i="48"/>
  <c r="AO159" i="48" s="1"/>
  <c r="AN151" i="48"/>
  <c r="AO151" i="48" s="1"/>
  <c r="AN143" i="48"/>
  <c r="AO143" i="48" s="1"/>
  <c r="AN166" i="48"/>
  <c r="AO166" i="48" s="1"/>
  <c r="AN158" i="48"/>
  <c r="AO158" i="48" s="1"/>
  <c r="AN150" i="48"/>
  <c r="AO150" i="48" s="1"/>
  <c r="AN142" i="48"/>
  <c r="AO142" i="48" s="1"/>
  <c r="AN165" i="48"/>
  <c r="AO165" i="48" s="1"/>
  <c r="AN157" i="48"/>
  <c r="AO157" i="48" s="1"/>
  <c r="AN149" i="48"/>
  <c r="AO149" i="48" s="1"/>
  <c r="AN141" i="48"/>
  <c r="AO141" i="48" s="1"/>
  <c r="AN164" i="48"/>
  <c r="AO164" i="48" s="1"/>
  <c r="AN156" i="48"/>
  <c r="AO156" i="48" s="1"/>
  <c r="AN148" i="48"/>
  <c r="AO148" i="48" s="1"/>
  <c r="AN140" i="48"/>
  <c r="AN163" i="48"/>
  <c r="AO163" i="48" s="1"/>
  <c r="AN155" i="48"/>
  <c r="AO155" i="48" s="1"/>
  <c r="AN147" i="48"/>
  <c r="AO147" i="48" s="1"/>
  <c r="AN162" i="48"/>
  <c r="AO162" i="48" s="1"/>
  <c r="AN154" i="48"/>
  <c r="AO154" i="48" s="1"/>
  <c r="AN146" i="48"/>
  <c r="AO146" i="48" s="1"/>
  <c r="AN119" i="48"/>
  <c r="AO119" i="48" s="1"/>
  <c r="AN107" i="48"/>
  <c r="AO107" i="48" s="1"/>
  <c r="AN101" i="48"/>
  <c r="AO101" i="48" s="1"/>
  <c r="AN93" i="48"/>
  <c r="AO93" i="48" s="1"/>
  <c r="AN118" i="48"/>
  <c r="AO118" i="48" s="1"/>
  <c r="AN106" i="48"/>
  <c r="AO106" i="48" s="1"/>
  <c r="AN100" i="48"/>
  <c r="AO100" i="48" s="1"/>
  <c r="AN92" i="48"/>
  <c r="AO92" i="48" s="1"/>
  <c r="AN117" i="48"/>
  <c r="AO117" i="48" s="1"/>
  <c r="AN99" i="48"/>
  <c r="AO99" i="48" s="1"/>
  <c r="AN91" i="48"/>
  <c r="AO91" i="48" s="1"/>
  <c r="AN116" i="48"/>
  <c r="AO116" i="48" s="1"/>
  <c r="AN105" i="48"/>
  <c r="AO105" i="48" s="1"/>
  <c r="AN98" i="48"/>
  <c r="AO98" i="48" s="1"/>
  <c r="AN90" i="48"/>
  <c r="AO90" i="48" s="1"/>
  <c r="AN111" i="48"/>
  <c r="AO111" i="48" s="1"/>
  <c r="AN104" i="48"/>
  <c r="AO104" i="48" s="1"/>
  <c r="AN97" i="48"/>
  <c r="AO97" i="48" s="1"/>
  <c r="AN110" i="48"/>
  <c r="AO110" i="48" s="1"/>
  <c r="AN96" i="48"/>
  <c r="AO96" i="48" s="1"/>
  <c r="AN121" i="48"/>
  <c r="AO121" i="48" s="1"/>
  <c r="AN109" i="48"/>
  <c r="AO109" i="48" s="1"/>
  <c r="AN103" i="48"/>
  <c r="AO103" i="48" s="1"/>
  <c r="AN95" i="48"/>
  <c r="AO95" i="48" s="1"/>
  <c r="AN120" i="48"/>
  <c r="AO120" i="48" s="1"/>
  <c r="AN108" i="48"/>
  <c r="AO108" i="48" s="1"/>
  <c r="AN102" i="48"/>
  <c r="AO102" i="48" s="1"/>
  <c r="AN94" i="48"/>
  <c r="AO94" i="48" s="1"/>
  <c r="AN211" i="48"/>
  <c r="AO211" i="48" s="1"/>
  <c r="AN203" i="48"/>
  <c r="AO203" i="48" s="1"/>
  <c r="AN195" i="48"/>
  <c r="AO195" i="48" s="1"/>
  <c r="AN210" i="48"/>
  <c r="AO210" i="48" s="1"/>
  <c r="AN202" i="48"/>
  <c r="AO202" i="48" s="1"/>
  <c r="AN194" i="48"/>
  <c r="AO194" i="48" s="1"/>
  <c r="AN217" i="48"/>
  <c r="AO217" i="48" s="1"/>
  <c r="AN209" i="48"/>
  <c r="AO209" i="48" s="1"/>
  <c r="AN201" i="48"/>
  <c r="AO201" i="48" s="1"/>
  <c r="AN193" i="48"/>
  <c r="AO193" i="48" s="1"/>
  <c r="AN216" i="48"/>
  <c r="AO216" i="48" s="1"/>
  <c r="AN208" i="48"/>
  <c r="AO208" i="48" s="1"/>
  <c r="AN200" i="48"/>
  <c r="AO200" i="48" s="1"/>
  <c r="AN192" i="48"/>
  <c r="AO192" i="48" s="1"/>
  <c r="AN215" i="48"/>
  <c r="AO215" i="48" s="1"/>
  <c r="AN207" i="48"/>
  <c r="AO207" i="48" s="1"/>
  <c r="AN199" i="48"/>
  <c r="AO199" i="48" s="1"/>
  <c r="AN191" i="48"/>
  <c r="AO191" i="48" s="1"/>
  <c r="AN214" i="48"/>
  <c r="AO214" i="48" s="1"/>
  <c r="AN206" i="48"/>
  <c r="AO206" i="48" s="1"/>
  <c r="AN198" i="48"/>
  <c r="AO198" i="48" s="1"/>
  <c r="AN190" i="48"/>
  <c r="AO190" i="48" s="1"/>
  <c r="AN213" i="48"/>
  <c r="AO213" i="48" s="1"/>
  <c r="AN205" i="48"/>
  <c r="AO205" i="48" s="1"/>
  <c r="AN197" i="48"/>
  <c r="AO197" i="48" s="1"/>
  <c r="AN189" i="48"/>
  <c r="AO189" i="48" s="1"/>
  <c r="AN212" i="48"/>
  <c r="AO212" i="48" s="1"/>
  <c r="AN204" i="48"/>
  <c r="AO204" i="48" s="1"/>
  <c r="AN196" i="48"/>
  <c r="AO196" i="48" s="1"/>
  <c r="AN188" i="48"/>
  <c r="AN261" i="48"/>
  <c r="AO261" i="48" s="1"/>
  <c r="AN253" i="48"/>
  <c r="AO253" i="48" s="1"/>
  <c r="AN245" i="48"/>
  <c r="AO245" i="48" s="1"/>
  <c r="AN237" i="48"/>
  <c r="AO237" i="48" s="1"/>
  <c r="AN260" i="48"/>
  <c r="AO260" i="48" s="1"/>
  <c r="AN252" i="48"/>
  <c r="AO252" i="48" s="1"/>
  <c r="AN244" i="48"/>
  <c r="AO244" i="48" s="1"/>
  <c r="AN236" i="48"/>
  <c r="AN259" i="48"/>
  <c r="AO259" i="48" s="1"/>
  <c r="AN251" i="48"/>
  <c r="AO251" i="48" s="1"/>
  <c r="AN243" i="48"/>
  <c r="AO243" i="48" s="1"/>
  <c r="AN258" i="48"/>
  <c r="AO258" i="48" s="1"/>
  <c r="AN250" i="48"/>
  <c r="AO250" i="48" s="1"/>
  <c r="AN242" i="48"/>
  <c r="AO242" i="48" s="1"/>
  <c r="AN265" i="48"/>
  <c r="AO265" i="48" s="1"/>
  <c r="AN257" i="48"/>
  <c r="AO257" i="48" s="1"/>
  <c r="AN249" i="48"/>
  <c r="AO249" i="48" s="1"/>
  <c r="AN241" i="48"/>
  <c r="AO241" i="48" s="1"/>
  <c r="AN264" i="48"/>
  <c r="AO264" i="48" s="1"/>
  <c r="AN256" i="48"/>
  <c r="AO256" i="48" s="1"/>
  <c r="AN248" i="48"/>
  <c r="AO248" i="48" s="1"/>
  <c r="AN240" i="48"/>
  <c r="AO240" i="48" s="1"/>
  <c r="AN263" i="48"/>
  <c r="AO263" i="48" s="1"/>
  <c r="AN255" i="48"/>
  <c r="AO255" i="48" s="1"/>
  <c r="AN247" i="48"/>
  <c r="AO247" i="48" s="1"/>
  <c r="AN239" i="48"/>
  <c r="AO239" i="48" s="1"/>
  <c r="AN262" i="48"/>
  <c r="AO262" i="48" s="1"/>
  <c r="AN254" i="48"/>
  <c r="AO254" i="48" s="1"/>
  <c r="AN246" i="48"/>
  <c r="AO246" i="48" s="1"/>
  <c r="AN238" i="48"/>
  <c r="AO238" i="48" s="1"/>
  <c r="AE85" i="48"/>
  <c r="AO80" i="48"/>
  <c r="AN11" i="48"/>
  <c r="AO11" i="48" s="1"/>
  <c r="AE11" i="48"/>
  <c r="AO322" i="48"/>
  <c r="AN348" i="48"/>
  <c r="AO348" i="48" s="1"/>
  <c r="AN337" i="48"/>
  <c r="AO337" i="48" s="1"/>
  <c r="AN351" i="48"/>
  <c r="AO351" i="48" s="1"/>
  <c r="AN332" i="48"/>
  <c r="AN347" i="48"/>
  <c r="AO347" i="48" s="1"/>
  <c r="AN352" i="48"/>
  <c r="AO352" i="48" s="1"/>
  <c r="AN333" i="48"/>
  <c r="AO333" i="48" s="1"/>
  <c r="AN340" i="48"/>
  <c r="AO340" i="48" s="1"/>
  <c r="AN355" i="48"/>
  <c r="AO355" i="48" s="1"/>
  <c r="AN342" i="48"/>
  <c r="AO342" i="48" s="1"/>
  <c r="AN339" i="48"/>
  <c r="AO339" i="48" s="1"/>
  <c r="AN336" i="48"/>
  <c r="AO336" i="48" s="1"/>
  <c r="AN349" i="48"/>
  <c r="AO349" i="48" s="1"/>
  <c r="AN334" i="48"/>
  <c r="AO334" i="48" s="1"/>
  <c r="AN341" i="48"/>
  <c r="AO341" i="48" s="1"/>
  <c r="AN343" i="48"/>
  <c r="AO343" i="48" s="1"/>
  <c r="AN344" i="48"/>
  <c r="AO344" i="48" s="1"/>
  <c r="AN346" i="48"/>
  <c r="AO346" i="48" s="1"/>
  <c r="AN345" i="48"/>
  <c r="AO345" i="48" s="1"/>
  <c r="AN358" i="48"/>
  <c r="AO358" i="48" s="1"/>
  <c r="AN350" i="48"/>
  <c r="AO350" i="48" s="1"/>
  <c r="AN361" i="48"/>
  <c r="AO361" i="48" s="1"/>
  <c r="AN354" i="48"/>
  <c r="AO354" i="48" s="1"/>
  <c r="AN353" i="48"/>
  <c r="AO353" i="48" s="1"/>
  <c r="AN338" i="48"/>
  <c r="AO338" i="48" s="1"/>
  <c r="AN359" i="48"/>
  <c r="AO359" i="48" s="1"/>
  <c r="AN356" i="48"/>
  <c r="AO356" i="48" s="1"/>
  <c r="AN335" i="48"/>
  <c r="AO335" i="48" s="1"/>
  <c r="AN357" i="48"/>
  <c r="AO357" i="48" s="1"/>
  <c r="AN360" i="48"/>
  <c r="AO360" i="48" s="1"/>
  <c r="AE135" i="48"/>
  <c r="AN135" i="48"/>
  <c r="AO130" i="48"/>
  <c r="AN231" i="48"/>
  <c r="AE231" i="48"/>
  <c r="AN279" i="48"/>
  <c r="AE279" i="48"/>
  <c r="AO226" i="48"/>
  <c r="AO274" i="48"/>
  <c r="AE183" i="48"/>
  <c r="AN183" i="48"/>
  <c r="AO178" i="48"/>
  <c r="AE327" i="48"/>
  <c r="AN327" i="48"/>
  <c r="AV81" i="48"/>
  <c r="AW81" i="48" s="1"/>
  <c r="AO85" i="48"/>
  <c r="AV80" i="48"/>
  <c r="AV82" i="48"/>
  <c r="AW82" i="48" s="1"/>
  <c r="AV42" i="48"/>
  <c r="AW42" i="48" s="1"/>
  <c r="AT40" i="48"/>
  <c r="AN40" i="48"/>
  <c r="AO42" i="48"/>
  <c r="AD19" i="48"/>
  <c r="AE16" i="48"/>
  <c r="AV29" i="48"/>
  <c r="AW32" i="48"/>
  <c r="AN16" i="48" l="1"/>
  <c r="AO16" i="48" s="1"/>
  <c r="AN88" i="48"/>
  <c r="AT88" i="48"/>
  <c r="AT138" i="48"/>
  <c r="AV140" i="48"/>
  <c r="AW140" i="48" s="1"/>
  <c r="AV275" i="48"/>
  <c r="AW275" i="48" s="1"/>
  <c r="AO279" i="48"/>
  <c r="AV274" i="48"/>
  <c r="AV276" i="48"/>
  <c r="AW276" i="48" s="1"/>
  <c r="AV130" i="48"/>
  <c r="AV132" i="48"/>
  <c r="AW132" i="48" s="1"/>
  <c r="AV131" i="48"/>
  <c r="AW131" i="48" s="1"/>
  <c r="AO135" i="48"/>
  <c r="AV178" i="48"/>
  <c r="AV180" i="48"/>
  <c r="AW180" i="48" s="1"/>
  <c r="AO183" i="48"/>
  <c r="AV179" i="48"/>
  <c r="AW179" i="48" s="1"/>
  <c r="AW80" i="48"/>
  <c r="AV77" i="48"/>
  <c r="AT186" i="48"/>
  <c r="AV188" i="48"/>
  <c r="AW188" i="48" s="1"/>
  <c r="AN186" i="48"/>
  <c r="AO188" i="48"/>
  <c r="AN282" i="48"/>
  <c r="AO284" i="48"/>
  <c r="AV227" i="48"/>
  <c r="AW227" i="48" s="1"/>
  <c r="AO231" i="48"/>
  <c r="AV226" i="48"/>
  <c r="AV228" i="48"/>
  <c r="AW228" i="48" s="1"/>
  <c r="AN138" i="48"/>
  <c r="AO140" i="48"/>
  <c r="AT330" i="48"/>
  <c r="AV332" i="48"/>
  <c r="AW332" i="48" s="1"/>
  <c r="AV322" i="48"/>
  <c r="AV324" i="48"/>
  <c r="AW324" i="48" s="1"/>
  <c r="AV323" i="48"/>
  <c r="AW323" i="48" s="1"/>
  <c r="AO327" i="48"/>
  <c r="AN234" i="48"/>
  <c r="AO236" i="48"/>
  <c r="AV236" i="48"/>
  <c r="AW236" i="48" s="1"/>
  <c r="AT234" i="48"/>
  <c r="AT282" i="48"/>
  <c r="AV284" i="48"/>
  <c r="AW284" i="48" s="1"/>
  <c r="AN330" i="48"/>
  <c r="AO332" i="48"/>
  <c r="AE19" i="48"/>
  <c r="AD21" i="48"/>
  <c r="AE21" i="48" s="1"/>
  <c r="AN19" i="48" l="1"/>
  <c r="AO19" i="48" s="1"/>
  <c r="AW274" i="48"/>
  <c r="AV271" i="48"/>
  <c r="AW322" i="48"/>
  <c r="AV319" i="48"/>
  <c r="AW130" i="48"/>
  <c r="AV127" i="48"/>
  <c r="AW178" i="48"/>
  <c r="AV175" i="48"/>
  <c r="AW226" i="48"/>
  <c r="AV223" i="48"/>
  <c r="AN21" i="48" l="1"/>
  <c r="AV19" i="48" s="1"/>
  <c r="AO21" i="48" l="1"/>
  <c r="AV21" i="48"/>
  <c r="AW19"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Llerena, Marlon</author>
    <author>Navia, Franklin</author>
  </authors>
  <commentList>
    <comment ref="N4" authorId="0" shapeId="0" xr:uid="{0F4BE4F3-932B-45BA-BD84-8AF7E0CE90C7}">
      <text>
        <r>
          <rPr>
            <b/>
            <sz val="9"/>
            <color rgb="FF000000"/>
            <rFont val="Tahoma"/>
            <family val="2"/>
          </rPr>
          <t xml:space="preserve">Llerena, Marlon:
</t>
        </r>
        <r>
          <rPr>
            <sz val="9"/>
            <color rgb="FF000000"/>
            <rFont val="Tahoma"/>
            <family val="2"/>
          </rPr>
          <t xml:space="preserve">
</t>
        </r>
        <r>
          <rPr>
            <b/>
            <sz val="9"/>
            <color rgb="FF000000"/>
            <rFont val="Tahoma"/>
            <family val="2"/>
          </rPr>
          <t xml:space="preserve">For </t>
        </r>
        <r>
          <rPr>
            <b/>
            <sz val="10"/>
            <color rgb="FF000000"/>
            <rFont val="Calibri"/>
            <family val="2"/>
            <scheme val="minor"/>
          </rPr>
          <t>Colombia</t>
        </r>
        <r>
          <rPr>
            <sz val="9"/>
            <color rgb="FF000000"/>
            <rFont val="Calibri"/>
            <family val="2"/>
            <scheme val="minor"/>
          </rPr>
          <t>/</t>
        </r>
        <r>
          <rPr>
            <b/>
            <sz val="9"/>
            <color rgb="FF000000"/>
            <rFont val="Tahoma"/>
            <family val="2"/>
          </rPr>
          <t xml:space="preserve">XDC Medellín Subsidiaries:
</t>
        </r>
        <r>
          <rPr>
            <sz val="9"/>
            <color rgb="FF000000"/>
            <rFont val="Tahoma"/>
            <family val="2"/>
          </rPr>
          <t xml:space="preserve">Law 2101 of 2021 - GRADUAL REDUCTION OF WEEKLY WORKING HOURS (https://www.funcionpublica.gov.co/eva/gestornormativo/norma.php?i=166506)
</t>
        </r>
        <r>
          <rPr>
            <sz val="9"/>
            <color rgb="FF000000"/>
            <rFont val="Tahoma"/>
            <family val="2"/>
          </rPr>
          <t xml:space="preserve">
</t>
        </r>
        <r>
          <rPr>
            <sz val="9"/>
            <color rgb="FF000000"/>
            <rFont val="Tahoma"/>
            <family val="2"/>
          </rPr>
          <t xml:space="preserve">In accordance with the previous presidential law, which would gradually reduce the working day to 42 hours per week, it is necessary to remember the following definition to cover the organization in 2025 and 2026:
</t>
        </r>
        <r>
          <rPr>
            <sz val="9"/>
            <color rgb="FF000000"/>
            <rFont val="Tahoma"/>
            <family val="2"/>
          </rPr>
          <t xml:space="preserve">
</t>
        </r>
        <r>
          <rPr>
            <sz val="9"/>
            <color rgb="FF000000"/>
            <rFont val="Tahoma"/>
            <family val="2"/>
          </rPr>
          <t xml:space="preserve">Beginning July 15, 2025, for new offers and renewals, the business sheet must be modeled with 8.1 productive hours. There is no impact on cost rates since these are calculated based on 8 hours per day and 40 hours per week.
</t>
        </r>
        <r>
          <rPr>
            <sz val="9"/>
            <color rgb="FF000000"/>
            <rFont val="Tahoma"/>
            <family val="2"/>
          </rPr>
          <t xml:space="preserve">
</t>
        </r>
        <r>
          <rPr>
            <b/>
            <sz val="10"/>
            <color rgb="FF000000"/>
            <rFont val="Calibri"/>
            <family val="2"/>
            <scheme val="minor"/>
          </rPr>
          <t xml:space="preserve">For others Subsidiaries:
</t>
        </r>
        <r>
          <rPr>
            <sz val="9"/>
            <color rgb="FF000000"/>
            <rFont val="Tahoma"/>
            <family val="2"/>
          </rPr>
          <t>This field is enabled to be modified so that the business sheet must be modeled according to the productive hours capacity defined by the company or client.</t>
        </r>
      </text>
    </comment>
    <comment ref="B9" authorId="1" shapeId="0" xr:uid="{0AA510E6-1326-854A-B546-BE9610E43BAC}">
      <text>
        <r>
          <rPr>
            <b/>
            <sz val="10"/>
            <color rgb="FF000000"/>
            <rFont val="Tahoma"/>
            <family val="2"/>
          </rPr>
          <t>Navia, Franklin:</t>
        </r>
        <r>
          <rPr>
            <sz val="10"/>
            <color rgb="FF000000"/>
            <rFont val="Tahoma"/>
            <family val="2"/>
          </rPr>
          <t xml:space="preserve">
</t>
        </r>
        <r>
          <rPr>
            <sz val="10"/>
            <color rgb="FF000000"/>
            <rFont val="Tahoma"/>
            <family val="2"/>
          </rPr>
          <t>Proximamente se actualizará lista de fondos</t>
        </r>
      </text>
    </comment>
    <comment ref="N13" authorId="1" shapeId="0" xr:uid="{CBC521E6-4142-D446-9BB7-6B3DB9C41F9F}">
      <text>
        <r>
          <rPr>
            <b/>
            <sz val="10"/>
            <color rgb="FF000000"/>
            <rFont val="Tahoma"/>
            <family val="2"/>
          </rPr>
          <t>Navia, Franklin:</t>
        </r>
        <r>
          <rPr>
            <sz val="10"/>
            <color rgb="FF000000"/>
            <rFont val="Tahoma"/>
            <family val="2"/>
          </rPr>
          <t xml:space="preserve">
</t>
        </r>
        <r>
          <rPr>
            <sz val="10"/>
            <color rgb="FF000000"/>
            <rFont val="Calibri"/>
            <family val="2"/>
          </rPr>
          <t>Business Currency corresponds to the currency in which the proposal must be submitted.</t>
        </r>
      </text>
    </comment>
    <comment ref="N14" authorId="1" shapeId="0" xr:uid="{92C51E43-0636-604C-9B93-771315FD95C3}">
      <text>
        <r>
          <rPr>
            <b/>
            <sz val="10"/>
            <color rgb="FF000000"/>
            <rFont val="Tahoma"/>
            <family val="2"/>
          </rPr>
          <t>Navia, Franklin:</t>
        </r>
        <r>
          <rPr>
            <sz val="10"/>
            <color rgb="FF000000"/>
            <rFont val="Tahoma"/>
            <family val="2"/>
          </rPr>
          <t xml:space="preserve">
</t>
        </r>
        <r>
          <rPr>
            <sz val="10"/>
            <color rgb="FF000000"/>
            <rFont val="Calibri"/>
            <family val="2"/>
          </rPr>
          <t>Currency Exchange Rate corresponds to the TRM/RMR to the currency in which the proposal must be submitted.</t>
        </r>
      </text>
    </comment>
    <comment ref="N15" authorId="1" shapeId="0" xr:uid="{C6A5AD2F-3914-DA47-9B59-C8F3083CB585}">
      <text>
        <r>
          <rPr>
            <b/>
            <sz val="10"/>
            <color rgb="FF000000"/>
            <rFont val="Tahoma"/>
            <family val="2"/>
          </rPr>
          <t>Navia, Franklin:</t>
        </r>
        <r>
          <rPr>
            <sz val="10"/>
            <color rgb="FF000000"/>
            <rFont val="Tahoma"/>
            <family val="2"/>
          </rPr>
          <t xml:space="preserve">
</t>
        </r>
        <r>
          <rPr>
            <sz val="10"/>
            <color rgb="FF000000"/>
            <rFont val="Calibri"/>
            <family val="2"/>
          </rPr>
          <t xml:space="preserve">Exchange Rate Request Date corresponds to the date of the request 
</t>
        </r>
        <r>
          <rPr>
            <sz val="10"/>
            <color rgb="FF000000"/>
            <rFont val="Calibri"/>
            <family val="2"/>
          </rPr>
          <t>to the finance department regarding the TRM/RMR for the currency in which the proposal is to be submitted.</t>
        </r>
      </text>
    </comment>
    <comment ref="AW19" authorId="1" shapeId="0" xr:uid="{81A497EE-6A04-8943-9A4F-B8EAACB1B254}">
      <text>
        <r>
          <rPr>
            <b/>
            <sz val="10"/>
            <color rgb="FF000000"/>
            <rFont val="Tahoma"/>
            <family val="2"/>
          </rPr>
          <t>Navia, Franklin:</t>
        </r>
        <r>
          <rPr>
            <sz val="10"/>
            <color rgb="FF000000"/>
            <rFont val="Tahoma"/>
            <family val="2"/>
          </rPr>
          <t xml:space="preserve">
</t>
        </r>
        <r>
          <rPr>
            <sz val="10"/>
            <color rgb="FF000000"/>
            <rFont val="Calibri"/>
            <family val="2"/>
          </rPr>
          <t>The Business Price corresponds to the price at which the proposal must be submitted on the currency requested by the customer. This field is enabled once the currency and TRM/RMR are entered.</t>
        </r>
      </text>
    </comment>
    <comment ref="AW20" authorId="1" shapeId="0" xr:uid="{520CC22D-63CF-AF4F-8931-A232D2D082D4}">
      <text>
        <r>
          <rPr>
            <b/>
            <sz val="10"/>
            <color rgb="FF000000"/>
            <rFont val="Tahoma"/>
            <family val="2"/>
          </rPr>
          <t>Navia, Franklin:</t>
        </r>
        <r>
          <rPr>
            <sz val="10"/>
            <color rgb="FF000000"/>
            <rFont val="Tahoma"/>
            <family val="2"/>
          </rPr>
          <t xml:space="preserve">
</t>
        </r>
        <r>
          <rPr>
            <sz val="10"/>
            <color rgb="FF000000"/>
            <rFont val="Tahoma"/>
            <family val="2"/>
          </rPr>
          <t>The Delivery Cost corresponds to the total cost required to execute the service on the currency requested by the customer. This field becomes available once the currency and the TRM/RMR have been entered.</t>
        </r>
      </text>
    </comment>
    <comment ref="AN21" authorId="0" shapeId="0" xr:uid="{995A1CF3-4AAA-4F8D-B31B-7AF6B50D3D54}">
      <text>
        <r>
          <rPr>
            <b/>
            <sz val="9"/>
            <color rgb="FF000000"/>
            <rFont val="Tahoma"/>
            <family val="2"/>
          </rPr>
          <t>Llerena, Marlon:</t>
        </r>
        <r>
          <rPr>
            <sz val="9"/>
            <color rgb="FF000000"/>
            <rFont val="Tahoma"/>
            <family val="2"/>
          </rPr>
          <t xml:space="preserve">
</t>
        </r>
        <r>
          <rPr>
            <sz val="9"/>
            <color rgb="FF000000"/>
            <rFont val="Tahoma"/>
            <family val="2"/>
          </rPr>
          <t xml:space="preserve">This value </t>
        </r>
        <r>
          <rPr>
            <sz val="10"/>
            <color rgb="FF000000"/>
            <rFont val="Calibri"/>
            <family val="2"/>
          </rPr>
          <t>corresponds to the price at which the proposal must be submitted.</t>
        </r>
        <r>
          <rPr>
            <sz val="9"/>
            <color rgb="FF000000"/>
            <rFont val="Calibri"/>
            <family val="2"/>
          </rPr>
          <t xml:space="preserve">
</t>
        </r>
      </text>
    </comment>
    <comment ref="AO21" authorId="1" shapeId="0" xr:uid="{68A80CC0-E6DB-A64E-A366-A4EB3C0F5F62}">
      <text>
        <r>
          <rPr>
            <b/>
            <sz val="10"/>
            <color rgb="FF000000"/>
            <rFont val="Tahoma"/>
            <family val="2"/>
          </rPr>
          <t>Navia, Franklin:</t>
        </r>
        <r>
          <rPr>
            <sz val="10"/>
            <color rgb="FF000000"/>
            <rFont val="Tahoma"/>
            <family val="2"/>
          </rPr>
          <t xml:space="preserve">
</t>
        </r>
        <r>
          <rPr>
            <sz val="10"/>
            <color rgb="FF000000"/>
            <rFont val="Calibri"/>
            <family val="2"/>
          </rPr>
          <t>This value corresponds to the price at which the proposal must be submitted.</t>
        </r>
      </text>
    </comment>
    <comment ref="AV28" authorId="1" shapeId="0" xr:uid="{F7D9840D-DFB8-B042-8A78-ED9808D4BA09}">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41" authorId="0" shapeId="0" xr:uid="{BAC5191D-A7D1-2341-B06B-9946F3D046CB}">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41" authorId="0" shapeId="0" xr:uid="{D2DC9013-300A-444C-BFDE-2058D8140148}">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41" authorId="1" shapeId="0" xr:uid="{3D5396E5-1E6C-064E-90F5-418AE75CBF93}">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41" authorId="1" shapeId="0" xr:uid="{F9B5AD6D-827E-554D-86B1-6B7D8AA5E00B}">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41" authorId="1" shapeId="0" xr:uid="{7A92588B-73FF-0340-A18D-1FD497891F62}">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41" authorId="1" shapeId="0" xr:uid="{106D55C9-5F24-0E40-8762-24B810AF55E5}">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41" authorId="0" shapeId="0" xr:uid="{56A2D2A1-F174-5A43-A07B-BA4434EF386D}">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41" authorId="0" shapeId="0" xr:uid="{BA28C3AF-A885-144C-BB66-40EDA95C635C}">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76" authorId="1" shapeId="0" xr:uid="{5377D7CE-0974-F74B-B7C7-CBA8405487A0}">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89" authorId="0" shapeId="0" xr:uid="{F9F2F1BE-84E6-EE4F-91D1-D429783ADC32}">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89" authorId="0" shapeId="0" xr:uid="{07F5A479-A210-2648-8AF3-BBC3FED06DC0}">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89" authorId="1" shapeId="0" xr:uid="{1AF42087-87A9-FE4F-B17A-C6B16E6A7C69}">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89" authorId="1" shapeId="0" xr:uid="{0F868BF2-3304-1248-BEBA-0C7BD5123864}">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89" authorId="1" shapeId="0" xr:uid="{7C4CB7F7-54BE-5E45-8436-1255E8B93026}">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89" authorId="1" shapeId="0" xr:uid="{45BEAE33-FC4D-2549-B2B2-9104D1126595}">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89" authorId="0" shapeId="0" xr:uid="{6C5F1B82-2F6C-A544-B90C-D46B446FE100}">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89" authorId="0" shapeId="0" xr:uid="{ED126D55-512E-2C41-9433-EE7C544CDBCD}">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C119" authorId="0" shapeId="0" xr:uid="{8E056EDC-8145-435E-913A-0486CCD6E905}">
      <text>
        <r>
          <rPr>
            <b/>
            <sz val="9"/>
            <color indexed="81"/>
            <rFont val="Tahoma"/>
            <family val="2"/>
          </rPr>
          <t>Llerena, Marlon:</t>
        </r>
        <r>
          <rPr>
            <sz val="9"/>
            <color indexed="81"/>
            <rFont val="Tahoma"/>
            <family val="2"/>
          </rPr>
          <t xml:space="preserve">
Para ejecuciones NO estandar, se debe estimar un porcentaje en el campo [Extra Effort %]</t>
        </r>
      </text>
    </comment>
    <comment ref="AV126" authorId="1" shapeId="0" xr:uid="{90E32F12-CC42-8546-9F24-5D376E8B3BF6}">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139" authorId="0" shapeId="0" xr:uid="{A20A7EDB-961C-9244-BC79-674C15977FD3}">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139" authorId="0" shapeId="0" xr:uid="{62767CB1-CA0E-3A49-B2BE-C0A7CBA61FFD}">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139" authorId="1" shapeId="0" xr:uid="{80D8E3B6-AD36-644D-9691-16EFC793E606}">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139" authorId="1" shapeId="0" xr:uid="{113A7ADC-6FBE-9247-A7F3-33FAD5C12D5C}">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139" authorId="1" shapeId="0" xr:uid="{87562B0C-F02E-D844-920A-4A5B31BFB8AF}">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139" authorId="1" shapeId="0" xr:uid="{76D521F4-E41B-BE43-8741-2DEFDCA562A0}">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139" authorId="0" shapeId="0" xr:uid="{EBF07673-D7E8-EE45-81AF-3049EFE6D4D3}">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139" authorId="0" shapeId="0" xr:uid="{DE8240D4-3588-0648-8EEA-13760892D175}">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174" authorId="1" shapeId="0" xr:uid="{45ACC27A-BF28-E046-9E33-7BA0A9B42B5A}">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187" authorId="0" shapeId="0" xr:uid="{2FA98A2A-CB81-794E-96D7-C43E33045191}">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187" authorId="0" shapeId="0" xr:uid="{C9EB6A39-B510-934C-B05E-276C6F1611BA}">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187" authorId="1" shapeId="0" xr:uid="{A91C5E85-CC45-294A-BCC7-1E669F69C629}">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187" authorId="1" shapeId="0" xr:uid="{C066D6BA-A3C3-3748-AFE8-577926FD7ABC}">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187" authorId="1" shapeId="0" xr:uid="{193DD162-C713-7E47-9164-D84993477257}">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187" authorId="1" shapeId="0" xr:uid="{9B9BDF51-F851-F443-BC23-F0452D33B42E}">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187" authorId="0" shapeId="0" xr:uid="{BC4E338E-448B-A042-A583-0BA6B1FDC0C5}">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187" authorId="0" shapeId="0" xr:uid="{71F24FFF-27F7-B049-91E5-60A22A5E8C51}">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222" authorId="1" shapeId="0" xr:uid="{6F1AA77B-2E46-A445-99A0-BC4D4C1DCA60}">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235" authorId="0" shapeId="0" xr:uid="{2C512765-6098-B449-86F0-8DD0300AADED}">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235" authorId="0" shapeId="0" xr:uid="{AB345AFA-40FF-B240-A63E-D4947C131621}">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235" authorId="1" shapeId="0" xr:uid="{EDDA3E54-D2B6-6D49-8B0E-CB8A8678526E}">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235" authorId="1" shapeId="0" xr:uid="{CF18A90D-83B8-E44B-947E-B6AC31FF8DFD}">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235" authorId="1" shapeId="0" xr:uid="{CB08EBCA-CCD6-5A45-A3A6-A87A534EC2F1}">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235" authorId="1" shapeId="0" xr:uid="{4D842CA3-0D74-1747-A691-0C62A9A25020}">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235" authorId="0" shapeId="0" xr:uid="{CFA8D994-3795-CF4C-975F-228CB7E17E5E}">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235" authorId="0" shapeId="0" xr:uid="{BB72EDA1-89A6-1544-85CE-54615438C820}">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270" authorId="1" shapeId="0" xr:uid="{96C46E59-8E9B-9446-918D-8A5877E29A05}">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283" authorId="0" shapeId="0" xr:uid="{9CE2EBBB-A51F-1842-8797-ECB6C93CE430}">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283" authorId="0" shapeId="0" xr:uid="{EB4073C1-5F8A-D645-B487-097530654B3C}">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283" authorId="1" shapeId="0" xr:uid="{9C3637CA-BDB4-EC44-B523-FE0E5EF3936D}">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283" authorId="1" shapeId="0" xr:uid="{3E98267B-6C40-434B-8E64-C362BF5665C3}">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283" authorId="1" shapeId="0" xr:uid="{D18FF5C8-F053-5D4F-865F-3B137E1F3BCA}">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283" authorId="1" shapeId="0" xr:uid="{BE43F47B-733A-BB4E-AA05-B10F1BD8BF94}">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283" authorId="0" shapeId="0" xr:uid="{C3054A16-647A-1A4F-9051-6D0C4C527A33}">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283" authorId="0" shapeId="0" xr:uid="{8356C5E9-7B34-7247-BB1A-BEBCCC1003C6}">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318" authorId="1" shapeId="0" xr:uid="{70DDD508-7045-914B-AEE2-9CA4F836972D}">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331" authorId="0" shapeId="0" xr:uid="{406C5AB6-9348-D241-B736-A3236A002201}">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331" authorId="0" shapeId="0" xr:uid="{654E186D-D4D3-8D43-ABFA-056C6152908B}">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331" authorId="1" shapeId="0" xr:uid="{41CDAAC6-4196-1E42-94BB-D8D32AD5C96B}">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331" authorId="1" shapeId="0" xr:uid="{81765BE0-927C-D445-903B-3C9FABCEEBFF}">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331" authorId="1" shapeId="0" xr:uid="{58340653-803C-2749-AD2C-8E7A5B90FE9B}">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331" authorId="1" shapeId="0" xr:uid="{A19357B2-5F6B-E84D-819D-D17DAA0BDDD5}">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331" authorId="0" shapeId="0" xr:uid="{F617714E-BDF3-2D46-BBFF-427F9CEA4CD4}">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331" authorId="0" shapeId="0" xr:uid="{71EECC61-9F5E-6143-852C-ED0B3D9A1854}">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Llerena, Marlon</author>
    <author>Navia, Franklin</author>
  </authors>
  <commentList>
    <comment ref="N4" authorId="0" shapeId="0" xr:uid="{5EDE290C-A864-8345-830C-0A80355CD0A0}">
      <text>
        <r>
          <rPr>
            <b/>
            <sz val="9"/>
            <color rgb="FF000000"/>
            <rFont val="Tahoma"/>
            <family val="2"/>
          </rPr>
          <t xml:space="preserve">Llerena, Marlon:
</t>
        </r>
        <r>
          <rPr>
            <sz val="9"/>
            <color rgb="FF000000"/>
            <rFont val="Tahoma"/>
            <family val="2"/>
          </rPr>
          <t xml:space="preserve">
</t>
        </r>
        <r>
          <rPr>
            <b/>
            <sz val="9"/>
            <color rgb="FF000000"/>
            <rFont val="Tahoma"/>
            <family val="2"/>
          </rPr>
          <t xml:space="preserve">For </t>
        </r>
        <r>
          <rPr>
            <b/>
            <sz val="10"/>
            <color rgb="FF000000"/>
            <rFont val="Calibri"/>
            <family val="2"/>
            <scheme val="minor"/>
          </rPr>
          <t>Colombia</t>
        </r>
        <r>
          <rPr>
            <sz val="9"/>
            <color rgb="FF000000"/>
            <rFont val="Calibri"/>
            <family val="2"/>
            <scheme val="minor"/>
          </rPr>
          <t>/</t>
        </r>
        <r>
          <rPr>
            <b/>
            <sz val="9"/>
            <color rgb="FF000000"/>
            <rFont val="Tahoma"/>
            <family val="2"/>
          </rPr>
          <t xml:space="preserve">XDC Medellín Subsidiaries:
</t>
        </r>
        <r>
          <rPr>
            <sz val="9"/>
            <color rgb="FF000000"/>
            <rFont val="Tahoma"/>
            <family val="2"/>
          </rPr>
          <t xml:space="preserve">Law 2101 of 2021 - GRADUAL REDUCTION OF WEEKLY WORKING HOURS (https://www.funcionpublica.gov.co/eva/gestornormativo/norma.php?i=166506)
</t>
        </r>
        <r>
          <rPr>
            <sz val="9"/>
            <color rgb="FF000000"/>
            <rFont val="Tahoma"/>
            <family val="2"/>
          </rPr>
          <t xml:space="preserve">
</t>
        </r>
        <r>
          <rPr>
            <sz val="9"/>
            <color rgb="FF000000"/>
            <rFont val="Tahoma"/>
            <family val="2"/>
          </rPr>
          <t xml:space="preserve">In accordance with the previous presidential law, which would gradually reduce the working day to 42 hours per week, it is necessary to remember the following definition to cover the organization in 2025 and 2026:
</t>
        </r>
        <r>
          <rPr>
            <sz val="9"/>
            <color rgb="FF000000"/>
            <rFont val="Tahoma"/>
            <family val="2"/>
          </rPr>
          <t xml:space="preserve">
</t>
        </r>
        <r>
          <rPr>
            <sz val="9"/>
            <color rgb="FF000000"/>
            <rFont val="Tahoma"/>
            <family val="2"/>
          </rPr>
          <t xml:space="preserve">Beginning July 15, 2025, for new offers and renewals, the business sheet must be modeled with 8.1 productive hours. There is no impact on cost rates since these are calculated based on 8 hours per day and 40 hours per week.
</t>
        </r>
        <r>
          <rPr>
            <sz val="9"/>
            <color rgb="FF000000"/>
            <rFont val="Tahoma"/>
            <family val="2"/>
          </rPr>
          <t xml:space="preserve">
</t>
        </r>
        <r>
          <rPr>
            <b/>
            <sz val="10"/>
            <color rgb="FF000000"/>
            <rFont val="Calibri"/>
            <family val="2"/>
            <scheme val="minor"/>
          </rPr>
          <t xml:space="preserve">For others Subsidiaries:
</t>
        </r>
        <r>
          <rPr>
            <sz val="9"/>
            <color rgb="FF000000"/>
            <rFont val="Tahoma"/>
            <family val="2"/>
          </rPr>
          <t>This field is enabled to be modified so that the business sheet must be modeled according to the productive hours capacity defined by the company or client.</t>
        </r>
      </text>
    </comment>
    <comment ref="B9" authorId="1" shapeId="0" xr:uid="{FBD37B5D-0A9A-B44B-A4D2-7A5E377B4056}">
      <text>
        <r>
          <rPr>
            <b/>
            <sz val="10"/>
            <color rgb="FF000000"/>
            <rFont val="Tahoma"/>
            <family val="2"/>
          </rPr>
          <t>Navia, Franklin:</t>
        </r>
        <r>
          <rPr>
            <sz val="10"/>
            <color rgb="FF000000"/>
            <rFont val="Tahoma"/>
            <family val="2"/>
          </rPr>
          <t xml:space="preserve">
</t>
        </r>
        <r>
          <rPr>
            <sz val="10"/>
            <color rgb="FF000000"/>
            <rFont val="Tahoma"/>
            <family val="2"/>
          </rPr>
          <t>Proximamente se actualizará lista de fondos</t>
        </r>
      </text>
    </comment>
    <comment ref="N13" authorId="1" shapeId="0" xr:uid="{D9B22EA9-DD97-6C4E-ACCC-DE536D4D8560}">
      <text>
        <r>
          <rPr>
            <b/>
            <sz val="10"/>
            <color rgb="FF000000"/>
            <rFont val="Tahoma"/>
            <family val="2"/>
          </rPr>
          <t>Navia, Franklin:</t>
        </r>
        <r>
          <rPr>
            <sz val="10"/>
            <color rgb="FF000000"/>
            <rFont val="Tahoma"/>
            <family val="2"/>
          </rPr>
          <t xml:space="preserve">
</t>
        </r>
        <r>
          <rPr>
            <sz val="10"/>
            <color rgb="FF000000"/>
            <rFont val="Calibri"/>
            <family val="2"/>
          </rPr>
          <t>Business Currency corresponds to the currency in which the proposal must be submitted.</t>
        </r>
      </text>
    </comment>
    <comment ref="N14" authorId="1" shapeId="0" xr:uid="{B2C4246D-770C-8D4A-963D-62E3414DF56A}">
      <text>
        <r>
          <rPr>
            <b/>
            <sz val="10"/>
            <color rgb="FF000000"/>
            <rFont val="Tahoma"/>
            <family val="2"/>
          </rPr>
          <t>Navia, Franklin:</t>
        </r>
        <r>
          <rPr>
            <sz val="10"/>
            <color rgb="FF000000"/>
            <rFont val="Tahoma"/>
            <family val="2"/>
          </rPr>
          <t xml:space="preserve">
</t>
        </r>
        <r>
          <rPr>
            <sz val="10"/>
            <color rgb="FF000000"/>
            <rFont val="Calibri"/>
            <family val="2"/>
          </rPr>
          <t>Currency Exchange Rate corresponds to the TRM/RMR to the currency in which the proposal must be submitted.</t>
        </r>
      </text>
    </comment>
    <comment ref="N15" authorId="1" shapeId="0" xr:uid="{6468D6C7-A9B3-0948-A740-887E65D76D91}">
      <text>
        <r>
          <rPr>
            <b/>
            <sz val="10"/>
            <color rgb="FF000000"/>
            <rFont val="Tahoma"/>
            <family val="2"/>
          </rPr>
          <t>Navia, Franklin:</t>
        </r>
        <r>
          <rPr>
            <sz val="10"/>
            <color rgb="FF000000"/>
            <rFont val="Tahoma"/>
            <family val="2"/>
          </rPr>
          <t xml:space="preserve">
</t>
        </r>
        <r>
          <rPr>
            <sz val="10"/>
            <color rgb="FF000000"/>
            <rFont val="Calibri"/>
            <family val="2"/>
          </rPr>
          <t xml:space="preserve">Exchange Rate Request Date corresponds to the date of the request 
</t>
        </r>
        <r>
          <rPr>
            <sz val="10"/>
            <color rgb="FF000000"/>
            <rFont val="Calibri"/>
            <family val="2"/>
          </rPr>
          <t>to the finance department regarding the TRM/RMR for the currency in which the proposal is to be submitted.</t>
        </r>
      </text>
    </comment>
    <comment ref="AW19" authorId="1" shapeId="0" xr:uid="{EE3103DC-D43B-E84F-AE5B-20F6BC446EEE}">
      <text>
        <r>
          <rPr>
            <b/>
            <sz val="10"/>
            <color rgb="FF000000"/>
            <rFont val="Tahoma"/>
            <family val="2"/>
          </rPr>
          <t>Navia, Franklin:</t>
        </r>
        <r>
          <rPr>
            <sz val="10"/>
            <color rgb="FF000000"/>
            <rFont val="Tahoma"/>
            <family val="2"/>
          </rPr>
          <t xml:space="preserve">
</t>
        </r>
        <r>
          <rPr>
            <sz val="10"/>
            <color rgb="FF000000"/>
            <rFont val="Calibri"/>
            <family val="2"/>
          </rPr>
          <t>The Business Price corresponds to the price at which the proposal must be submitted on the currency requested by the customer. This field is enabled once the currency and TRM/RMR are entered.</t>
        </r>
      </text>
    </comment>
    <comment ref="AW20" authorId="1" shapeId="0" xr:uid="{D664E6C6-A352-C04D-850C-092ED44E5785}">
      <text>
        <r>
          <rPr>
            <b/>
            <sz val="10"/>
            <color rgb="FF000000"/>
            <rFont val="Tahoma"/>
            <family val="2"/>
          </rPr>
          <t>Navia, Franklin:</t>
        </r>
        <r>
          <rPr>
            <sz val="10"/>
            <color rgb="FF000000"/>
            <rFont val="Tahoma"/>
            <family val="2"/>
          </rPr>
          <t xml:space="preserve">
</t>
        </r>
        <r>
          <rPr>
            <sz val="10"/>
            <color rgb="FF000000"/>
            <rFont val="Tahoma"/>
            <family val="2"/>
          </rPr>
          <t>The Delivery Cost corresponds to the total cost required to execute the service on the currency requested by the customer. This field becomes available once the currency and the TRM/RMR have been entered.</t>
        </r>
      </text>
    </comment>
    <comment ref="AN21" authorId="0" shapeId="0" xr:uid="{CAA4ECD1-18A7-AD47-B5FB-488DBC86AF6A}">
      <text>
        <r>
          <rPr>
            <b/>
            <sz val="9"/>
            <color rgb="FF000000"/>
            <rFont val="Tahoma"/>
            <family val="2"/>
          </rPr>
          <t>Llerena, Marlon:</t>
        </r>
        <r>
          <rPr>
            <sz val="9"/>
            <color rgb="FF000000"/>
            <rFont val="Tahoma"/>
            <family val="2"/>
          </rPr>
          <t xml:space="preserve">
</t>
        </r>
        <r>
          <rPr>
            <sz val="9"/>
            <color rgb="FF000000"/>
            <rFont val="Tahoma"/>
            <family val="2"/>
          </rPr>
          <t xml:space="preserve">This value </t>
        </r>
        <r>
          <rPr>
            <sz val="10"/>
            <color rgb="FF000000"/>
            <rFont val="Calibri"/>
            <family val="2"/>
          </rPr>
          <t>corresponds to the price at which the proposal must be submitted.</t>
        </r>
        <r>
          <rPr>
            <sz val="9"/>
            <color rgb="FF000000"/>
            <rFont val="Calibri"/>
            <family val="2"/>
          </rPr>
          <t xml:space="preserve">
</t>
        </r>
      </text>
    </comment>
    <comment ref="AO21" authorId="1" shapeId="0" xr:uid="{A6BB3199-8A69-F049-B78D-E484D50DCE38}">
      <text>
        <r>
          <rPr>
            <b/>
            <sz val="10"/>
            <color rgb="FF000000"/>
            <rFont val="Tahoma"/>
            <family val="2"/>
          </rPr>
          <t>Navia, Franklin:</t>
        </r>
        <r>
          <rPr>
            <sz val="10"/>
            <color rgb="FF000000"/>
            <rFont val="Tahoma"/>
            <family val="2"/>
          </rPr>
          <t xml:space="preserve">
</t>
        </r>
        <r>
          <rPr>
            <sz val="10"/>
            <color rgb="FF000000"/>
            <rFont val="Calibri"/>
            <family val="2"/>
            <scheme val="minor"/>
          </rPr>
          <t>This value corresponds to the price at which the proposal must be submitted.</t>
        </r>
      </text>
    </comment>
    <comment ref="AV28" authorId="1" shapeId="0" xr:uid="{21527EC3-8F8A-6241-A500-5E7CA4923688}">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41" authorId="0" shapeId="0" xr:uid="{A6E58F7F-0D57-4C49-8308-047DCB95C384}">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41" authorId="0" shapeId="0" xr:uid="{2AF360DF-9E78-3145-AE1B-88B844F58CA2}">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41" authorId="1" shapeId="0" xr:uid="{EFD63F4D-4B48-F74F-B897-A738594C64FC}">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41" authorId="1" shapeId="0" xr:uid="{781EF761-35C8-CC4A-B9F6-0B29ADA9FE53}">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41" authorId="1" shapeId="0" xr:uid="{93F06089-1940-9C4A-A33F-742ACED5CF07}">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41" authorId="1" shapeId="0" xr:uid="{88E911A6-8C3B-7C41-9648-107C31AB6073}">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41" authorId="0" shapeId="0" xr:uid="{CB036CCD-FD2E-CA4F-8FAA-D6B8A80FB1C1}">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41" authorId="0" shapeId="0" xr:uid="{5B07756D-7AAE-1948-9A02-17DB5B23E630}">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76" authorId="1" shapeId="0" xr:uid="{B7F772FB-E3CF-7C49-8A2B-AB61247A2268}">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89" authorId="0" shapeId="0" xr:uid="{A12153C2-B389-7547-91D8-032A6917434C}">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89" authorId="0" shapeId="0" xr:uid="{C1581325-8CF0-5A4D-91B2-546CB40AB59F}">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89" authorId="1" shapeId="0" xr:uid="{04D533D1-53A7-6A4D-AE25-8DD689231E6E}">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89" authorId="1" shapeId="0" xr:uid="{6C40F12D-41B2-424A-BDE2-DA74A043C79C}">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89" authorId="1" shapeId="0" xr:uid="{3D6B54E8-7472-A248-83E4-1CE32B7883D8}">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89" authorId="1" shapeId="0" xr:uid="{321BC202-CFE7-5A46-9706-C34CCA3EAD4E}">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89" authorId="0" shapeId="0" xr:uid="{638CF7A8-1998-7942-A8A9-3805D4A9CF63}">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89" authorId="0" shapeId="0" xr:uid="{6663D4E4-CB27-894D-9122-326999D5C943}">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124" authorId="1" shapeId="0" xr:uid="{927E6624-569D-0240-B1D0-5ABB07A704C8}">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137" authorId="0" shapeId="0" xr:uid="{928707A3-72C4-8F42-AB2F-EEFEAAE3E3E0}">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137" authorId="0" shapeId="0" xr:uid="{930E5F51-0EDB-4F41-9899-DF1405A3C00A}">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137" authorId="1" shapeId="0" xr:uid="{6897A14F-7377-4040-BBBB-8CB6FC2F915B}">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137" authorId="1" shapeId="0" xr:uid="{197838A6-13A1-E24D-92BD-2E57A8699D73}">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137" authorId="1" shapeId="0" xr:uid="{FD0A4CCB-4F68-D443-995D-98FC0E98574F}">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137" authorId="1" shapeId="0" xr:uid="{2A9B0196-5C18-AB4B-957F-1E600C968693}">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137" authorId="0" shapeId="0" xr:uid="{FF2AC79C-8A89-354A-AAAE-C7C97245A22A}">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137" authorId="0" shapeId="0" xr:uid="{9A67346F-F8F5-A046-BD64-5009C9773ABE}">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172" authorId="1" shapeId="0" xr:uid="{E6DFFAE5-C9F2-BE46-973A-D26BE2EFC89E}">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185" authorId="0" shapeId="0" xr:uid="{995460CD-E93C-B24D-9951-7D7DED7948A6}">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185" authorId="0" shapeId="0" xr:uid="{99D5B0F5-D6DE-3546-A52B-9E8A6FEAD65C}">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185" authorId="1" shapeId="0" xr:uid="{1912E57F-DBFD-074C-AB13-425CE1781C14}">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185" authorId="1" shapeId="0" xr:uid="{F17F603A-A79F-4347-9BD0-7A2FFD995478}">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185" authorId="1" shapeId="0" xr:uid="{62C88379-A9C0-E94C-A576-60157190CEB3}">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185" authorId="1" shapeId="0" xr:uid="{3A34576E-696F-2641-A16D-9E2F4BEC5903}">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185" authorId="0" shapeId="0" xr:uid="{F735C367-9913-464A-AD19-55A044459227}">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185" authorId="0" shapeId="0" xr:uid="{FA3EBD5B-9CCB-3644-9D15-B88507F3DE1B}">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220" authorId="1" shapeId="0" xr:uid="{FDD6D09B-182D-8F4D-97F5-10B95F216804}">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233" authorId="0" shapeId="0" xr:uid="{91139474-35EA-1449-8EB8-6DA448FE2810}">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233" authorId="0" shapeId="0" xr:uid="{7E671052-0B85-3B4D-9BF3-461BC0045A9D}">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233" authorId="1" shapeId="0" xr:uid="{A08227A9-3518-744B-B7A4-BC69ECDF9A37}">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233" authorId="1" shapeId="0" xr:uid="{58A5B902-60C6-1B40-8BC9-77801A3E0410}">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233" authorId="1" shapeId="0" xr:uid="{C7EA4947-778F-B54D-83F0-7DEFAF50A809}">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233" authorId="1" shapeId="0" xr:uid="{F671F10A-7CB9-384B-B429-5F3F4AA7CDC2}">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233" authorId="0" shapeId="0" xr:uid="{E043E38F-B846-E641-A784-B3A83B30EB7E}">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233" authorId="0" shapeId="0" xr:uid="{264EB9FC-D4AE-C349-B0B3-11C1DCFB4436}">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268" authorId="1" shapeId="0" xr:uid="{EB4D650E-75A3-E749-9794-4D27721E32EA}">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281" authorId="0" shapeId="0" xr:uid="{8989CEA7-87C2-734B-89B3-7B5BD510F181}">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281" authorId="0" shapeId="0" xr:uid="{F9A5B766-C737-7646-BC3D-0B48477F8638}">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281" authorId="1" shapeId="0" xr:uid="{DB05743C-4A17-C94E-A997-9BFB9FA97F2A}">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281" authorId="1" shapeId="0" xr:uid="{A2D711F2-F6D1-E04A-9C06-BABE29D98CD9}">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281" authorId="1" shapeId="0" xr:uid="{AD0D356C-E7CD-8549-B8CE-C216FAFDA704}">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281" authorId="1" shapeId="0" xr:uid="{5EE097C9-E988-E140-A8D1-11883CD7DE69}">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281" authorId="0" shapeId="0" xr:uid="{D56A735E-22F0-EE4F-AEFE-023792088F7A}">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281" authorId="0" shapeId="0" xr:uid="{873662AF-3B5B-1247-99E5-6BCB51F31A97}">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316" authorId="1" shapeId="0" xr:uid="{433D5499-C15A-C648-8E3A-F1C022FED0FA}">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329" authorId="0" shapeId="0" xr:uid="{D3729D94-35BC-0640-99D6-BB77D1BC66A1}">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329" authorId="0" shapeId="0" xr:uid="{40106219-739F-3846-B9AB-88EC1BB2D2CC}">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329" authorId="1" shapeId="0" xr:uid="{047D6C73-6C5F-5246-86EA-4A0846EFF230}">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329" authorId="1" shapeId="0" xr:uid="{E49D738E-C6B0-BD40-9699-6BA99431FC17}">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329" authorId="1" shapeId="0" xr:uid="{D2807293-09E7-BF48-9DD0-FCE77A168467}">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329" authorId="1" shapeId="0" xr:uid="{9E7002BD-B295-BB44-BF4C-E349CFAC79B7}">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329" authorId="0" shapeId="0" xr:uid="{60A175E3-97B1-E44F-87B0-CB4882941F6A}">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329" authorId="0" shapeId="0" xr:uid="{D34B2F6F-2644-B745-B781-7E72C3DC9D0A}">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Llerena, Marlon</author>
  </authors>
  <commentList>
    <comment ref="J1" authorId="0" shapeId="0" xr:uid="{20B820E9-F26A-FB49-99F8-3179265F4272}">
      <text>
        <r>
          <rPr>
            <b/>
            <sz val="9"/>
            <color rgb="FF000000"/>
            <rFont val="Tahoma"/>
            <family val="2"/>
          </rPr>
          <t>Llerena, Marlon:</t>
        </r>
        <r>
          <rPr>
            <sz val="9"/>
            <color rgb="FF000000"/>
            <rFont val="Tahoma"/>
            <family val="2"/>
          </rPr>
          <t xml:space="preserve">
</t>
        </r>
        <r>
          <rPr>
            <sz val="9"/>
            <color rgb="FF000000"/>
            <rFont val="Tahoma"/>
            <family val="2"/>
          </rPr>
          <t>Currency associated with the cost</t>
        </r>
      </text>
    </comment>
    <comment ref="K1" authorId="0" shapeId="0" xr:uid="{50ACED26-6C32-AC42-A8C9-BFFF99E6F1B8}">
      <text>
        <r>
          <rPr>
            <b/>
            <sz val="9"/>
            <color rgb="FF000000"/>
            <rFont val="Tahoma"/>
            <family val="2"/>
          </rPr>
          <t>Llerena, Marlon:</t>
        </r>
        <r>
          <rPr>
            <sz val="9"/>
            <color rgb="FF000000"/>
            <rFont val="Tahoma"/>
            <family val="2"/>
          </rPr>
          <t xml:space="preserve">
</t>
        </r>
        <r>
          <rPr>
            <sz val="9"/>
            <color rgb="FF000000"/>
            <rFont val="Tahoma"/>
            <family val="2"/>
          </rPr>
          <t>Currency associated with the billing</t>
        </r>
      </text>
    </comment>
    <comment ref="L1" authorId="0" shapeId="0" xr:uid="{0DE96BF2-032E-4EA2-8A8E-C90536C90022}">
      <text>
        <r>
          <rPr>
            <b/>
            <sz val="9"/>
            <color rgb="FF000000"/>
            <rFont val="Tahoma"/>
            <family val="2"/>
          </rPr>
          <t>Llerena, Marlon:</t>
        </r>
        <r>
          <rPr>
            <sz val="9"/>
            <color rgb="FF000000"/>
            <rFont val="Tahoma"/>
            <family val="2"/>
          </rPr>
          <t xml:space="preserve">
</t>
        </r>
        <r>
          <rPr>
            <sz val="9"/>
            <color rgb="FF000000"/>
            <rFont val="Tahoma"/>
            <family val="2"/>
          </rPr>
          <t>Enter RMR (</t>
        </r>
        <r>
          <rPr>
            <sz val="10"/>
            <color rgb="FF000000"/>
            <rFont val="Calibri"/>
            <family val="2"/>
          </rPr>
          <t>Representative Market Rate</t>
        </r>
        <r>
          <rPr>
            <sz val="9"/>
            <color rgb="FF000000"/>
            <rFont val="Tahoma"/>
            <family val="2"/>
          </rPr>
          <t>) /</t>
        </r>
        <r>
          <rPr>
            <sz val="10"/>
            <color rgb="FF000000"/>
            <rFont val="Tahoma"/>
            <family val="2"/>
          </rPr>
          <t xml:space="preserve"> </t>
        </r>
        <r>
          <rPr>
            <sz val="10"/>
            <color rgb="FF000000"/>
            <rFont val="Calibri"/>
            <family val="2"/>
          </rPr>
          <t>TRM</t>
        </r>
        <r>
          <rPr>
            <sz val="9"/>
            <color rgb="FF000000"/>
            <rFont val="Calibri"/>
            <family val="2"/>
          </rPr>
          <t xml:space="preserve"> (Tasa Representativa del Mercado)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Llerena, Marlon</author>
  </authors>
  <commentList>
    <comment ref="E2" authorId="0" shapeId="0" xr:uid="{D76F45A3-70DD-FB4A-AAFC-F13315CA51A6}">
      <text>
        <r>
          <rPr>
            <b/>
            <sz val="9"/>
            <color indexed="81"/>
            <rFont val="Tahoma"/>
            <family val="2"/>
          </rPr>
          <t>Llerena, Marlon:</t>
        </r>
        <r>
          <rPr>
            <sz val="9"/>
            <color indexed="81"/>
            <rFont val="Tahoma"/>
            <family val="2"/>
          </rPr>
          <t xml:space="preserve">
Min= 100H</t>
        </r>
      </text>
    </comment>
    <comment ref="E17" authorId="0" shapeId="0" xr:uid="{D09570D1-F3D7-3C41-8F45-EB142950630F}">
      <text>
        <r>
          <rPr>
            <b/>
            <sz val="9"/>
            <color rgb="FF000000"/>
            <rFont val="Tahoma"/>
            <family val="2"/>
          </rPr>
          <t>Llerena, Marlon:</t>
        </r>
        <r>
          <rPr>
            <sz val="9"/>
            <color rgb="FF000000"/>
            <rFont val="Tahoma"/>
            <family val="2"/>
          </rPr>
          <t xml:space="preserve">
</t>
        </r>
        <r>
          <rPr>
            <sz val="9"/>
            <color rgb="FF000000"/>
            <rFont val="Tahoma"/>
            <family val="2"/>
          </rPr>
          <t>Min= 100H</t>
        </r>
      </text>
    </comment>
    <comment ref="E29" authorId="0" shapeId="0" xr:uid="{2EAF53A4-2997-DB46-B6EB-AA0392408486}">
      <text>
        <r>
          <rPr>
            <b/>
            <sz val="9"/>
            <color rgb="FF000000"/>
            <rFont val="Tahoma"/>
            <family val="2"/>
          </rPr>
          <t>Llerena, Marlon:</t>
        </r>
        <r>
          <rPr>
            <sz val="9"/>
            <color rgb="FF000000"/>
            <rFont val="Tahoma"/>
            <family val="2"/>
          </rPr>
          <t xml:space="preserve">
</t>
        </r>
        <r>
          <rPr>
            <sz val="9"/>
            <color rgb="FF000000"/>
            <rFont val="Tahoma"/>
            <family val="2"/>
          </rPr>
          <t>Min= 100H</t>
        </r>
      </text>
    </comment>
    <comment ref="E42" authorId="0" shapeId="0" xr:uid="{05F13544-4C1B-984B-907E-66D0C0084FA7}">
      <text>
        <r>
          <rPr>
            <b/>
            <sz val="9"/>
            <color rgb="FF000000"/>
            <rFont val="Tahoma"/>
            <family val="2"/>
          </rPr>
          <t>Llerena, Marlon:</t>
        </r>
        <r>
          <rPr>
            <sz val="9"/>
            <color rgb="FF000000"/>
            <rFont val="Tahoma"/>
            <family val="2"/>
          </rPr>
          <t xml:space="preserve">
</t>
        </r>
        <r>
          <rPr>
            <sz val="9"/>
            <color rgb="FF000000"/>
            <rFont val="Tahoma"/>
            <family val="2"/>
          </rPr>
          <t>Min= 100H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Llerena, Marlon</author>
  </authors>
  <commentList>
    <comment ref="B29" authorId="0" shapeId="0" xr:uid="{4A2A6210-6589-4E29-B2E1-B33D49E1FF9D}">
      <text>
        <r>
          <rPr>
            <b/>
            <sz val="9"/>
            <color rgb="FF000000"/>
            <rFont val="Tahoma"/>
            <family val="2"/>
          </rPr>
          <t>Llerena, Marlon:</t>
        </r>
        <r>
          <rPr>
            <sz val="9"/>
            <color rgb="FF000000"/>
            <rFont val="Tahoma"/>
            <family val="2"/>
          </rPr>
          <t xml:space="preserve">
</t>
        </r>
        <r>
          <rPr>
            <sz val="9"/>
            <color rgb="FF000000"/>
            <rFont val="Tahoma"/>
            <family val="2"/>
          </rPr>
          <t>Complejidad Técnica:</t>
        </r>
      </text>
    </comment>
    <comment ref="B30" authorId="0" shapeId="0" xr:uid="{02A2D57A-13C9-4825-82D9-F297A3C1B7A5}">
      <text>
        <r>
          <rPr>
            <b/>
            <sz val="9"/>
            <color indexed="81"/>
            <rFont val="Tahoma"/>
            <family val="2"/>
          </rPr>
          <t>Llerena, Marlon:</t>
        </r>
        <r>
          <rPr>
            <sz val="9"/>
            <color indexed="81"/>
            <rFont val="Tahoma"/>
            <family val="2"/>
          </rPr>
          <t xml:space="preserve">
Curva de Aprendizaje Nube</t>
        </r>
      </text>
    </comment>
    <comment ref="B31" authorId="0" shapeId="0" xr:uid="{99831C78-0169-42CE-A7B6-F770EB3337F0}">
      <text>
        <r>
          <rPr>
            <b/>
            <sz val="9"/>
            <color indexed="81"/>
            <rFont val="Tahoma"/>
            <family val="2"/>
          </rPr>
          <t>Llerena, Marlon:</t>
        </r>
        <r>
          <rPr>
            <sz val="9"/>
            <color indexed="81"/>
            <rFont val="Tahoma"/>
            <family val="2"/>
          </rPr>
          <t xml:space="preserve">
Requerimientos de Cumplimiento y Seguridad</t>
        </r>
      </text>
    </comment>
    <comment ref="B32" authorId="0" shapeId="0" xr:uid="{7FB8F21E-25EE-42CC-A51F-3D365DF18EC8}">
      <text>
        <r>
          <rPr>
            <b/>
            <sz val="9"/>
            <color rgb="FF000000"/>
            <rFont val="Tahoma"/>
            <family val="2"/>
          </rPr>
          <t>Llerena, Marlon:</t>
        </r>
        <r>
          <rPr>
            <sz val="9"/>
            <color rgb="FF000000"/>
            <rFont val="Tahoma"/>
            <family val="2"/>
          </rPr>
          <t xml:space="preserve">
</t>
        </r>
        <r>
          <rPr>
            <sz val="9"/>
            <color rgb="FF000000"/>
            <rFont val="Tahoma"/>
            <family val="2"/>
          </rPr>
          <t>Personalización y Configuración Detallada</t>
        </r>
      </text>
    </comment>
    <comment ref="B33" authorId="0" shapeId="0" xr:uid="{9B8A9017-E2E0-488F-8A62-0CE7F0CABBE1}">
      <text>
        <r>
          <rPr>
            <b/>
            <sz val="9"/>
            <color indexed="81"/>
            <rFont val="Tahoma"/>
            <family val="2"/>
          </rPr>
          <t>Llerena, Marlon:</t>
        </r>
        <r>
          <rPr>
            <sz val="9"/>
            <color indexed="81"/>
            <rFont val="Tahoma"/>
            <family val="2"/>
          </rPr>
          <t xml:space="preserve">
Soporte y Mantenimiento Continuo</t>
        </r>
      </text>
    </comment>
    <comment ref="B34" authorId="0" shapeId="0" xr:uid="{D85CBD0C-0363-462F-8F72-9ED51713758D}">
      <text>
        <r>
          <rPr>
            <b/>
            <sz val="9"/>
            <color indexed="81"/>
            <rFont val="Tahoma"/>
            <family val="2"/>
          </rPr>
          <t>Llerena, Marlon:</t>
        </r>
        <r>
          <rPr>
            <sz val="9"/>
            <color indexed="81"/>
            <rFont val="Tahoma"/>
            <family val="2"/>
          </rPr>
          <t xml:space="preserve">
Madurez de Adopción de la Nube</t>
        </r>
      </text>
    </comment>
    <comment ref="B35" authorId="0" shapeId="0" xr:uid="{3B9FCC3D-BA4F-481A-AD26-FDFB6518356B}">
      <text>
        <r>
          <rPr>
            <b/>
            <sz val="9"/>
            <color indexed="81"/>
            <rFont val="Tahoma"/>
            <family val="2"/>
          </rPr>
          <t>Llerena, Marlon:</t>
        </r>
        <r>
          <rPr>
            <sz val="9"/>
            <color indexed="81"/>
            <rFont val="Tahoma"/>
            <family val="2"/>
          </rPr>
          <t xml:space="preserve">
Madurez de la Landing Zone</t>
        </r>
      </text>
    </comment>
    <comment ref="B36" authorId="0" shapeId="0" xr:uid="{FE3C37CD-EB85-4684-BDD9-D4313B49142A}">
      <text>
        <r>
          <rPr>
            <b/>
            <sz val="9"/>
            <color indexed="81"/>
            <rFont val="Tahoma"/>
            <family val="2"/>
          </rPr>
          <t>Llerena, Marlon:</t>
        </r>
        <r>
          <rPr>
            <sz val="9"/>
            <color indexed="81"/>
            <rFont val="Tahoma"/>
            <family val="2"/>
          </rPr>
          <t xml:space="preserve">
Pruebas de Disponibilidad y Contingencia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Llerena, Marlon</author>
  </authors>
  <commentList>
    <comment ref="F3" authorId="0" shapeId="0" xr:uid="{5156BD31-51CD-433E-9263-D449B422D243}">
      <text>
        <r>
          <rPr>
            <b/>
            <sz val="9"/>
            <color rgb="FF000000"/>
            <rFont val="Tahoma"/>
            <family val="2"/>
          </rPr>
          <t>Llerena, Marlon:</t>
        </r>
        <r>
          <rPr>
            <sz val="9"/>
            <color rgb="FF000000"/>
            <rFont val="Tahoma"/>
            <family val="2"/>
          </rPr>
          <t xml:space="preserve">
</t>
        </r>
        <r>
          <rPr>
            <sz val="9"/>
            <color rgb="FF000000"/>
            <rFont val="Tahoma"/>
            <family val="2"/>
          </rPr>
          <t>=IFNA(IF($K$21="AWS",INDEX(ServiciosPropuestaEstandarizada!$C$2:$C$174,MATCH('Modulos Principales G1'!H25,ServiciosPropuestaEstandarizada!$E$2:$E$174,0)),INDEX(ServiciosPropuestaEstandarizada!$C$2:$C$174,MATCH('Modulos Principales G1'!H25,ServiciosPropuestaEstandarizada!$G$2:$G$174,0))),"")</t>
        </r>
      </text>
    </comment>
    <comment ref="H3" authorId="0" shapeId="0" xr:uid="{62823FAD-20E3-4FB4-A3E1-A4EA8E8CD3F6}">
      <text>
        <r>
          <rPr>
            <b/>
            <sz val="9"/>
            <color indexed="81"/>
            <rFont val="Tahoma"/>
            <family val="2"/>
          </rPr>
          <t>Llerena, Marlon:</t>
        </r>
        <r>
          <rPr>
            <sz val="9"/>
            <color indexed="81"/>
            <rFont val="Tahoma"/>
            <family val="2"/>
          </rPr>
          <t xml:space="preserve">
=IFNA(IF($K$21="AWS",INDEX(ServiciosPropuestaEstandarizada!$D$2:$D$174,MATCH('Modulos Principales G1'!H25,ServiciosPropuestaEstandarizada!$E$2:$E$174,0)),INDEX(ServiciosPropuestaEstandarizada!$D$2:$D$174,MATCH('Modulos Principales G1'!H25,ServiciosPropuestaEstandarizada!$G$2:$G$174,0))),"")</t>
        </r>
      </text>
    </comment>
    <comment ref="L3" authorId="0" shapeId="0" xr:uid="{CDEFECB7-B9A7-44A6-B37D-41B18DEFA763}">
      <text>
        <r>
          <rPr>
            <b/>
            <sz val="9"/>
            <color indexed="81"/>
            <rFont val="Tahoma"/>
            <family val="2"/>
          </rPr>
          <t>Llerena, Marlon:</t>
        </r>
        <r>
          <rPr>
            <sz val="9"/>
            <color indexed="81"/>
            <rFont val="Tahoma"/>
            <family val="2"/>
          </rPr>
          <t xml:space="preserve">
Incluye descuento por volumen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AE2DC3-81E7-4822-8239-003AAFD1A828}" keepAlive="1" name="Query - Usuarios" description="Connection to the 'Usuarios' query in the workbook." type="5" refreshedVersion="8" background="1" saveData="1">
    <dbPr connection="Provider=Microsoft.Mashup.OleDb.1;Data Source=$Workbook$;Location=Usuarios;Extended Properties=&quot;&quot;" command="SELECT * FROM [Usuario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<sst xmlns="http://schemas.openxmlformats.org/spreadsheetml/2006/main" count="7365" uniqueCount="1620">
  <si>
    <t>Scope</t>
  </si>
  <si>
    <t>Delivery Cost - Internal Use</t>
  </si>
  <si>
    <t>Price - Internal Use</t>
  </si>
  <si>
    <t>Año 1 Ingreso Mensual</t>
  </si>
  <si>
    <t>Año 2 Ingreso Mensual</t>
  </si>
  <si>
    <t>Año 3 Ingreso Mensual</t>
  </si>
  <si>
    <t>Año 4 Ingreso Mensual</t>
  </si>
  <si>
    <t>Año 5 Ingreso Mensual</t>
  </si>
  <si>
    <t>Fields with * are mandatory for both DealReview and HandOff; ** denotes HandOff-only requirements</t>
  </si>
  <si>
    <t>Customer Country *</t>
  </si>
  <si>
    <t>Noram</t>
  </si>
  <si>
    <t>Approach *</t>
  </si>
  <si>
    <t>By Hours</t>
  </si>
  <si>
    <t>HOURS</t>
  </si>
  <si>
    <t>+</t>
  </si>
  <si>
    <t>=</t>
  </si>
  <si>
    <t>MILESTONES</t>
  </si>
  <si>
    <t>Customer Name *</t>
  </si>
  <si>
    <t>Gama Mobility</t>
  </si>
  <si>
    <t>SERVICE COSTS</t>
  </si>
  <si>
    <t>SERVICE PRICE</t>
  </si>
  <si>
    <t>Hito 1</t>
  </si>
  <si>
    <t>Project Name *</t>
  </si>
  <si>
    <t>Modern SecOps Envisioning Workshop (Sentinel)</t>
  </si>
  <si>
    <t>Consultant Team</t>
  </si>
  <si>
    <t>Hito 2</t>
  </si>
  <si>
    <t>Opp ID *</t>
  </si>
  <si>
    <t>OPP-2026-713922</t>
  </si>
  <si>
    <t>Account Manager *</t>
  </si>
  <si>
    <t>jose.jalabert@softwareone.com</t>
  </si>
  <si>
    <t>Project Managment</t>
  </si>
  <si>
    <t>Hito 3</t>
  </si>
  <si>
    <t>SWO Job ID / PRJ</t>
  </si>
  <si>
    <t>Pre-sale in Sale *</t>
  </si>
  <si>
    <t>claudio.toledo@softwareone.com</t>
  </si>
  <si>
    <t>Subtotal</t>
  </si>
  <si>
    <t>Hito 4</t>
  </si>
  <si>
    <t>Main Business Line *</t>
  </si>
  <si>
    <t>Cibersecurity</t>
  </si>
  <si>
    <t>Pre-sale in Delivery *</t>
  </si>
  <si>
    <t>Hito 5</t>
  </si>
  <si>
    <t>Funding *</t>
  </si>
  <si>
    <t>OTHER COSTS</t>
  </si>
  <si>
    <t>OTHER PRICES</t>
  </si>
  <si>
    <t>Hito 6</t>
  </si>
  <si>
    <t>OPP Type *</t>
  </si>
  <si>
    <t>Billing Country *</t>
  </si>
  <si>
    <t>Risks</t>
  </si>
  <si>
    <t>Hito 7</t>
  </si>
  <si>
    <t>Billing Country Currency *</t>
  </si>
  <si>
    <t>Pay Rise</t>
  </si>
  <si>
    <t>Salary Increase</t>
  </si>
  <si>
    <t>Hito 8</t>
  </si>
  <si>
    <t>SKUs Business Line SWO *</t>
  </si>
  <si>
    <t>SKUs OneSales Descripcion *</t>
  </si>
  <si>
    <t>Products</t>
  </si>
  <si>
    <t>Hito 9</t>
  </si>
  <si>
    <t>Business Currency</t>
  </si>
  <si>
    <t>Vendors</t>
  </si>
  <si>
    <t>Hito 10</t>
  </si>
  <si>
    <t>Currency Exchange Rate</t>
  </si>
  <si>
    <t>Insurances</t>
  </si>
  <si>
    <t>Hito 11</t>
  </si>
  <si>
    <t>Exchange Rate Request Date</t>
  </si>
  <si>
    <t>Others</t>
  </si>
  <si>
    <t>Hito 12</t>
  </si>
  <si>
    <t>Deal Comments</t>
  </si>
  <si>
    <t>Market B</t>
  </si>
  <si>
    <t>SUBTOTAL</t>
  </si>
  <si>
    <t>BUSINESS PRICE</t>
  </si>
  <si>
    <t>ADDITIONAL GP</t>
  </si>
  <si>
    <t>DELIVERY COST</t>
  </si>
  <si>
    <t>TOTAL COSTS</t>
  </si>
  <si>
    <t>BillingCurrencyTRM</t>
  </si>
  <si>
    <t>TOTAL PRICE</t>
  </si>
  <si>
    <t>% CONTRIBUTION MARGIN</t>
  </si>
  <si>
    <r>
      <rPr>
        <b/>
        <sz val="11"/>
        <color theme="1"/>
        <rFont val="Calibri"/>
        <family val="2"/>
        <scheme val="minor"/>
      </rPr>
      <t xml:space="preserve">(Note 1) </t>
    </r>
    <r>
      <rPr>
        <sz val="11"/>
        <color theme="1"/>
        <rFont val="Calibri"/>
        <family val="2"/>
        <scheme val="minor"/>
      </rPr>
      <t>To add new phases/stages/blocks, it is recommended to use the phase/stage/block called "Phase_Name_7" which does not have fixed references and allows maintaining cell relationships.</t>
    </r>
  </si>
  <si>
    <t>MCI/EA(CSI) PROGRAM: Modern SecOps Envisioning Workshop (Sentinel)</t>
  </si>
  <si>
    <t>PROJECT WEIGHT BY PHASE</t>
  </si>
  <si>
    <t>Hours</t>
  </si>
  <si>
    <t>Percentage (%)</t>
  </si>
  <si>
    <t>COSTS BY PHASE</t>
  </si>
  <si>
    <t>PRICE BY PHASE</t>
  </si>
  <si>
    <t>SUMMARY BY PHASE</t>
  </si>
  <si>
    <t>Consultant Team:</t>
  </si>
  <si>
    <t>varTotalConsultant</t>
  </si>
  <si>
    <t>% Margin a Sold *</t>
  </si>
  <si>
    <t>Project Managment:</t>
  </si>
  <si>
    <t>varTotalPM</t>
  </si>
  <si>
    <t>% Contribution Margin</t>
  </si>
  <si>
    <t>Risk / Extra Effort:</t>
  </si>
  <si>
    <t>Total</t>
  </si>
  <si>
    <t>varTotalRisks</t>
  </si>
  <si>
    <t>Phase Cost</t>
  </si>
  <si>
    <t>varTotalPayRise</t>
  </si>
  <si>
    <t>Phase Price</t>
  </si>
  <si>
    <t>varTotalProducts</t>
  </si>
  <si>
    <t>Monthly Price</t>
  </si>
  <si>
    <t>varTotalVAR</t>
  </si>
  <si>
    <t>Hour Price</t>
  </si>
  <si>
    <t>varTotalInsurances</t>
  </si>
  <si>
    <t>varTotalOthers</t>
  </si>
  <si>
    <t>varTotalFase</t>
  </si>
  <si>
    <t>Risk</t>
  </si>
  <si>
    <t>EE</t>
  </si>
  <si>
    <t>Delivery Country</t>
  </si>
  <si>
    <t>Services Line</t>
  </si>
  <si>
    <t>Job Profile</t>
  </si>
  <si>
    <t>Qty</t>
  </si>
  <si>
    <t>% Allocation</t>
  </si>
  <si>
    <t>Days</t>
  </si>
  <si>
    <t>Total Hours</t>
  </si>
  <si>
    <t>% Surcharge Hours</t>
  </si>
  <si>
    <t>Unit Cost Base</t>
  </si>
  <si>
    <t>Subtotal Cost</t>
  </si>
  <si>
    <t>FilterSL</t>
  </si>
  <si>
    <t>FilterJP</t>
  </si>
  <si>
    <t>Unit Price Base</t>
  </si>
  <si>
    <t>Subtotal Price</t>
  </si>
  <si>
    <t>% MaS</t>
  </si>
  <si>
    <t>% Intercomp</t>
  </si>
  <si>
    <t>$ Intercompany</t>
  </si>
  <si>
    <t>% WHT</t>
  </si>
  <si>
    <t>$ WHT</t>
  </si>
  <si>
    <t>Subtotal Price + Costs</t>
  </si>
  <si>
    <t>Unit Price + Costs</t>
  </si>
  <si>
    <t>Fact</t>
  </si>
  <si>
    <t>Unit Price + Cost</t>
  </si>
  <si>
    <t>Observaciones / Incluido:</t>
  </si>
  <si>
    <r>
      <t>•</t>
    </r>
    <r>
      <rPr>
        <sz val="7"/>
        <color theme="1"/>
        <rFont val="Times New Roman"/>
        <family val="1"/>
      </rPr>
      <t xml:space="preserve">      </t>
    </r>
    <r>
      <rPr>
        <sz val="11"/>
        <color theme="1"/>
        <rFont val="Segoe UI"/>
        <family val="2"/>
      </rPr>
      <t>Pre-engagement</t>
    </r>
  </si>
  <si>
    <t>xDC Medellin</t>
  </si>
  <si>
    <t>Cybersecurity</t>
  </si>
  <si>
    <t>Sr Expert Technology Implementation &amp; Consulting (General)</t>
  </si>
  <si>
    <t>X</t>
  </si>
  <si>
    <r>
      <t>o</t>
    </r>
    <r>
      <rPr>
        <sz val="7"/>
        <color theme="1"/>
        <rFont val="Times New Roman"/>
        <family val="1"/>
      </rPr>
      <t xml:space="preserve">   </t>
    </r>
    <r>
      <rPr>
        <sz val="11"/>
        <color theme="1"/>
        <rFont val="Segoe UI"/>
        <family val="2"/>
      </rPr>
      <t>Pre-engagement Call</t>
    </r>
  </si>
  <si>
    <r>
      <t>o</t>
    </r>
    <r>
      <rPr>
        <sz val="7"/>
        <color theme="1"/>
        <rFont val="Times New Roman"/>
        <family val="1"/>
      </rPr>
      <t xml:space="preserve">   </t>
    </r>
    <r>
      <rPr>
        <sz val="11"/>
        <color theme="1"/>
        <rFont val="Segoe UI"/>
        <family val="2"/>
      </rPr>
      <t>Prepare, Send and Review the Modern SecOps Envisioning Workshop Customer Questionnaire</t>
    </r>
  </si>
  <si>
    <r>
      <t>•</t>
    </r>
    <r>
      <rPr>
        <sz val="7"/>
        <color theme="1"/>
        <rFont val="Times New Roman"/>
        <family val="1"/>
      </rPr>
      <t xml:space="preserve">      </t>
    </r>
    <r>
      <rPr>
        <sz val="11"/>
        <color theme="1"/>
        <rFont val="Segoe UI"/>
        <family val="2"/>
      </rPr>
      <t>Readiness (Optional)</t>
    </r>
  </si>
  <si>
    <r>
      <rPr>
        <sz val="11"/>
        <color rgb="FF000000"/>
        <rFont val="Segoe UI"/>
      </rPr>
      <t>•</t>
    </r>
    <r>
      <rPr>
        <sz val="7"/>
        <color rgb="FF000000"/>
        <rFont val="Times New Roman"/>
      </rPr>
      <t xml:space="preserve">      </t>
    </r>
    <r>
      <rPr>
        <sz val="11"/>
        <color rgb="FF000000"/>
        <rFont val="Segoe UI"/>
      </rPr>
      <t>Microsoft Sentinel Overview Presentation</t>
    </r>
  </si>
  <si>
    <r>
      <t>•</t>
    </r>
    <r>
      <rPr>
        <sz val="7"/>
        <color theme="1"/>
        <rFont val="Times New Roman"/>
        <family val="1"/>
      </rPr>
      <t xml:space="preserve">      </t>
    </r>
    <r>
      <rPr>
        <sz val="11"/>
        <color theme="1"/>
        <rFont val="Segoe UI"/>
        <family val="2"/>
      </rPr>
      <t>Engagement Setup</t>
    </r>
  </si>
  <si>
    <r>
      <t>o</t>
    </r>
    <r>
      <rPr>
        <sz val="7"/>
        <color theme="1"/>
        <rFont val="Times New Roman"/>
        <family val="1"/>
      </rPr>
      <t xml:space="preserve">   </t>
    </r>
    <r>
      <rPr>
        <sz val="11"/>
        <color theme="1"/>
        <rFont val="Segoe UI"/>
        <family val="2"/>
      </rPr>
      <t>Kick-off Meeting</t>
    </r>
  </si>
  <si>
    <r>
      <t>o</t>
    </r>
    <r>
      <rPr>
        <sz val="7"/>
        <color theme="1"/>
        <rFont val="Times New Roman"/>
        <family val="1"/>
      </rPr>
      <t xml:space="preserve">   </t>
    </r>
    <r>
      <rPr>
        <sz val="11"/>
        <color theme="1"/>
        <rFont val="Segoe UI"/>
        <family val="2"/>
      </rPr>
      <t>Define Scope</t>
    </r>
  </si>
  <si>
    <r>
      <t>o</t>
    </r>
    <r>
      <rPr>
        <sz val="7"/>
        <color theme="1"/>
        <rFont val="Times New Roman"/>
        <family val="1"/>
      </rPr>
      <t xml:space="preserve">   </t>
    </r>
    <r>
      <rPr>
        <sz val="11"/>
        <color theme="1"/>
        <rFont val="Segoe UI"/>
        <family val="2"/>
      </rPr>
      <t>Change Management (Optional)</t>
    </r>
  </si>
  <si>
    <r>
      <t>o</t>
    </r>
    <r>
      <rPr>
        <sz val="7"/>
        <color theme="1"/>
        <rFont val="Times New Roman"/>
        <family val="1"/>
      </rPr>
      <t xml:space="preserve">   </t>
    </r>
    <r>
      <rPr>
        <sz val="11"/>
        <color theme="1"/>
        <rFont val="Segoe UI"/>
        <family val="2"/>
      </rPr>
      <t>General Setup</t>
    </r>
  </si>
  <si>
    <r>
      <t>o</t>
    </r>
    <r>
      <rPr>
        <sz val="7"/>
        <color theme="1"/>
        <rFont val="Times New Roman"/>
        <family val="1"/>
      </rPr>
      <t xml:space="preserve">   </t>
    </r>
    <r>
      <rPr>
        <sz val="11"/>
        <color theme="1"/>
        <rFont val="Segoe UI"/>
        <family val="2"/>
      </rPr>
      <t>Mandatory Modules Configuration</t>
    </r>
  </si>
  <si>
    <r>
      <t>o</t>
    </r>
    <r>
      <rPr>
        <sz val="7"/>
        <color theme="1"/>
        <rFont val="Times New Roman"/>
        <family val="1"/>
      </rPr>
      <t xml:space="preserve">   </t>
    </r>
    <r>
      <rPr>
        <sz val="11"/>
        <color theme="1"/>
        <rFont val="Segoe UI"/>
        <family val="2"/>
      </rPr>
      <t>Selectable Modules Configuration</t>
    </r>
  </si>
  <si>
    <r>
      <t>•</t>
    </r>
    <r>
      <rPr>
        <sz val="7"/>
        <color theme="1"/>
        <rFont val="Times New Roman"/>
        <family val="1"/>
      </rPr>
      <t xml:space="preserve">      </t>
    </r>
    <r>
      <rPr>
        <sz val="11"/>
        <color theme="1"/>
        <rFont val="Segoe UI"/>
        <family val="2"/>
      </rPr>
      <t>Data Collection</t>
    </r>
  </si>
  <si>
    <r>
      <t>o</t>
    </r>
    <r>
      <rPr>
        <sz val="7"/>
        <color theme="1"/>
        <rFont val="Times New Roman"/>
        <family val="1"/>
      </rPr>
      <t xml:space="preserve">   </t>
    </r>
    <r>
      <rPr>
        <sz val="11"/>
        <color theme="1"/>
        <rFont val="Segoe UI"/>
        <family val="2"/>
      </rPr>
      <t>Data Collection</t>
    </r>
  </si>
  <si>
    <r>
      <t>o</t>
    </r>
    <r>
      <rPr>
        <sz val="7"/>
        <color theme="1"/>
        <rFont val="Times New Roman"/>
        <family val="1"/>
      </rPr>
      <t xml:space="preserve">   </t>
    </r>
    <r>
      <rPr>
        <sz val="11"/>
        <color theme="1"/>
        <rFont val="Segoe UI"/>
        <family val="2"/>
      </rPr>
      <t>Remote Monitoring (optional)</t>
    </r>
  </si>
  <si>
    <r>
      <t>•</t>
    </r>
    <r>
      <rPr>
        <sz val="7"/>
        <color theme="1"/>
        <rFont val="Times New Roman"/>
        <family val="1"/>
      </rPr>
      <t xml:space="preserve">      </t>
    </r>
    <r>
      <rPr>
        <sz val="11"/>
        <color theme="1"/>
        <rFont val="Segoe UI"/>
        <family val="2"/>
      </rPr>
      <t>Exploration</t>
    </r>
  </si>
  <si>
    <r>
      <t>o</t>
    </r>
    <r>
      <rPr>
        <sz val="7"/>
        <color theme="1"/>
        <rFont val="Times New Roman"/>
        <family val="1"/>
      </rPr>
      <t xml:space="preserve">   </t>
    </r>
    <r>
      <rPr>
        <sz val="11"/>
        <color theme="1"/>
        <rFont val="Segoe UI"/>
        <family val="2"/>
      </rPr>
      <t>Threat Exploration</t>
    </r>
  </si>
  <si>
    <r>
      <t>o</t>
    </r>
    <r>
      <rPr>
        <sz val="7"/>
        <color theme="1"/>
        <rFont val="Times New Roman"/>
        <family val="1"/>
      </rPr>
      <t xml:space="preserve">   </t>
    </r>
    <r>
      <rPr>
        <sz val="11"/>
        <color theme="1"/>
        <rFont val="Segoe UI"/>
        <family val="2"/>
      </rPr>
      <t>Modules Exploration</t>
    </r>
  </si>
  <si>
    <r>
      <t>•</t>
    </r>
    <r>
      <rPr>
        <sz val="7"/>
        <color theme="1"/>
        <rFont val="Times New Roman"/>
        <family val="1"/>
      </rPr>
      <t xml:space="preserve">      </t>
    </r>
    <r>
      <rPr>
        <sz val="11"/>
        <color theme="1"/>
        <rFont val="Segoe UI"/>
        <family val="2"/>
      </rPr>
      <t>Results Presentation</t>
    </r>
  </si>
  <si>
    <r>
      <t>o</t>
    </r>
    <r>
      <rPr>
        <sz val="7"/>
        <color theme="1"/>
        <rFont val="Times New Roman"/>
        <family val="1"/>
      </rPr>
      <t xml:space="preserve">   </t>
    </r>
    <r>
      <rPr>
        <sz val="11"/>
        <color theme="1"/>
        <rFont val="Segoe UI"/>
        <family val="2"/>
      </rPr>
      <t>Results Presentation and Next Steps Discussion</t>
    </r>
  </si>
  <si>
    <r>
      <t>•</t>
    </r>
    <r>
      <rPr>
        <sz val="7"/>
        <color theme="1"/>
        <rFont val="Times New Roman"/>
        <family val="1"/>
      </rPr>
      <t xml:space="preserve">      </t>
    </r>
    <r>
      <rPr>
        <sz val="11"/>
        <color theme="1"/>
        <rFont val="Segoe UI"/>
        <family val="2"/>
      </rPr>
      <t>Engagement Decommissioning</t>
    </r>
  </si>
  <si>
    <t>Project Management</t>
  </si>
  <si>
    <t>Sr Expert Technology &amp; Consulting Project Management</t>
  </si>
  <si>
    <t>Fase 2</t>
  </si>
  <si>
    <t>Excluido *</t>
  </si>
  <si>
    <t>Entregables *</t>
  </si>
  <si>
    <t>Lugar de ejecución</t>
  </si>
  <si>
    <t>Información / Supuestos *</t>
  </si>
  <si>
    <t>Dependencias *</t>
  </si>
  <si>
    <t>Fase3</t>
  </si>
  <si>
    <t>Nombre_Fase_4</t>
  </si>
  <si>
    <t>Nombre_Fase_5</t>
  </si>
  <si>
    <t>Nombre_Fase_6</t>
  </si>
  <si>
    <t>Nombre_Fase_7</t>
  </si>
  <si>
    <t>Colombia</t>
  </si>
  <si>
    <t>Team-Based</t>
  </si>
  <si>
    <t>Cloud Services Azure</t>
  </si>
  <si>
    <t>Customer</t>
  </si>
  <si>
    <t>New</t>
  </si>
  <si>
    <t>USD</t>
  </si>
  <si>
    <t>* Request the official TRM/RMR from the financial area and/or official url in each billing country.</t>
  </si>
  <si>
    <t>[WRITE COMMENTS THAT WERE TAKEN INTO ACCOUNT IN THE MODELING]</t>
  </si>
  <si>
    <t>Equipo de Trabajo - Plantilla</t>
  </si>
  <si>
    <t>Gerencia del proyecto</t>
  </si>
  <si>
    <t>Other Services</t>
  </si>
  <si>
    <t>Expert Technology &amp; Consulting Project Management</t>
  </si>
  <si>
    <t>Administrador Azure</t>
  </si>
  <si>
    <t>Expert Managed Operations</t>
  </si>
  <si>
    <t>Arquitecto / especialista</t>
  </si>
  <si>
    <t>Expert Technology Implementation &amp; Consulting (General)</t>
  </si>
  <si>
    <t>Monitoreo / operación</t>
  </si>
  <si>
    <t>Associate Expert Managed Operations</t>
  </si>
  <si>
    <t>Administrador Azure - 10% Horas Extras + 25%</t>
  </si>
  <si>
    <t>Monitoreo / operación - 10% Horas Extras + 25%</t>
  </si>
  <si>
    <t>Administrador Azure - Disponibilidad - Incluir costo 200 USD x Mes</t>
  </si>
  <si>
    <t>BusinessLine</t>
  </si>
  <si>
    <t>Funding</t>
  </si>
  <si>
    <t>Modalidad</t>
  </si>
  <si>
    <t xml:space="preserve">OPPType </t>
  </si>
  <si>
    <t>ExtraEffort</t>
  </si>
  <si>
    <t>CostType</t>
  </si>
  <si>
    <t>LicensesLanguages</t>
  </si>
  <si>
    <t>CurrencyType</t>
  </si>
  <si>
    <t>Argentina</t>
  </si>
  <si>
    <t>Application Services</t>
  </si>
  <si>
    <t>Hardware/Software</t>
  </si>
  <si>
    <t>Javascript</t>
  </si>
  <si>
    <t>CHF</t>
  </si>
  <si>
    <t>Bolivia</t>
  </si>
  <si>
    <t>AMMP</t>
  </si>
  <si>
    <t>Renewal</t>
  </si>
  <si>
    <t>Vendor</t>
  </si>
  <si>
    <t>.Net</t>
  </si>
  <si>
    <t>Brazil</t>
  </si>
  <si>
    <t>DPS</t>
  </si>
  <si>
    <t>Regularization</t>
  </si>
  <si>
    <t>Insurance</t>
  </si>
  <si>
    <t>Java/Python</t>
  </si>
  <si>
    <t>EUR</t>
  </si>
  <si>
    <t>Chile</t>
  </si>
  <si>
    <t>Cloud Services AWS</t>
  </si>
  <si>
    <t>EA</t>
  </si>
  <si>
    <t>Other</t>
  </si>
  <si>
    <t>LOCAL</t>
  </si>
  <si>
    <t>Cloud Services GCP</t>
  </si>
  <si>
    <t>ECIF</t>
  </si>
  <si>
    <t>Costa Rica</t>
  </si>
  <si>
    <t>Data &amp; AI</t>
  </si>
  <si>
    <t>MCA</t>
  </si>
  <si>
    <t>Dominican Republic</t>
  </si>
  <si>
    <t>Digital Workplace</t>
  </si>
  <si>
    <t>PAL</t>
  </si>
  <si>
    <t>Ecuador</t>
  </si>
  <si>
    <t>DSC &amp; Procurement</t>
  </si>
  <si>
    <t>Fasttrack</t>
  </si>
  <si>
    <t>El Salvador</t>
  </si>
  <si>
    <t>Hybrid Managed Services</t>
  </si>
  <si>
    <t>AWS - POA</t>
  </si>
  <si>
    <t>Guatemala</t>
  </si>
  <si>
    <t>ITAM &amp; FinOps</t>
  </si>
  <si>
    <t>AWS - MAP</t>
  </si>
  <si>
    <t>Honduras</t>
  </si>
  <si>
    <t>SAP Services</t>
  </si>
  <si>
    <t>Value Added</t>
  </si>
  <si>
    <t>Jamaica</t>
  </si>
  <si>
    <t>Support Services</t>
  </si>
  <si>
    <t>Mexico</t>
  </si>
  <si>
    <t>Panama</t>
  </si>
  <si>
    <t>Peru</t>
  </si>
  <si>
    <t>Puerto Rico</t>
  </si>
  <si>
    <t>Spain</t>
  </si>
  <si>
    <t>Trinidad and Tobago</t>
  </si>
  <si>
    <t>Uruguay</t>
  </si>
  <si>
    <t>Venezuela</t>
  </si>
  <si>
    <t>Currency</t>
  </si>
  <si>
    <t>Budget-Rate</t>
  </si>
  <si>
    <t xml:space="preserve">From </t>
  </si>
  <si>
    <t>To</t>
  </si>
  <si>
    <t>2026 Budget Rate</t>
  </si>
  <si>
    <t>2025 Budget Rate</t>
  </si>
  <si>
    <t>2024 Budget Rate</t>
  </si>
  <si>
    <t>United Arab Emirates</t>
  </si>
  <si>
    <t>AED</t>
  </si>
  <si>
    <t>ARS</t>
  </si>
  <si>
    <t>Australia</t>
  </si>
  <si>
    <t>AUD</t>
  </si>
  <si>
    <t>Bulgaria</t>
  </si>
  <si>
    <t>BGN</t>
  </si>
  <si>
    <t>BOB</t>
  </si>
  <si>
    <t>BRL</t>
  </si>
  <si>
    <t>Canada</t>
  </si>
  <si>
    <t>CAD</t>
  </si>
  <si>
    <t>Switzerland</t>
  </si>
  <si>
    <t>CLP</t>
  </si>
  <si>
    <t>China</t>
  </si>
  <si>
    <t>CNY</t>
  </si>
  <si>
    <t>COP</t>
  </si>
  <si>
    <t>CRC</t>
  </si>
  <si>
    <t>Czech Republic</t>
  </si>
  <si>
    <t>CZK</t>
  </si>
  <si>
    <t>Denmark</t>
  </si>
  <si>
    <t>DKK</t>
  </si>
  <si>
    <t>DOP</t>
  </si>
  <si>
    <t>United Kingdom</t>
  </si>
  <si>
    <t>GBP</t>
  </si>
  <si>
    <t>GTQ</t>
  </si>
  <si>
    <t>Hong Kong</t>
  </si>
  <si>
    <t>HKD</t>
  </si>
  <si>
    <t>HNL</t>
  </si>
  <si>
    <t>Hungary</t>
  </si>
  <si>
    <t>HUF</t>
  </si>
  <si>
    <t>Indonesia</t>
  </si>
  <si>
    <t>IDR</t>
  </si>
  <si>
    <t>Israel</t>
  </si>
  <si>
    <t>ILS</t>
  </si>
  <si>
    <t>India</t>
  </si>
  <si>
    <t>INR</t>
  </si>
  <si>
    <t>Japan</t>
  </si>
  <si>
    <t>JPY</t>
  </si>
  <si>
    <t>South Korea</t>
  </si>
  <si>
    <t>KRW</t>
  </si>
  <si>
    <t>Kazakhstan</t>
  </si>
  <si>
    <t>KZT</t>
  </si>
  <si>
    <t>Sri Lanka</t>
  </si>
  <si>
    <t>LKR</t>
  </si>
  <si>
    <t>MXN</t>
  </si>
  <si>
    <t>Malaysia</t>
  </si>
  <si>
    <t>MYR</t>
  </si>
  <si>
    <t>Nicaragua</t>
  </si>
  <si>
    <t>NIO</t>
  </si>
  <si>
    <t>Norway</t>
  </si>
  <si>
    <t>NOK</t>
  </si>
  <si>
    <t>New Zealand</t>
  </si>
  <si>
    <t>NZD</t>
  </si>
  <si>
    <t>PEN</t>
  </si>
  <si>
    <t>Philippines</t>
  </si>
  <si>
    <t>PHP</t>
  </si>
  <si>
    <t>Poland</t>
  </si>
  <si>
    <t>PLN</t>
  </si>
  <si>
    <t>Qatar</t>
  </si>
  <si>
    <t>QAR</t>
  </si>
  <si>
    <t>Romania</t>
  </si>
  <si>
    <t>RON</t>
  </si>
  <si>
    <t>Serbia</t>
  </si>
  <si>
    <t>RSD</t>
  </si>
  <si>
    <t>Russia</t>
  </si>
  <si>
    <t>RUB</t>
  </si>
  <si>
    <t>Saudi Arabia</t>
  </si>
  <si>
    <t>SAR</t>
  </si>
  <si>
    <t>Sweden</t>
  </si>
  <si>
    <t>SEK</t>
  </si>
  <si>
    <t>Singapore</t>
  </si>
  <si>
    <t>SGD</t>
  </si>
  <si>
    <t>Thailand</t>
  </si>
  <si>
    <t>THB</t>
  </si>
  <si>
    <t>Turkey</t>
  </si>
  <si>
    <t>TRY</t>
  </si>
  <si>
    <t>Taiwan</t>
  </si>
  <si>
    <t>TWD</t>
  </si>
  <si>
    <t>Ukraine</t>
  </si>
  <si>
    <t>UAH</t>
  </si>
  <si>
    <t>UYU</t>
  </si>
  <si>
    <t>Vietnam</t>
  </si>
  <si>
    <t>VND</t>
  </si>
  <si>
    <t>South Africa</t>
  </si>
  <si>
    <t>ZAR</t>
  </si>
  <si>
    <t>Requested By</t>
  </si>
  <si>
    <t>Target Date</t>
  </si>
  <si>
    <t>File Name</t>
  </si>
  <si>
    <t>Source Currency</t>
  </si>
  <si>
    <t>franklin.navia</t>
  </si>
  <si>
    <t>https://pricebook.softwareone.com/</t>
  </si>
  <si>
    <t>Org Unit</t>
  </si>
  <si>
    <t>Service Line</t>
  </si>
  <si>
    <t>Role</t>
  </si>
  <si>
    <t>Cost Rate</t>
  </si>
  <si>
    <t>Estimated</t>
  </si>
  <si>
    <t>Actual Resource</t>
  </si>
  <si>
    <t>KeyCostRate</t>
  </si>
  <si>
    <t>CountryCode</t>
  </si>
  <si>
    <t>SLCode</t>
  </si>
  <si>
    <t>RoleCode</t>
  </si>
  <si>
    <t>BluePrint</t>
  </si>
  <si>
    <t>CostRateDefault</t>
  </si>
  <si>
    <t>SLHabilitada</t>
  </si>
  <si>
    <t>CountryHabilitado</t>
  </si>
  <si>
    <t>Observaciones</t>
  </si>
  <si>
    <t>Lead Expert Application Development</t>
  </si>
  <si>
    <t>NA</t>
  </si>
  <si>
    <t>SI</t>
  </si>
  <si>
    <t>Sr Expert Application Development</t>
  </si>
  <si>
    <t>Lead Expert Technology Implementation &amp; Consulting (General)</t>
  </si>
  <si>
    <t>Associate Expert Business Consulting and Advisory</t>
  </si>
  <si>
    <t>Expert Business Consulting and Advisory</t>
  </si>
  <si>
    <t>Sr Expert Business Consulting and Advisory</t>
  </si>
  <si>
    <t>Associate Expert Technology &amp; Consulting Project Management</t>
  </si>
  <si>
    <t>Associate Expert Application Development</t>
  </si>
  <si>
    <t>Associate Expert Technology Implementation &amp; Consulting (General)</t>
  </si>
  <si>
    <t>Expert Application Development</t>
  </si>
  <si>
    <t>Sr Expert Managed Operations</t>
  </si>
  <si>
    <t>Associate Expert Data Engineering</t>
  </si>
  <si>
    <t>Expert Data Engineering</t>
  </si>
  <si>
    <t>Expert Data Intelligence (General)</t>
  </si>
  <si>
    <t>Sr Expert  Expert Data Intelligence (General)</t>
  </si>
  <si>
    <t>Sr Expert Data Engineering</t>
  </si>
  <si>
    <t>Lead Expert Managed Operations</t>
  </si>
  <si>
    <t>Lead Expert Technology &amp; Consulting Project Management</t>
  </si>
  <si>
    <t>Specialist Managed Operations</t>
  </si>
  <si>
    <t>Associate Expert Information Technology (General)</t>
  </si>
  <si>
    <t>Associate Expert Data Intelligence (General)</t>
  </si>
  <si>
    <t>Associate Expert Technology And Consulting Project manager</t>
  </si>
  <si>
    <t>Sr Expert Data Analytics</t>
  </si>
  <si>
    <t>Sr Manager Application Development</t>
  </si>
  <si>
    <t>Expert Data Analytics</t>
  </si>
  <si>
    <t>Expert Technology Infrastructure</t>
  </si>
  <si>
    <t>Lead Expert Business Consulting and Advisory</t>
  </si>
  <si>
    <t>Sr Expert Project Management (General)</t>
  </si>
  <si>
    <t>Academy</t>
  </si>
  <si>
    <t>xDC Belo Horizonte</t>
  </si>
  <si>
    <t>Lead Expert Service Delivery &amp; Success</t>
  </si>
  <si>
    <t>Sr Manager Managed Operations</t>
  </si>
  <si>
    <t>xDC Guadalajara</t>
  </si>
  <si>
    <t>CSP Services</t>
  </si>
  <si>
    <t>Expert Service &amp; Software Engineering</t>
  </si>
  <si>
    <t>xDC Gurugram</t>
  </si>
  <si>
    <t>Sr. Expert Data Engineering</t>
  </si>
  <si>
    <t>Lead Expert Technology Infrastructure</t>
  </si>
  <si>
    <t>Sr Manager Business Consulting and Advisory</t>
  </si>
  <si>
    <t>Associate Expert Data Analytics</t>
  </si>
  <si>
    <t>Associate Specialist Managed Operations</t>
  </si>
  <si>
    <t>xDC San Jose</t>
  </si>
  <si>
    <t>xDC Warsaw</t>
  </si>
  <si>
    <t>Lead Expert Data Intelligence (General)</t>
  </si>
  <si>
    <t>Sr Expert Data Intelligence (General)</t>
  </si>
  <si>
    <t>Phase Name</t>
  </si>
  <si>
    <t>Description</t>
  </si>
  <si>
    <t>% Increase</t>
  </si>
  <si>
    <t>Pay Rise Base Cost</t>
  </si>
  <si>
    <t>Pay Rise Cost</t>
  </si>
  <si>
    <t>% Intercom</t>
  </si>
  <si>
    <t>Pay Rise without MaS</t>
  </si>
  <si>
    <t>Pay Rise with MaS</t>
  </si>
  <si>
    <t>Total Intercompany</t>
  </si>
  <si>
    <t>Total WHT</t>
  </si>
  <si>
    <t>SSS</t>
  </si>
  <si>
    <t>Comments</t>
  </si>
  <si>
    <t>Cost Type</t>
  </si>
  <si>
    <t>Partner Country</t>
  </si>
  <si>
    <t>Partner Name</t>
  </si>
  <si>
    <t>SKU</t>
  </si>
  <si>
    <t>Quantity</t>
  </si>
  <si>
    <t>Unit Cost</t>
  </si>
  <si>
    <t>Total Cost</t>
  </si>
  <si>
    <t>Cost Currency</t>
  </si>
  <si>
    <t>Billing Currency</t>
  </si>
  <si>
    <t>TRM</t>
  </si>
  <si>
    <t>Total Price</t>
  </si>
  <si>
    <t>OBSERVATIONS</t>
  </si>
  <si>
    <t>Link: 2024 Toolset for Delivery Projects</t>
  </si>
  <si>
    <t>General</t>
  </si>
  <si>
    <t>In order to ensure the highest consistency and quality across all projects, it is crucial that the following tool usage guidelines are strictly adhered to:
* The licenses such as GitHub Copilot and GitHub Advanced Security, can be optional and their usage depends on project requirements. However, it is recommended to utilize these tools to enhance delivery teams efficiency and applications security.
* Please note that this calculation does not include additional costs associated with environments and other specific tools. These costs should be individually estimated on a project-by-project basis.
* Select VS Enterprise for specific projects according to the technology to be adhered to.
* Adhere additional licensing according to the technology and technical restrictions of the project.
* Corporate licensing that is free of charge: Draw.io, Azure DevOps, Sonar SoftwareOne.</t>
  </si>
  <si>
    <t>Latam</t>
  </si>
  <si>
    <t>* All net-new projects should adhere the Standard/AI toolsets: Jira+Confluence+GitHub.
* All existing projects, it is the responsibility of the Customer Services Lead and/or AM to adhere to the standard/ai toolsets required in the project in accordance with the definition of migration to the new platforms.</t>
  </si>
  <si>
    <t xml:space="preserve">The taxation of digital services is not specifically provided for in the domestic legislation so there is no clear guidance as to whether or when specific activities qualify as royalties, technical services or supply of goods.
Nevertheless, based on the ordinary meaning of the services described and our assumptions made that this is purely services then we have addressed the questionnaire that these all properly qualify as as technical service fees. However, any payment which relates to the use of or right to use Computer software or even hardware may qualify as “royalties” and the tax impact may be different. In respect of AWS, this may qualify as a royalty on the basis that the T&amp;T Co will be granted the right to use AWS which is then used to provide services/access to end customers.
(*) 15% WHT applies on 'On-Premise Environment' services since these services are performed in T&amp;T.  No WHT applies on 'Cloud Environment' services since these services are physically performed outside of T&amp;T.                                                                                                                                                                                                                                             
No WHT applies on 'Cloud Environment' services since these services are physically performed outside of T&amp;T.                                                                 
(**) No WHT applies on the basis that payment for the use of software (AWS payments) will be treated as a royalty that falls within the WHT exception for 'literary copyright' in the US/T&amp;T Treaty. The application of the literary copyright exception to software royalties has not been tested and the tax authority will likely challenge this position.                                                                                </t>
  </si>
  <si>
    <t>* All net-new projects should adhere the Standard/AI toolsets.
* All existing projects, It is important to confirm the client toolsets.</t>
  </si>
  <si>
    <t>LICENSING PACKAGES</t>
  </si>
  <si>
    <t>Package</t>
  </si>
  <si>
    <t>Tools</t>
  </si>
  <si>
    <t>Roles</t>
  </si>
  <si>
    <t>Monthly Cost</t>
  </si>
  <si>
    <t>Standard</t>
  </si>
  <si>
    <t>Basic</t>
  </si>
  <si>
    <t>Jira + Confluence</t>
  </si>
  <si>
    <t>Project Manager, Quality Assurance Manual</t>
  </si>
  <si>
    <t>Analysis</t>
  </si>
  <si>
    <t>Jira + Confluence + Miro</t>
  </si>
  <si>
    <t>Business Analyst, Scrum Master</t>
  </si>
  <si>
    <t>Automatic Testing</t>
  </si>
  <si>
    <t>Jira + Confluence + Github + VS Code</t>
  </si>
  <si>
    <t>Quality Assurance Automation</t>
  </si>
  <si>
    <t>Development: Javascript</t>
  </si>
  <si>
    <t>Jira + Confluence + Github + SonarCloud + VS Code</t>
  </si>
  <si>
    <t>Developer/Solution Architect: Javascript</t>
  </si>
  <si>
    <t>Development: .Net</t>
  </si>
  <si>
    <t>Developer/Solution Architect: .Net</t>
  </si>
  <si>
    <t>Development: Java/Python</t>
  </si>
  <si>
    <t>Jira + Confluence + Github + SonarCloud + Jetbrains</t>
  </si>
  <si>
    <t>Developer/Solution Architect: Java/Python</t>
  </si>
  <si>
    <t>UX Figma</t>
  </si>
  <si>
    <t>Jira + Confluence + Figma</t>
  </si>
  <si>
    <t>User Experience Figma</t>
  </si>
  <si>
    <t>UX Adobe</t>
  </si>
  <si>
    <t>Jira + Confluence + Adobe</t>
  </si>
  <si>
    <t>User Experience Adobe</t>
  </si>
  <si>
    <t>Azure DevOps</t>
  </si>
  <si>
    <t>Azure DevOps + Miro</t>
  </si>
  <si>
    <t>Azure DevOps + Github + VS Code</t>
  </si>
  <si>
    <t>Azure DevOps + Github + SonarCloud + VS Code</t>
  </si>
  <si>
    <t>Azure DevOps + Github  + SonarCloud + Jetbrains</t>
  </si>
  <si>
    <t>Azure DevOps + Figma</t>
  </si>
  <si>
    <t>Azure DevOps + Adobe</t>
  </si>
  <si>
    <t>AI</t>
  </si>
  <si>
    <t>Development: Javascript+AI</t>
  </si>
  <si>
    <t>Jira + Confluence + SonarCloud + VS Code + Github + GH Copilot + GH Adv Sec</t>
  </si>
  <si>
    <t>Development: .Net+AI</t>
  </si>
  <si>
    <t>Development: Java/Python+AI</t>
  </si>
  <si>
    <t>Jira + Confluence + SonarCloud + Jetbrains + Github + GH Copilot + GH Adv Sec</t>
  </si>
  <si>
    <t>Azure DevOps + SonarCloud + VS Code + Github + GH Copilot + GH Adv Sec</t>
  </si>
  <si>
    <t>Azure DevOps + SonarCloud + Jetbrains + Github + GH Copilot + GH Adv Sec</t>
  </si>
  <si>
    <t>LICENSE CONTROL TABLE</t>
  </si>
  <si>
    <t>Customize toolset to be considered for the service per profile. Enter the number of licenses per profile to calculate the necessary costs:</t>
  </si>
  <si>
    <t>Require AdvSec</t>
  </si>
  <si>
    <t>Profile</t>
  </si>
  <si>
    <t>Jira</t>
  </si>
  <si>
    <t>Confluence</t>
  </si>
  <si>
    <t>Miro</t>
  </si>
  <si>
    <t>Free IDE</t>
  </si>
  <si>
    <t>VS Enterprise</t>
  </si>
  <si>
    <t>JetBrains</t>
  </si>
  <si>
    <t>Github</t>
  </si>
  <si>
    <t>Gh Copilot</t>
  </si>
  <si>
    <t>Gh Adv Sec</t>
  </si>
  <si>
    <t>SonarCloud</t>
  </si>
  <si>
    <t>Figma</t>
  </si>
  <si>
    <t>Adobe</t>
  </si>
  <si>
    <t>Project Manager</t>
  </si>
  <si>
    <t>Scrum Master</t>
  </si>
  <si>
    <t>Business Analyst</t>
  </si>
  <si>
    <t>Quality Assurance</t>
  </si>
  <si>
    <t>Solution Architect</t>
  </si>
  <si>
    <t>Developer</t>
  </si>
  <si>
    <t>UX Designer</t>
  </si>
  <si>
    <t>LICENSING CALCULATOR</t>
  </si>
  <si>
    <t>Licensing cost calculator proportional to the hour allocation by porifle. It is recommended to first answer the questions and then enter the hours assigned by profile to calculate the total cost required:</t>
  </si>
  <si>
    <t>¿Is automated testing performed?</t>
  </si>
  <si>
    <t>¿Does the development team use AI?</t>
  </si>
  <si>
    <t>¿What requirements management tool will you use?</t>
  </si>
  <si>
    <t>¿What UX tool will you use?</t>
  </si>
  <si>
    <t>¿What technology will you use?</t>
  </si>
  <si>
    <t>¿What is the monthly hourly capacity?</t>
  </si>
  <si>
    <t>Costs</t>
  </si>
  <si>
    <t>TOTAL CALCULATED LICENSING</t>
  </si>
  <si>
    <t>This value corresponds to the additional licensing value that you must add in the products tab with the corresponding project configuration.</t>
  </si>
  <si>
    <t>Agile Delivery Manager</t>
  </si>
  <si>
    <t>CALCULATION AREA</t>
  </si>
  <si>
    <t>WHT (WithHolding Tax) Technical Services</t>
  </si>
  <si>
    <t>Please refer to this URL for the internal site to check WHT applicability or consult with the financial department of the respective country or federation.</t>
  </si>
  <si>
    <t>Link WHT Portal:</t>
  </si>
  <si>
    <t>https://cpa-services.domain.global/Taxes/WhtTechnicalServices</t>
  </si>
  <si>
    <t>To - Customer Country</t>
  </si>
  <si>
    <t>Subsidiary - From</t>
  </si>
  <si>
    <t>Query WHT%</t>
  </si>
  <si>
    <t>WHT (WithHolding Tax) Software Licenses</t>
  </si>
  <si>
    <t>https://cpa-services.domain.global/Taxes/WhtMatrix</t>
  </si>
  <si>
    <t>name</t>
  </si>
  <si>
    <t>mail</t>
  </si>
  <si>
    <t>userType</t>
  </si>
  <si>
    <t>region</t>
  </si>
  <si>
    <t>Gonzalez, Andres</t>
  </si>
  <si>
    <t>andres.gonzalez@softwareone.com</t>
  </si>
  <si>
    <t>AM</t>
  </si>
  <si>
    <t>COL</t>
  </si>
  <si>
    <t>Ramirez, Mariaf</t>
  </si>
  <si>
    <t>mariaf.ramirez@softwareone.com</t>
  </si>
  <si>
    <t>Cardona Ruben</t>
  </si>
  <si>
    <t>ruben.cardona@softwareone.com</t>
  </si>
  <si>
    <t>Uribe, Liliana</t>
  </si>
  <si>
    <t>liliana.uribe@softwareone.com</t>
  </si>
  <si>
    <t>Gonzalez, David</t>
  </si>
  <si>
    <t>david.gonzalez2@softwareone.com</t>
  </si>
  <si>
    <t>Hernandez, Sandra</t>
  </si>
  <si>
    <t>sandra.hernandez@softwareone.com</t>
  </si>
  <si>
    <t>Pena, Claudia</t>
  </si>
  <si>
    <t>claudia.pena@softwareone.com</t>
  </si>
  <si>
    <t>Forero, Diana</t>
  </si>
  <si>
    <t>diana.forero@softwareone.com</t>
  </si>
  <si>
    <t>Gomez, Sandra</t>
  </si>
  <si>
    <t>sandra.gomez@softwareone.com</t>
  </si>
  <si>
    <t>Cortes, Alexandra</t>
  </si>
  <si>
    <t>alexandra.cortes@softwareone.com</t>
  </si>
  <si>
    <t>Castillo, Oscar</t>
  </si>
  <si>
    <t>oscar.castillo@softwareone.com</t>
  </si>
  <si>
    <t>CHI</t>
  </si>
  <si>
    <t>Albornoz, Denise</t>
  </si>
  <si>
    <t>denise.albornoz@softwareone.com</t>
  </si>
  <si>
    <t>Jalabert, Jose</t>
  </si>
  <si>
    <t>Montealegre, Jhoiner</t>
  </si>
  <si>
    <t>jhoiner.montealegre@softwareone.com</t>
  </si>
  <si>
    <t>ECU</t>
  </si>
  <si>
    <t>Villacis, Ricardo</t>
  </si>
  <si>
    <t>ricardo.villacis@softwareone.com</t>
  </si>
  <si>
    <t>Enriquez, Cecilia</t>
  </si>
  <si>
    <t>cecilia.enriquez@softwareone.com</t>
  </si>
  <si>
    <t>Monzon, Nathaly</t>
  </si>
  <si>
    <t>nathaly.monzon@softwareone.com</t>
  </si>
  <si>
    <t>PER</t>
  </si>
  <si>
    <t>Trucios, Carla</t>
  </si>
  <si>
    <t>carla.trucios@softwareone.com</t>
  </si>
  <si>
    <t>Bustamante, Luis</t>
  </si>
  <si>
    <t>luis.bustamante@softwareone.com</t>
  </si>
  <si>
    <t>Jaramillo, Katsi</t>
  </si>
  <si>
    <t>katsi.jaramillo@softwareone.com</t>
  </si>
  <si>
    <t>FED321</t>
  </si>
  <si>
    <t>Lopez, Michael</t>
  </si>
  <si>
    <t>michael.lopez@softwareone.com</t>
  </si>
  <si>
    <t>Santana, Evaida</t>
  </si>
  <si>
    <t>evaida.santana@softwareone.com</t>
  </si>
  <si>
    <t>Bernabe, Yessenia</t>
  </si>
  <si>
    <t>yessenia.bernabe@softwareone.com</t>
  </si>
  <si>
    <t>Chamorro, Cindy</t>
  </si>
  <si>
    <t>cindy.chamorro@softwareone.com</t>
  </si>
  <si>
    <t>Santa Cruz, Osmin</t>
  </si>
  <si>
    <t>osmin.santacruz@softwareone.com</t>
  </si>
  <si>
    <t>Delvalle, Milena</t>
  </si>
  <si>
    <t>milena.delvalle@softwareone.com</t>
  </si>
  <si>
    <t>Calderon, Jazmin</t>
  </si>
  <si>
    <t>jazmin.calderon@softwareone.com</t>
  </si>
  <si>
    <t>Gonzalez, Pedro</t>
  </si>
  <si>
    <t>pedro.gonzalez@softwareone.com</t>
  </si>
  <si>
    <t>DIGITAL</t>
  </si>
  <si>
    <t>Coral, Andrea</t>
  </si>
  <si>
    <t>andrea.coral1@softwareone.com</t>
  </si>
  <si>
    <t>Casas, Yisell</t>
  </si>
  <si>
    <t>yisell.casas@softwareone.com</t>
  </si>
  <si>
    <t>Fernandez, Estefania</t>
  </si>
  <si>
    <t>estefania.fernandez@softwareone.com</t>
  </si>
  <si>
    <t>Diaz, Adriana</t>
  </si>
  <si>
    <t>luz.diaz@softwareone.com</t>
  </si>
  <si>
    <t>Marin, Gina</t>
  </si>
  <si>
    <t>gina.marin@softwareone.com</t>
  </si>
  <si>
    <t>Lopez, Yudhi</t>
  </si>
  <si>
    <t>yudhi.lopez@softwareone.com</t>
  </si>
  <si>
    <t>Collante, Rosa</t>
  </si>
  <si>
    <t>rosa.collante@softwareone.com</t>
  </si>
  <si>
    <t>Castro, Juan</t>
  </si>
  <si>
    <t>juan.castro3@softwareone.com</t>
  </si>
  <si>
    <t>Benvenuto, Franco</t>
  </si>
  <si>
    <t>Franco.Benvenuto@softwareone.com</t>
  </si>
  <si>
    <t>Solorzano Orta, Carlos Mauricio</t>
  </si>
  <si>
    <t>carlosmauricio.solorzanoorta@softwareone.com</t>
  </si>
  <si>
    <t>Castillo, Gloria</t>
  </si>
  <si>
    <t>gloria.castillo@softwareone.com</t>
  </si>
  <si>
    <t>Miranda2, Jorge</t>
  </si>
  <si>
    <t>jorge.miranda2@softwareone.com</t>
  </si>
  <si>
    <t>Cifuentes, Jenifer</t>
  </si>
  <si>
    <t>jenifer.cifuentes@softwareone.com</t>
  </si>
  <si>
    <t>Cano, Isabel</t>
  </si>
  <si>
    <t>isabel.cano@softwareone.com</t>
  </si>
  <si>
    <t>Solis Arce, Heather</t>
  </si>
  <si>
    <t>heather.solisarce@softwareone.com</t>
  </si>
  <si>
    <t>Manzano, Judith</t>
  </si>
  <si>
    <t>judith.manzano@softwareone.com</t>
  </si>
  <si>
    <t>TTO</t>
  </si>
  <si>
    <t>Boisson, Patrice</t>
  </si>
  <si>
    <t>patrice.boisson@softwareone.com</t>
  </si>
  <si>
    <t>Rhone, Sade</t>
  </si>
  <si>
    <t>sade.campbell@softwareone.com</t>
  </si>
  <si>
    <t>JAM</t>
  </si>
  <si>
    <t>Mundell, Anna-Kay</t>
  </si>
  <si>
    <t>anna-kay.mundell@softwareone.com</t>
  </si>
  <si>
    <t>Reyes, Tania</t>
  </si>
  <si>
    <t>tania.reyes@softwareone.com</t>
  </si>
  <si>
    <t>MEX</t>
  </si>
  <si>
    <t>Lopez, Daniel</t>
  </si>
  <si>
    <t>daniel.lopez@softwareone.com</t>
  </si>
  <si>
    <t>Aleman, Carla</t>
  </si>
  <si>
    <t>carla.aleman@softwareone.com</t>
  </si>
  <si>
    <t>Cifuentes, Gerardo</t>
  </si>
  <si>
    <t>gerardo.cifuentes@softwareone.com</t>
  </si>
  <si>
    <t>Ayala, Aranzazu</t>
  </si>
  <si>
    <t>aranzazu.ayala@softwareone.com</t>
  </si>
  <si>
    <t>Tapia, Ada</t>
  </si>
  <si>
    <t>ada.tapia@softwareone.com</t>
  </si>
  <si>
    <t>Rocha, Angeles</t>
  </si>
  <si>
    <t>angeles.rocha@softwareone.com</t>
  </si>
  <si>
    <t>Reyes, Gabriela</t>
  </si>
  <si>
    <t>gabriela.reyes@softwareone.com</t>
  </si>
  <si>
    <t>Vigueras, Tamara</t>
  </si>
  <si>
    <t>tamara.vigueras@softwareone.com</t>
  </si>
  <si>
    <t>Gomez2, Victor</t>
  </si>
  <si>
    <t>victor.gomez2@softwareone.com</t>
  </si>
  <si>
    <t>Valdez, Miguel</t>
  </si>
  <si>
    <t>miguel.valdez@softwareone.com</t>
  </si>
  <si>
    <t>Alzate, Raul</t>
  </si>
  <si>
    <t>raul.alzate@softwareone.com</t>
  </si>
  <si>
    <t>Pre-Sales in Sales</t>
  </si>
  <si>
    <t>Rodriguez, Nicolas</t>
  </si>
  <si>
    <t>nicolas.rodriguez@softwareone.com</t>
  </si>
  <si>
    <t>Gracilieri, Diego</t>
  </si>
  <si>
    <t>diego.gracilieri@softwareone.com</t>
  </si>
  <si>
    <t>Sanchez, Camilo</t>
  </si>
  <si>
    <t>camilo.sanchez2@softwareone.com</t>
  </si>
  <si>
    <t>Vergara, Mauricio</t>
  </si>
  <si>
    <t>mauricio.vergara@softwareone.com</t>
  </si>
  <si>
    <t>Morales, Yerson</t>
  </si>
  <si>
    <t>yerson.morales@softwareone.com</t>
  </si>
  <si>
    <t>Suarez, Alexandra</t>
  </si>
  <si>
    <t>alexandra.suarez@softwareone.com</t>
  </si>
  <si>
    <t>Perea, Gustavo</t>
  </si>
  <si>
    <t>gustavo.perea@softwareone.com</t>
  </si>
  <si>
    <t>Ramirez Rendon, Carlos</t>
  </si>
  <si>
    <t>carlos.ramirezrendon@softwareone.com</t>
  </si>
  <si>
    <t>Marin, Giovanni</t>
  </si>
  <si>
    <t>giovanni.marin@softwareone.com</t>
  </si>
  <si>
    <t>Bernal, Jhon</t>
  </si>
  <si>
    <t>jhon.bernal@softwareone.com</t>
  </si>
  <si>
    <t>Garcia, Samuel</t>
  </si>
  <si>
    <t>samuel.garcia@softwareone.com</t>
  </si>
  <si>
    <t>Rendon, Cesar</t>
  </si>
  <si>
    <t>cesar.rendon@softwareone.com</t>
  </si>
  <si>
    <t>Morales, Cesar</t>
  </si>
  <si>
    <t>cesar.morales@softwareone.com</t>
  </si>
  <si>
    <t>Martinez, Juan</t>
  </si>
  <si>
    <t>juan.martinez@softwareone.com</t>
  </si>
  <si>
    <t>Rodriguez, Pedro</t>
  </si>
  <si>
    <t>pedro.rodriguez@softwareone.com</t>
  </si>
  <si>
    <t>Quiroga, John</t>
  </si>
  <si>
    <t>john.quiroga@softwareone.com</t>
  </si>
  <si>
    <t>Avendano, Magda</t>
  </si>
  <si>
    <t>magda.avendano@softwareone.com</t>
  </si>
  <si>
    <t>Morales, German</t>
  </si>
  <si>
    <t>german.morales@softwareone.com</t>
  </si>
  <si>
    <t>Gonzalez, Juan</t>
  </si>
  <si>
    <t>juan.gonzalez@softwareone.com</t>
  </si>
  <si>
    <t>Paredes, Victor Hugo</t>
  </si>
  <si>
    <t>victorhugo.paredes@softwareone.com</t>
  </si>
  <si>
    <t>FED31</t>
  </si>
  <si>
    <t>Toledo, Claudio</t>
  </si>
  <si>
    <t>Acevedo, Felipe</t>
  </si>
  <si>
    <t>felipe.acevedo@softwareone.com</t>
  </si>
  <si>
    <t>Mena, Christian</t>
  </si>
  <si>
    <t>christian.mena@softwareone.com</t>
  </si>
  <si>
    <t>Barona, Jose Luis</t>
  </si>
  <si>
    <t>joseluis.barona@softwareone.com</t>
  </si>
  <si>
    <t>Ortega, Marvin</t>
  </si>
  <si>
    <t>marvin.ortega@softwareone.com</t>
  </si>
  <si>
    <t>Callisaya, Marco</t>
  </si>
  <si>
    <t>marco.callisaya@softwareone.com</t>
  </si>
  <si>
    <t>Verduguez, Hans</t>
  </si>
  <si>
    <t>hans.verduguez@softwareone.com</t>
  </si>
  <si>
    <t>Lastra, Jorge</t>
  </si>
  <si>
    <t>jorge.lastra@softwareone.com</t>
  </si>
  <si>
    <t>Ramirez, Andy</t>
  </si>
  <si>
    <t>andy.ramirez@softwareone.com</t>
  </si>
  <si>
    <t>Rios, Marcelo</t>
  </si>
  <si>
    <t>marcelo.rios@softwareone.com</t>
  </si>
  <si>
    <t>Salazar, Nathalia</t>
  </si>
  <si>
    <t>nathalia.salazar@softwareone.com</t>
  </si>
  <si>
    <t>Medina, Alberto</t>
  </si>
  <si>
    <t>alberto.medina@softwareone.com</t>
  </si>
  <si>
    <t>Rodriguez2, Pablo</t>
  </si>
  <si>
    <t>pablo.rodriguez2@softwareone.com</t>
  </si>
  <si>
    <t>Mojica, Luis</t>
  </si>
  <si>
    <t>luis.mojica@softwareone.com</t>
  </si>
  <si>
    <t>FED32</t>
  </si>
  <si>
    <t>Urcuyo, Alejandro</t>
  </si>
  <si>
    <t>alejandro.urcuyo@softwareone.com</t>
  </si>
  <si>
    <t>Ransome, Voldy</t>
  </si>
  <si>
    <t>voldy.ransome@softwareone.com</t>
  </si>
  <si>
    <t>Bhagan, Donnell</t>
  </si>
  <si>
    <t>donnell.bhagan@softwareone.com</t>
  </si>
  <si>
    <t>Vargas, Rony</t>
  </si>
  <si>
    <t>rony.vargas@softwareone.com</t>
  </si>
  <si>
    <t>Ortiz, Caleb</t>
  </si>
  <si>
    <t>caleb.ortiz@softwareone.com</t>
  </si>
  <si>
    <t>Archibold, Alex</t>
  </si>
  <si>
    <t>alex.archibold@softwareone.com</t>
  </si>
  <si>
    <t>Nevarez, Javier</t>
  </si>
  <si>
    <t>javier.nevarez@softwareone.com</t>
  </si>
  <si>
    <t>Yi, Jose</t>
  </si>
  <si>
    <t>jose.yi@softwareone.com</t>
  </si>
  <si>
    <t>Fernandez, Radhames</t>
  </si>
  <si>
    <t>radhames.fernandez@softwareone.com</t>
  </si>
  <si>
    <t>Callaghan, Rennex</t>
  </si>
  <si>
    <t>rennex.callaghan@softwareone.com</t>
  </si>
  <si>
    <t>Urena, Diana</t>
  </si>
  <si>
    <t>diana.urena@softwareone.com</t>
  </si>
  <si>
    <t>Barquero, Esteban</t>
  </si>
  <si>
    <t>esteban.barquero@softwareone.com</t>
  </si>
  <si>
    <t>Aviles, Neysa</t>
  </si>
  <si>
    <t>neysa.aviles@softwareone.com</t>
  </si>
  <si>
    <t>Mora, Mauricio</t>
  </si>
  <si>
    <t>mauricio.mora@softwareone.com</t>
  </si>
  <si>
    <t>Bolivar, Jarlesi</t>
  </si>
  <si>
    <t>jarlesi.bolivar@softwareone.com</t>
  </si>
  <si>
    <t>Arias, Rodrigo</t>
  </si>
  <si>
    <t>rodrigo.arias@softwareone.com</t>
  </si>
  <si>
    <t>SanMartin, Francisco</t>
  </si>
  <si>
    <t>francisco.sanmartin@softwareone.com</t>
  </si>
  <si>
    <t>Ramirez, Ivan</t>
  </si>
  <si>
    <t>ivan.ramirez@softwareone.com</t>
  </si>
  <si>
    <t>Salgado, Jessica</t>
  </si>
  <si>
    <t>jessica.salgado@softwareone.com</t>
  </si>
  <si>
    <t>Gomez, Luis</t>
  </si>
  <si>
    <t>luis.gomez@softwareone.com</t>
  </si>
  <si>
    <t>Leon, Alexis</t>
  </si>
  <si>
    <t>alexis.leon@softwareone.com</t>
  </si>
  <si>
    <t>Coronel, Alejandro</t>
  </si>
  <si>
    <t>alejandro.coronel@softwareone.com</t>
  </si>
  <si>
    <t>juan.martinez3@softwareone.com</t>
  </si>
  <si>
    <t>Castillo, Roberick</t>
  </si>
  <si>
    <t>roberick.castillo@softwareone.com</t>
  </si>
  <si>
    <t>Medez, Andres</t>
  </si>
  <si>
    <t>andres.mendez@softwareone.com</t>
  </si>
  <si>
    <t>Soto, Jair</t>
  </si>
  <si>
    <t>jair.soto@softwareone.com</t>
  </si>
  <si>
    <t>Cano, Maria</t>
  </si>
  <si>
    <t>maria.cano@softwareone.com</t>
  </si>
  <si>
    <t>Pre-sales in Delivery</t>
  </si>
  <si>
    <t>Navia, Franklin</t>
  </si>
  <si>
    <t>franklin.navia@softwareone.com</t>
  </si>
  <si>
    <t>Ruiz, Julian</t>
  </si>
  <si>
    <t>julian.ruiz@softwareone.com</t>
  </si>
  <si>
    <t>Oquendo, Erwin</t>
  </si>
  <si>
    <t>erwin.oquendo@softwareone.com</t>
  </si>
  <si>
    <t>Puerta, Juan</t>
  </si>
  <si>
    <t>juan.puerta@softwareone.com</t>
  </si>
  <si>
    <t>Bedoya, Raul</t>
  </si>
  <si>
    <t>raul.bedoya@softwareone.com</t>
  </si>
  <si>
    <t>Perez, Michael</t>
  </si>
  <si>
    <t>michael.perez@softwareone.com</t>
  </si>
  <si>
    <t>Bravo, Felix</t>
  </si>
  <si>
    <t>felix.bravo@softwareone.com</t>
  </si>
  <si>
    <t>Galindo, Fabian</t>
  </si>
  <si>
    <t>fabian.galindo@softwareone.com</t>
  </si>
  <si>
    <t>Saboya, Yuri</t>
  </si>
  <si>
    <t>yuri.saboya@softwareone.com</t>
  </si>
  <si>
    <t>Garcia, Eduardo</t>
  </si>
  <si>
    <t>eduardo.garcia@softwareone.com</t>
  </si>
  <si>
    <t>Rodriguez, Oscar J</t>
  </si>
  <si>
    <t>oscarj.rodriguez@softwareone.com</t>
  </si>
  <si>
    <r>
      <rPr>
        <b/>
        <sz val="16"/>
        <rFont val="Calibri"/>
        <family val="2"/>
        <scheme val="minor"/>
      </rPr>
      <t xml:space="preserve"> Unified Support</t>
    </r>
    <r>
      <rPr>
        <b/>
        <sz val="16"/>
        <color rgb="FF3E00FF"/>
        <rFont val="Calibri"/>
        <family val="2"/>
        <scheme val="minor"/>
      </rPr>
      <t xml:space="preserve"> Tradicional</t>
    </r>
  </si>
  <si>
    <t>Horas</t>
  </si>
  <si>
    <r>
      <rPr>
        <sz val="10.5"/>
        <color rgb="FF3E00FF"/>
        <rFont val="Calibri"/>
        <family val="2"/>
        <scheme val="minor"/>
      </rPr>
      <t>Importante:</t>
    </r>
    <r>
      <rPr>
        <sz val="10.5"/>
        <color theme="1"/>
        <rFont val="Calibri"/>
        <family val="2"/>
        <scheme val="minor"/>
      </rPr>
      <t xml:space="preserve">
1. MaS recomendado 45%, mínimo 40% con autorización
2. Qty, % Allocation y Days son valores que no deben cambiarse ya que son valores para la cantidad de horas de Unified Sopport Tradicional con vigencia de 1 año</t>
    </r>
  </si>
  <si>
    <r>
      <t>INSTRUCIONES:
1</t>
    </r>
    <r>
      <rPr>
        <sz val="10.5"/>
        <rFont val="Calibri"/>
        <family val="2"/>
        <scheme val="minor"/>
      </rPr>
      <t>. En la hoja [</t>
    </r>
    <r>
      <rPr>
        <sz val="10.5"/>
        <color rgb="FF3E00FF"/>
        <rFont val="Calibri (Body)"/>
      </rPr>
      <t>ONESheet v2.x</t>
    </r>
    <r>
      <rPr>
        <sz val="10.5"/>
        <rFont val="Calibri"/>
        <family val="2"/>
        <scheme val="minor"/>
      </rPr>
      <t>], seleccione el pais del cliente en el campo "Customer Country".  ( x, es el # version publicada)
2. En la hoja [</t>
    </r>
    <r>
      <rPr>
        <sz val="10.5"/>
        <color rgb="FF3E00FF"/>
        <rFont val="Calibri"/>
        <family val="2"/>
        <scheme val="minor"/>
      </rPr>
      <t>ONESheet v2.x</t>
    </r>
    <r>
      <rPr>
        <sz val="10.5"/>
        <rFont val="Calibri"/>
        <family val="2"/>
        <scheme val="minor"/>
      </rPr>
      <t xml:space="preserve">], seleccione Team-based en el campo "Approach".  </t>
    </r>
    <r>
      <rPr>
        <sz val="10.5"/>
        <color theme="0" tint="-0.34998626667073579"/>
        <rFont val="Calibri"/>
        <family val="2"/>
        <scheme val="minor"/>
      </rPr>
      <t>( x, es el # version publicada)</t>
    </r>
    <r>
      <rPr>
        <sz val="10.5"/>
        <rFont val="Calibri"/>
        <family val="2"/>
        <scheme val="minor"/>
      </rPr>
      <t xml:space="preserve">
3. En la hoja [</t>
    </r>
    <r>
      <rPr>
        <sz val="10.5"/>
        <color rgb="FF3E00FF"/>
        <rFont val="Calibri"/>
        <family val="2"/>
        <scheme val="minor"/>
      </rPr>
      <t>LATAM Solutions</t>
    </r>
    <r>
      <rPr>
        <sz val="10.5"/>
        <rFont val="Calibri"/>
        <family val="2"/>
        <scheme val="minor"/>
      </rPr>
      <t>], en la seccion Unified Support Tradicional ingrese en [</t>
    </r>
    <r>
      <rPr>
        <sz val="10.5"/>
        <color rgb="FF3E00FF"/>
        <rFont val="Calibri"/>
        <family val="2"/>
        <scheme val="minor"/>
      </rPr>
      <t>Horas</t>
    </r>
    <r>
      <rPr>
        <sz val="10.5"/>
        <rFont val="Calibri"/>
        <family val="2"/>
        <scheme val="minor"/>
      </rPr>
      <t>] el número de horas
4. Copiar los siguientes valores en en la hoja [</t>
    </r>
    <r>
      <rPr>
        <sz val="10.5"/>
        <color rgb="FF3E00FF"/>
        <rFont val="Calibri"/>
        <family val="2"/>
        <scheme val="minor"/>
      </rPr>
      <t>ONESheet v2.x</t>
    </r>
    <r>
      <rPr>
        <sz val="10.5"/>
        <rFont val="Calibri"/>
        <family val="2"/>
        <scheme val="minor"/>
      </rPr>
      <t xml:space="preserve">] </t>
    </r>
    <r>
      <rPr>
        <sz val="10.5"/>
        <color theme="0" tint="-0.34998626667073579"/>
        <rFont val="Calibri"/>
        <family val="2"/>
        <scheme val="minor"/>
      </rPr>
      <t>( x, es el # version publicada)</t>
    </r>
  </si>
  <si>
    <t>Legacy Services</t>
  </si>
  <si>
    <t xml:space="preserve">Associate Expert Technology &amp; Consulting Project Management </t>
  </si>
  <si>
    <t>Expert Managed Operation</t>
  </si>
  <si>
    <r>
      <t>INSTRUCIONES:</t>
    </r>
    <r>
      <rPr>
        <sz val="10.5"/>
        <rFont val="Calibri"/>
        <family val="2"/>
        <scheme val="minor"/>
      </rPr>
      <t xml:space="preserve">
1. Copiar los siguientes valores en en la hoja [</t>
    </r>
    <r>
      <rPr>
        <sz val="10.5"/>
        <color rgb="FF3E00FF"/>
        <rFont val="Calibri"/>
        <family val="2"/>
        <scheme val="minor"/>
      </rPr>
      <t>OtherCosts</t>
    </r>
    <r>
      <rPr>
        <sz val="10.5"/>
        <rFont val="Calibri"/>
        <family val="2"/>
        <scheme val="minor"/>
      </rPr>
      <t xml:space="preserve">] </t>
    </r>
    <r>
      <rPr>
        <sz val="10.5"/>
        <color theme="0" tint="-0.34998626667073579"/>
        <rFont val="Calibri"/>
        <family val="2"/>
        <scheme val="minor"/>
      </rPr>
      <t xml:space="preserve">( x, es el # version publicada)
</t>
    </r>
    <r>
      <rPr>
        <sz val="10.5"/>
        <color theme="1"/>
        <rFont val="Calibri (Body)"/>
      </rPr>
      <t>2. Consultar costo unitario mensual por disponbilidad acorde con la subsidiaria</t>
    </r>
  </si>
  <si>
    <t>SWOne</t>
  </si>
  <si>
    <t>Full Monthly Availability (4 weeks)</t>
  </si>
  <si>
    <t>Instrucción Paso 2</t>
  </si>
  <si>
    <r>
      <rPr>
        <b/>
        <sz val="16"/>
        <rFont val="Calibri"/>
        <family val="2"/>
        <scheme val="minor"/>
      </rPr>
      <t xml:space="preserve"> Unified Support </t>
    </r>
    <r>
      <rPr>
        <b/>
        <sz val="16"/>
        <color rgb="FF3E00FF"/>
        <rFont val="Calibri"/>
        <family val="2"/>
        <scheme val="minor"/>
      </rPr>
      <t>for Security</t>
    </r>
  </si>
  <si>
    <r>
      <rPr>
        <sz val="10.5"/>
        <color rgb="FF3E00FF"/>
        <rFont val="Calibri"/>
        <family val="2"/>
        <scheme val="minor"/>
      </rPr>
      <t>Importante:</t>
    </r>
    <r>
      <rPr>
        <sz val="10.5"/>
        <color theme="1"/>
        <rFont val="Calibri"/>
        <family val="2"/>
        <scheme val="minor"/>
      </rPr>
      <t xml:space="preserve">
1. MaS recomendado 38%.
2. Qty, % Allocation y Days son valores que no deben cambiarse ya que son valores para la cantidad de horas de Unified Sopport for Security con vigencia de 1 año.
3. Job. Profile "Associate Expert Managed Operations" corresponde al perfil "Project Coordinator".</t>
    </r>
  </si>
  <si>
    <r>
      <t xml:space="preserve">INSTRUCIONES:
</t>
    </r>
    <r>
      <rPr>
        <sz val="10.5"/>
        <rFont val="Calibri"/>
        <family val="2"/>
        <scheme val="minor"/>
      </rPr>
      <t>1. En la hoja [</t>
    </r>
    <r>
      <rPr>
        <sz val="10.5"/>
        <color rgb="FF3E00FF"/>
        <rFont val="Calibri"/>
        <family val="2"/>
        <scheme val="minor"/>
      </rPr>
      <t>ONESheet v2.x</t>
    </r>
    <r>
      <rPr>
        <sz val="10.5"/>
        <rFont val="Calibri"/>
        <family val="2"/>
        <scheme val="minor"/>
      </rPr>
      <t xml:space="preserve">], seleccione Team-based en el campo "Approach".  </t>
    </r>
    <r>
      <rPr>
        <sz val="10.5"/>
        <color theme="0" tint="-0.34998626667073579"/>
        <rFont val="Calibri"/>
        <family val="2"/>
        <scheme val="minor"/>
      </rPr>
      <t>( x, es el # version publicada)</t>
    </r>
    <r>
      <rPr>
        <sz val="10.5"/>
        <rFont val="Calibri"/>
        <family val="2"/>
        <scheme val="minor"/>
      </rPr>
      <t xml:space="preserve">
2. En la hoja [</t>
    </r>
    <r>
      <rPr>
        <sz val="10.5"/>
        <color rgb="FF3E00FF"/>
        <rFont val="Calibri"/>
        <family val="2"/>
        <scheme val="minor"/>
      </rPr>
      <t>LATAM Solutions</t>
    </r>
    <r>
      <rPr>
        <sz val="10.5"/>
        <rFont val="Calibri"/>
        <family val="2"/>
        <scheme val="minor"/>
      </rPr>
      <t>], en la seccion Unified Support for Security ingrese en [</t>
    </r>
    <r>
      <rPr>
        <sz val="10.5"/>
        <color rgb="FF3E00FF"/>
        <rFont val="Calibri"/>
        <family val="2"/>
        <scheme val="minor"/>
      </rPr>
      <t>Horas</t>
    </r>
    <r>
      <rPr>
        <sz val="10.5"/>
        <rFont val="Calibri"/>
        <family val="2"/>
        <scheme val="minor"/>
      </rPr>
      <t>] el número de horas
3. Copiar los siguientes valores en en la hoja [</t>
    </r>
    <r>
      <rPr>
        <sz val="10.5"/>
        <color rgb="FF3E00FF"/>
        <rFont val="Calibri"/>
        <family val="2"/>
        <scheme val="minor"/>
      </rPr>
      <t>ONESheet v2.x</t>
    </r>
    <r>
      <rPr>
        <sz val="10.5"/>
        <rFont val="Calibri"/>
        <family val="2"/>
        <scheme val="minor"/>
      </rPr>
      <t xml:space="preserve">] </t>
    </r>
    <r>
      <rPr>
        <sz val="10.5"/>
        <color theme="0" tint="-0.34998626667073579"/>
        <rFont val="Calibri"/>
        <family val="2"/>
        <scheme val="minor"/>
      </rPr>
      <t>( x, es el # version publicada)</t>
    </r>
  </si>
  <si>
    <t>Alcance del servicio en la siguiente ruta:</t>
  </si>
  <si>
    <t>Unified Support for Security</t>
  </si>
  <si>
    <r>
      <rPr>
        <b/>
        <sz val="16"/>
        <rFont val="Calibri"/>
        <family val="2"/>
        <scheme val="minor"/>
      </rPr>
      <t xml:space="preserve"> All-in-one </t>
    </r>
    <r>
      <rPr>
        <b/>
        <sz val="16"/>
        <color rgb="FF3E00FF"/>
        <rFont val="Calibri"/>
        <family val="2"/>
        <scheme val="minor"/>
      </rPr>
      <t>Azure Security</t>
    </r>
  </si>
  <si>
    <r>
      <t xml:space="preserve">INSTRUCIONES:
</t>
    </r>
    <r>
      <rPr>
        <sz val="10.5"/>
        <rFont val="Calibri"/>
        <family val="2"/>
        <scheme val="minor"/>
      </rPr>
      <t>1. En la hoja [</t>
    </r>
    <r>
      <rPr>
        <sz val="10.5"/>
        <color rgb="FF3E00FF"/>
        <rFont val="Calibri"/>
        <family val="2"/>
        <scheme val="minor"/>
      </rPr>
      <t>ONESheet v2.x</t>
    </r>
    <r>
      <rPr>
        <sz val="10.5"/>
        <rFont val="Calibri"/>
        <family val="2"/>
        <scheme val="minor"/>
      </rPr>
      <t xml:space="preserve">], seleccione Team-based en el campo "Approach".  </t>
    </r>
    <r>
      <rPr>
        <sz val="10.5"/>
        <color theme="0" tint="-0.34998626667073579"/>
        <rFont val="Calibri"/>
        <family val="2"/>
        <scheme val="minor"/>
      </rPr>
      <t>( x, es el # version publicada)</t>
    </r>
    <r>
      <rPr>
        <sz val="10.5"/>
        <rFont val="Calibri"/>
        <family val="2"/>
        <scheme val="minor"/>
      </rPr>
      <t xml:space="preserve">
2. En la hoja [</t>
    </r>
    <r>
      <rPr>
        <sz val="10.5"/>
        <color rgb="FF3E00FF"/>
        <rFont val="Calibri"/>
        <family val="2"/>
        <scheme val="minor"/>
      </rPr>
      <t>LATAM Solutions</t>
    </r>
    <r>
      <rPr>
        <sz val="10.5"/>
        <rFont val="Calibri"/>
        <family val="2"/>
        <scheme val="minor"/>
      </rPr>
      <t>], en la seccion All-in-one Azure Security ingrese en [</t>
    </r>
    <r>
      <rPr>
        <sz val="10.5"/>
        <color rgb="FF3E00FF"/>
        <rFont val="Calibri"/>
        <family val="2"/>
        <scheme val="minor"/>
      </rPr>
      <t>Horas</t>
    </r>
    <r>
      <rPr>
        <sz val="10.5"/>
        <rFont val="Calibri"/>
        <family val="2"/>
        <scheme val="minor"/>
      </rPr>
      <t>] el número de horas
3. Copiar los siguientes valores en en la hoja [</t>
    </r>
    <r>
      <rPr>
        <sz val="10.5"/>
        <color rgb="FF3E00FF"/>
        <rFont val="Calibri"/>
        <family val="2"/>
        <scheme val="minor"/>
      </rPr>
      <t>ONESheet v2.x</t>
    </r>
    <r>
      <rPr>
        <sz val="10.5"/>
        <rFont val="Calibri"/>
        <family val="2"/>
        <scheme val="minor"/>
      </rPr>
      <t xml:space="preserve">] </t>
    </r>
    <r>
      <rPr>
        <sz val="10.5"/>
        <color theme="0" tint="-0.34998626667073579"/>
        <rFont val="Calibri"/>
        <family val="2"/>
        <scheme val="minor"/>
      </rPr>
      <t>( x, es el # version publicada)</t>
    </r>
  </si>
  <si>
    <t>CS Azure</t>
  </si>
  <si>
    <t>All-in-one Azure Security</t>
  </si>
  <si>
    <r>
      <rPr>
        <b/>
        <sz val="16"/>
        <rFont val="Calibri"/>
        <family val="2"/>
        <scheme val="minor"/>
      </rPr>
      <t xml:space="preserve"> ONE</t>
    </r>
    <r>
      <rPr>
        <b/>
        <sz val="16"/>
        <color rgb="FF3E00FF"/>
        <rFont val="Calibri"/>
        <family val="2"/>
        <scheme val="minor"/>
      </rPr>
      <t>Voice</t>
    </r>
  </si>
  <si>
    <t>Usuarios</t>
  </si>
  <si>
    <r>
      <rPr>
        <sz val="10.5"/>
        <color rgb="FF3E00FF"/>
        <rFont val="Calibri"/>
        <family val="2"/>
        <scheme val="minor"/>
      </rPr>
      <t>Importante:</t>
    </r>
    <r>
      <rPr>
        <sz val="10.5"/>
        <color theme="1"/>
        <rFont val="Calibri"/>
        <family val="2"/>
        <scheme val="minor"/>
      </rPr>
      <t xml:space="preserve">
1. Estos valores son para una propuesta ONEVoice Standard (conexión net2phone por default, no existe integraciones on-premise ni otros productos o plataformas. Consulte con Presales si tiene inquietudes del alcance)
2. Exiten 2 valores que forma ONEVoice: Professional Services para el onboarding técnico y Managed Services para el soporte
3. MaS 45%, mínimo 40% con autorización</t>
    </r>
  </si>
  <si>
    <r>
      <t xml:space="preserve">INSTRUCIONES - </t>
    </r>
    <r>
      <rPr>
        <b/>
        <sz val="10.5"/>
        <rFont val="Calibri"/>
        <family val="2"/>
        <scheme val="minor"/>
      </rPr>
      <t>PROFESSIONAL SERVICES</t>
    </r>
    <r>
      <rPr>
        <b/>
        <sz val="10.5"/>
        <color rgb="FF3E00FF"/>
        <rFont val="Calibri"/>
        <family val="2"/>
        <scheme val="minor"/>
      </rPr>
      <t xml:space="preserve">
</t>
    </r>
    <r>
      <rPr>
        <sz val="10.5"/>
        <rFont val="Calibri"/>
        <family val="2"/>
        <scheme val="minor"/>
      </rPr>
      <t>1. En la hoja [</t>
    </r>
    <r>
      <rPr>
        <sz val="10.5"/>
        <color rgb="FF3E00FF"/>
        <rFont val="Calibri"/>
        <family val="2"/>
        <scheme val="minor"/>
      </rPr>
      <t>ONESheet v2.x</t>
    </r>
    <r>
      <rPr>
        <sz val="10.5"/>
        <rFont val="Calibri"/>
        <family val="2"/>
        <scheme val="minor"/>
      </rPr>
      <t xml:space="preserve">], seleccione </t>
    </r>
    <r>
      <rPr>
        <b/>
        <sz val="10.5"/>
        <rFont val="Calibri"/>
        <family val="2"/>
        <scheme val="minor"/>
      </rPr>
      <t>By Hours</t>
    </r>
    <r>
      <rPr>
        <sz val="10.5"/>
        <rFont val="Calibri"/>
        <family val="2"/>
        <scheme val="minor"/>
      </rPr>
      <t xml:space="preserve"> en el campo </t>
    </r>
    <r>
      <rPr>
        <b/>
        <sz val="10.5"/>
        <rFont val="Calibri"/>
        <family val="2"/>
        <scheme val="minor"/>
      </rPr>
      <t>Approach</t>
    </r>
    <r>
      <rPr>
        <sz val="10.5"/>
        <rFont val="Calibri"/>
        <family val="2"/>
        <scheme val="minor"/>
      </rPr>
      <t xml:space="preserve">.  </t>
    </r>
    <r>
      <rPr>
        <sz val="10.5"/>
        <color theme="0" tint="-0.34998626667073579"/>
        <rFont val="Calibri"/>
        <family val="2"/>
        <scheme val="minor"/>
      </rPr>
      <t>( x, es el # version publicada)</t>
    </r>
    <r>
      <rPr>
        <sz val="10.5"/>
        <rFont val="Calibri"/>
        <family val="2"/>
        <scheme val="minor"/>
      </rPr>
      <t xml:space="preserve">
2. Copiar los siguientes valores en en la hoja [</t>
    </r>
    <r>
      <rPr>
        <sz val="10.5"/>
        <color rgb="FF3E00FF"/>
        <rFont val="Calibri"/>
        <family val="2"/>
        <scheme val="minor"/>
      </rPr>
      <t>ONESheet v2.x</t>
    </r>
    <r>
      <rPr>
        <sz val="10.5"/>
        <rFont val="Calibri"/>
        <family val="2"/>
        <scheme val="minor"/>
      </rPr>
      <t xml:space="preserve">] </t>
    </r>
    <r>
      <rPr>
        <sz val="10.5"/>
        <color theme="0" tint="-0.34998626667073579"/>
        <rFont val="Calibri"/>
        <family val="2"/>
        <scheme val="minor"/>
      </rPr>
      <t>( x, es el # version publicada)</t>
    </r>
  </si>
  <si>
    <r>
      <t xml:space="preserve">INSTRUCIONES - </t>
    </r>
    <r>
      <rPr>
        <b/>
        <sz val="10.5"/>
        <rFont val="Calibri"/>
        <family val="2"/>
        <scheme val="minor"/>
      </rPr>
      <t>MANAGED SERVICES</t>
    </r>
    <r>
      <rPr>
        <b/>
        <sz val="10.5"/>
        <color rgb="FF3E00FF"/>
        <rFont val="Calibri"/>
        <family val="2"/>
        <scheme val="minor"/>
      </rPr>
      <t xml:space="preserve">
</t>
    </r>
    <r>
      <rPr>
        <sz val="10.5"/>
        <rFont val="Calibri"/>
        <family val="2"/>
        <scheme val="minor"/>
      </rPr>
      <t>1. En la hoja [</t>
    </r>
    <r>
      <rPr>
        <sz val="10.5"/>
        <color rgb="FF3E00FF"/>
        <rFont val="Calibri"/>
        <family val="2"/>
        <scheme val="minor"/>
      </rPr>
      <t>LATAM Solutions</t>
    </r>
    <r>
      <rPr>
        <sz val="10.5"/>
        <rFont val="Calibri"/>
        <family val="2"/>
        <scheme val="minor"/>
      </rPr>
      <t xml:space="preserve">], en la seccion </t>
    </r>
    <r>
      <rPr>
        <b/>
        <sz val="10.5"/>
        <rFont val="Calibri"/>
        <family val="2"/>
        <scheme val="minor"/>
      </rPr>
      <t xml:space="preserve">ONEVoice </t>
    </r>
    <r>
      <rPr>
        <sz val="10.5"/>
        <rFont val="Calibri"/>
        <family val="2"/>
        <scheme val="minor"/>
      </rPr>
      <t>ingrese en [</t>
    </r>
    <r>
      <rPr>
        <sz val="10.5"/>
        <color rgb="FF3E00FF"/>
        <rFont val="Calibri"/>
        <family val="2"/>
        <scheme val="minor"/>
      </rPr>
      <t>Horas</t>
    </r>
    <r>
      <rPr>
        <sz val="10.5"/>
        <rFont val="Calibri"/>
        <family val="2"/>
        <scheme val="minor"/>
      </rPr>
      <t>] el número de usuarios
2. Copiar los siguientes valores en en la hoja [</t>
    </r>
    <r>
      <rPr>
        <sz val="10.5"/>
        <color rgb="FF3E00FF"/>
        <rFont val="Calibri"/>
        <family val="2"/>
        <scheme val="minor"/>
      </rPr>
      <t>OtherCosts</t>
    </r>
    <r>
      <rPr>
        <sz val="10.5"/>
        <rFont val="Calibri"/>
        <family val="2"/>
        <scheme val="minor"/>
      </rPr>
      <t xml:space="preserve">] </t>
    </r>
    <r>
      <rPr>
        <sz val="10.5"/>
        <color theme="0" tint="-0.34998626667073579"/>
        <rFont val="Calibri"/>
        <family val="2"/>
        <scheme val="minor"/>
      </rPr>
      <t>( x, es el # version publicada)</t>
    </r>
  </si>
  <si>
    <t>Audicodes</t>
  </si>
  <si>
    <t>OneVoice</t>
  </si>
  <si>
    <r>
      <rPr>
        <b/>
        <sz val="16"/>
        <rFont val="Calibri"/>
        <family val="2"/>
        <scheme val="minor"/>
      </rPr>
      <t xml:space="preserve">CLOUD MANAGED SERVICES LATAM </t>
    </r>
    <r>
      <rPr>
        <b/>
        <sz val="16"/>
        <color rgb="FF3E00FF"/>
        <rFont val="Calibri"/>
        <family val="2"/>
        <scheme val="minor"/>
      </rPr>
      <t>(LEGACY SERVICE)</t>
    </r>
  </si>
  <si>
    <t>Ingrese las suscripciones:</t>
  </si>
  <si>
    <r>
      <rPr>
        <b/>
        <sz val="11"/>
        <color rgb="FF3E00FF"/>
        <rFont val="Calibri"/>
        <family val="2"/>
        <scheme val="minor"/>
      </rPr>
      <t>OBSERVACIONES</t>
    </r>
    <r>
      <rPr>
        <sz val="11"/>
        <color rgb="FF3E00FF"/>
        <rFont val="Calibri"/>
        <family val="2"/>
        <scheme val="minor"/>
      </rPr>
      <t xml:space="preserve">
</t>
    </r>
    <r>
      <rPr>
        <sz val="11"/>
        <rFont val="Calibri"/>
        <family val="2"/>
        <scheme val="minor"/>
      </rPr>
      <t>Informacion adicional sobre el dimensionamiento de la oferta de Servicios Administrados por Consumo (Legacy CMSLATAM)</t>
    </r>
  </si>
  <si>
    <t>Comparativo vs Cloud Managed Service Global</t>
  </si>
  <si>
    <t>Cloud Managed Services GTM</t>
  </si>
  <si>
    <t>ESSENTIALS</t>
  </si>
  <si>
    <t>ADVANCED</t>
  </si>
  <si>
    <t>PREMIUM</t>
  </si>
  <si>
    <t>Mensual (USD)</t>
  </si>
  <si>
    <t>Nombre de Suscripcion 1</t>
  </si>
  <si>
    <t>AWS / GCP / Azure CSP**</t>
  </si>
  <si>
    <t>Azure Non-SWO CSP**</t>
  </si>
  <si>
    <t>AWS/GCP</t>
  </si>
  <si>
    <t>Azure</t>
  </si>
  <si>
    <t>AWS</t>
  </si>
  <si>
    <t>Essentials</t>
  </si>
  <si>
    <t>Meses</t>
  </si>
  <si>
    <t>Onboarding</t>
  </si>
  <si>
    <t>Advanced AWS</t>
  </si>
  <si>
    <t>Minimum Charge / month </t>
  </si>
  <si>
    <t>Advanced Azure</t>
  </si>
  <si>
    <t>Servicios Principales - Recursos Core</t>
  </si>
  <si>
    <t>Service Charge of Cloud Platform Usage / month</t>
  </si>
  <si>
    <t>Premium</t>
  </si>
  <si>
    <t>Servicios Principales - Recursos Especializados</t>
  </si>
  <si>
    <t>Consumo</t>
  </si>
  <si>
    <t xml:space="preserve">Servicios Complementarios </t>
  </si>
  <si>
    <t>Total Mensual</t>
  </si>
  <si>
    <t>SUSCRIPCION:</t>
  </si>
  <si>
    <t>Cloud Providers</t>
  </si>
  <si>
    <t>CMSCore: Genera la Tabla Base Ajustada</t>
  </si>
  <si>
    <t>Valores referencia para establecer variaciones de los rangos</t>
  </si>
  <si>
    <t>Rango</t>
  </si>
  <si>
    <t>Rango ID</t>
  </si>
  <si>
    <t>Valor Inferior</t>
  </si>
  <si>
    <t>Valor Superior</t>
  </si>
  <si>
    <t>% Cobro Ref. Min.</t>
  </si>
  <si>
    <t>% Cobro Ref. Max.</t>
  </si>
  <si>
    <t>Cobro Minimo</t>
  </si>
  <si>
    <t>Cobro Maximo</t>
  </si>
  <si>
    <t>Base</t>
  </si>
  <si>
    <t>%</t>
  </si>
  <si>
    <t>WHT</t>
  </si>
  <si>
    <t>Precio Maximo + WHT</t>
  </si>
  <si>
    <t>% de Cobro Variable</t>
  </si>
  <si>
    <t>Consumo Max (USD)</t>
  </si>
  <si>
    <t>Variac. Consum</t>
  </si>
  <si>
    <t>Variac. Cobro</t>
  </si>
  <si>
    <t>R1</t>
  </si>
  <si>
    <t>Cloud Provider</t>
  </si>
  <si>
    <t>R2</t>
  </si>
  <si>
    <t>Consumo Promedio Mensual</t>
  </si>
  <si>
    <t>% Aplicable</t>
  </si>
  <si>
    <t>R3</t>
  </si>
  <si>
    <t>R4</t>
  </si>
  <si>
    <t>Valor inicial del rango</t>
  </si>
  <si>
    <t>Precio Recursos Core</t>
  </si>
  <si>
    <t>R5</t>
  </si>
  <si>
    <t>Valor Final del rango</t>
  </si>
  <si>
    <t>R6</t>
  </si>
  <si>
    <t>% Inicial</t>
  </si>
  <si>
    <t>MaS %</t>
  </si>
  <si>
    <t>R7</t>
  </si>
  <si>
    <t>% Final</t>
  </si>
  <si>
    <t>R8</t>
  </si>
  <si>
    <t>Servicio Inicial</t>
  </si>
  <si>
    <t>Costo Recursos Core</t>
  </si>
  <si>
    <t>R9</t>
  </si>
  <si>
    <t>Servicio Final</t>
  </si>
  <si>
    <t>R10</t>
  </si>
  <si>
    <t>R11</t>
  </si>
  <si>
    <t>R12</t>
  </si>
  <si>
    <t>R13</t>
  </si>
  <si>
    <t>Assessment</t>
  </si>
  <si>
    <t>Response</t>
  </si>
  <si>
    <t>¿Cuántos tipos diferentes de aplicaciones o servicios planea alojar en la nube?</t>
  </si>
  <si>
    <t>[0]</t>
  </si>
  <si>
    <t>Score Adaptabilidad</t>
  </si>
  <si>
    <t>0 tipos [0%]</t>
  </si>
  <si>
    <t>1-2 tipos [20%]</t>
  </si>
  <si>
    <t>3-4 tipos [30%]</t>
  </si>
  <si>
    <t>5-6 tipos [40%]</t>
  </si>
  <si>
    <t>Más de 6 tipos [10%]</t>
  </si>
  <si>
    <t>[1-2]</t>
  </si>
  <si>
    <t>[3-5]</t>
  </si>
  <si>
    <t>[6-10]</t>
  </si>
  <si>
    <t>[Más de 10]</t>
  </si>
  <si>
    <t>¿Con qué frecuencia espera necesitar asistencia o consultoría?</t>
  </si>
  <si>
    <t>[Ninguna]</t>
  </si>
  <si>
    <t>SharedMin</t>
  </si>
  <si>
    <t>Ajuste</t>
  </si>
  <si>
    <t>Shared</t>
  </si>
  <si>
    <t>Horas extras</t>
  </si>
  <si>
    <t>Recargo</t>
  </si>
  <si>
    <t>Disponibilidad</t>
  </si>
  <si>
    <t>IPC</t>
  </si>
  <si>
    <t>% Ajuste - Score</t>
  </si>
  <si>
    <t>No Aplica [0%]</t>
  </si>
  <si>
    <t>Raramente [25%]</t>
  </si>
  <si>
    <t>Ocasionalmente [50%]</t>
  </si>
  <si>
    <t>Mensualmente [75%]</t>
  </si>
  <si>
    <t>Semanalmente [100%]</t>
  </si>
  <si>
    <t>[Anual]</t>
  </si>
  <si>
    <t>[Mensual]</t>
  </si>
  <si>
    <t>[Semanal]</t>
  </si>
  <si>
    <t>[Diaria]</t>
  </si>
  <si>
    <t>¿Cuál es el nivel de importancia del cumplimiento y la seguridad en su estrategia de nube?</t>
  </si>
  <si>
    <t>[No aplica]</t>
  </si>
  <si>
    <t>Bajo [25%]</t>
  </si>
  <si>
    <t>Medio [50%]</t>
  </si>
  <si>
    <t>Alto [75%]</t>
  </si>
  <si>
    <t>Crítico [100%]</t>
  </si>
  <si>
    <t>[Cumplimiento base]</t>
  </si>
  <si>
    <t>[Cumplimiento estándar]</t>
  </si>
  <si>
    <t>[Cumplimiento de alto nivel]</t>
  </si>
  <si>
    <t>[Cumplimiento crítico]</t>
  </si>
  <si>
    <t>¿Qué nivel de personalización requiere para su infraestructura en la nube?</t>
  </si>
  <si>
    <t>Minimo</t>
  </si>
  <si>
    <t>Maximo</t>
  </si>
  <si>
    <t>% Ajuste</t>
  </si>
  <si>
    <t>Básica [25%]</t>
  </si>
  <si>
    <t>Moderada [50%]</t>
  </si>
  <si>
    <t>Avanzada [75%]</t>
  </si>
  <si>
    <t>Muy avanzada [100%]</t>
  </si>
  <si>
    <t>[Configuración estándar sin personalización]</t>
  </si>
  <si>
    <t>[Personalización ligera]</t>
  </si>
  <si>
    <t>[Personalización moderada]</t>
  </si>
  <si>
    <t>[Personalización avanzada]</t>
  </si>
  <si>
    <t>¿Cuántos casos de soporte técnico y mantenimiento espera tener al mes?</t>
  </si>
  <si>
    <t>Básico [25%]</t>
  </si>
  <si>
    <t>Regular [50%]</t>
  </si>
  <si>
    <t>Avanzado [75%]</t>
  </si>
  <si>
    <t>Integral [100%]</t>
  </si>
  <si>
    <t>[1-5]</t>
  </si>
  <si>
    <t>[11-20]</t>
  </si>
  <si>
    <t>[Más de 20]</t>
  </si>
  <si>
    <t>¿Cómo describiría el nivel actual de madurez de adopción de la nube en su organización?</t>
  </si>
  <si>
    <t>[Adopción avanzada]</t>
  </si>
  <si>
    <t>Inicial [25%]</t>
  </si>
  <si>
    <t>En desarrollo [50%]</t>
  </si>
  <si>
    <t>Muy maduro [100%]</t>
  </si>
  <si>
    <t>[No adoptada]</t>
  </si>
  <si>
    <t>[Adopción inicial]</t>
  </si>
  <si>
    <t>[Adopción en desarrollo]</t>
  </si>
  <si>
    <t>[Adopción intermedia]</t>
  </si>
  <si>
    <t>¿cuál es el estado de desarrollo de su landing zone en la nube?</t>
  </si>
  <si>
    <t>[Totalmente implementada]</t>
  </si>
  <si>
    <t>IAC</t>
  </si>
  <si>
    <t>No desarrollada [25%]</t>
  </si>
  <si>
    <t>Operativa [75%]</t>
  </si>
  <si>
    <t>Optimizada [100%]</t>
  </si>
  <si>
    <t>[No iniciada]</t>
  </si>
  <si>
    <t>[En diseño]</t>
  </si>
  <si>
    <t>[Parcialmente implementada]</t>
  </si>
  <si>
    <t>¿Con qué frecuencia realiza pruebas de disponibilidad o contingencia al año?</t>
  </si>
  <si>
    <t>Regularmente [75%]</t>
  </si>
  <si>
    <t>Muy frecuentemente [100%]</t>
  </si>
  <si>
    <t>[1-2 veces]</t>
  </si>
  <si>
    <t>[3-5 veces]</t>
  </si>
  <si>
    <t>[6-10 veces]</t>
  </si>
  <si>
    <t>[Más de 10 veces]</t>
  </si>
  <si>
    <t>Score Radar de Adaptabilidad del Servicios</t>
  </si>
  <si>
    <t>Si</t>
  </si>
  <si>
    <t>Se tiene capacidad</t>
  </si>
  <si>
    <t>Key</t>
  </si>
  <si>
    <t>Suscripcion</t>
  </si>
  <si>
    <t>IaaS/PaaS</t>
  </si>
  <si>
    <t>Servicio</t>
  </si>
  <si>
    <t>Componente</t>
  </si>
  <si>
    <t>Criticidad</t>
  </si>
  <si>
    <t>Incluido</t>
  </si>
  <si>
    <t>% Discount</t>
  </si>
  <si>
    <t>Unit Cost w Disc.</t>
  </si>
  <si>
    <t>Total Cost Mensual</t>
  </si>
  <si>
    <t>Unit Price Mensual</t>
  </si>
  <si>
    <t>Total Price Mensual</t>
  </si>
  <si>
    <t>MaS ($)</t>
  </si>
  <si>
    <t>MaS (%)</t>
  </si>
  <si>
    <t>No</t>
  </si>
  <si>
    <t>CCOE - Invoices information (INTERNAL)</t>
  </si>
  <si>
    <t xml:space="preserve"> SoftwareOne Services</t>
  </si>
  <si>
    <t>Business Line</t>
  </si>
  <si>
    <t>Customer Country</t>
  </si>
  <si>
    <t>Product</t>
  </si>
  <si>
    <t>Currency Unit Cost</t>
  </si>
  <si>
    <t>Invoice Currency</t>
  </si>
  <si>
    <t>Invoice TRM</t>
  </si>
  <si>
    <t>Unit Price</t>
  </si>
  <si>
    <t xml:space="preserve">Products (Hardware/Software) </t>
  </si>
  <si>
    <t xml:space="preserve">
Information for purchasing third-party software/hardware</t>
  </si>
  <si>
    <t xml:space="preserve">
Information for VENDOR payment</t>
  </si>
  <si>
    <t>HN VERSIONS</t>
  </si>
  <si>
    <t>Fecha</t>
  </si>
  <si>
    <t>Version</t>
  </si>
  <si>
    <t>Name</t>
  </si>
  <si>
    <t>Comments (ES)</t>
  </si>
  <si>
    <t>Comments (EN)</t>
  </si>
  <si>
    <t>Marlon Llerena</t>
  </si>
  <si>
    <t>* HN para líneas de negocio: Servicios en la nube, DWP, Seguridad, Servicios de aplicaciones.
* Aplica a todos los países de Latinoamérica.
* Tiene dos modelos: Por horas y por equipo.
* Los valores de las tarifas de costo se incrementan temporalmente según el IPC colombiano (12 %) hasta que se publiquen las tarifas de costo oficiales para Latinoamérica.</t>
  </si>
  <si>
    <t>* HN for business lines: Cloud Services, DWP, Security, App Services.
* Applies to all LATAM countries.
* Has two models: By Hours and Team Based.
* Cost-Rate values are temporarily increased by the Colombian IPC (12%) until the official LATAM CostRates are available</t>
  </si>
  <si>
    <t>* Cost Rate 2024
* CCOE Sheet: Información de Facturas (Interna)</t>
  </si>
  <si>
    <t>* Cost Rate 2024
* CCOE Sheet: Invoices Information (Internal)</t>
  </si>
  <si>
    <t>* Actualizacion de Cost Rate 2024 - App Services - Pesos - Colombia
* Horas por dia visible para cambiar en modelamiento Team-Based
* Calculo de Costo/Hora de consultor incluyendo PM + Otros Gastos
* Se retira la macro, se puede usar desde browser o app
* AWS Cost Rate para perfiles no existententes +15% de los de Azure ( temporalmente)</t>
  </si>
  <si>
    <t>* Cost Rate Update 2024 - App Services - Pesos - Colombia
* Hours per day visible when change in Team-Based modeling
* Consultant Cost/Hour Calculation including PM + Other Expenses
* Macro removed; can be used from a browser or app
* AWS Cost Rate for non-existing profiles +15% of Azure (temporarily)</t>
  </si>
  <si>
    <t>* Actualizacion de Cost Rate 2024 - App Services - TRM para Costos y para CostRate
* Se incluye xdc Gudalajara</t>
  </si>
  <si>
    <t>* Cost Rate Update 2024 - App Services - TRM for Costs and CostRate
* XDC Guadalajara included</t>
  </si>
  <si>
    <t>* Se retira los valores de BluePrint, se usara solo el campo Role
* Moneda por defecto USD, opcion para tener valores en CHF y moneda LOCAL de los paises
* Homologacion para Manages Services, Security, CS Azure, con revalidar DWP
* Actualización cost rate Latam feb 02 2024
* Actualización cost rate Colombia feb 08 2024 y actualización de Budget Rate</t>
  </si>
  <si>
    <t>* BluePrint values are being removed; only the Role field will be used.
* Default currency is USD, with the option to have values in CHF and local currencies for each country.
* Homologation for Manage Services, Security, and CS Azure, with DWP validation.
* Update to the Latam cost rate as of February 2, 2024.
* Update to the Colombia cost rate as of February 8, 2024, and update to the Budget Rate.</t>
  </si>
  <si>
    <t>* Cost Rate publicados en RateCard Portal con fecha 2024-03-06</t>
  </si>
  <si>
    <t>* Cost Rate published on RateCard Portal as of 2024-03-06</t>
  </si>
  <si>
    <t>Exchange Control Committee</t>
  </si>
  <si>
    <t>* Digital Workplace | Associate [M] [P] | xDC Medellin -Se habilita este rol para ser usado en Professional Services [P]
* ONEVoice - Se agrega en hoja [LATAM Solutions]
* Unified Support Tradicional - Se actualiza con los roles del cost rate SoftwareONE
* Unified Support EDR /XDR - Se agrega en hoja [LATAM Solutions]
* Horas / Dia 8.1 - Horas / Dia = 8.1 solo para servicios con dedicacion continua, como: Managed Services, Staff Augmentation, Servicios Recurrentes, cuando son entregados desdes xDCMedellin Colombia. Para lo anterior se agrega la variable Continuous Allocation, si es Yes el valor de horas sera 8.1,  caso contrario 9
* Define formula de calculo de WHT: [Costo servicios] × [% WHT]
* CUSTOMER COUNTRY - Se agrega "España" como pais a esta lista</t>
  </si>
  <si>
    <t>* Digital Workplace | Associate [M] [P] | xDC Medellin - This role is enabled for use in Professional Services [P]
* ONEVoice - Added to the [LATAM Solutions] sheet
* Unified Support Traditional - Updated with the SoftwareONE cost rate roles
* Unified Support EDR / XDR - Added to the [LATAM Solutions] sheet
* Hours / Day 8.1 - Hours / Day = 8.1 only for services with continuous dedication, such as: Managed Services, Staff Augmentation, Recurring Services, when delivered from xDCMedellin Colombia. For this, the Continuous Allocation variable is added. If it is Yes, the hours value will be 8.1, otherwise, 9.
* Define the WHT calculation formula: [Service Cost] × [% WHT]
* CUSTOMER COUNTRY - "Spain" is added as a country to this list.</t>
  </si>
  <si>
    <t>* ONESheet/CMSCore 2.0:
   - Agrego "Noram" a lista CUSTOMER COUNTRY.
   - Distribuyo costos por fase para efectos de duplicar hoja HN.
   - Distribuyo costos WHT por personal humano en cada fase.
   - Agrego campo [% MaS] para definir margen de negocio por fase y permita definir estrategia diferente.
   - Agrego campo [Risks %] para incluir riesgos del proyectos por fase.
   - Agrego columna por fase: "% Surcharge Hours" aplicar cargos extras a pefiles requeridos.
   - Corrige Url sku’s.
   - Corrige calculo precio por perfil en cada fase incluyendo costos adicionales indirectos.
   - Agrego dos secciones adicionales para distribución de ingresos.
* CostRates - Actualizo cost rate y acotan a paises de Latam con el Blueprint 2.0 Rate Calc 04.10.25 LATAM V10042025.
* WHT - Agrego hoja para consultar impuesto fiscal entre el paises y la subsidiaría de SWOne.
* Licenses - Agrego hoja para consultar y/o calcular costos de licenciamiento por perfil.
* PayRise - Agrego hoja para definir estrategia de incremento salarial por fase.
* General - Protege hojas de configuración y campos no modificables.</t>
  </si>
  <si>
    <t>* ONESheet/CMSCore 2.0:
   - Added "Noram" to the CUSTOMER COUNTRY list.
   - Distributed costs by phase for the purpose of duplicating the HN sheet.
   - Distributed WHT cost by human personnel in each phase.
   - Added [% MaS] field to define the business margin in each phase and it allow for a different strategy, 
   - Added [Risks %] field to include project risks in each phase.
   - Added a column by phase: "% Surcharge Hours" to apply extra charges to required profiles.
   - Fixed SKU URLs.
   - Calculated price per profile in each phase, including indirect additional costs.
   - Added two additional sections for revenue distribution.
* CostRates - Updated cost rate and limits it to Latin American countries with Blueprint 2.0 Rate Calc 04.10.25 LATAM V10042025.
* WHT - Added a sheet to view tax rates between the country and the SWOne subsidiary.
* Licenses - Added a sheet to view and/or calculate licensing costs by profile.
* PayRise - Added a sheet to define salary increase strategies by phase.
* General - Protected configuration sheets and non-editable fields.</t>
  </si>
  <si>
    <t>* ONESheet/CMSCore 2.1: 
   - Agrego campo: [Billing Country] - selección país de facturación y [Billing Currency] - selección moneda de facturación (CHF, USD, EUR, Local).
   - Definido modelo económico a partir del país y moneda de facturación seleccionada.
* CostRates - Agregado cost rate de xDC Guadalajara, San José, India (Delhi), Warsaw publicados en RateCard Portal.
* ProfileDictionary - Corrige homolgación perfiles de Seguridad, IT Portafolio Management y App&amp;Data&amp;AI.
* WHT:
   - Actualiza valores impuesto fiscal para servicios tecnicos entre paises y subsidiarías de SWOne.
   - Agregada definicón impuesto fiscal para licenciamiento entre paises y subsidiarías de SWOne.
* OtherCosts:
   - Agregado columna SKU.
   - Asociado valor de [% MaS] al costo acorde con el [% MaS] definido con la fase relacionada.
* PayRise:
   - Corrige formula de incremento salarial, es decir, se suma el unit cost con el incremento correspondiente.
   - Asocio valor de la columna [% MaS] al incremento acorde con el [% MaS] definido con la fase relacionada.</t>
  </si>
  <si>
    <t>* ONESheet/CMSCore 2.1: 
   - Added fields: [Billing Country] - billing country selection and [Billing Currency] - billing currency selection (CHF, USD, EUR, Local).
   - Defined economic model based on the selected billing country and currency.
* CostRates: Added cost rate for xDC Guadalajara, San José, India (Delhi), Warsaw published on RateCard Portal.
* ProfileDictionary - Fixed standardization of Security, IT Portfolio Management, and App&amp;Data&amp;AI profiles.
* WHT:
   - Updated tax rates for technical services between countries and SWOne subsidiaries.
   - Added tax definition for licensing between countries and SWOne subsidiaries.
* OtherCosts:
   - Added SKU column.
   - Associated [% MaS] value with the cost according to the [% MaS] defined for the related phase.
* PayRise:
   - Fixed salary increase formula, i.e., adds the unit cost to the corresponding increase.
   - Associated the [%MaS] value with the increase consistent with the [%MaS] defined for the related phase.</t>
  </si>
  <si>
    <t>* ONESheet/CMSCore 2.2:
   - Definido formula de calculo aplicación margen de contribución: 1 - [Costo Total Servicios + WHT] / [Precio Total Servicio + WHT]
   - Definido celdas: [AX20] como precio/volumen total del servicio, [AX21] como costo total del servicio (incluido WHT) y [AX19] como margen de 
     contribución del servicio, de manera que este resumen debe coincidir con la configuración del CRM OneSales.
* Latam Solution - Corrige formula campo [Quantity] asociado al costo "Full Monthly Availability (4 weeks)" para Unified Support Tradicional.
* Elimina protección a las prestañas: ONESheet 2.1, PayRise, OtherCosts, CCEO - Invoice.</t>
  </si>
  <si>
    <t>* ONESheet/CMSCore 2.2:
   - Defined the formula for calculating the contribution margin application: 1 - [Total Service Cost + WHT] / [Total Service Price + WHT]
   - Defined cells: [AX20] as the total service price/volume, [AX21] as the total service cost (including WHT), and [AX19] as the service contribution margin, so 
     that this summary must match the OneSales CRM configuration.
* Latam Solution - Fixed [Quantity] field formula associated with the "Full Monthly Availability (4 weeks)" cost for Unified Support Traditional.
* Removed protection for the following services: ONESheet 2.1, PayRise, OtherCosts, CCEO - Invoice.</t>
  </si>
  <si>
    <t>* ONESheet/CMSCore 2.3:
   - Actualiza porcentajes de recargo horas para ejecución de servicios en Colombia acorde con la Ley 2101 de 2021.
   - Actualiza capacidad horas productivas por día en 8.1 para ejecución de servicios en Colombia acorde con la Ley 2101 de 2021.
   - Define modelo económico bajo dos monedas de facturación (CHF, Local).
   - Agrega campo [% Intercompany] el cual se debe aplicar cuando usamos personal humano que no estan en xDC sino en los paises locales con disponbilidad.
   - Define formula de calculo aplicación porcentaje de intercompany: [Costos Total Servicios] * [% Intercompany]. El costo total del servicio incluye costo 
     del personal humano + licenciamiento + venders + póliza.
   - Agrega campos de conversión (BD[18-21]) para presentar el precio y costo del servicio en la moneda de facturación seleccionada por el cliente.
* PayRise - Define modelo económico asociado con la moneda del país de facturación seleccionada.
* OtherCosts - Define modelo económico asociado con la moneda del país de facturación seleccionada.</t>
  </si>
  <si>
    <t>* ONESheet/CMSCore 2.3:
   - Updated hourly surcharge percentages for service execution in Colombia in accordance with Law 2101 of 2021.
   - Updated daily productive hours capacity to 8.1 for services provided in Colombia in accordance with Law 2101 of 2021.
   - Defined the economic model for two billing currencies (CHF, Local).
   - Added the [% Intercompany] field, which should be applied when using resources not located in xDC but in local countries with availability.
   - Defined the calculation formula for applying the intercompany percentage: [Total Service Costs] * [% Intercompany]. The total cost of the service includes 
     the cost of human resources + licensing + vendors + policy.
   - Added conversion fields (BD[18-21]) to display the price and cost of the service in the billing currency selected by the customer.
* PayRise - Defined the economic model associated with the selected billing country's currency.
* OtherCosts - Defined the economic model associated with the selected billing country's currency.</t>
  </si>
  <si>
    <t>* CostRates: Actualiza cost rate publicados en RateCard Portal con fecha 2025-08-26</t>
  </si>
  <si>
    <t>* CostRates: Updated cost rates published on RateCard Portal dated 2025-08-26.</t>
  </si>
  <si>
    <t>* ONESheet/CMSCore 2.5: Agrega resumen de costos (talento humano, WHT, incrementos salarial, otros) y precio venta a partir de la moneda extranjera ingresada.
* LATAM Solutions:
   - Unifica servicios Unified Support for Security / EDR-XDR.
   - Agrega servicio All-in-one Azure Security
* CostRates - Agrega cost rate de xDC Gurugram publicados en RateCard Portal.</t>
  </si>
  <si>
    <t>* ONESheet/CMSCore 2.5:  Added summary cost (human talent, WHT, salary increases, other) and sales price based on the entered foreign currency.
* LATAM Solutions:
   - Unified Support for Security / EDR-XDR services are unified.
   - Added Azure Security All-in-One service.
* CostRates: Added cost rate for xDC Gurugram published on RateCard Portal.</t>
  </si>
  <si>
    <t>* ONESheet/CMSCore 2.6:
   - Distribuye campo [% Intercompany] por personal humano y otros costos en cada fase.
   - Reubica campo [% Margin a Sold] a la columna AV que permita visualizar/comparar con [% Contribution Margin] resultante por fase.
   - Distribuye proporcionalmente los costos/precios de los perfiles no facturables entre los perfiles facturables mediante la selección de un campo con "X".
* PayRise: Agrega columna [% Intercompany] para calculo sobre incremento por fase.
* OtherCosts: Agrega columna [% Intercompany] para calculo sobre costo por fase.
* Licenses:
   - Cambio enfoque tabla "Licence Control" para calcular costo por numero de licencias requeridas por perfil.
   - Cambio formula para calcular costos de licencia por horas asignadas por perfil.
* CostRates: Agrega cost rate de España y xDC Leon publicados en RateCard Portal.
* WHT: Actualiza valores impuesto fiscal para servicios tecnicos y licenciamiento entre paises y subsidiarías de SWOne.</t>
  </si>
  <si>
    <t>* ONESheet/CMSCore 2.6:
   - Distributed [% Intercompany] field by personnel and other costs in each phase.
   - Relocated [% Margin to Sold] field to the AV column to allow visualization/comparison with resulting [% Contribution Margin] field by phase.
   - Proportionally distributed the costs/prices of non-billable profiles among billable profiles by selecting a field with an "X".
* PayRise: Added [% Intercompany] column to calculate the increase per phase.
* OtherCosts: Added [% Intercompany] column to calculate the cost per phase.
* Licenses:
   - Changed the approach in the "Licence Control" table to calculate costs based on the number of licenses required per profile.
   - Changed the formula to calculate license costs based on hours allocated per profile.
* CostRates - Added cost rate for Spain and xDC Leon published on RateCard Portal.
* WHT: Updated tax rates for technical and licensing services between countries and SWOne subsidiaries.</t>
  </si>
  <si>
    <t>* ONESheet/CMSCore 2.7: Se actualiza la jornada laboral en el comentario relacionado con la aplicación del recargo nocturno para el año 2026 en Colombia.
* CostRates: Actualiza cost rate publicados en RateCard Portal con fecha 2026-01-16.
Nota: Esta actualización no tienen en cuenta el salary around del año 2026.
* Definitions: Se agrega definiciones de líneas de servicio &gt; servicios para 2026.
* WHT: Actualiza valores impuesto fiscal para servicios tecnicos y licenciamiento entre paises y subsidiarías de SWOne.</t>
  </si>
  <si>
    <t>* ONESheet/CMSCore 2.7: The working day is updated in the commentary related to the application of the night surcharge for the year 2026 in Colombia.
* CostRates: Updated cost rates published on RateCard Portal dated 2026-01-16.
Note: This update does not take into account the salary around the year 2026.
* Definitions: Added definitions of service lines &gt; services for 2026.
* WHT: Updated tax rates for technical and licensing services between countries and SWOne subsidiaries.</t>
  </si>
  <si>
    <t>2.7.1</t>
  </si>
  <si>
    <t>* Parameters: Actualizar moneda local para paises Jamaica y Trinidad y Tobago.</t>
  </si>
  <si>
    <t>* Parameters: Update local currency for Jamaica and Trinidad and Tobago.</t>
  </si>
  <si>
    <t>* CostRates: Actualiza cost rate publicados en RateCard Portal con fecha 2026-03-01.
* Parameters: Actualizar tasa de cambio interna.
* Definitions: Se agrega definiciones de rates Data&amp;AI y modelo recursos locales a partir de mercado.</t>
  </si>
  <si>
    <t>* CostRates: Updated cost rates published on RateCard Portal dated 2026-03-01.
* Parameters: Update internal TRM.
* Definitions: Added definitions of rates Data&amp;AI and local resources model based on market data.</t>
  </si>
  <si>
    <t>HN DEFINITIONS</t>
  </si>
  <si>
    <t>Definition</t>
  </si>
  <si>
    <t>Descriptions (ES)</t>
  </si>
  <si>
    <t>Descriptions (EN)</t>
  </si>
  <si>
    <t>HN in force</t>
  </si>
  <si>
    <t>1. Que pasa si se presento oferta al cliente con una versión HN anterior posterior a la publicación de la última versión de HN y requiere solicitud DR nuevamente?
R: La versión de la HN con la que se presente la oferta se mantiene.
2. Que pasa si no se ha presentado oferta al cliente?
R: Todo las oportunidades (nuevas o en proceso) se debe modelar con la última versión de HN.
3. Que pasa si se presento oferta al cliente sin pasar por DR?
R: La oferta se debio haber modelado con última versión de HN.</t>
  </si>
  <si>
    <t>1. What happens if an proposal was submitted to the client using an older version of HN after a new version was released, and a new DR request is required?
A: The HN version used in the proposal is retained.
2. What happens if no proposal has been submitted to the client?
A: All opportunities (new or ongoing) must be modeled using the latest HN version.
3. What happens if an proposal was submitted to the client without going through DR?
A: The proposal should have been modeled using the latest version of HN.</t>
  </si>
  <si>
    <t>Monthly cost for availability</t>
  </si>
  <si>
    <t>App&amp;Data&amp;AI: 200.000 COP/Semana o 50 USD/Semana.
Software&amp;Cloud: 130.000 COP/Semana o 35 USD/Semana.</t>
  </si>
  <si>
    <t>App&amp;Data&amp;AI: 200,000 COP/Week or 50 USD/Week.
Software&amp;Cloud: 130,000 COP/Week or 35 USD/Week.</t>
  </si>
  <si>
    <t>Impact on Margin by WHT</t>
  </si>
  <si>
    <t>En relación a la inclusión del WHT y su impacto en el Margen, la definición es la siguiente:
- En negocios sin WHT, el costo es la base para definir el precio de venta (subiendo un Mark up).
- En negocios con WHT, tanto al costo como al precio de venta calculados se les debe adicionar el WHT. Generando un nuevo costo y un nuevo precio de venta.
- El margen definitivo resultará de la relación entre el nuevo costo y el nuevo precio de venta, como se indica en la siguiente formula y ejemplo:
MAS % = ([Precio Servicio + WHT] - [Costo Servicios + WHT]) / [Precio Servicio + WHT]
MAS % = 1 - [Costo Servicios + WHT] / [Precio Servicio + WHT]</t>
  </si>
  <si>
    <t>Regarding the inclusion of WHT and its impact on the Margin, the definition is as follows:
- In businesses without WHT, the cost is the basis for defining the selling price (increasing a markup).
- In businesses with WHT, the WHT must be added to both the calculated cost and selling price, generating a new cost and a new selling price.
- The final margin will result from the ratio of the new cost to the new selling price, as indicated in the following formula and example:
MAS % = ([Service Price + WHT] - [Service Cost + WHT]) / [Service Price + WHT]
MAS % = 1 - [Service Cost + WHT] / [Service Price + WHT]</t>
  </si>
  <si>
    <t>Intercompany</t>
  </si>
  <si>
    <t>1. ¿Cual es la definición de intercompany y en que negocios/escenarios aplica?
R: El Intercompany son movimientos de bienes, servicios o capital entre distintas empresas que pertenecen al mismo grupo empresarial, pero que operan en diferentes naciones. Estas transacciones, aunque internas al grupo, deben ser facturadas formalmente porque cada filial es una entidad legal separada. De lo anterior, aplica cuando incorporamos personal humano ubicado en otros paises de manera local y no están se relacionados en el xDC como Delivery Country.
2. ¿Cual es el porcentaje que debemos aplicar como intercompany? ¿Este difiere valor difiere el país/región?
R: Es el mismo para todos los paises y deberia ser 10%.
3. ¿Este valor se aplica sobre el costo total del servicio (personal humano + licenciamiento + vendors + póliza)?
R: Se aplica sobre los costos que el pais local asume.
4. ¿El markup del negocio e impuesto WHT se debe aplicar sobre el total del servicio incluido intercompany o fuera del intercompany?
R: El WHt se calcula sobre el costo total + 10%.
El margen se aplica sobre el costo total + 10%.</t>
  </si>
  <si>
    <t>1. What is the definition of intercompany, and in what businesses/scenarios does it apply?
A: Intercompany transactions involve the movement of goods, services, or capital between different companies belonging to the same corporate group but operating in different countries. These transactions, although internal to the group, must be formally invoiced because each subsidiary is a separate legal entity. This also applies when we incorporate personnel located in other countries locally and they are not listed in the xDC (xDigital Delivery Country) as Delivery Country.
2. What percentage should we apply as an intercompany? Does this value differ by country/region?
A: It is the same for all and should be 10%.
3. Is this value applied to the total cost of the service (human resources + licensing + vendors + policy)?
A: It is applied to the costs assumed by the local country.
4. Should the business markup and WHT be applied to the total service, including intercompany or non-intercompany costs?
A: The WHT is calculated on the total cost + 10%.
The margin is applied to the total cost + 10%.</t>
  </si>
  <si>
    <t>Use TRM currency different from local currency by country</t>
  </si>
  <si>
    <t>Feedback Finanzas - Esto es lo que esta definido:
- Para proyectos a largo plazo (&gt; 1 año) es necesario el feedback de Finanzas (tesoreria o finanzas locales). Hay países, o mejor dicho monedas, que si son consideradas en la hedging tool, ejemplo: COP o PEN y otras que no, como BOB o GTQ (y muchas de Fed32, estas ultimas deben ser validadas con finanzas local.
- Para proyectos a corto plazo (&lt; 1 año) no es obligatorio el feedback de Finanzas (tesoreria o finanzas locales), sin embargo, se recomienda coordinar con finanzas, esto también depende del tamaño del negocio (+/- 10 k) y la volatilidad del tipo de cambio del país. Pero, es posible que se tome como tipo de cambio el vigente a la fecha en la tasa de mercado por país (sin necesidad de otras validaciones).</t>
  </si>
  <si>
    <t>Finance Feedback - This is what is defined:
- For long-term projects (&gt; 1 year), feedback from Finance (treasury or local finance) is required. There are countries, or rather currencies, that are considered in the hedging tool, for example: COP or PEN, and others that are not, such as BOB or GTQ (and many Fed32 currencies). The latter must be validated with local finance.
- For short-term projects (&lt; 1 year), feedback from Finance (treasury or local finance) is not mandatory; however, it is recommended to coordinate with finance. This also depends on the size of the deal (+/- 10k) and the volatility of the country's exchange rate. However, it is possible to use the current exchange rate at the country's market rate (without the need for further validation).</t>
  </si>
  <si>
    <t>Change of working hours in Colombia (2025)</t>
  </si>
  <si>
    <t>Ley 2101 de 2021 - REDUCCIÓN JORNADA LABORAL SEMANAL DE MANERA GRADUAL (https://www.funcionpublica.gov.co/eva/gestornormativo/norma.php?i=166506)
De acuerdo con la ley presidencial anterior donde se realizaría una reducción de la jornada laboral paulatinamente hasta llegar a 42 horas semanales, es necesario realizar la siguientes definiciones para que podamos cubrir la organización en 2025 y 2026:
- Esto aplica para las nuevas ofertas y renovaciones, por favor tenerlo en cuenta en los SOWs.
- En la hoja de negocios vamos a trabajar con 8.1 horas productivas – no hay más ejercicios a 9 horas a partir a partir del 15 de julio de 2025.
- En los SOW debemos dejar establecido para los modelos de stafiing mensuales que SoftwareOne trabaja 160hrs mensuales y 40hrs semanales.
- No hay impacto en los cost rates dado que estos están calculados sobre 8hrs al día 40hrs a la semana.
- Esta reducción no afectará el salario de los trabajadores, y se espera que el valor de la hora de trabajo aumente.
Lo anterior indica que horas adicionales a las horas anteriormente definidas generarían costos de horas extras en los contratos.
Detalles de la reducción:
Fecha de inicio: 15 de julio de 2025.
Nueva jornada: 44 horas semanales. 
Reducción gradual: La ley establece una reducción progresiva, que comenzó en 2023 con 47 horas y continuará hasta 2026, cuando la jornada máxima será de 42 horas.</t>
  </si>
  <si>
    <t>Law 2101 of 2021 - GRADUAL REDUCTION OF WEEKLY WORKING HOURS (https://www.funcionpublica.gov.co/eva/gestornormativo/norma.php?i=166506)
In accordance with the previous presidential law which would gradually reduce the working day to 42 hours per week, the following definitions must be made so that we can cover the organization in 2025 and 2026:
- This applies to new offers and renewals; please take this into account in the SOWs.
- In the business plan, we will work with 8.1 productive hours – there will be no more 9-hour exercises starting July 15, 2025.
- In the SOWs, we must establish that SoftwareOne works 160 hours per month and 40 hours per week for the monthly staffing models.
- There is no impact on cost rates since these are calculated on an 8-hour day and 40-hour week basis.
- This reduction will not affect workers' salaries, and the hourly rate is expected to increase.
The above indicates that additional hours beyond the previously defined hours would generate overtime costs in the contracts.
Details of the reduction:
Start date: July 15, 2025.
New workday: 44 hours per week.
Gradual reduction: The law establishes a progressive reduction, which began in 2023 with 47 hours and will continue until 2026, when the maximum workday will be 42 hours.</t>
  </si>
  <si>
    <t>Service Lines / Services (2026)</t>
  </si>
  <si>
    <t>Application Services: Application Services.
Cloud Services Azure: Servicios profesionales de Azure (p. ej., asesoría, migraciones, reestructuración) y ofertas de nube administrada.
Cloud Services AWS: Servicios profesionales de AWS (p. ej., asesoría, migraciones, reestructuración) y ofertas de nube administrada.
Cloud Services GCP: Principalmente servicios profesionales de GCP, como asesoría, migraciones y reestructuración.
Digital Workplace: Gobernanza y cambio, Servicios de migración, Gestión de identidad y acceso, Copilot, Servicios de asesoramiento, Amazon Connect.
Cybersecurity: Actualmente integrada en las demás líneas de servicio, SOC.
Data &amp; AI: Data &amp; AI.
DSC &amp; Procurement: Cadena de Suministro Digital, Verificación de EULA, Negociaciones.
ITAM &amp; FinOps: Servicios profesionales y gestionados, servicios de ITAM, FinOps.
Support Services: Multivendor &amp; ISV (SISS), servicios de soporte técnico 24/7 (también conocidos como DWP y Azure Essentials), Managed UC.
Hybrid Managed Services: Administración de plataformas Legacy.
SAP Services: Infraestructura en la nube/migración de cargas de trabajo.
Other Services: Servicios Legacy (soporte de hardware/infraestructura/mesa de ayuda).</t>
  </si>
  <si>
    <t>Application Services: Application Services.
Cloud Services Azure: Azure professional services (e.g.: advisory, migrations, rearchitecting) &amp; managed cloud offerings.
Cloud Services AWS: AWS professional services (e.g.: advisory, migrations, rearchitecting) &amp; managed cloud offerings.
Cloud Services GCP: Mainly GCP professional services, e.g.: advisory, migrations, rearchitecting.
Digital Workplace: Governance &amp; Change, Migration Services, Identity &amp; Access Management, Copilot, Advisory Services, Amazon Connect.
Cybersecurity: Currently embedded in the other service lines, SOC.
Data &amp; AI: Data &amp; AI.
DSC &amp; Procurement: Digital Supply Chain, EULA checks, Negotiations.
ITAM &amp; FinOps: Prof. &amp; Managed Services, ITAM services, FinOps.
Support Services: Multivendor &amp; ISV (SISS), 24/7 technical support services (aka DWP and Azure Essentials), Managed UC.
Hybrid Managed Services: Legacy platform management.
SAP Services: Cloud infrastructure / workload migration.
Other Services: Legacy Services (Help Desk/Hardware/Infrastructure support).</t>
  </si>
  <si>
    <t>Modeling with local resources (2026)</t>
  </si>
  <si>
    <t>- Depende de las especificaciones/solicitud del cliente y de la estrategia comercial (contratación local o proveedor).
- Si elige la opción de contratación local, se debe solicitar por correo a P&amp;C el costo total acorde a las caracteristicas del perfil. A este costo total, se debe aplicar un 15% adicional asociado al costo administrativo. Por último, en la pestaña OthersCost de la HN incorporar el costo total + 15%.
- El Presales Lead debe solicitar aprobación con el Country Lead para modelar con recursos locales o vendors.
- El DR Team validará la disponibilidad del personal en banca para cada negocio.</t>
  </si>
  <si>
    <t>- It depends on the client's specifications/request and commercial strategy (local hiring or vendor).
- If you choose the local hiring option, you must request the total cost from P&amp;C via email, based on the profile's characteristics. An additional 15% for administrative costs must be applied to this total cost. Finally, in the OthersCost tab of the HN (Hybrid Network), enter the total cost plus 15%.
- The Presales Lead must request approval from the Country Lead to model using local resources or vendors.
- The DR Team will validate the availability of banking staff for each business.</t>
  </si>
  <si>
    <t>Check the cost of a profile that matches the labor market in each country</t>
  </si>
  <si>
    <t>Se debe enviar la consulta por correo a la siguiente persona acorde al país:
- Fabiola Cespedes =&gt; Latam
- Roxana Rojas =&gt; México
- Diana Ospina =&gt; Colombia</t>
  </si>
  <si>
    <t>The inquiry should be sent by email to the following person according to the country:
- Fabiola Cespedes =&gt; Latam
- Roxana Rojas =&gt; Mexico
- Diana Ospina =&gt; Colombia</t>
  </si>
  <si>
    <t>Usage rates guidelines focused on the Applications and Data &amp; AI service lines</t>
  </si>
  <si>
    <t>Rates de la línea Data&amp;AI:
- Data Engineer: Desarrolladores con conocimiento en Data.
- App Development: Desarrolladores con conocimiento en AI.
- Technology Implementation &amp; Consulting (General): Arquitectos con conocimiento en Data y/o AI.
Proyectos únicamente de Data y/o AI:
- Corresponde a las oportunidades donde se requiere desarrolladores o arquitectos con conocimiento específicos en Data y/o AI.
- El PM se modela con la línea Applications.
- Si se requiere perfiles complementarios como Funcional/QA/UXUI, estos perfiles se modela con la línea Applications. 
- La opportunity line en CRM OneSales se define por Data&amp;AI.
Proyectos únicamente Applications:
- Corresponde a las oportunidades donde se requiere desarrolladores o arquitectos con conocimiento DIFERENTES a Data y/o AI.
- Los perfiles Funcional/QA/UXUI se modela con la línea Applications. 
- Si se requiere perfiles complementarios como Desarrollador/Arquitecto con conocimiento específicos en Data y/o AI, estos perfiles se modela con la línea Data&amp;AI.
- La opportunity line en CRM OneSales se define por Applications.
Proyectos Multilínea:
- Aplica cuando se requiere modelar oportunidades que incluyen más de una linea de negocio.
- Se crea n HN acorde con el numero de líneas de negocio.</t>
  </si>
  <si>
    <t>Data &amp; AI Line Rates:
- Data Engineer: Developers with Data expertise.
- App Development: Developers with AI expertise.
- Technology Implementation &amp; Consulting (General): Architects with Data and/or AI expertise.
Data&amp;AI only Projects:
- This applies to opportunities requiring developers or architects with specific knowledge in Data and/or AI.
- The Project Manager (PM) is modeled using the Applications line.
- If complementary profiles such as Functional/QA/UX/UI are required, these profiles are modeled using the Applications line.
- The opportunity line in CRM OneSales is defined by Data&amp;AI.
Applications only Projects:
- This applies to opportunities requiring developers or architects with expertise OTHER THAN Data and/or AI.
- Functional/QA/UX/UI profiles are modeled using the Applications line.
- If complementary profiles such as Developer/Architect with specific Data and/or AI expertise are required, these profiles are modeled using the Data &amp; AI line.
- The opportunity line in CRM OneSales is defined by Applications.
Multi-Line Projects:
- Applies when it is necessary to model opportunities that include more than one line of business.
- The HNs must be created according to the number of business lines.</t>
  </si>
  <si>
    <t>Categoria</t>
  </si>
  <si>
    <t>SubCategoria</t>
  </si>
  <si>
    <t>IaaS - PaaS</t>
  </si>
  <si>
    <t>Type</t>
  </si>
  <si>
    <t>AWS service</t>
  </si>
  <si>
    <t>AWS Oferta Productizada? = 1</t>
  </si>
  <si>
    <t>Azure service</t>
  </si>
  <si>
    <t>Azure Oferta Productizada? = 1</t>
  </si>
  <si>
    <t>GCP service</t>
  </si>
  <si>
    <t>GCP Oferta Productizada? = 1</t>
  </si>
  <si>
    <t>Short description</t>
  </si>
  <si>
    <t>Validacion</t>
  </si>
  <si>
    <t>Marketplace</t>
  </si>
  <si>
    <t>SaaS</t>
  </si>
  <si>
    <t>AWS Marketplace</t>
  </si>
  <si>
    <t>Azure Marketplace</t>
  </si>
  <si>
    <t>Central hub for buying and selling cloud services and applications.</t>
  </si>
  <si>
    <t>Compute</t>
  </si>
  <si>
    <t>Virtual machines and servers</t>
  </si>
  <si>
    <t>IaaS</t>
  </si>
  <si>
    <t>Amazon EC2 Instance Types</t>
  </si>
  <si>
    <t>Azure Virtual Machines</t>
  </si>
  <si>
    <t>Core compute service providing scalable virtualized computing resources.</t>
  </si>
  <si>
    <t>Autoscaling</t>
  </si>
  <si>
    <t>AWS Auto Scaling</t>
  </si>
  <si>
    <t>Virtual machine scale sets</t>
  </si>
  <si>
    <t>Autoscaling for VMs to manage a set of identical, load-balanced VMs.</t>
  </si>
  <si>
    <t>App Service autoscale</t>
  </si>
  <si>
    <t>Autoscaling feature for Azure App Services based on demand.</t>
  </si>
  <si>
    <t>Storage</t>
  </si>
  <si>
    <t>Disk volumes on Amazon Elastic Block Store (EBS)</t>
  </si>
  <si>
    <t>Data disks in Azure Blob Storage</t>
  </si>
  <si>
    <t>Provides block storage for Azure VMs, allowing you to store persistent data.</t>
  </si>
  <si>
    <t>Amazon EC2 instance store</t>
  </si>
  <si>
    <t>Azure temporary storage</t>
  </si>
  <si>
    <t>Offers temporary storage for VMs and other Azure services.</t>
  </si>
  <si>
    <t>Amazon EBS Provisioned IOPS Volume</t>
  </si>
  <si>
    <t>Azure premium storage</t>
  </si>
  <si>
    <t>High-performance storage for Azure VMs.</t>
  </si>
  <si>
    <t>Iaas</t>
  </si>
  <si>
    <t>Amazon Elastic File System (EFS)</t>
  </si>
  <si>
    <t>Azure Files</t>
  </si>
  <si>
    <t>Managed file storage service for cloud or on-premises deployments.</t>
  </si>
  <si>
    <t>Containers and container orchestrators</t>
  </si>
  <si>
    <t>Amazon Elastic Container Service (Amazon ECS)</t>
  </si>
  <si>
    <t>Azure Container Apps</t>
  </si>
  <si>
    <t>Service for building and deploying containerized apps.</t>
  </si>
  <si>
    <t>Serverless computing</t>
  </si>
  <si>
    <t>PaaS</t>
  </si>
  <si>
    <t>AWS Lambda</t>
  </si>
  <si>
    <t>Azure Functions</t>
  </si>
  <si>
    <t>Event-driven serverless compute platform.</t>
  </si>
  <si>
    <t>WebJobs in Azure App Service</t>
  </si>
  <si>
    <t>Enables running of background tasks in the context of an App Service web app.</t>
  </si>
  <si>
    <t>Database</t>
  </si>
  <si>
    <t>Relational database</t>
  </si>
  <si>
    <t>RDS</t>
  </si>
  <si>
    <t>SQL Database</t>
  </si>
  <si>
    <t>Fully-managed relational database service.</t>
  </si>
  <si>
    <t>Database for MySQL</t>
  </si>
  <si>
    <t>Fully-managed MySQL database service.</t>
  </si>
  <si>
    <t>Database for PostgreSQL</t>
  </si>
  <si>
    <t>Fully-managed PostgreSQL database service.</t>
  </si>
  <si>
    <t>Database for MariaDB</t>
  </si>
  <si>
    <t>Managed MariaDB database service.</t>
  </si>
  <si>
    <t>DevOps and application monitoring</t>
  </si>
  <si>
    <t>CloudWatch</t>
  </si>
  <si>
    <t>Monitor</t>
  </si>
  <si>
    <t>Provides comprehensive solutions for collecting, analyzing, and acting on telemetry from your cloud and on-premises environments.</t>
  </si>
  <si>
    <t>X-Ray</t>
  </si>
  <si>
    <t>Command Line Interface</t>
  </si>
  <si>
    <t>CLI</t>
  </si>
  <si>
    <t>Command-line tools for managing Azure resources.</t>
  </si>
  <si>
    <t>PowerShell</t>
  </si>
  <si>
    <t>A task automation and configuration management framework, consisting of a command-line shell and scripting language.</t>
  </si>
  <si>
    <t>AWS CloudShell</t>
  </si>
  <si>
    <t>Azure Cloud Shell</t>
  </si>
  <si>
    <t>Browser-based shell experience to manage and develop Azure resources.</t>
  </si>
  <si>
    <t>OpsWorks (Chef-based)</t>
  </si>
  <si>
    <t>Automation</t>
  </si>
  <si>
    <r>
      <t>Service for automating repetitive tasks across Azure and non-Azure environments</t>
    </r>
    <r>
      <rPr>
        <sz val="10"/>
        <color rgb="FFC00000"/>
        <rFont val="Arial"/>
        <family val="2"/>
      </rPr>
      <t>. Solo para actividades de gestion? No para despligues nuevos ?</t>
    </r>
  </si>
  <si>
    <t>Management and governance</t>
  </si>
  <si>
    <t>AWS Organizations</t>
  </si>
  <si>
    <t>Management Groups</t>
  </si>
  <si>
    <t>Organize resources in Azure across subscriptions.</t>
  </si>
  <si>
    <t>Trusted Advisor</t>
  </si>
  <si>
    <t>Advisor</t>
  </si>
  <si>
    <t>Provides personalized recommendations to optimize Azure deployments.</t>
  </si>
  <si>
    <t>AWS Billing and Cost Management</t>
  </si>
  <si>
    <t>Azure Cost Management and Billing</t>
  </si>
  <si>
    <t>Provides analysis, management, and optimization of Azure costs.</t>
  </si>
  <si>
    <t>Cost and Usage Reports</t>
  </si>
  <si>
    <t>Usage Details API</t>
  </si>
  <si>
    <t>Provides programmatic access to usage and cost details for Azure resources.</t>
  </si>
  <si>
    <t>Management Console</t>
  </si>
  <si>
    <t>Portal</t>
  </si>
  <si>
    <t>Web-based user interface for managing Azure services.</t>
  </si>
  <si>
    <t>Systems Manager</t>
  </si>
  <si>
    <t>CloudTrail</t>
  </si>
  <si>
    <t>Activity log</t>
  </si>
  <si>
    <t>Provides data about the operations on each resource within your account.</t>
  </si>
  <si>
    <t>Application Insights</t>
  </si>
  <si>
    <t>Extensible Application Performance Management (APM) service for developers.</t>
  </si>
  <si>
    <t>Cost Explorer</t>
  </si>
  <si>
    <t>Cost Management</t>
  </si>
  <si>
    <t>Helps monitor, allocate, and optimize cloud spend.</t>
  </si>
  <si>
    <t>Resource Groups and Tag Editor</t>
  </si>
  <si>
    <t>Resource Groups</t>
  </si>
  <si>
    <t>Used for organizing and managing resources within Azure subscriptions.</t>
  </si>
  <si>
    <t>Tags</t>
  </si>
  <si>
    <t>Key-value pairs for organizing Azure resources.</t>
  </si>
  <si>
    <t>Messaging and eventing</t>
  </si>
  <si>
    <t>Simple Queue Service (SQS)</t>
  </si>
  <si>
    <t>Queue Storage</t>
  </si>
  <si>
    <t>A service for storing large numbers of messages that can be accessed from anywhere in the world via authenticated calls using HTTP or HTTPS.</t>
  </si>
  <si>
    <t>Simple Notification Service (SNS)</t>
  </si>
  <si>
    <t>Service Bus</t>
  </si>
  <si>
    <t>Fully managed enterprise integration message broker.</t>
  </si>
  <si>
    <t>Amazon EventBridge</t>
  </si>
  <si>
    <t>Event Grid</t>
  </si>
  <si>
    <t>Event routing service which enables event-driven, reactive programming.</t>
  </si>
  <si>
    <t>Amazon Kinesis</t>
  </si>
  <si>
    <t>Event Hubs</t>
  </si>
  <si>
    <t>Big data streaming platform and event ingestion service.</t>
  </si>
  <si>
    <t>Amazon MQ</t>
  </si>
  <si>
    <t>Networking</t>
  </si>
  <si>
    <t>Cloud virtual networking</t>
  </si>
  <si>
    <t>Virtual Private Cloud (VPC)</t>
  </si>
  <si>
    <t>Virtual Network</t>
  </si>
  <si>
    <t>Provides an isolated, private environment in the cloud.</t>
  </si>
  <si>
    <t>NAT gateways</t>
  </si>
  <si>
    <t>NAT Gateways</t>
  </si>
  <si>
    <t>Virtual Network NAT</t>
  </si>
  <si>
    <t>Network address translation (NAT) service for Virtual Network.</t>
  </si>
  <si>
    <t>Cross-premises connectivity</t>
  </si>
  <si>
    <t>VPN Gateway - AWS</t>
  </si>
  <si>
    <t>VPN Gateway - Azure</t>
  </si>
  <si>
    <t>Provides cross-premises connectivity between customer premises and Azure.</t>
  </si>
  <si>
    <t>DNS management</t>
  </si>
  <si>
    <t>Route 53</t>
  </si>
  <si>
    <t>DNS</t>
  </si>
  <si>
    <t>Domain Name System services for Azure services.</t>
  </si>
  <si>
    <t>DNS-based routing</t>
  </si>
  <si>
    <t>Traffic Manager</t>
  </si>
  <si>
    <t>DNS-based traffic load balancer.</t>
  </si>
  <si>
    <t>Dedicated network</t>
  </si>
  <si>
    <t>Direct Connect</t>
  </si>
  <si>
    <t>ExpressRoute</t>
  </si>
  <si>
    <t>Direct private network fiber connections to Azure.</t>
  </si>
  <si>
    <t>Load balancing</t>
  </si>
  <si>
    <t>Elastic Load Balancing - Network</t>
  </si>
  <si>
    <t>Load Balancer</t>
  </si>
  <si>
    <t>Provides high availability and network performance to your applications.</t>
  </si>
  <si>
    <t>Application-level load balancing</t>
  </si>
  <si>
    <t>Elastic Load Balancing - Application</t>
  </si>
  <si>
    <t>Application Gateway</t>
  </si>
  <si>
    <t>Application-level load balancer.</t>
  </si>
  <si>
    <t>Route table</t>
  </si>
  <si>
    <t>Custom Route Tables</t>
  </si>
  <si>
    <t>User Defined Routes</t>
  </si>
  <si>
    <t>Custom network routes in Azure Virtual Network.</t>
  </si>
  <si>
    <t>Private PaaS connectivity</t>
  </si>
  <si>
    <t>VPC endpoints</t>
  </si>
  <si>
    <t>Private Endpoint</t>
  </si>
  <si>
    <t>Private network interface for Azure services.</t>
  </si>
  <si>
    <t>Virtual network peering</t>
  </si>
  <si>
    <t>VPC Peering</t>
  </si>
  <si>
    <t>VNET Peering</t>
  </si>
  <si>
    <t>Connects virtual networks seamlessly.</t>
  </si>
  <si>
    <t>Content delivery networks</t>
  </si>
  <si>
    <t>CloudFront</t>
  </si>
  <si>
    <t>Front Door</t>
  </si>
  <si>
    <t>Modern content delivery network (CDN) service.</t>
  </si>
  <si>
    <t>Network Monitoring</t>
  </si>
  <si>
    <t>VPC Flow Logs</t>
  </si>
  <si>
    <t>Azure Network Watcher</t>
  </si>
  <si>
    <t>Network performance monitoring and diagnostics service.</t>
  </si>
  <si>
    <t>Security, identity, and access</t>
  </si>
  <si>
    <t>Authentication and authorization</t>
  </si>
  <si>
    <t>Identity and Access Management (IAM)</t>
  </si>
  <si>
    <t>Microsoft Entra ID</t>
  </si>
  <si>
    <t>Identity and access management solutions.</t>
  </si>
  <si>
    <t>Azure role-based access control</t>
  </si>
  <si>
    <t>Access management for resources in Azure.</t>
  </si>
  <si>
    <t>Organizations</t>
  </si>
  <si>
    <t>Subscription Management + Azure RBAC</t>
  </si>
  <si>
    <t>Combines subscription management and RBAC for fine-grained access control.</t>
  </si>
  <si>
    <t>Multi-Factor Authentication</t>
  </si>
  <si>
    <t>Directory Service</t>
  </si>
  <si>
    <t>Microsoft Entra Domain Services</t>
  </si>
  <si>
    <t>Managed domain services such as domain join, group policy, and LDAP.</t>
  </si>
  <si>
    <t>Cognito</t>
  </si>
  <si>
    <t>Microsoft Entra External ID</t>
  </si>
  <si>
    <t>Identity service for secure authentication and access.</t>
  </si>
  <si>
    <t>AWS Config</t>
  </si>
  <si>
    <t>Policy</t>
  </si>
  <si>
    <t>Enables you to enforce organizational standards and to assess compliance at scale.</t>
  </si>
  <si>
    <t>Encryption</t>
  </si>
  <si>
    <t>Server-side encryption with Amazon S3 Key Management Service</t>
  </si>
  <si>
    <t>Azure Storage Service Encryption</t>
  </si>
  <si>
    <t>Helps you secure and safeguard your data to meet your organizational security and compliance commitments.</t>
  </si>
  <si>
    <t>Key Management Service (KMS)</t>
  </si>
  <si>
    <t>Key Vault</t>
  </si>
  <si>
    <t>Manage and protect cryptographic keys and other secrets used by cloud apps and services.</t>
  </si>
  <si>
    <t>CloudHSM</t>
  </si>
  <si>
    <t>Firewall</t>
  </si>
  <si>
    <t>Web Application Firewall - AWS</t>
  </si>
  <si>
    <t>Web Application Firewall - Azure</t>
  </si>
  <si>
    <t>Centralized protection of your web applications from common exploits and vulnerabilities.</t>
  </si>
  <si>
    <t>Security</t>
  </si>
  <si>
    <t>Certificate Manager</t>
  </si>
  <si>
    <t>App Service Certificates available on the Portal</t>
  </si>
  <si>
    <t>Provides a simplified way to purchase and manage SSL certificates for your Azure App Service.</t>
  </si>
  <si>
    <t>Object storage</t>
  </si>
  <si>
    <t>Simple Storage Services (S3)</t>
  </si>
  <si>
    <t>Blob storage</t>
  </si>
  <si>
    <t>Cloud storage service for storing large amounts of unstructured data.</t>
  </si>
  <si>
    <t>Virtual server disks</t>
  </si>
  <si>
    <t>Elastic Block Store (EBS)</t>
  </si>
  <si>
    <t>managed disks</t>
  </si>
  <si>
    <t>Block-level storage volumes for Azure VMs.</t>
  </si>
  <si>
    <t>Shared files</t>
  </si>
  <si>
    <t>Elastic File System</t>
  </si>
  <si>
    <t>Files</t>
  </si>
  <si>
    <t>Managed file shares for cloud or on-premises deployments.</t>
  </si>
  <si>
    <t>Archiving and backup</t>
  </si>
  <si>
    <t>S3 Infrequent Access (IA)</t>
  </si>
  <si>
    <t>Storage cool tier</t>
  </si>
  <si>
    <t>Cost-effective storage tier for data that is infrequently accessed.</t>
  </si>
  <si>
    <t>S3 Glacier, Deep Archive</t>
  </si>
  <si>
    <t>Storage archive access tier</t>
  </si>
  <si>
    <t>Storage tier with the lowest cost for long-term data archiving.</t>
  </si>
  <si>
    <t>Backup - AWS</t>
  </si>
  <si>
    <t>Backup - Azure</t>
  </si>
  <si>
    <t>Cloud-based backup solution for protecting data and applications.</t>
  </si>
  <si>
    <t>Hybrid storage</t>
  </si>
  <si>
    <t>DataSync</t>
  </si>
  <si>
    <t>File Sync</t>
  </si>
  <si>
    <t>Synchronizes files across multiple locations and Azure File shares.</t>
  </si>
  <si>
    <t>Bulk data transfer</t>
  </si>
  <si>
    <t>Import/Export Disk</t>
  </si>
  <si>
    <t>Import/Export</t>
  </si>
  <si>
    <t>Service to transfer large amounts of data to and from Azure using hard drives.</t>
  </si>
  <si>
    <t>Web applications</t>
  </si>
  <si>
    <t>Elastic Beanstalk</t>
  </si>
  <si>
    <t>App Service</t>
  </si>
  <si>
    <t>Fully managed platform for building, deploying, and scaling web apps.</t>
  </si>
  <si>
    <t>API Gateway</t>
  </si>
  <si>
    <t>API Management</t>
  </si>
  <si>
    <t>Service to create, publish, maintain, monitor, and secure APIs.</t>
  </si>
  <si>
    <t>Global Accelerator</t>
  </si>
  <si>
    <t>Miscellaneous</t>
  </si>
  <si>
    <t>Workflow</t>
  </si>
  <si>
    <t>Step Functions</t>
  </si>
  <si>
    <t>Logic Apps</t>
  </si>
  <si>
    <t>Cloud service that automates workflows across apps and services.</t>
  </si>
  <si>
    <t>AI and machine learning</t>
  </si>
  <si>
    <t>Especializado</t>
  </si>
  <si>
    <t>SageMaker</t>
  </si>
  <si>
    <t>Machine Learning</t>
  </si>
  <si>
    <t>AI model training and deployment.</t>
  </si>
  <si>
    <t>Alexa Skills Kit</t>
  </si>
  <si>
    <t>Bot Framework</t>
  </si>
  <si>
    <t>Building chatbots and conversational interfaces.</t>
  </si>
  <si>
    <t>Lex</t>
  </si>
  <si>
    <t>Speech Services</t>
  </si>
  <si>
    <t>Speech-to-text and text-to-speech services.</t>
  </si>
  <si>
    <t>Language Understanding (LUIS)</t>
  </si>
  <si>
    <t>Natural language understanding for applications.</t>
  </si>
  <si>
    <t>Polly, Transcribe</t>
  </si>
  <si>
    <t>Rekognition</t>
  </si>
  <si>
    <t>Cognitive Services</t>
  </si>
  <si>
    <t>Collection of AI services and cognitive APIs.</t>
  </si>
  <si>
    <t>Skills Kit</t>
  </si>
  <si>
    <t>Virtual Assistant</t>
  </si>
  <si>
    <t>Creation of intelligent virtual assistants.</t>
  </si>
  <si>
    <t>Big data and analytics</t>
  </si>
  <si>
    <t>Data warehouse</t>
  </si>
  <si>
    <t>Redshift</t>
  </si>
  <si>
    <t>Synapse Analytics</t>
  </si>
  <si>
    <t>Large scale analytics service that brings together big data and data warehousing.</t>
  </si>
  <si>
    <t>Lake Formation</t>
  </si>
  <si>
    <t>Data Share</t>
  </si>
  <si>
    <t>Securely sharing data across organizations.</t>
  </si>
  <si>
    <t>Time series</t>
  </si>
  <si>
    <t>Amazon Timestream</t>
  </si>
  <si>
    <t>Azure Data Explorer</t>
  </si>
  <si>
    <t>Service for exploring and analyzing time-series data.</t>
  </si>
  <si>
    <t>Azure Time Series Insights</t>
  </si>
  <si>
    <t>Analyze time-series data in IoT applications.</t>
  </si>
  <si>
    <t>Big data processing</t>
  </si>
  <si>
    <t>EMR</t>
  </si>
  <si>
    <t>Databricks</t>
  </si>
  <si>
    <t>Apache Spark-based analytics platform.</t>
  </si>
  <si>
    <t>HDInsight</t>
  </si>
  <si>
    <t>Processing big data with open source frameworks.</t>
  </si>
  <si>
    <t>Data Lake Storage</t>
  </si>
  <si>
    <t>Storage solution optimized for big data analytics.</t>
  </si>
  <si>
    <t>Data orchestration / ETL</t>
  </si>
  <si>
    <t>Data Pipeline, Glue</t>
  </si>
  <si>
    <t>Data Factory</t>
  </si>
  <si>
    <t>Data integration service for orchestrating and automating data movement and transformation.</t>
  </si>
  <si>
    <t>Glue</t>
  </si>
  <si>
    <t>Azure Purview</t>
  </si>
  <si>
    <t>Unified data governance service that helps manage and govern on-premises, multicloud, and SaaS data.</t>
  </si>
  <si>
    <t>Analytics and visualization</t>
  </si>
  <si>
    <t>Kinesis Analytics</t>
  </si>
  <si>
    <t>Stream Analytics</t>
  </si>
  <si>
    <t>Real-time data stream processing and analytics.</t>
  </si>
  <si>
    <t>Data Lake Analytics</t>
  </si>
  <si>
    <t>On-demand analytics job service over big data.</t>
  </si>
  <si>
    <t>Data Lake Store</t>
  </si>
  <si>
    <t>Highly scalable data storage for big data analytics.</t>
  </si>
  <si>
    <t>QuickSight</t>
  </si>
  <si>
    <t>Power BI</t>
  </si>
  <si>
    <t>Business intelligence and data visualization.</t>
  </si>
  <si>
    <t>CloudSearch</t>
  </si>
  <si>
    <t>Cognitive Search</t>
  </si>
  <si>
    <t>AI-powered search service for enterprise content.</t>
  </si>
  <si>
    <t>Athena</t>
  </si>
  <si>
    <t>Azure Synapse Analytics</t>
  </si>
  <si>
    <t>Elasticsearch Service</t>
  </si>
  <si>
    <t>Elastic on Azure</t>
  </si>
  <si>
    <t>Scalable search and analytics with Elastic Stack on Azure.</t>
  </si>
  <si>
    <t>VMware Cloud on AWS</t>
  </si>
  <si>
    <t>Azure VMware Solution</t>
  </si>
  <si>
    <t>Integration of VMware environments with Azure services.</t>
  </si>
  <si>
    <t>AWS Parallel Cluster</t>
  </si>
  <si>
    <t>Azure CycleCloud</t>
  </si>
  <si>
    <t>Orchestrates high-performance computing and big data workloads in Azure.</t>
  </si>
  <si>
    <t>Batch processing</t>
  </si>
  <si>
    <t>AWS Batch</t>
  </si>
  <si>
    <t>Azure Batch</t>
  </si>
  <si>
    <t>Managed service for parallel and high-performance computing applications.</t>
  </si>
  <si>
    <t>AWS Fargate</t>
  </si>
  <si>
    <t>Amazon Elastic Container Registry (Amazon ECR)</t>
  </si>
  <si>
    <t>Azure Container Registry</t>
  </si>
  <si>
    <t>Managed Docker registry service for storing and managing container images.</t>
  </si>
  <si>
    <t>Amazon Elastic Kubernetes Service (EKS)</t>
  </si>
  <si>
    <t>Azure Kubernetes Service (AKS)</t>
  </si>
  <si>
    <t>Managed Kubernetes container orchestration service.</t>
  </si>
  <si>
    <t>AWS App Mesh</t>
  </si>
  <si>
    <t>Open Service Mesh on AKS</t>
  </si>
  <si>
    <t>Implements a uniform and standard way to manage service-to-service communications in AKS.</t>
  </si>
  <si>
    <t>Serverless relational database</t>
  </si>
  <si>
    <t>Amazon Aurora Serverless</t>
  </si>
  <si>
    <t>Azure SQL Database serverless</t>
  </si>
  <si>
    <t>Serverless compute tier for Azure SQL Database that auto-scales.</t>
  </si>
  <si>
    <t>Serverless SQL pool in Azure Synapse Analytics</t>
  </si>
  <si>
    <t>Serverless query processing in Azure Synapse Analytics.</t>
  </si>
  <si>
    <t>NoSQL</t>
  </si>
  <si>
    <t>DynamoDB (Key-Value)</t>
  </si>
  <si>
    <t>Azure Cosmos DB</t>
  </si>
  <si>
    <t>Globally distributed, multi-model database service.</t>
  </si>
  <si>
    <t>SimpleDB</t>
  </si>
  <si>
    <t>Amazon DocumentDB (Document)</t>
  </si>
  <si>
    <t>Amazon Neptune (Graph)</t>
  </si>
  <si>
    <t>Caching</t>
  </si>
  <si>
    <t>ElastiCache</t>
  </si>
  <si>
    <t>Cache for Redis</t>
  </si>
  <si>
    <t>Caching service to improve performance by temporarily storing frequently accessed data.</t>
  </si>
  <si>
    <t>Amazon MemoryDB for Redis</t>
  </si>
  <si>
    <t>Database migration</t>
  </si>
  <si>
    <t>Database Migration Service - AWS</t>
  </si>
  <si>
    <t>Database Migration Service - Azure</t>
  </si>
  <si>
    <t>Service to simplify database migration to Azure.</t>
  </si>
  <si>
    <t>CodeDeploy</t>
  </si>
  <si>
    <t>DevOps</t>
  </si>
  <si>
    <t>Services and tools that support collaboration between development and operations teams to automate the process of software delivery and infrastructure changes.</t>
  </si>
  <si>
    <t>CodeCommit</t>
  </si>
  <si>
    <t>CodePipeline</t>
  </si>
  <si>
    <t>Developer Tools - AWS</t>
  </si>
  <si>
    <t>Developer Tools - Azure</t>
  </si>
  <si>
    <t>A collection of tools for building, debugging, deploying, diagnosing, and managing multi-platform, scalable apps and services.</t>
  </si>
  <si>
    <t>CodeBuild</t>
  </si>
  <si>
    <t>DevOps Pipeline</t>
  </si>
  <si>
    <t>Automated pipelines to build, test, and deploy code to various environments.</t>
  </si>
  <si>
    <t>Github Actions</t>
  </si>
  <si>
    <t>CI/CD platform to automate your build, test, and deployment pipeline.</t>
  </si>
  <si>
    <t>eksctl</t>
  </si>
  <si>
    <t>az aks</t>
  </si>
  <si>
    <t>Command-line tool to manage Azure Kubernetes Service (AKS).</t>
  </si>
  <si>
    <t>CloudFormation</t>
  </si>
  <si>
    <t>Resource Manager</t>
  </si>
  <si>
    <t>Deployment and management service for Azure resources.</t>
  </si>
  <si>
    <t>Bicep</t>
  </si>
  <si>
    <t>A domain-specific language for declaratively deploying Azure resources.</t>
  </si>
  <si>
    <t>VM extensions</t>
  </si>
  <si>
    <t>Software that extends VM capabilities, management, and security.</t>
  </si>
  <si>
    <t>Azure Automation</t>
  </si>
  <si>
    <t>Cloud-based automation service for scheduling and running automated tasks.</t>
  </si>
  <si>
    <t>Internet of things (IoT)</t>
  </si>
  <si>
    <t>IoT Core</t>
  </si>
  <si>
    <t>IoT Hub</t>
  </si>
  <si>
    <t>Centralized hub for managing IoT devices and data.</t>
  </si>
  <si>
    <t>Greengrass</t>
  </si>
  <si>
    <t>IoT Edge</t>
  </si>
  <si>
    <t>Service that allows you to deploy cloud intelligence directly on IoT devices.</t>
  </si>
  <si>
    <t>Kinesis Firehose, Kinesis Streams</t>
  </si>
  <si>
    <t>IoT Things Graph</t>
  </si>
  <si>
    <t>Digital Twins</t>
  </si>
  <si>
    <t>IoT service that creates comprehensive models of the physical environment.</t>
  </si>
  <si>
    <t>AWS Well-Architected Tool</t>
  </si>
  <si>
    <t>Azure Well-Architected Review</t>
  </si>
  <si>
    <t>Framework for reviewing and improving Azure workloads.</t>
  </si>
  <si>
    <t>Application Discovery Service</t>
  </si>
  <si>
    <t>Migrate</t>
  </si>
  <si>
    <t>Tools and services to facilitate the migration of workloads to Azure.</t>
  </si>
  <si>
    <t>Personal Health Dashboard</t>
  </si>
  <si>
    <t>Resource Health</t>
  </si>
  <si>
    <t>Service providing insights into the health of Azure resources.</t>
  </si>
  <si>
    <t>Config</t>
  </si>
  <si>
    <t>Application Change Analysis</t>
  </si>
  <si>
    <t>Service to identify configuration changes in the environment.</t>
  </si>
  <si>
    <t>Control Tower</t>
  </si>
  <si>
    <t>Azure Lighthouse</t>
  </si>
  <si>
    <t>Service that offers a single control plane to manage Azure at scale.</t>
  </si>
  <si>
    <t>AWS AppConfig</t>
  </si>
  <si>
    <t>Azure App Configuration</t>
  </si>
  <si>
    <t>Centralized management of application settings and feature flags.</t>
  </si>
  <si>
    <t>Service Catalog</t>
  </si>
  <si>
    <t>Azure Managed Applications</t>
  </si>
  <si>
    <t>Service catalog for managed application definitions.</t>
  </si>
  <si>
    <t>SDKs and tools - AWS</t>
  </si>
  <si>
    <t>SDKs and tools - Azure</t>
  </si>
  <si>
    <t>Software development kits and tools to build applications on Azure.</t>
  </si>
  <si>
    <t>Mobile services</t>
  </si>
  <si>
    <t>Mobile Hub</t>
  </si>
  <si>
    <t>App Center</t>
  </si>
  <si>
    <t>Continuous integration and delivery for mobile apps.</t>
  </si>
  <si>
    <t>Xamarin Apps</t>
  </si>
  <si>
    <t>Development platform for building iOS, Android, and Windows apps with .NET and C#.</t>
  </si>
  <si>
    <t>Mobile SDK</t>
  </si>
  <si>
    <t>Device Farm</t>
  </si>
  <si>
    <t>Mobile Analytics</t>
  </si>
  <si>
    <t>Private link</t>
  </si>
  <si>
    <t>PrivateLink</t>
  </si>
  <si>
    <t>Azure Private Link</t>
  </si>
  <si>
    <t>Private access to Azure services.</t>
  </si>
  <si>
    <t>AWS Network Firewall</t>
  </si>
  <si>
    <t>High-availability and unlimited cloud scalability.</t>
  </si>
  <si>
    <t>Inspector</t>
  </si>
  <si>
    <t>Defender for Cloud</t>
  </si>
  <si>
    <t>Provides advanced threat protection for your data and applications in Azure.</t>
  </si>
  <si>
    <t>GuardDuty</t>
  </si>
  <si>
    <t>Microsoft Sentinel</t>
  </si>
  <si>
    <t>Provides intelligent security analytics for your entire enterprise.</t>
  </si>
  <si>
    <t>Artifact</t>
  </si>
  <si>
    <t>Service Trust Portal</t>
  </si>
  <si>
    <t>Provides a variety of content, tools, and other resources about Microsoft security, privacy, and compliance practices.</t>
  </si>
  <si>
    <t>Shield</t>
  </si>
  <si>
    <t>DDos Protection Service</t>
  </si>
  <si>
    <t>Protects Azure applications from Distributed Denial of Service (DDoS) attacks.</t>
  </si>
  <si>
    <t>Storage Gateway</t>
  </si>
  <si>
    <t>StorSimple</t>
  </si>
  <si>
    <t>Integrated storage solutions that manage storage tasks between on-premises devices and Azure cloud storage.</t>
  </si>
  <si>
    <t>Import/Export Snowball</t>
  </si>
  <si>
    <t>Data Box</t>
  </si>
  <si>
    <t>Secure data transfer devices for moving large amounts of data to Azure.</t>
  </si>
  <si>
    <t>Snowball Edge</t>
  </si>
  <si>
    <t>Snowmobile</t>
  </si>
  <si>
    <t>Cross-regional load balancer</t>
  </si>
  <si>
    <t>Load balancer that distributes traffic across multiple regions.</t>
  </si>
  <si>
    <t>LightSail</t>
  </si>
  <si>
    <t>App Runner</t>
  </si>
  <si>
    <t>Web App for Containers</t>
  </si>
  <si>
    <t>Service to deploy and run containerized web apps on Azure.</t>
  </si>
  <si>
    <t>Amplify</t>
  </si>
  <si>
    <t>Static Web Apps</t>
  </si>
  <si>
    <t>Service to build, deploy, and host static apps and serverless functions.</t>
  </si>
  <si>
    <t>End-user computing</t>
  </si>
  <si>
    <t>WorkSpaces</t>
  </si>
  <si>
    <t>Azure Virtual Desktop</t>
  </si>
  <si>
    <t>Desktop and app virtualization service to run on any device.</t>
  </si>
  <si>
    <t>AppStream 2.0</t>
  </si>
  <si>
    <t>WorkLink</t>
  </si>
  <si>
    <t>Application Proxy</t>
  </si>
  <si>
    <t>Secure remote access to on-premises applications.</t>
  </si>
  <si>
    <t>Backend process logic</t>
  </si>
  <si>
    <t>Enterprise application services</t>
  </si>
  <si>
    <t>WorkMail</t>
  </si>
  <si>
    <t>Microsoft 365</t>
  </si>
  <si>
    <t>Suite of office productivity tools and services.</t>
  </si>
  <si>
    <t>WorkDocs</t>
  </si>
  <si>
    <t>Chime</t>
  </si>
  <si>
    <t>Gaming</t>
  </si>
  <si>
    <t>GameLift</t>
  </si>
  <si>
    <t>PlayFab</t>
  </si>
  <si>
    <t>Backend platform for building and managing live games.</t>
  </si>
  <si>
    <t>Media transcoding</t>
  </si>
  <si>
    <t>Elastic Transcoder</t>
  </si>
  <si>
    <t>Media Services</t>
  </si>
  <si>
    <t>Cloud service for encoding, storing, and streaming video and audio at scale.</t>
  </si>
  <si>
    <t>Hybrid</t>
  </si>
  <si>
    <t>Outposts</t>
  </si>
  <si>
    <t>Stack</t>
  </si>
  <si>
    <t>Extend Azure services and capabilities to on-premises environments.</t>
  </si>
  <si>
    <t>Media</t>
  </si>
  <si>
    <t>Elemental MediaConvert</t>
  </si>
  <si>
    <t>Satellite</t>
  </si>
  <si>
    <t>Ground Station</t>
  </si>
  <si>
    <t>Azure Orbital</t>
  </si>
  <si>
    <t>Ground station as a service for satellite communications.</t>
  </si>
  <si>
    <t>Quantum computing</t>
  </si>
  <si>
    <t>Amazon Braket</t>
  </si>
  <si>
    <t>Azure Quantum</t>
  </si>
  <si>
    <t>Service to explore quantum computing and develop quantum applications.</t>
  </si>
  <si>
    <t>Categoria
(Iaas ó Paas)</t>
  </si>
  <si>
    <t>Costo unitario mensual</t>
  </si>
  <si>
    <t>Valor mensual con Descuento</t>
  </si>
  <si>
    <t xml:space="preserve">IaaS Component (VM, Containers) – critical </t>
  </si>
  <si>
    <t xml:space="preserve">IaaS Component (VM, Containers) – noncritical </t>
  </si>
  <si>
    <t xml:space="preserve">Pass Component (SQL Database, App Service) – critical  </t>
  </si>
  <si>
    <t xml:space="preserve">Pass Component (SQL Database, App Service) – noncritical  </t>
  </si>
  <si>
    <t xml:space="preserve">Other (WAF, Azure Active Directory) – critical </t>
  </si>
  <si>
    <t>Otro</t>
  </si>
  <si>
    <t xml:space="preserve">Other (WAF, Azure Active Directory) – noncritical </t>
  </si>
  <si>
    <t>Cantidad</t>
  </si>
  <si>
    <t>Descuento</t>
  </si>
  <si>
    <t>De</t>
  </si>
  <si>
    <t>Hasta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</si>
</sst>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43" formatCode="_(* #,##0.00_);_(* \(#,##0.00\);_(* &quot;-&quot;??_);_(@_)"/>
    <numFmt numFmtId="164" formatCode="_ * #,##0.00_ ;_ * \-#,##0.00_ ;_ * &quot;-&quot;??_ ;_ @_ "/>
    <numFmt numFmtId="165" formatCode="_-&quot;$&quot;* #,##0_-;\-&quot;$&quot;* #,##0_-;_-&quot;$&quot;* &quot;-&quot;_-;_-@_-"/>
    <numFmt numFmtId="166" formatCode="_-&quot;$&quot;* #,##0.00_-;\-&quot;$&quot;* #,##0.00_-;_-&quot;$&quot;* &quot;-&quot;??_-;_-@_-"/>
    <numFmt numFmtId="167" formatCode="_-* #,##0.00_-;\-* #,##0.00_-;_-* &quot;-&quot;??_-;_-@_-"/>
    <numFmt numFmtId="168" formatCode="_-&quot;$&quot;\ * #,##0.00_-;\-&quot;$&quot;\ * #,##0.00_-;_-&quot;$&quot;\ * &quot;-&quot;??_-;_-@_-"/>
    <numFmt numFmtId="169" formatCode="_ &quot;$&quot;\ * #,##0.00_ ;_ &quot;$&quot;\ * \-#,##0.00_ ;_ &quot;$&quot;\ * &quot;-&quot;??_ ;_ @_ "/>
    <numFmt numFmtId="170" formatCode="_([$USD]\ * #,##0.00_);_([$USD]\ * \(#,##0.00\);_([$USD]\ * &quot;-&quot;??_);_(@_)"/>
    <numFmt numFmtId="171" formatCode="_(* #,##0_);_(* \(#,##0\);_(* &quot;-&quot;??_);_(@_)"/>
    <numFmt numFmtId="172" formatCode="0.0%"/>
    <numFmt numFmtId="173" formatCode="_-* #,##0.00\ _$_-;\-* #,##0.00\ _$_-;_-* &quot;-&quot;??\ _$_-;_-@_-"/>
    <numFmt numFmtId="174" formatCode="_-&quot;$&quot;\ * #,##0_-;\-&quot;$&quot;\ * #,##0_-;_-&quot;$&quot;\ * &quot;-&quot;_-;_-@_-"/>
    <numFmt numFmtId="175" formatCode="_-[$USD]\ * #,##0.00_-;\-[$USD]\ * #,##0.00_-;_-[$USD]\ * &quot;-&quot;_-;_-@_-"/>
    <numFmt numFmtId="176" formatCode="0.0"/>
    <numFmt numFmtId="177" formatCode="_(* #,##0.0_);_(* \(#,##0.0\);_(* &quot;-&quot;??_);_(@_)"/>
    <numFmt numFmtId="178" formatCode="yyyy\-mm\-dd;@"/>
    <numFmt numFmtId="179" formatCode="_-&quot;$&quot;* #,##0.00_-;\-&quot;$&quot;* #,##0.00_-;_-&quot;$&quot;* &quot;-&quot;_-;_-@_-"/>
    <numFmt numFmtId="180" formatCode="[$]dddd\,\ d\ mmmm\ yyyy;@" x16r2:formatCode16="[$-en-CO,1]dddd\,\ d\ mmmm\ yyyy;@"/>
    <numFmt numFmtId="181" formatCode="_-[$USD]\ * #,##0.00_-;\-[$USD]\ * #,##0.00_-;_-[$USD]\ * &quot;-&quot;??_-;_-@_-"/>
  </numFmts>
  <fonts count="90">
    <font>
      <sz val="11"/>
      <color theme="1"/>
      <name val="Calibri"/>
      <family val="2"/>
      <scheme val="minor"/>
    </font>
    <font>
      <sz val="12"/>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9"/>
      <color indexed="81"/>
      <name val="Tahoma"/>
      <family val="2"/>
    </font>
    <font>
      <sz val="9"/>
      <color indexed="81"/>
      <name val="Tahoma"/>
      <family val="2"/>
    </font>
    <font>
      <sz val="10"/>
      <name val="Arial"/>
      <family val="2"/>
    </font>
    <font>
      <sz val="10"/>
      <name val="Arial"/>
      <family val="2"/>
    </font>
    <font>
      <sz val="11"/>
      <color rgb="FF3E00FF"/>
      <name val="Calibri"/>
      <family val="2"/>
      <scheme val="minor"/>
    </font>
    <font>
      <b/>
      <sz val="11"/>
      <color rgb="FF3E00FF"/>
      <name val="Arial"/>
      <family val="2"/>
    </font>
    <font>
      <b/>
      <sz val="11"/>
      <color theme="1"/>
      <name val="Arial"/>
      <family val="2"/>
    </font>
    <font>
      <u/>
      <sz val="11"/>
      <color theme="10"/>
      <name val="Calibri"/>
      <family val="2"/>
      <scheme val="minor"/>
    </font>
    <font>
      <b/>
      <sz val="12"/>
      <color rgb="FF3E00FF"/>
      <name val="Arial"/>
      <family val="2"/>
    </font>
    <font>
      <b/>
      <sz val="12"/>
      <color theme="1"/>
      <name val="Arial"/>
      <family val="2"/>
    </font>
    <font>
      <sz val="12"/>
      <color theme="1"/>
      <name val="Calibri"/>
      <family val="2"/>
      <scheme val="minor"/>
    </font>
    <font>
      <b/>
      <sz val="11"/>
      <color rgb="FF3E00FF"/>
      <name val="Calibri"/>
      <family val="2"/>
      <scheme val="minor"/>
    </font>
    <font>
      <sz val="10"/>
      <color theme="0"/>
      <name val="Schriftart für Textkörper"/>
      <family val="2"/>
    </font>
    <font>
      <sz val="10"/>
      <color theme="1"/>
      <name val="Schriftart für Textkörper"/>
      <family val="2"/>
    </font>
    <font>
      <sz val="11"/>
      <color rgb="FF000000"/>
      <name val="Calibri"/>
      <family val="2"/>
      <scheme val="minor"/>
    </font>
    <font>
      <b/>
      <i/>
      <sz val="11"/>
      <name val="Calibri"/>
      <family val="2"/>
      <scheme val="minor"/>
    </font>
    <font>
      <b/>
      <i/>
      <sz val="11"/>
      <color rgb="FF3E00FF"/>
      <name val="Calibri"/>
      <family val="2"/>
      <scheme val="minor"/>
    </font>
    <font>
      <sz val="10"/>
      <name val="Calibri"/>
      <family val="2"/>
      <scheme val="minor"/>
    </font>
    <font>
      <b/>
      <sz val="9"/>
      <color rgb="FF000000"/>
      <name val="Tahoma"/>
      <family val="2"/>
    </font>
    <font>
      <sz val="9"/>
      <color rgb="FF000000"/>
      <name val="Tahoma"/>
      <family val="2"/>
    </font>
    <font>
      <i/>
      <sz val="11"/>
      <color rgb="FF3E00FF"/>
      <name val="Calibri"/>
      <family val="2"/>
      <scheme val="minor"/>
    </font>
    <font>
      <b/>
      <sz val="18"/>
      <color rgb="FF3E00FF"/>
      <name val="Calibri"/>
      <family val="2"/>
      <scheme val="minor"/>
    </font>
    <font>
      <sz val="12"/>
      <color rgb="FF3E00FF"/>
      <name val="Arial"/>
      <family val="2"/>
    </font>
    <font>
      <sz val="12"/>
      <color rgb="FF3E00FF"/>
      <name val="Calibri"/>
      <family val="2"/>
      <scheme val="minor"/>
    </font>
    <font>
      <sz val="14"/>
      <color theme="0"/>
      <name val="Calibri"/>
      <family val="2"/>
      <scheme val="minor"/>
    </font>
    <font>
      <i/>
      <sz val="11"/>
      <name val="Calibri"/>
      <family val="2"/>
      <scheme val="minor"/>
    </font>
    <font>
      <b/>
      <sz val="12"/>
      <name val="Arial"/>
      <family val="2"/>
    </font>
    <font>
      <sz val="8"/>
      <name val="Calibri"/>
      <family val="2"/>
      <scheme val="minor"/>
    </font>
    <font>
      <sz val="10"/>
      <color theme="1"/>
      <name val="Calibri"/>
      <family val="2"/>
      <scheme val="minor"/>
    </font>
    <font>
      <b/>
      <sz val="11"/>
      <color rgb="FFDEE0FE"/>
      <name val="Calibri"/>
      <family val="2"/>
      <scheme val="minor"/>
    </font>
    <font>
      <sz val="11"/>
      <color rgb="FFDEE0FE"/>
      <name val="Calibri"/>
      <family val="2"/>
      <scheme val="minor"/>
    </font>
    <font>
      <i/>
      <sz val="9"/>
      <color rgb="FF3E00FF"/>
      <name val="Calibri"/>
      <family val="2"/>
      <scheme val="minor"/>
    </font>
    <font>
      <sz val="16"/>
      <color rgb="FF3E00FF"/>
      <name val="Calibri"/>
      <family val="2"/>
      <scheme val="minor"/>
    </font>
    <font>
      <sz val="10"/>
      <color theme="1"/>
      <name val="Arial"/>
      <family val="2"/>
    </font>
    <font>
      <u/>
      <sz val="10"/>
      <color theme="10"/>
      <name val="Arial"/>
      <family val="2"/>
    </font>
    <font>
      <sz val="10"/>
      <color rgb="FFC00000"/>
      <name val="Arial"/>
      <family val="2"/>
    </font>
    <font>
      <b/>
      <sz val="14"/>
      <color rgb="FF3E00FF"/>
      <name val="Calibri"/>
      <family val="2"/>
      <scheme val="minor"/>
    </font>
    <font>
      <sz val="12"/>
      <color rgb="FFDEE0FE"/>
      <name val="Calibri"/>
      <family val="2"/>
      <scheme val="minor"/>
    </font>
    <font>
      <b/>
      <sz val="11"/>
      <color rgb="FF3026F8"/>
      <name val="Calibri"/>
      <family val="2"/>
      <scheme val="minor"/>
    </font>
    <font>
      <sz val="12"/>
      <color rgb="FF3026F8"/>
      <name val="Calibri"/>
      <family val="2"/>
      <scheme val="minor"/>
    </font>
    <font>
      <sz val="12"/>
      <color theme="0"/>
      <name val="Arial"/>
      <family val="2"/>
    </font>
    <font>
      <b/>
      <sz val="18"/>
      <name val="Calibri"/>
      <family val="2"/>
      <scheme val="minor"/>
    </font>
    <font>
      <b/>
      <sz val="16"/>
      <color rgb="FF3E00FF"/>
      <name val="Calibri"/>
      <family val="2"/>
      <scheme val="minor"/>
    </font>
    <font>
      <b/>
      <sz val="16"/>
      <name val="Calibri"/>
      <family val="2"/>
      <scheme val="minor"/>
    </font>
    <font>
      <b/>
      <sz val="10"/>
      <color rgb="FF3E00FF"/>
      <name val="Calibri"/>
      <family val="2"/>
      <scheme val="minor"/>
    </font>
    <font>
      <b/>
      <sz val="10.5"/>
      <color rgb="FF3E00FF"/>
      <name val="Calibri"/>
      <family val="2"/>
      <scheme val="minor"/>
    </font>
    <font>
      <sz val="10.5"/>
      <name val="Calibri"/>
      <family val="2"/>
      <scheme val="minor"/>
    </font>
    <font>
      <sz val="10.5"/>
      <color rgb="FF3E00FF"/>
      <name val="Calibri"/>
      <family val="2"/>
      <scheme val="minor"/>
    </font>
    <font>
      <sz val="10.5"/>
      <color theme="0" tint="-0.34998626667073579"/>
      <name val="Calibri"/>
      <family val="2"/>
      <scheme val="minor"/>
    </font>
    <font>
      <sz val="10.5"/>
      <color theme="1"/>
      <name val="Calibri"/>
      <family val="2"/>
      <scheme val="minor"/>
    </font>
    <font>
      <i/>
      <sz val="10"/>
      <color rgb="FF3E00FF"/>
      <name val="Calibri"/>
      <family val="2"/>
      <scheme val="minor"/>
    </font>
    <font>
      <b/>
      <sz val="10"/>
      <color rgb="FF3E00FF"/>
      <name val="Arial"/>
      <family val="2"/>
    </font>
    <font>
      <b/>
      <sz val="10"/>
      <color theme="1"/>
      <name val="Arial"/>
      <family val="2"/>
    </font>
    <font>
      <i/>
      <sz val="11"/>
      <color rgb="FFFF0000"/>
      <name val="Calibri"/>
      <family val="2"/>
      <scheme val="minor"/>
    </font>
    <font>
      <sz val="16"/>
      <color theme="0"/>
      <name val="Calibri"/>
      <family val="2"/>
      <scheme val="minor"/>
    </font>
    <font>
      <b/>
      <sz val="11"/>
      <name val="Arial"/>
      <family val="2"/>
    </font>
    <font>
      <b/>
      <sz val="12"/>
      <name val="Calibri"/>
      <family val="2"/>
      <scheme val="minor"/>
    </font>
    <font>
      <sz val="10"/>
      <color rgb="FF000000"/>
      <name val="Tahoma"/>
      <family val="2"/>
    </font>
    <font>
      <b/>
      <sz val="10"/>
      <color rgb="FF000000"/>
      <name val="Tahoma"/>
      <family val="2"/>
    </font>
    <font>
      <sz val="12"/>
      <name val="Calibri"/>
      <family val="2"/>
      <scheme val="minor"/>
    </font>
    <font>
      <sz val="10"/>
      <color rgb="FF000000"/>
      <name val="Calibri"/>
      <family val="2"/>
    </font>
    <font>
      <b/>
      <sz val="10.5"/>
      <name val="Calibri"/>
      <family val="2"/>
      <scheme val="minor"/>
    </font>
    <font>
      <b/>
      <u/>
      <sz val="11"/>
      <color rgb="FFC00000"/>
      <name val="Calibri"/>
      <family val="2"/>
      <scheme val="minor"/>
    </font>
    <font>
      <sz val="11"/>
      <color rgb="FFC00000"/>
      <name val="Calibri"/>
      <family val="2"/>
      <scheme val="minor"/>
    </font>
    <font>
      <sz val="9"/>
      <color rgb="FF000000"/>
      <name val="Tahoma"/>
      <family val="34"/>
    </font>
    <font>
      <sz val="10.5"/>
      <color theme="1"/>
      <name val="Calibri (Body)"/>
    </font>
    <font>
      <sz val="10.5"/>
      <color rgb="FF3E00FF"/>
      <name val="Calibri (Body)"/>
    </font>
    <font>
      <sz val="9"/>
      <color rgb="FF000000"/>
      <name val="Calibri"/>
      <family val="2"/>
    </font>
    <font>
      <sz val="10"/>
      <color rgb="FF000000"/>
      <name val="Calibri"/>
      <family val="2"/>
      <scheme val="minor"/>
    </font>
    <font>
      <sz val="11"/>
      <color rgb="FF000000"/>
      <name val="Calibri"/>
      <family val="2"/>
    </font>
    <font>
      <b/>
      <sz val="10"/>
      <color rgb="FF000000"/>
      <name val="Calibri"/>
      <family val="2"/>
      <scheme val="minor"/>
    </font>
    <font>
      <sz val="9"/>
      <color rgb="FF000000"/>
      <name val="Calibri"/>
      <family val="2"/>
      <scheme val="minor"/>
    </font>
    <font>
      <sz val="11"/>
      <name val="Calibri"/>
      <family val="2"/>
    </font>
    <font>
      <sz val="11"/>
      <name val="Calibri (Body)"/>
    </font>
    <font>
      <b/>
      <sz val="10"/>
      <color rgb="FF000000"/>
      <name val="Calibri"/>
      <family val="2"/>
    </font>
    <font>
      <b/>
      <sz val="11"/>
      <color rgb="FF000000"/>
      <name val="Calibri"/>
      <family val="2"/>
    </font>
    <font>
      <sz val="11"/>
      <color theme="1"/>
      <name val="Segoe UI"/>
      <family val="2"/>
    </font>
    <font>
      <sz val="7"/>
      <color theme="1"/>
      <name val="Times New Roman"/>
      <family val="1"/>
    </font>
    <font>
      <sz val="11"/>
      <color theme="1"/>
      <name val="Courier New"/>
      <family val="3"/>
    </font>
    <font>
      <sz val="11"/>
      <color rgb="FF000000"/>
      <name val="Segoe UI"/>
    </font>
    <font>
      <sz val="7"/>
      <color rgb="FF000000"/>
      <name val="Times New Roman"/>
    </font>
    <font>
      <sz val="11"/>
      <color rgb="FF000000"/>
      <name val="Segoe UI"/>
      <family val="2"/>
    </font>
  </fonts>
  <fills count="19">
    <fill>
      <patternFill patternType="none"/>
    </fill>
    <fill>
      <patternFill patternType="gray125"/>
    </fill>
    <fill>
      <patternFill patternType="solid">
        <fgColor theme="5"/>
      </patternFill>
    </fill>
    <fill>
      <patternFill patternType="solid">
        <fgColor theme="0" tint="-4.9989318521683403E-2"/>
        <bgColor indexed="64"/>
      </patternFill>
    </fill>
    <fill>
      <patternFill patternType="solid">
        <fgColor rgb="FF3E00FF"/>
        <bgColor indexed="64"/>
      </patternFill>
    </fill>
    <fill>
      <patternFill patternType="solid">
        <fgColor rgb="FF3026F8"/>
        <bgColor indexed="64"/>
      </patternFill>
    </fill>
    <fill>
      <patternFill patternType="solid">
        <fgColor theme="0"/>
        <bgColor indexed="64"/>
      </patternFill>
    </fill>
    <fill>
      <patternFill patternType="solid">
        <fgColor rgb="FFEFF0FF"/>
        <bgColor indexed="64"/>
      </patternFill>
    </fill>
    <fill>
      <patternFill patternType="solid">
        <fgColor theme="4"/>
      </patternFill>
    </fill>
    <fill>
      <patternFill patternType="solid">
        <fgColor theme="4" tint="0.59999389629810485"/>
        <bgColor indexed="65"/>
      </patternFill>
    </fill>
    <fill>
      <patternFill patternType="solid">
        <fgColor rgb="FFDEE0FE"/>
        <bgColor indexed="64"/>
      </patternFill>
    </fill>
    <fill>
      <patternFill patternType="solid">
        <fgColor rgb="FFFFFF00"/>
        <bgColor indexed="64"/>
      </patternFill>
    </fill>
    <fill>
      <patternFill patternType="solid">
        <fgColor rgb="FFEFF0FF"/>
        <bgColor rgb="FF000000"/>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FF"/>
        <bgColor rgb="FF000000"/>
      </patternFill>
    </fill>
    <fill>
      <patternFill patternType="solid">
        <fgColor rgb="FF00B0F0"/>
        <bgColor indexed="64"/>
      </patternFill>
    </fill>
  </fills>
  <borders count="98">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hair">
        <color theme="1" tint="0.249977111117893"/>
      </left>
      <right style="hair">
        <color theme="1" tint="0.249977111117893"/>
      </right>
      <top style="hair">
        <color theme="1" tint="0.249977111117893"/>
      </top>
      <bottom style="hair">
        <color theme="1"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hair">
        <color theme="1" tint="0.249977111117893"/>
      </left>
      <right/>
      <top style="hair">
        <color theme="1" tint="0.249977111117893"/>
      </top>
      <bottom style="hair">
        <color theme="1" tint="0.249977111117893"/>
      </bottom>
      <diagonal/>
    </border>
    <border>
      <left/>
      <right style="hair">
        <color theme="1" tint="0.249977111117893"/>
      </right>
      <top style="hair">
        <color theme="1" tint="0.249977111117893"/>
      </top>
      <bottom style="hair">
        <color theme="1" tint="0.249977111117893"/>
      </bottom>
      <diagonal/>
    </border>
    <border>
      <left/>
      <right/>
      <top/>
      <bottom style="hair">
        <color theme="0" tint="-0.499984740745262"/>
      </bottom>
      <diagonal/>
    </border>
    <border>
      <left/>
      <right/>
      <top style="hair">
        <color theme="0" tint="-0.499984740745262"/>
      </top>
      <bottom style="double">
        <color theme="0" tint="-0.499984740745262"/>
      </bottom>
      <diagonal/>
    </border>
    <border>
      <left/>
      <right/>
      <top/>
      <bottom style="hair">
        <color rgb="FF808080"/>
      </bottom>
      <diagonal/>
    </border>
    <border>
      <left/>
      <right/>
      <top style="hair">
        <color theme="0" tint="-0.499984740745262"/>
      </top>
      <bottom style="double">
        <color indexed="64"/>
      </bottom>
      <diagonal/>
    </border>
    <border>
      <left style="hair">
        <color theme="1" tint="0.249977111117893"/>
      </left>
      <right style="hair">
        <color theme="1" tint="0.249977111117893"/>
      </right>
      <top style="hair">
        <color theme="1" tint="0.249977111117893"/>
      </top>
      <bottom/>
      <diagonal/>
    </border>
    <border>
      <left style="hair">
        <color theme="1" tint="0.249977111117893"/>
      </left>
      <right style="hair">
        <color theme="1" tint="0.249977111117893"/>
      </right>
      <top/>
      <bottom/>
      <diagonal/>
    </border>
    <border>
      <left/>
      <right/>
      <top/>
      <bottom style="hair">
        <color theme="1" tint="0.249977111117893"/>
      </bottom>
      <diagonal/>
    </border>
    <border>
      <left/>
      <right/>
      <top style="double">
        <color theme="0" tint="-0.499984740745262"/>
      </top>
      <bottom/>
      <diagonal/>
    </border>
    <border>
      <left style="hair">
        <color theme="1" tint="0.249977111117893"/>
      </left>
      <right style="hair">
        <color theme="1" tint="0.249977111117893"/>
      </right>
      <top/>
      <bottom style="hair">
        <color theme="1" tint="0.249977111117893"/>
      </bottom>
      <diagonal/>
    </border>
    <border>
      <left style="hair">
        <color theme="1" tint="0.249977111117893"/>
      </left>
      <right/>
      <top/>
      <bottom style="hair">
        <color theme="1" tint="0.249977111117893"/>
      </bottom>
      <diagonal/>
    </border>
    <border>
      <left style="hair">
        <color indexed="64"/>
      </left>
      <right style="hair">
        <color indexed="64"/>
      </right>
      <top style="hair">
        <color indexed="64"/>
      </top>
      <bottom style="hair">
        <color indexed="64"/>
      </bottom>
      <diagonal/>
    </border>
    <border>
      <left style="hair">
        <color theme="1" tint="0.249977111117893"/>
      </left>
      <right/>
      <top style="hair">
        <color theme="1" tint="0.249977111117893"/>
      </top>
      <bottom/>
      <diagonal/>
    </border>
    <border>
      <left style="hair">
        <color theme="1" tint="0.249977111117893"/>
      </left>
      <right style="thin">
        <color theme="4" tint="0.39997558519241921"/>
      </right>
      <top style="hair">
        <color theme="1" tint="0.249977111117893"/>
      </top>
      <bottom style="hair">
        <color theme="1" tint="0.249977111117893"/>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bottom style="hair">
        <color theme="0" tint="-0.34998626667073579"/>
      </bottom>
      <diagonal/>
    </border>
    <border>
      <left/>
      <right/>
      <top/>
      <bottom style="hair">
        <color theme="0" tint="-0.34998626667073579"/>
      </bottom>
      <diagonal/>
    </border>
    <border>
      <left/>
      <right style="hair">
        <color theme="0" tint="-0.34998626667073579"/>
      </right>
      <top/>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diagonal/>
    </border>
    <border>
      <left/>
      <right/>
      <top style="hair">
        <color theme="0" tint="-0.34998626667073579"/>
      </top>
      <bottom/>
      <diagonal/>
    </border>
    <border>
      <left/>
      <right style="hair">
        <color theme="0" tint="-0.34998626667073579"/>
      </right>
      <top style="hair">
        <color theme="0" tint="-0.34998626667073579"/>
      </top>
      <bottom/>
      <diagonal/>
    </border>
    <border>
      <left/>
      <right style="hair">
        <color theme="0" tint="-0.34998626667073579"/>
      </right>
      <top/>
      <bottom style="hair">
        <color theme="0" tint="-0.34998626667073579"/>
      </bottom>
      <diagonal/>
    </border>
    <border>
      <left style="hair">
        <color theme="1" tint="0.249977111117893"/>
      </left>
      <right/>
      <top style="hair">
        <color theme="1" tint="0.249977111117893"/>
      </top>
      <bottom style="hair">
        <color indexed="64"/>
      </bottom>
      <diagonal/>
    </border>
    <border>
      <left/>
      <right/>
      <top style="hair">
        <color theme="1" tint="0.249977111117893"/>
      </top>
      <bottom style="hair">
        <color indexed="64"/>
      </bottom>
      <diagonal/>
    </border>
    <border>
      <left/>
      <right style="hair">
        <color indexed="64"/>
      </right>
      <top style="hair">
        <color theme="1" tint="0.249977111117893"/>
      </top>
      <bottom style="hair">
        <color indexed="64"/>
      </bottom>
      <diagonal/>
    </border>
    <border>
      <left style="hair">
        <color indexed="64"/>
      </left>
      <right/>
      <top style="hair">
        <color theme="1" tint="0.249977111117893"/>
      </top>
      <bottom style="hair">
        <color indexed="64"/>
      </bottom>
      <diagonal/>
    </border>
    <border>
      <left/>
      <right style="hair">
        <color theme="1" tint="0.249977111117893"/>
      </right>
      <top style="hair">
        <color theme="1" tint="0.249977111117893"/>
      </top>
      <bottom style="hair">
        <color indexed="64"/>
      </bottom>
      <diagonal/>
    </border>
    <border>
      <left/>
      <right/>
      <top style="hair">
        <color indexed="64"/>
      </top>
      <bottom style="hair">
        <color indexed="64"/>
      </bottom>
      <diagonal/>
    </border>
    <border>
      <left style="hair">
        <color rgb="FF404040"/>
      </left>
      <right/>
      <top/>
      <bottom style="hair">
        <color rgb="FF404040"/>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theme="1" tint="0.249977111117893"/>
      </top>
      <bottom/>
      <diagonal/>
    </border>
    <border>
      <left style="hair">
        <color theme="1" tint="0.249977111117893"/>
      </left>
      <right/>
      <top/>
      <bottom style="hair">
        <color indexed="64"/>
      </bottom>
      <diagonal/>
    </border>
    <border>
      <left/>
      <right style="hair">
        <color indexed="64"/>
      </right>
      <top style="hair">
        <color theme="0" tint="-0.34998626667073579"/>
      </top>
      <bottom style="hair">
        <color indexed="64"/>
      </bottom>
      <diagonal/>
    </border>
    <border>
      <left style="hair">
        <color theme="1" tint="0.24994659260841701"/>
      </left>
      <right style="hair">
        <color indexed="64"/>
      </right>
      <top style="hair">
        <color indexed="64"/>
      </top>
      <bottom style="hair">
        <color indexed="64"/>
      </bottom>
      <diagonal/>
    </border>
    <border>
      <left style="hair">
        <color theme="1" tint="0.24994659260841701"/>
      </left>
      <right/>
      <top style="hair">
        <color indexed="64"/>
      </top>
      <bottom/>
      <diagonal/>
    </border>
    <border>
      <left style="hair">
        <color theme="1" tint="0.24994659260841701"/>
      </left>
      <right/>
      <top/>
      <bottom/>
      <diagonal/>
    </border>
    <border>
      <left style="hair">
        <color theme="1" tint="0.24994659260841701"/>
      </left>
      <right/>
      <top/>
      <bottom style="hair">
        <color indexed="64"/>
      </bottom>
      <diagonal/>
    </border>
    <border>
      <left style="hair">
        <color theme="1" tint="0.24994659260841701"/>
      </left>
      <right/>
      <top style="hair">
        <color indexed="64"/>
      </top>
      <bottom style="hair">
        <color indexed="64"/>
      </bottom>
      <diagonal/>
    </border>
    <border>
      <left/>
      <right style="hair">
        <color theme="1" tint="0.24994659260841701"/>
      </right>
      <top style="hair">
        <color indexed="64"/>
      </top>
      <bottom style="hair">
        <color indexed="64"/>
      </bottom>
      <diagonal/>
    </border>
    <border>
      <left style="hair">
        <color theme="1" tint="0.24994659260841701"/>
      </left>
      <right style="hair">
        <color theme="1" tint="0.24994659260841701"/>
      </right>
      <top style="hair">
        <color theme="0" tint="-0.34998626667073579"/>
      </top>
      <bottom style="hair">
        <color indexed="64"/>
      </bottom>
      <diagonal/>
    </border>
    <border>
      <left style="hair">
        <color theme="0" tint="-0.34998626667073579"/>
      </left>
      <right style="hair">
        <color theme="1" tint="0.249977111117893"/>
      </right>
      <top style="hair">
        <color theme="0" tint="-0.34998626667073579"/>
      </top>
      <bottom style="hair">
        <color indexed="64"/>
      </bottom>
      <diagonal/>
    </border>
    <border>
      <left style="hair">
        <color indexed="64"/>
      </left>
      <right style="hair">
        <color theme="1" tint="0.24994659260841701"/>
      </right>
      <top style="hair">
        <color indexed="64"/>
      </top>
      <bottom style="hair">
        <color indexed="64"/>
      </bottom>
      <diagonal/>
    </border>
    <border>
      <left style="hair">
        <color theme="1" tint="0.24994659260841701"/>
      </left>
      <right style="hair">
        <color theme="1" tint="0.24994659260841701"/>
      </right>
      <top style="hair">
        <color theme="1" tint="0.249977111117893"/>
      </top>
      <bottom style="hair">
        <color theme="1" tint="0.24994659260841701"/>
      </bottom>
      <diagonal/>
    </border>
    <border>
      <left style="hair">
        <color theme="1" tint="0.24994659260841701"/>
      </left>
      <right style="hair">
        <color theme="1" tint="0.24994659260841701"/>
      </right>
      <top style="hair">
        <color theme="1" tint="0.24994659260841701"/>
      </top>
      <bottom style="hair">
        <color theme="1" tint="0.24994659260841701"/>
      </bottom>
      <diagonal/>
    </border>
    <border>
      <left/>
      <right style="hair">
        <color theme="1" tint="0.249977111117893"/>
      </right>
      <top style="hair">
        <color theme="0" tint="-0.34998626667073579"/>
      </top>
      <bottom style="hair">
        <color indexed="64"/>
      </bottom>
      <diagonal/>
    </border>
    <border>
      <left style="hair">
        <color theme="1" tint="0.24994659260841701"/>
      </left>
      <right/>
      <top/>
      <bottom style="hair">
        <color theme="1" tint="0.24994659260841701"/>
      </bottom>
      <diagonal/>
    </border>
    <border>
      <left/>
      <right/>
      <top style="hair">
        <color theme="0" tint="-0.34998626667073579"/>
      </top>
      <bottom style="hair">
        <color theme="1" tint="0.24994659260841701"/>
      </bottom>
      <diagonal/>
    </border>
    <border>
      <left/>
      <right style="hair">
        <color theme="1" tint="0.24994659260841701"/>
      </right>
      <top style="hair">
        <color theme="0" tint="-0.34998626667073579"/>
      </top>
      <bottom style="hair">
        <color theme="1" tint="0.24994659260841701"/>
      </bottom>
      <diagonal/>
    </border>
    <border>
      <left style="hair">
        <color theme="1" tint="0.249977111117893"/>
      </left>
      <right style="hair">
        <color theme="1" tint="0.24994659260841701"/>
      </right>
      <top style="hair">
        <color indexed="64"/>
      </top>
      <bottom/>
      <diagonal/>
    </border>
    <border>
      <left style="hair">
        <color theme="1" tint="0.249977111117893"/>
      </left>
      <right style="hair">
        <color theme="1" tint="0.24994659260841701"/>
      </right>
      <top/>
      <bottom/>
      <diagonal/>
    </border>
    <border>
      <left style="hair">
        <color theme="1" tint="0.249977111117893"/>
      </left>
      <right style="hair">
        <color theme="1" tint="0.24994659260841701"/>
      </right>
      <top/>
      <bottom style="hair">
        <color theme="1" tint="0.249977111117893"/>
      </bottom>
      <diagonal/>
    </border>
    <border>
      <left/>
      <right style="hair">
        <color theme="0" tint="-0.499984740745262"/>
      </right>
      <top/>
      <bottom style="hair">
        <color theme="0" tint="-0.499984740745262"/>
      </bottom>
      <diagonal/>
    </border>
    <border>
      <left style="hair">
        <color theme="1" tint="0.249977111117893"/>
      </left>
      <right style="hair">
        <color theme="1" tint="0.24994659260841701"/>
      </right>
      <top style="hair">
        <color theme="1" tint="0.249977111117893"/>
      </top>
      <bottom/>
      <diagonal/>
    </border>
    <border>
      <left style="hair">
        <color theme="1" tint="0.249977111117893"/>
      </left>
      <right style="hair">
        <color theme="1" tint="0.24994659260841701"/>
      </right>
      <top/>
      <bottom style="hair">
        <color indexed="64"/>
      </bottom>
      <diagonal/>
    </border>
    <border>
      <left/>
      <right/>
      <top style="hair">
        <color theme="0" tint="-0.34998626667073579"/>
      </top>
      <bottom style="hair">
        <color indexed="64"/>
      </bottom>
      <diagonal/>
    </border>
    <border>
      <left style="hair">
        <color theme="1" tint="0.249977111117893"/>
      </left>
      <right style="hair">
        <color theme="1" tint="0.249977111117893"/>
      </right>
      <top style="hair">
        <color theme="1" tint="0.249977111117893"/>
      </top>
      <bottom style="hair">
        <color theme="0" tint="-0.499984740745262"/>
      </bottom>
      <diagonal/>
    </border>
    <border>
      <left style="thin">
        <color theme="0" tint="-0.249977111117893"/>
      </left>
      <right style="thin">
        <color theme="0" tint="-0.249977111117893"/>
      </right>
      <top/>
      <bottom style="thin">
        <color theme="0" tint="-0.249977111117893"/>
      </bottom>
      <diagonal/>
    </border>
    <border>
      <left style="hair">
        <color theme="0" tint="-0.499984740745262"/>
      </left>
      <right style="hair">
        <color theme="0" tint="-0.499984740745262"/>
      </right>
      <top style="double">
        <color indexed="64"/>
      </top>
      <bottom style="hair">
        <color theme="0" tint="-0.499984740745262"/>
      </bottom>
      <diagonal/>
    </border>
    <border>
      <left style="hair">
        <color rgb="FF404040"/>
      </left>
      <right style="hair">
        <color rgb="FF404040"/>
      </right>
      <top style="hair">
        <color rgb="FF404040"/>
      </top>
      <bottom style="hair">
        <color rgb="FF404040"/>
      </bottom>
      <diagonal/>
    </border>
    <border>
      <left/>
      <right/>
      <top style="hair">
        <color theme="0" tint="-0.499984740745262"/>
      </top>
      <bottom/>
      <diagonal/>
    </border>
    <border>
      <left style="hair">
        <color theme="0" tint="-0.499984740745262"/>
      </left>
      <right/>
      <top/>
      <bottom style="hair">
        <color theme="0" tint="-0.499984740745262"/>
      </bottom>
      <diagonal/>
    </border>
    <border>
      <left style="hair">
        <color theme="0" tint="-0.499984740745262"/>
      </left>
      <right/>
      <top style="hair">
        <color theme="0" tint="-0.499984740745262"/>
      </top>
      <bottom style="double">
        <color indexed="64"/>
      </bottom>
      <diagonal/>
    </border>
    <border>
      <left style="hair">
        <color theme="0" tint="-0.499984740745262"/>
      </left>
      <right/>
      <top style="hair">
        <color theme="0" tint="-0.499984740745262"/>
      </top>
      <bottom style="double">
        <color theme="0" tint="-0.499984740745262"/>
      </bottom>
      <diagonal/>
    </border>
    <border>
      <left style="hair">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style="hair">
        <color theme="0" tint="-0.499984740745262"/>
      </top>
      <bottom style="double">
        <color indexed="64"/>
      </bottom>
      <diagonal/>
    </border>
    <border>
      <left style="hair">
        <color theme="0" tint="-0.499984740745262"/>
      </left>
      <right/>
      <top style="double">
        <color theme="0" tint="-0.499984740745262"/>
      </top>
      <bottom/>
      <diagonal/>
    </border>
    <border>
      <left/>
      <right/>
      <top style="hair">
        <color theme="0" tint="-0.499984740745262"/>
      </top>
      <bottom style="hair">
        <color theme="0" tint="-0.499984740745262"/>
      </bottom>
      <diagonal/>
    </border>
    <border>
      <left/>
      <right/>
      <top style="double">
        <color indexed="64"/>
      </top>
      <bottom style="hair">
        <color theme="0" tint="-0.499984740745262"/>
      </bottom>
      <diagonal/>
    </border>
    <border>
      <left/>
      <right/>
      <top style="double">
        <color theme="0" tint="-0.499984740745262"/>
      </top>
      <bottom style="hair">
        <color theme="0" tint="-0.499984740745262"/>
      </bottom>
      <diagonal/>
    </border>
    <border>
      <left style="hair">
        <color theme="0" tint="-0.499984740745262"/>
      </left>
      <right/>
      <top style="double">
        <color indexed="64"/>
      </top>
      <bottom style="hair">
        <color theme="0" tint="-0.499984740745262"/>
      </bottom>
      <diagonal/>
    </border>
    <border>
      <left style="hair">
        <color theme="0" tint="-0.499984740745262"/>
      </left>
      <right/>
      <top style="hair">
        <color theme="0" tint="-0.499984740745262"/>
      </top>
      <bottom style="hair">
        <color theme="0" tint="-0.499984740745262"/>
      </bottom>
      <diagonal/>
    </border>
    <border>
      <left style="hair">
        <color theme="0" tint="-0.499984740745262"/>
      </left>
      <right/>
      <top style="double">
        <color theme="0" tint="-0.499984740745262"/>
      </top>
      <bottom style="hair">
        <color theme="0" tint="-0.499984740745262"/>
      </bottom>
      <diagonal/>
    </border>
    <border>
      <left style="hair">
        <color theme="2" tint="-0.499984740745262"/>
      </left>
      <right style="hair">
        <color theme="1" tint="0.249977111117893"/>
      </right>
      <top style="hair">
        <color theme="1" tint="0.249977111117893"/>
      </top>
      <bottom style="double">
        <color indexed="64"/>
      </bottom>
      <diagonal/>
    </border>
    <border>
      <left style="hair">
        <color theme="2" tint="-0.499984740745262"/>
      </left>
      <right style="hair">
        <color theme="1" tint="0.249977111117893"/>
      </right>
      <top style="hair">
        <color theme="1" tint="0.249977111117893"/>
      </top>
      <bottom style="hair">
        <color theme="0" tint="-0.499984740745262"/>
      </bottom>
      <diagonal/>
    </border>
    <border>
      <left/>
      <right style="hair">
        <color theme="1" tint="0.249977111117893"/>
      </right>
      <top/>
      <bottom style="hair">
        <color theme="1" tint="0.249977111117893"/>
      </bottom>
      <diagonal/>
    </border>
    <border>
      <left/>
      <right/>
      <top/>
      <bottom style="thin">
        <color theme="0"/>
      </bottom>
      <diagonal/>
    </border>
    <border>
      <left style="thin">
        <color theme="0"/>
      </left>
      <right/>
      <top/>
      <bottom/>
      <diagonal/>
    </border>
    <border>
      <left style="thin">
        <color theme="0"/>
      </left>
      <right/>
      <top/>
      <bottom style="thin">
        <color theme="0"/>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hair">
        <color theme="1" tint="0.249977111117893"/>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21">
    <xf numFmtId="0" fontId="0" fillId="0" borderId="0"/>
    <xf numFmtId="166" fontId="2" fillId="0" borderId="0" applyFont="0" applyFill="0" applyBorder="0" applyAlignment="0" applyProtection="0"/>
    <xf numFmtId="0" fontId="5" fillId="2" borderId="0" applyNumberFormat="0" applyBorder="0" applyAlignment="0" applyProtection="0"/>
    <xf numFmtId="9" fontId="2"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169" fontId="11" fillId="0" borderId="0" applyFont="0" applyFill="0" applyBorder="0" applyAlignment="0" applyProtection="0"/>
    <xf numFmtId="0" fontId="11" fillId="0" borderId="0"/>
    <xf numFmtId="167" fontId="2" fillId="0" borderId="0" applyFont="0" applyFill="0" applyBorder="0" applyAlignment="0" applyProtection="0"/>
    <xf numFmtId="0" fontId="15" fillId="0" borderId="0" applyNumberFormat="0" applyFill="0" applyBorder="0" applyAlignment="0" applyProtection="0"/>
    <xf numFmtId="168" fontId="2" fillId="0" borderId="0" applyFont="0" applyFill="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0" borderId="0"/>
    <xf numFmtId="0" fontId="2" fillId="0" borderId="0"/>
    <xf numFmtId="0" fontId="10" fillId="0" borderId="0"/>
    <xf numFmtId="166" fontId="2" fillId="0" borderId="0" applyFont="0" applyFill="0" applyBorder="0" applyAlignment="0" applyProtection="0"/>
    <xf numFmtId="173" fontId="10" fillId="0" borderId="0" applyFont="0" applyFill="0" applyBorder="0" applyAlignment="0" applyProtection="0"/>
    <xf numFmtId="165" fontId="2" fillId="0" borderId="0" applyFont="0" applyFill="0" applyBorder="0" applyAlignment="0" applyProtection="0"/>
    <xf numFmtId="174" fontId="2" fillId="0" borderId="0" applyFont="0" applyFill="0" applyBorder="0" applyAlignment="0" applyProtection="0"/>
  </cellStyleXfs>
  <cellXfs count="602">
    <xf numFmtId="0" fontId="0" fillId="0" borderId="0" xfId="0"/>
    <xf numFmtId="0" fontId="5" fillId="4" borderId="0" xfId="0" applyFont="1" applyFill="1"/>
    <xf numFmtId="0" fontId="12" fillId="10" borderId="0" xfId="0" applyFont="1" applyFill="1" applyAlignment="1">
      <alignment vertical="center"/>
    </xf>
    <xf numFmtId="0" fontId="19" fillId="10" borderId="0" xfId="0" applyFont="1" applyFill="1" applyAlignment="1">
      <alignment vertical="center"/>
    </xf>
    <xf numFmtId="0" fontId="7" fillId="10" borderId="0" xfId="0" applyFont="1" applyFill="1" applyAlignment="1">
      <alignment horizontal="left" vertical="center" indent="1"/>
    </xf>
    <xf numFmtId="0" fontId="0" fillId="10" borderId="0" xfId="0" applyFill="1"/>
    <xf numFmtId="0" fontId="4" fillId="10" borderId="0" xfId="0" applyFont="1" applyFill="1" applyAlignment="1">
      <alignment vertical="center"/>
    </xf>
    <xf numFmtId="0" fontId="0" fillId="10" borderId="0" xfId="0" applyFill="1" applyAlignment="1">
      <alignment vertical="center"/>
    </xf>
    <xf numFmtId="0" fontId="4" fillId="7" borderId="2" xfId="0" applyFont="1" applyFill="1" applyBorder="1" applyAlignment="1">
      <alignment horizontal="center"/>
    </xf>
    <xf numFmtId="0" fontId="0" fillId="11" borderId="0" xfId="0" applyFill="1"/>
    <xf numFmtId="0" fontId="0" fillId="0" borderId="0" xfId="0" applyAlignment="1">
      <alignment horizontal="center" vertical="center" wrapText="1"/>
    </xf>
    <xf numFmtId="167" fontId="0" fillId="0" borderId="0" xfId="9" applyFont="1"/>
    <xf numFmtId="0" fontId="7" fillId="6" borderId="2" xfId="0" applyFont="1" applyFill="1" applyBorder="1" applyAlignment="1">
      <alignment horizontal="left" vertical="center"/>
    </xf>
    <xf numFmtId="0" fontId="6" fillId="10" borderId="0" xfId="0" applyFont="1" applyFill="1" applyAlignment="1">
      <alignment vertical="center"/>
    </xf>
    <xf numFmtId="168" fontId="0" fillId="0" borderId="0" xfId="0" applyNumberFormat="1"/>
    <xf numFmtId="9" fontId="0" fillId="0" borderId="0" xfId="0" applyNumberFormat="1"/>
    <xf numFmtId="0" fontId="4" fillId="7" borderId="2" xfId="0" applyFont="1" applyFill="1" applyBorder="1" applyAlignment="1">
      <alignment horizontal="center" vertical="center"/>
    </xf>
    <xf numFmtId="14" fontId="4" fillId="6" borderId="2" xfId="0" applyNumberFormat="1" applyFont="1" applyFill="1" applyBorder="1" applyAlignment="1">
      <alignment horizontal="center" vertical="center"/>
    </xf>
    <xf numFmtId="0" fontId="0" fillId="0" borderId="0" xfId="0" applyAlignment="1">
      <alignment vertical="center"/>
    </xf>
    <xf numFmtId="0" fontId="4" fillId="6" borderId="2" xfId="0" quotePrefix="1" applyFont="1" applyFill="1" applyBorder="1" applyAlignment="1">
      <alignment horizontal="center" vertical="center"/>
    </xf>
    <xf numFmtId="167" fontId="0" fillId="0" borderId="0" xfId="0" applyNumberFormat="1"/>
    <xf numFmtId="167" fontId="0" fillId="0" borderId="0" xfId="9" applyFont="1" applyFill="1"/>
    <xf numFmtId="0" fontId="12" fillId="7" borderId="26" xfId="0" applyFont="1" applyFill="1" applyBorder="1" applyAlignment="1">
      <alignment horizontal="center" vertical="center"/>
    </xf>
    <xf numFmtId="0" fontId="0" fillId="0" borderId="0" xfId="0" applyAlignment="1">
      <alignment horizontal="center"/>
    </xf>
    <xf numFmtId="0" fontId="22" fillId="0" borderId="0" xfId="0" applyFont="1" applyAlignment="1">
      <alignment vertical="center" wrapText="1"/>
    </xf>
    <xf numFmtId="167" fontId="22" fillId="0" borderId="0" xfId="9" applyFont="1" applyFill="1" applyBorder="1" applyAlignment="1">
      <alignment horizontal="center" vertical="center" wrapText="1"/>
    </xf>
    <xf numFmtId="0" fontId="22" fillId="0" borderId="0" xfId="0" applyFont="1" applyAlignment="1">
      <alignment horizontal="center" vertical="center" wrapText="1"/>
    </xf>
    <xf numFmtId="9" fontId="22" fillId="0" borderId="0" xfId="0" applyNumberFormat="1" applyFont="1" applyAlignment="1">
      <alignment horizontal="center" vertical="center" wrapText="1"/>
    </xf>
    <xf numFmtId="0" fontId="0" fillId="10" borderId="0" xfId="0" applyFill="1" applyAlignment="1">
      <alignment horizontal="center" vertical="center"/>
    </xf>
    <xf numFmtId="0" fontId="46" fillId="7" borderId="5" xfId="0" applyFont="1" applyFill="1" applyBorder="1" applyAlignment="1">
      <alignment horizontal="center"/>
    </xf>
    <xf numFmtId="0" fontId="46" fillId="7" borderId="2" xfId="0" applyFont="1" applyFill="1" applyBorder="1" applyAlignment="1">
      <alignment horizontal="center"/>
    </xf>
    <xf numFmtId="0" fontId="0" fillId="0" borderId="0" xfId="0" applyAlignment="1">
      <alignment horizontal="left"/>
    </xf>
    <xf numFmtId="0" fontId="12" fillId="10" borderId="0" xfId="0" applyFont="1" applyFill="1" applyAlignment="1">
      <alignment horizontal="left" vertical="center"/>
    </xf>
    <xf numFmtId="0" fontId="12" fillId="10" borderId="0" xfId="0" applyFont="1" applyFill="1" applyAlignment="1">
      <alignment horizontal="center" vertical="center"/>
    </xf>
    <xf numFmtId="0" fontId="0" fillId="0" borderId="0" xfId="0" applyAlignment="1">
      <alignment wrapText="1"/>
    </xf>
    <xf numFmtId="0" fontId="6" fillId="10" borderId="0" xfId="0" applyFont="1" applyFill="1" applyAlignment="1">
      <alignment horizontal="left" vertical="center" indent="1"/>
    </xf>
    <xf numFmtId="0" fontId="3" fillId="4" borderId="0" xfId="0" applyFont="1" applyFill="1"/>
    <xf numFmtId="167" fontId="0" fillId="11" borderId="0" xfId="9" applyFont="1" applyFill="1"/>
    <xf numFmtId="167" fontId="2" fillId="0" borderId="0" xfId="9" applyFont="1" applyFill="1"/>
    <xf numFmtId="167" fontId="2" fillId="0" borderId="0" xfId="9" applyFont="1"/>
    <xf numFmtId="9" fontId="0" fillId="0" borderId="0" xfId="3" applyFont="1"/>
    <xf numFmtId="0" fontId="4" fillId="0" borderId="0" xfId="0" applyFont="1"/>
    <xf numFmtId="167" fontId="4" fillId="0" borderId="0" xfId="9" applyFont="1" applyFill="1"/>
    <xf numFmtId="0" fontId="19" fillId="0" borderId="0" xfId="0" applyFont="1"/>
    <xf numFmtId="0" fontId="28" fillId="10" borderId="0" xfId="0" applyFont="1" applyFill="1" applyAlignment="1">
      <alignment vertical="top"/>
    </xf>
    <xf numFmtId="0" fontId="5" fillId="4" borderId="0" xfId="0" applyFont="1" applyFill="1" applyAlignment="1">
      <alignment horizontal="center" vertical="center"/>
    </xf>
    <xf numFmtId="0" fontId="62" fillId="4" borderId="0" xfId="0" applyFont="1" applyFill="1" applyAlignment="1">
      <alignment vertical="center"/>
    </xf>
    <xf numFmtId="0" fontId="0" fillId="0" borderId="0" xfId="3" applyNumberFormat="1" applyFont="1" applyFill="1" applyBorder="1"/>
    <xf numFmtId="167" fontId="0" fillId="0" borderId="0" xfId="9" applyFont="1" applyBorder="1"/>
    <xf numFmtId="172" fontId="7" fillId="7" borderId="5" xfId="3" applyNumberFormat="1" applyFont="1" applyFill="1" applyBorder="1" applyAlignment="1">
      <alignment horizontal="right"/>
    </xf>
    <xf numFmtId="172" fontId="7" fillId="12" borderId="43" xfId="0" applyNumberFormat="1" applyFont="1" applyFill="1" applyBorder="1" applyAlignment="1">
      <alignment horizontal="right"/>
    </xf>
    <xf numFmtId="172" fontId="7" fillId="7" borderId="2" xfId="3" applyNumberFormat="1" applyFont="1" applyFill="1" applyBorder="1" applyAlignment="1">
      <alignment horizontal="right"/>
    </xf>
    <xf numFmtId="49" fontId="6" fillId="7" borderId="11" xfId="0" applyNumberFormat="1" applyFont="1" applyFill="1" applyBorder="1" applyAlignment="1">
      <alignment horizontal="left" vertical="center" indent="1"/>
    </xf>
    <xf numFmtId="49" fontId="6" fillId="7" borderId="5" xfId="3" applyNumberFormat="1" applyFont="1" applyFill="1" applyBorder="1" applyAlignment="1">
      <alignment horizontal="left" indent="1"/>
    </xf>
    <xf numFmtId="166" fontId="7" fillId="6" borderId="17" xfId="1" applyFont="1" applyFill="1" applyBorder="1" applyAlignment="1" applyProtection="1">
      <alignment horizontal="left"/>
      <protection locked="0"/>
    </xf>
    <xf numFmtId="1" fontId="7" fillId="6" borderId="57" xfId="1" applyNumberFormat="1" applyFont="1" applyFill="1" applyBorder="1" applyAlignment="1" applyProtection="1">
      <protection locked="0"/>
    </xf>
    <xf numFmtId="0" fontId="0" fillId="0" borderId="0" xfId="0" applyProtection="1">
      <protection locked="0"/>
    </xf>
    <xf numFmtId="0" fontId="15" fillId="10" borderId="0" xfId="10" applyFill="1" applyAlignment="1" applyProtection="1">
      <alignment vertical="center"/>
    </xf>
    <xf numFmtId="166" fontId="6" fillId="7" borderId="17" xfId="1" applyFont="1" applyFill="1" applyBorder="1" applyAlignment="1" applyProtection="1">
      <alignment horizontal="left" vertical="center"/>
    </xf>
    <xf numFmtId="0" fontId="46" fillId="7" borderId="37" xfId="0" applyFont="1" applyFill="1" applyBorder="1" applyAlignment="1">
      <alignment horizontal="center"/>
    </xf>
    <xf numFmtId="175" fontId="6" fillId="7" borderId="55" xfId="19" applyNumberFormat="1" applyFont="1" applyFill="1" applyBorder="1" applyAlignment="1" applyProtection="1">
      <alignment vertical="center"/>
    </xf>
    <xf numFmtId="175" fontId="46" fillId="7" borderId="5" xfId="0" applyNumberFormat="1" applyFont="1" applyFill="1" applyBorder="1" applyAlignment="1">
      <alignment horizontal="center"/>
    </xf>
    <xf numFmtId="0" fontId="6" fillId="7" borderId="58" xfId="0" applyFont="1" applyFill="1" applyBorder="1" applyAlignment="1">
      <alignment horizontal="left" vertical="center" indent="1"/>
    </xf>
    <xf numFmtId="175" fontId="6" fillId="7" borderId="56" xfId="19" applyNumberFormat="1" applyFont="1" applyFill="1" applyBorder="1" applyAlignment="1" applyProtection="1">
      <alignment vertical="center"/>
    </xf>
    <xf numFmtId="0" fontId="6" fillId="7" borderId="59" xfId="0" applyFont="1" applyFill="1" applyBorder="1" applyAlignment="1">
      <alignment horizontal="left" vertical="center" indent="1"/>
    </xf>
    <xf numFmtId="175" fontId="64" fillId="7" borderId="60" xfId="19" applyNumberFormat="1" applyFont="1" applyFill="1" applyBorder="1" applyAlignment="1" applyProtection="1">
      <alignment vertical="center"/>
    </xf>
    <xf numFmtId="166" fontId="7" fillId="7" borderId="17" xfId="1" applyFont="1" applyFill="1" applyBorder="1" applyAlignment="1" applyProtection="1">
      <alignment horizontal="left"/>
    </xf>
    <xf numFmtId="166" fontId="7" fillId="7" borderId="44" xfId="1" applyFont="1" applyFill="1" applyBorder="1" applyAlignment="1" applyProtection="1"/>
    <xf numFmtId="0" fontId="7" fillId="7" borderId="49" xfId="0" applyFont="1" applyFill="1" applyBorder="1" applyAlignment="1">
      <alignment vertical="center"/>
    </xf>
    <xf numFmtId="0" fontId="0" fillId="0" borderId="0" xfId="0" applyAlignment="1" applyProtection="1">
      <alignment vertical="center"/>
      <protection locked="0"/>
    </xf>
    <xf numFmtId="166" fontId="19" fillId="10" borderId="0" xfId="1" applyFont="1" applyFill="1" applyBorder="1" applyAlignment="1" applyProtection="1">
      <alignment horizontal="center" vertical="center"/>
    </xf>
    <xf numFmtId="0" fontId="15" fillId="10" borderId="0" xfId="10" applyFill="1" applyAlignment="1" applyProtection="1">
      <alignment horizontal="left" vertical="center"/>
    </xf>
    <xf numFmtId="171" fontId="7" fillId="7" borderId="7" xfId="9" applyNumberFormat="1" applyFont="1" applyFill="1" applyBorder="1" applyAlignment="1" applyProtection="1">
      <alignment vertical="center"/>
    </xf>
    <xf numFmtId="166" fontId="7" fillId="7" borderId="7" xfId="1" applyFont="1" applyFill="1" applyBorder="1" applyAlignment="1" applyProtection="1">
      <alignment vertical="center"/>
    </xf>
    <xf numFmtId="171" fontId="7" fillId="7" borderId="10" xfId="1" applyNumberFormat="1" applyFont="1" applyFill="1" applyBorder="1" applyAlignment="1" applyProtection="1">
      <alignment vertical="center"/>
    </xf>
    <xf numFmtId="166" fontId="7" fillId="7" borderId="10" xfId="1" applyFont="1" applyFill="1" applyBorder="1" applyAlignment="1" applyProtection="1">
      <alignment vertical="center"/>
    </xf>
    <xf numFmtId="166" fontId="12" fillId="10" borderId="0" xfId="1" applyFont="1" applyFill="1" applyBorder="1" applyAlignment="1" applyProtection="1">
      <alignment vertical="center"/>
    </xf>
    <xf numFmtId="166" fontId="3" fillId="10" borderId="0" xfId="1" applyFont="1" applyFill="1" applyBorder="1" applyAlignment="1" applyProtection="1">
      <alignment vertical="center"/>
    </xf>
    <xf numFmtId="166" fontId="19" fillId="7" borderId="7" xfId="1" applyFont="1" applyFill="1" applyBorder="1" applyAlignment="1" applyProtection="1">
      <alignment vertical="center"/>
    </xf>
    <xf numFmtId="166" fontId="33" fillId="10" borderId="0" xfId="1" applyFont="1" applyFill="1" applyBorder="1" applyAlignment="1" applyProtection="1">
      <alignment vertical="center"/>
    </xf>
    <xf numFmtId="9" fontId="33" fillId="10" borderId="0" xfId="3" applyFont="1" applyFill="1" applyBorder="1" applyAlignment="1" applyProtection="1">
      <alignment horizontal="center" vertical="center"/>
    </xf>
    <xf numFmtId="166" fontId="33" fillId="10" borderId="0" xfId="1" applyFont="1" applyFill="1" applyBorder="1" applyAlignment="1" applyProtection="1">
      <alignment horizontal="left" vertical="center"/>
    </xf>
    <xf numFmtId="166" fontId="6" fillId="10" borderId="0" xfId="1" applyFont="1" applyFill="1" applyBorder="1" applyAlignment="1" applyProtection="1">
      <alignment vertical="center"/>
    </xf>
    <xf numFmtId="166" fontId="23" fillId="10" borderId="0" xfId="1" applyFont="1" applyFill="1" applyBorder="1" applyAlignment="1" applyProtection="1">
      <alignment horizontal="left" vertical="center"/>
    </xf>
    <xf numFmtId="166" fontId="23" fillId="10" borderId="14" xfId="1" applyFont="1" applyFill="1" applyBorder="1" applyAlignment="1" applyProtection="1">
      <alignment vertical="center"/>
    </xf>
    <xf numFmtId="166" fontId="12" fillId="10" borderId="0" xfId="1" applyFont="1" applyFill="1" applyBorder="1" applyAlignment="1" applyProtection="1">
      <alignment horizontal="left" vertical="center"/>
    </xf>
    <xf numFmtId="166" fontId="24" fillId="10" borderId="14" xfId="1" applyFont="1" applyFill="1" applyBorder="1" applyAlignment="1" applyProtection="1">
      <alignment vertical="center"/>
    </xf>
    <xf numFmtId="166" fontId="5" fillId="4" borderId="13" xfId="1" applyFont="1" applyFill="1" applyBorder="1" applyAlignment="1" applyProtection="1">
      <alignment vertical="center"/>
    </xf>
    <xf numFmtId="166" fontId="3" fillId="4" borderId="2" xfId="1" applyFont="1" applyFill="1" applyBorder="1" applyAlignment="1" applyProtection="1">
      <alignment vertical="center"/>
    </xf>
    <xf numFmtId="171" fontId="4" fillId="7" borderId="2" xfId="9" applyNumberFormat="1" applyFont="1" applyFill="1" applyBorder="1" applyAlignment="1" applyProtection="1">
      <alignment horizontal="center" vertical="center"/>
    </xf>
    <xf numFmtId="166" fontId="12" fillId="10" borderId="0" xfId="1" applyFont="1" applyFill="1" applyAlignment="1" applyProtection="1">
      <alignment vertical="center"/>
    </xf>
    <xf numFmtId="166" fontId="7" fillId="7" borderId="2" xfId="1" applyFont="1" applyFill="1" applyBorder="1" applyAlignment="1" applyProtection="1">
      <alignment horizontal="center" vertical="center"/>
    </xf>
    <xf numFmtId="166" fontId="4" fillId="7" borderId="2" xfId="1" applyFont="1" applyFill="1" applyBorder="1" applyAlignment="1" applyProtection="1">
      <alignment horizontal="center" vertical="center"/>
    </xf>
    <xf numFmtId="166" fontId="0" fillId="7" borderId="5" xfId="1" applyFont="1" applyFill="1" applyBorder="1" applyAlignment="1" applyProtection="1">
      <alignment horizontal="center" vertical="center"/>
    </xf>
    <xf numFmtId="166" fontId="0" fillId="7" borderId="19" xfId="1" applyFont="1" applyFill="1" applyBorder="1" applyAlignment="1" applyProtection="1">
      <alignment vertical="center"/>
    </xf>
    <xf numFmtId="166" fontId="0" fillId="7" borderId="2" xfId="1" applyFont="1" applyFill="1" applyBorder="1" applyAlignment="1" applyProtection="1">
      <alignment horizontal="center" vertical="center"/>
    </xf>
    <xf numFmtId="0" fontId="0" fillId="0" borderId="0" xfId="0" applyAlignment="1" applyProtection="1">
      <alignment horizontal="left" vertical="center" wrapText="1"/>
      <protection locked="0"/>
    </xf>
    <xf numFmtId="0" fontId="0" fillId="0" borderId="0" xfId="0" applyAlignment="1" applyProtection="1">
      <alignment horizontal="center" vertical="center" wrapText="1"/>
      <protection locked="0"/>
    </xf>
    <xf numFmtId="0" fontId="0" fillId="13" borderId="0" xfId="0" applyFill="1" applyAlignment="1">
      <alignment vertical="center"/>
    </xf>
    <xf numFmtId="0" fontId="0" fillId="14" borderId="0" xfId="0" applyFill="1" applyAlignment="1">
      <alignment vertical="center"/>
    </xf>
    <xf numFmtId="166" fontId="23" fillId="10" borderId="0" xfId="1" applyFont="1" applyFill="1" applyBorder="1" applyAlignment="1" applyProtection="1">
      <alignment horizontal="center" vertical="center"/>
    </xf>
    <xf numFmtId="0" fontId="15" fillId="10" borderId="0" xfId="10" applyFill="1" applyAlignment="1" applyProtection="1">
      <alignment vertical="top"/>
      <protection locked="0"/>
    </xf>
    <xf numFmtId="177" fontId="0" fillId="10" borderId="14" xfId="9" applyNumberFormat="1" applyFont="1" applyFill="1" applyBorder="1" applyAlignment="1" applyProtection="1">
      <alignment vertical="center"/>
    </xf>
    <xf numFmtId="177" fontId="7" fillId="10" borderId="7" xfId="9" applyNumberFormat="1" applyFont="1" applyFill="1" applyBorder="1" applyAlignment="1" applyProtection="1">
      <alignment horizontal="right" vertical="center"/>
    </xf>
    <xf numFmtId="0" fontId="46" fillId="7" borderId="18" xfId="0" applyFont="1" applyFill="1" applyBorder="1" applyAlignment="1">
      <alignment horizontal="right"/>
    </xf>
    <xf numFmtId="0" fontId="6" fillId="7" borderId="16" xfId="0" applyFont="1" applyFill="1" applyBorder="1" applyAlignment="1">
      <alignment horizontal="left"/>
    </xf>
    <xf numFmtId="178" fontId="0" fillId="0" borderId="0" xfId="0" applyNumberFormat="1" applyAlignment="1">
      <alignment horizontal="left"/>
    </xf>
    <xf numFmtId="167" fontId="0" fillId="0" borderId="0" xfId="9" applyFont="1" applyAlignment="1">
      <alignment horizontal="left"/>
    </xf>
    <xf numFmtId="172" fontId="7" fillId="15" borderId="5" xfId="3" applyNumberFormat="1" applyFont="1" applyFill="1" applyBorder="1" applyAlignment="1">
      <alignment horizontal="right"/>
    </xf>
    <xf numFmtId="172" fontId="0" fillId="7" borderId="2" xfId="3" applyNumberFormat="1" applyFont="1" applyFill="1" applyBorder="1" applyAlignment="1" applyProtection="1">
      <alignment horizontal="right" vertical="center"/>
    </xf>
    <xf numFmtId="0" fontId="70" fillId="10" borderId="0" xfId="10" applyFont="1" applyFill="1" applyAlignment="1" applyProtection="1">
      <alignment horizontal="left" vertical="center"/>
    </xf>
    <xf numFmtId="9" fontId="71" fillId="10" borderId="0" xfId="3" applyFont="1" applyFill="1" applyAlignment="1" applyProtection="1">
      <alignment horizontal="left" vertical="center"/>
    </xf>
    <xf numFmtId="0" fontId="7" fillId="7" borderId="17" xfId="1" applyNumberFormat="1" applyFont="1" applyFill="1" applyBorder="1" applyAlignment="1" applyProtection="1">
      <alignment horizontal="left" vertical="center"/>
    </xf>
    <xf numFmtId="1" fontId="7" fillId="7" borderId="17" xfId="1" applyNumberFormat="1" applyFont="1" applyFill="1" applyBorder="1" applyAlignment="1" applyProtection="1">
      <alignment horizontal="center" vertical="center"/>
    </xf>
    <xf numFmtId="166" fontId="7" fillId="7" borderId="17" xfId="1" applyFont="1" applyFill="1" applyBorder="1" applyAlignment="1" applyProtection="1">
      <alignment horizontal="center" vertical="center"/>
    </xf>
    <xf numFmtId="166" fontId="6" fillId="7" borderId="17" xfId="1" applyFont="1" applyFill="1" applyBorder="1" applyAlignment="1" applyProtection="1">
      <alignment horizontal="center" vertical="center"/>
    </xf>
    <xf numFmtId="0" fontId="7" fillId="7" borderId="17" xfId="1" applyNumberFormat="1" applyFont="1" applyFill="1" applyBorder="1" applyAlignment="1" applyProtection="1">
      <alignment horizontal="center" vertical="center"/>
    </xf>
    <xf numFmtId="49" fontId="7" fillId="7" borderId="17" xfId="1" applyNumberFormat="1" applyFont="1" applyFill="1" applyBorder="1" applyAlignment="1" applyProtection="1">
      <alignment horizontal="left" vertical="center"/>
    </xf>
    <xf numFmtId="176" fontId="4" fillId="6" borderId="2" xfId="0" quotePrefix="1" applyNumberFormat="1" applyFont="1" applyFill="1" applyBorder="1" applyAlignment="1">
      <alignment horizontal="center" vertical="center"/>
    </xf>
    <xf numFmtId="0" fontId="0" fillId="0" borderId="2" xfId="0" applyBorder="1" applyAlignment="1">
      <alignment vertical="center" wrapText="1"/>
    </xf>
    <xf numFmtId="0" fontId="0" fillId="0" borderId="0" xfId="0" applyAlignment="1" applyProtection="1">
      <alignment horizontal="left"/>
      <protection locked="0"/>
    </xf>
    <xf numFmtId="0" fontId="0" fillId="10" borderId="0" xfId="0" applyFill="1" applyAlignment="1">
      <alignment horizontal="left"/>
    </xf>
    <xf numFmtId="0" fontId="50" fillId="10" borderId="0" xfId="0" applyFont="1" applyFill="1" applyAlignment="1">
      <alignment vertical="center"/>
    </xf>
    <xf numFmtId="0" fontId="29" fillId="10" borderId="0" xfId="0" applyFont="1" applyFill="1" applyAlignment="1">
      <alignment vertical="center"/>
    </xf>
    <xf numFmtId="0" fontId="29" fillId="10" borderId="0" xfId="0" applyFont="1" applyFill="1" applyAlignment="1">
      <alignment horizontal="left" vertical="center"/>
    </xf>
    <xf numFmtId="0" fontId="57" fillId="7" borderId="0" xfId="0" applyFont="1" applyFill="1" applyAlignment="1">
      <alignment horizontal="left" vertical="center"/>
    </xf>
    <xf numFmtId="0" fontId="49" fillId="10" borderId="0" xfId="0" applyFont="1" applyFill="1" applyAlignment="1">
      <alignment horizontal="center" vertical="center"/>
    </xf>
    <xf numFmtId="2" fontId="0" fillId="6" borderId="2" xfId="9" applyNumberFormat="1" applyFont="1" applyFill="1" applyBorder="1" applyAlignment="1" applyProtection="1">
      <alignment horizontal="center" vertical="center"/>
    </xf>
    <xf numFmtId="9" fontId="0" fillId="6" borderId="2" xfId="3" applyFont="1" applyFill="1" applyBorder="1" applyAlignment="1" applyProtection="1">
      <alignment horizontal="center" vertical="center"/>
    </xf>
    <xf numFmtId="0" fontId="0" fillId="6" borderId="2" xfId="0" applyFill="1" applyBorder="1" applyAlignment="1">
      <alignment horizontal="center" vertical="center"/>
    </xf>
    <xf numFmtId="0" fontId="57" fillId="7" borderId="0" xfId="0" applyFont="1" applyFill="1" applyAlignment="1">
      <alignment vertical="center"/>
    </xf>
    <xf numFmtId="0" fontId="0" fillId="10" borderId="0" xfId="0" applyFill="1" applyAlignment="1">
      <alignment horizontal="left" vertical="center"/>
    </xf>
    <xf numFmtId="167" fontId="0" fillId="0" borderId="0" xfId="0" applyNumberFormat="1" applyAlignment="1">
      <alignment vertical="center"/>
    </xf>
    <xf numFmtId="0" fontId="4" fillId="7" borderId="2" xfId="0" applyFont="1" applyFill="1" applyBorder="1" applyAlignment="1">
      <alignment vertical="center"/>
    </xf>
    <xf numFmtId="0" fontId="0" fillId="0" borderId="2" xfId="11" applyNumberFormat="1" applyFont="1" applyFill="1" applyBorder="1" applyAlignment="1" applyProtection="1">
      <alignment vertical="center"/>
    </xf>
    <xf numFmtId="166" fontId="0" fillId="0" borderId="2" xfId="1" applyFont="1" applyFill="1" applyBorder="1" applyAlignment="1" applyProtection="1">
      <alignment horizontal="left" vertical="center"/>
    </xf>
    <xf numFmtId="0" fontId="0" fillId="0" borderId="0" xfId="0" applyAlignment="1" applyProtection="1">
      <alignment horizontal="left" vertical="center"/>
      <protection locked="0"/>
    </xf>
    <xf numFmtId="167" fontId="0" fillId="10" borderId="0" xfId="0" applyNumberFormat="1" applyFill="1" applyAlignment="1">
      <alignment vertical="center"/>
    </xf>
    <xf numFmtId="166" fontId="0" fillId="0" borderId="2" xfId="1" applyFont="1" applyFill="1" applyBorder="1" applyAlignment="1" applyProtection="1">
      <alignment vertical="center"/>
    </xf>
    <xf numFmtId="0" fontId="7" fillId="0" borderId="7" xfId="1" applyNumberFormat="1" applyFont="1" applyFill="1" applyBorder="1" applyAlignment="1" applyProtection="1">
      <alignment horizontal="left" indent="1"/>
      <protection locked="0"/>
    </xf>
    <xf numFmtId="0" fontId="0" fillId="0" borderId="0" xfId="0" applyAlignment="1" applyProtection="1">
      <alignment horizontal="center"/>
      <protection locked="0"/>
    </xf>
    <xf numFmtId="172" fontId="0" fillId="0" borderId="0" xfId="3" applyNumberFormat="1" applyFont="1" applyProtection="1">
      <protection locked="0"/>
    </xf>
    <xf numFmtId="0" fontId="12" fillId="0" borderId="0" xfId="0" applyFont="1" applyAlignment="1" applyProtection="1">
      <alignment horizontal="left" vertical="center"/>
      <protection locked="0"/>
    </xf>
    <xf numFmtId="0" fontId="0" fillId="0" borderId="0" xfId="0" applyAlignment="1" applyProtection="1">
      <alignment wrapText="1"/>
      <protection locked="0"/>
    </xf>
    <xf numFmtId="0" fontId="12" fillId="0" borderId="0" xfId="0" applyFont="1" applyAlignment="1" applyProtection="1">
      <alignment horizontal="left" vertical="center" wrapText="1"/>
      <protection locked="0"/>
    </xf>
    <xf numFmtId="167" fontId="7" fillId="0" borderId="6" xfId="9" applyFont="1" applyFill="1" applyBorder="1" applyAlignment="1" applyProtection="1">
      <alignment horizontal="right" vertical="center"/>
      <protection locked="0"/>
    </xf>
    <xf numFmtId="166" fontId="7" fillId="0" borderId="6" xfId="1" applyFont="1" applyFill="1" applyBorder="1" applyAlignment="1" applyProtection="1">
      <alignment horizontal="center" vertical="center"/>
      <protection locked="0"/>
    </xf>
    <xf numFmtId="0" fontId="0" fillId="0" borderId="0" xfId="0" applyAlignment="1" applyProtection="1">
      <alignment vertical="center" wrapText="1"/>
      <protection locked="0"/>
    </xf>
    <xf numFmtId="167" fontId="7" fillId="6" borderId="26" xfId="9" applyFont="1" applyFill="1" applyBorder="1" applyAlignment="1" applyProtection="1">
      <alignment horizontal="left" vertical="center" indent="1"/>
      <protection locked="0"/>
    </xf>
    <xf numFmtId="9" fontId="0" fillId="0" borderId="0" xfId="0" applyNumberFormat="1" applyProtection="1">
      <protection locked="0"/>
    </xf>
    <xf numFmtId="9" fontId="7" fillId="7" borderId="26" xfId="3" applyFont="1" applyFill="1" applyBorder="1" applyAlignment="1" applyProtection="1">
      <alignment horizontal="left" vertical="center" indent="1"/>
      <protection locked="0"/>
    </xf>
    <xf numFmtId="0" fontId="7" fillId="7" borderId="26" xfId="3" applyNumberFormat="1" applyFont="1" applyFill="1" applyBorder="1" applyAlignment="1" applyProtection="1">
      <alignment horizontal="left" vertical="center" indent="1"/>
      <protection locked="0"/>
    </xf>
    <xf numFmtId="9" fontId="47" fillId="7" borderId="30" xfId="3" applyFont="1" applyFill="1" applyBorder="1" applyAlignment="1" applyProtection="1">
      <alignment horizontal="center" vertical="center"/>
      <protection locked="0"/>
    </xf>
    <xf numFmtId="0" fontId="50" fillId="10" borderId="0" xfId="0" applyFont="1" applyFill="1" applyAlignment="1">
      <alignment horizontal="left" indent="1"/>
    </xf>
    <xf numFmtId="166" fontId="7" fillId="7" borderId="7" xfId="1" applyFont="1" applyFill="1" applyBorder="1" applyProtection="1"/>
    <xf numFmtId="0" fontId="12" fillId="10" borderId="0" xfId="0" applyFont="1" applyFill="1"/>
    <xf numFmtId="166" fontId="12" fillId="7" borderId="7" xfId="1" applyFont="1" applyFill="1" applyBorder="1" applyProtection="1"/>
    <xf numFmtId="10" fontId="12" fillId="6" borderId="7" xfId="3" applyNumberFormat="1" applyFont="1" applyFill="1" applyBorder="1" applyAlignment="1" applyProtection="1">
      <alignment horizontal="right" vertical="center"/>
      <protection locked="0"/>
    </xf>
    <xf numFmtId="1" fontId="12" fillId="6" borderId="7" xfId="3" applyNumberFormat="1" applyFont="1" applyFill="1" applyBorder="1" applyAlignment="1" applyProtection="1">
      <alignment horizontal="right" vertical="center"/>
      <protection locked="0"/>
    </xf>
    <xf numFmtId="9" fontId="12" fillId="10" borderId="0" xfId="0" applyNumberFormat="1" applyFont="1" applyFill="1" applyAlignment="1">
      <alignment horizontal="left" vertical="center"/>
    </xf>
    <xf numFmtId="172" fontId="12" fillId="10" borderId="0" xfId="3" applyNumberFormat="1" applyFont="1" applyFill="1" applyAlignment="1" applyProtection="1">
      <alignment horizontal="left" vertical="center"/>
    </xf>
    <xf numFmtId="0" fontId="44" fillId="10" borderId="0" xfId="0" applyFont="1" applyFill="1" applyAlignment="1">
      <alignment horizontal="left" indent="1"/>
    </xf>
    <xf numFmtId="0" fontId="31" fillId="10" borderId="0" xfId="0" applyFont="1" applyFill="1" applyAlignment="1">
      <alignment horizontal="left"/>
    </xf>
    <xf numFmtId="9" fontId="12" fillId="10" borderId="0" xfId="3" applyFont="1" applyFill="1" applyAlignment="1" applyProtection="1">
      <alignment horizontal="left" vertical="center"/>
    </xf>
    <xf numFmtId="167" fontId="12" fillId="7" borderId="26" xfId="9" applyFont="1" applyFill="1" applyBorder="1" applyAlignment="1" applyProtection="1">
      <alignment horizontal="center" vertical="center"/>
    </xf>
    <xf numFmtId="167" fontId="7" fillId="7" borderId="26" xfId="9" applyFont="1" applyFill="1" applyBorder="1" applyAlignment="1" applyProtection="1">
      <alignment horizontal="center" vertical="center"/>
    </xf>
    <xf numFmtId="167" fontId="7" fillId="7" borderId="26" xfId="9" applyFont="1" applyFill="1" applyBorder="1" applyAlignment="1" applyProtection="1">
      <alignment horizontal="right" vertical="center" indent="1"/>
    </xf>
    <xf numFmtId="172" fontId="12" fillId="10" borderId="0" xfId="3" applyNumberFormat="1" applyFont="1" applyFill="1" applyAlignment="1" applyProtection="1">
      <alignment horizontal="left" vertical="center" indent="1"/>
    </xf>
    <xf numFmtId="167" fontId="12" fillId="7" borderId="26" xfId="9" applyFont="1" applyFill="1" applyBorder="1" applyAlignment="1" applyProtection="1">
      <alignment horizontal="right" vertical="center" indent="1"/>
    </xf>
    <xf numFmtId="0" fontId="7" fillId="7" borderId="30" xfId="9" applyNumberFormat="1" applyFont="1" applyFill="1" applyBorder="1" applyAlignment="1" applyProtection="1">
      <alignment vertical="center"/>
    </xf>
    <xf numFmtId="0" fontId="7" fillId="7" borderId="31" xfId="9" applyNumberFormat="1" applyFont="1" applyFill="1" applyBorder="1" applyAlignment="1" applyProtection="1">
      <alignment vertical="center"/>
    </xf>
    <xf numFmtId="0" fontId="7" fillId="7" borderId="32" xfId="9" applyNumberFormat="1" applyFont="1" applyFill="1" applyBorder="1" applyAlignment="1" applyProtection="1">
      <alignment vertical="center"/>
    </xf>
    <xf numFmtId="9" fontId="7" fillId="7" borderId="26" xfId="3" applyFont="1" applyFill="1" applyBorder="1" applyAlignment="1" applyProtection="1">
      <alignment horizontal="right" vertical="center" indent="1"/>
    </xf>
    <xf numFmtId="0" fontId="12" fillId="7" borderId="30" xfId="9" applyNumberFormat="1" applyFont="1" applyFill="1" applyBorder="1" applyAlignment="1" applyProtection="1">
      <alignment vertical="center"/>
    </xf>
    <xf numFmtId="0" fontId="12" fillId="7" borderId="31" xfId="9" applyNumberFormat="1" applyFont="1" applyFill="1" applyBorder="1" applyAlignment="1" applyProtection="1">
      <alignment vertical="center"/>
    </xf>
    <xf numFmtId="0" fontId="12" fillId="7" borderId="32" xfId="9" applyNumberFormat="1" applyFont="1" applyFill="1" applyBorder="1" applyAlignment="1" applyProtection="1">
      <alignment vertical="center"/>
    </xf>
    <xf numFmtId="167" fontId="19" fillId="7" borderId="26" xfId="9" applyFont="1" applyFill="1" applyBorder="1" applyAlignment="1" applyProtection="1">
      <alignment horizontal="right" vertical="center" indent="1"/>
    </xf>
    <xf numFmtId="0" fontId="19" fillId="7" borderId="30" xfId="9" applyNumberFormat="1" applyFont="1" applyFill="1" applyBorder="1" applyAlignment="1" applyProtection="1">
      <alignment vertical="center"/>
    </xf>
    <xf numFmtId="0" fontId="19" fillId="7" borderId="31" xfId="9" applyNumberFormat="1" applyFont="1" applyFill="1" applyBorder="1" applyAlignment="1" applyProtection="1">
      <alignment vertical="center"/>
    </xf>
    <xf numFmtId="0" fontId="19" fillId="7" borderId="32" xfId="9" applyNumberFormat="1" applyFont="1" applyFill="1" applyBorder="1" applyAlignment="1" applyProtection="1">
      <alignment vertical="center"/>
    </xf>
    <xf numFmtId="0" fontId="44" fillId="10" borderId="0" xfId="0" applyFont="1" applyFill="1" applyAlignment="1">
      <alignment horizontal="left" vertical="center" indent="1"/>
    </xf>
    <xf numFmtId="0" fontId="44" fillId="10" borderId="0" xfId="0" applyFont="1" applyFill="1" applyAlignment="1">
      <alignment horizontal="left" vertical="center"/>
    </xf>
    <xf numFmtId="0" fontId="0" fillId="10" borderId="0" xfId="0" applyFill="1" applyAlignment="1">
      <alignment wrapText="1"/>
    </xf>
    <xf numFmtId="0" fontId="12" fillId="10" borderId="0" xfId="0" applyFont="1" applyFill="1" applyAlignment="1">
      <alignment horizontal="left" indent="3"/>
    </xf>
    <xf numFmtId="9" fontId="44" fillId="10" borderId="0" xfId="3" applyFont="1" applyFill="1" applyAlignment="1" applyProtection="1">
      <alignment horizontal="right" vertical="center" indent="1"/>
    </xf>
    <xf numFmtId="0" fontId="7" fillId="10" borderId="0" xfId="9" applyNumberFormat="1" applyFont="1" applyFill="1" applyBorder="1" applyAlignment="1" applyProtection="1">
      <alignment horizontal="left" vertical="center" indent="5"/>
    </xf>
    <xf numFmtId="167" fontId="7" fillId="10" borderId="0" xfId="9" applyFont="1" applyFill="1" applyBorder="1" applyAlignment="1" applyProtection="1">
      <alignment horizontal="left" vertical="center" indent="5"/>
    </xf>
    <xf numFmtId="0" fontId="0" fillId="10" borderId="0" xfId="0" applyFill="1" applyAlignment="1">
      <alignment horizontal="left" indent="5"/>
    </xf>
    <xf numFmtId="0" fontId="4" fillId="10" borderId="0" xfId="0" applyFont="1" applyFill="1"/>
    <xf numFmtId="0" fontId="5" fillId="4" borderId="0" xfId="0" applyFont="1" applyFill="1" applyAlignment="1">
      <alignment vertical="center" wrapText="1"/>
    </xf>
    <xf numFmtId="167" fontId="7" fillId="7" borderId="26" xfId="9" applyFont="1" applyFill="1" applyBorder="1" applyAlignment="1" applyProtection="1">
      <alignment horizontal="left" vertical="center"/>
    </xf>
    <xf numFmtId="167" fontId="31" fillId="7" borderId="30" xfId="9" applyFont="1" applyFill="1" applyBorder="1" applyAlignment="1" applyProtection="1">
      <alignment vertical="center"/>
    </xf>
    <xf numFmtId="9" fontId="0" fillId="10" borderId="0" xfId="0" applyNumberFormat="1" applyFill="1"/>
    <xf numFmtId="0" fontId="44" fillId="10" borderId="0" xfId="0" applyFont="1" applyFill="1" applyAlignment="1">
      <alignment wrapText="1"/>
    </xf>
    <xf numFmtId="0" fontId="12" fillId="10" borderId="0" xfId="0" applyFont="1" applyFill="1" applyAlignment="1">
      <alignment horizontal="left" vertical="center" wrapText="1"/>
    </xf>
    <xf numFmtId="0" fontId="6" fillId="7" borderId="26" xfId="0" applyFont="1" applyFill="1" applyBorder="1" applyAlignment="1">
      <alignment horizontal="center" vertical="center" wrapText="1"/>
    </xf>
    <xf numFmtId="172" fontId="12" fillId="10" borderId="0" xfId="3" applyNumberFormat="1" applyFont="1" applyFill="1" applyAlignment="1" applyProtection="1">
      <alignment horizontal="left" vertical="center" wrapText="1"/>
    </xf>
    <xf numFmtId="0" fontId="7" fillId="7" borderId="26" xfId="0" applyFont="1" applyFill="1" applyBorder="1" applyAlignment="1">
      <alignment horizontal="center" vertical="center"/>
    </xf>
    <xf numFmtId="172" fontId="7" fillId="7" borderId="26" xfId="3" applyNumberFormat="1" applyFont="1" applyFill="1" applyBorder="1" applyAlignment="1" applyProtection="1">
      <alignment horizontal="right" vertical="center"/>
    </xf>
    <xf numFmtId="10" fontId="46" fillId="7" borderId="26" xfId="3" applyNumberFormat="1" applyFont="1" applyFill="1" applyBorder="1" applyAlignment="1" applyProtection="1">
      <alignment horizontal="right" vertical="center" indent="1"/>
    </xf>
    <xf numFmtId="167" fontId="12" fillId="10" borderId="0" xfId="0" applyNumberFormat="1" applyFont="1" applyFill="1" applyAlignment="1">
      <alignment horizontal="left" vertical="center"/>
    </xf>
    <xf numFmtId="167" fontId="46" fillId="7" borderId="26" xfId="9" applyFont="1" applyFill="1" applyBorder="1" applyAlignment="1" applyProtection="1">
      <alignment horizontal="right" vertical="center" indent="1"/>
    </xf>
    <xf numFmtId="9" fontId="7" fillId="7" borderId="26" xfId="3" applyFont="1" applyFill="1" applyBorder="1" applyAlignment="1" applyProtection="1">
      <alignment horizontal="center" vertical="center"/>
    </xf>
    <xf numFmtId="172" fontId="0" fillId="10" borderId="0" xfId="3" applyNumberFormat="1" applyFont="1" applyFill="1" applyProtection="1"/>
    <xf numFmtId="0" fontId="3" fillId="5" borderId="0" xfId="2" applyFont="1" applyFill="1" applyAlignment="1" applyProtection="1">
      <alignment horizontal="center" vertical="center"/>
    </xf>
    <xf numFmtId="171" fontId="7" fillId="7" borderId="26" xfId="9" applyNumberFormat="1" applyFont="1" applyFill="1" applyBorder="1" applyAlignment="1" applyProtection="1">
      <alignment horizontal="center" vertical="center"/>
    </xf>
    <xf numFmtId="0" fontId="0" fillId="10" borderId="0" xfId="0" applyFill="1" applyAlignment="1">
      <alignment horizontal="center"/>
    </xf>
    <xf numFmtId="0" fontId="7" fillId="7" borderId="26" xfId="0" applyFont="1" applyFill="1" applyBorder="1" applyAlignment="1">
      <alignment horizontal="left" vertical="center"/>
    </xf>
    <xf numFmtId="0" fontId="7" fillId="10" borderId="29" xfId="0" applyFont="1" applyFill="1" applyBorder="1" applyAlignment="1">
      <alignment vertical="center"/>
    </xf>
    <xf numFmtId="0" fontId="6" fillId="7" borderId="26" xfId="0" applyFont="1" applyFill="1" applyBorder="1" applyAlignment="1">
      <alignment horizontal="left" vertical="center" wrapText="1"/>
    </xf>
    <xf numFmtId="0" fontId="7" fillId="7" borderId="26" xfId="0" applyFont="1" applyFill="1" applyBorder="1" applyAlignment="1">
      <alignment horizontal="left" vertical="center" indent="1"/>
    </xf>
    <xf numFmtId="10" fontId="7" fillId="7" borderId="26" xfId="3" applyNumberFormat="1" applyFont="1" applyFill="1" applyBorder="1" applyAlignment="1" applyProtection="1">
      <alignment horizontal="right" vertical="center" indent="1"/>
    </xf>
    <xf numFmtId="166" fontId="7" fillId="7" borderId="26" xfId="1" applyFont="1" applyFill="1" applyBorder="1" applyAlignment="1" applyProtection="1">
      <alignment horizontal="right" vertical="center" indent="1"/>
    </xf>
    <xf numFmtId="0" fontId="7" fillId="7" borderId="26" xfId="0" applyFont="1" applyFill="1" applyBorder="1" applyAlignment="1">
      <alignment horizontal="right" vertical="center" indent="1"/>
    </xf>
    <xf numFmtId="9" fontId="12" fillId="7" borderId="26" xfId="3" applyFont="1" applyFill="1" applyBorder="1" applyAlignment="1" applyProtection="1">
      <alignment horizontal="right" vertical="center" indent="1"/>
    </xf>
    <xf numFmtId="0" fontId="7" fillId="6" borderId="2" xfId="9" applyNumberFormat="1" applyFont="1"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5" fillId="0" borderId="0" xfId="0" applyFont="1" applyProtection="1">
      <protection locked="0"/>
    </xf>
    <xf numFmtId="0" fontId="44" fillId="10" borderId="0" xfId="0" applyFont="1" applyFill="1" applyAlignment="1">
      <alignment horizontal="left"/>
    </xf>
    <xf numFmtId="167" fontId="0" fillId="10" borderId="0" xfId="0" applyNumberFormat="1" applyFill="1" applyAlignment="1">
      <alignment horizontal="center" vertical="center"/>
    </xf>
    <xf numFmtId="0" fontId="5" fillId="6" borderId="0" xfId="0" applyFont="1" applyFill="1"/>
    <xf numFmtId="166" fontId="12" fillId="10" borderId="0" xfId="17" applyFont="1" applyFill="1" applyBorder="1" applyAlignment="1" applyProtection="1">
      <alignment horizontal="left" vertical="center"/>
    </xf>
    <xf numFmtId="167" fontId="5" fillId="10" borderId="0" xfId="0" applyNumberFormat="1" applyFont="1" applyFill="1"/>
    <xf numFmtId="0" fontId="5" fillId="10" borderId="0" xfId="0" applyFont="1" applyFill="1"/>
    <xf numFmtId="166" fontId="12" fillId="10" borderId="0" xfId="17" applyFont="1" applyFill="1" applyProtection="1"/>
    <xf numFmtId="0" fontId="45" fillId="10" borderId="0" xfId="0" applyFont="1" applyFill="1" applyAlignment="1">
      <alignment horizontal="left" vertical="center"/>
    </xf>
    <xf numFmtId="166" fontId="37" fillId="10" borderId="0" xfId="17" applyFont="1" applyFill="1" applyBorder="1" applyAlignment="1" applyProtection="1">
      <alignment horizontal="center" vertical="center"/>
    </xf>
    <xf numFmtId="166" fontId="38" fillId="10" borderId="0" xfId="17" applyFont="1" applyFill="1" applyBorder="1" applyAlignment="1" applyProtection="1">
      <alignment horizontal="center" vertical="center"/>
    </xf>
    <xf numFmtId="0" fontId="46" fillId="4" borderId="2" xfId="0" applyFont="1" applyFill="1" applyBorder="1" applyAlignment="1">
      <alignment horizontal="center" vertical="center"/>
    </xf>
    <xf numFmtId="0" fontId="46" fillId="4" borderId="0" xfId="0" applyFont="1" applyFill="1" applyAlignment="1">
      <alignment horizontal="center" vertical="center"/>
    </xf>
    <xf numFmtId="166" fontId="3" fillId="4" borderId="0" xfId="17" applyFont="1" applyFill="1" applyBorder="1" applyAlignment="1" applyProtection="1">
      <alignment vertical="center"/>
    </xf>
    <xf numFmtId="166" fontId="3" fillId="4" borderId="2" xfId="17" applyFont="1" applyFill="1" applyBorder="1" applyAlignment="1" applyProtection="1">
      <alignment vertical="center"/>
    </xf>
    <xf numFmtId="0" fontId="5" fillId="6" borderId="0" xfId="0" applyFont="1" applyFill="1" applyAlignment="1">
      <alignment vertical="center"/>
    </xf>
    <xf numFmtId="9" fontId="12" fillId="10" borderId="0" xfId="3" applyFont="1" applyFill="1" applyBorder="1" applyAlignment="1" applyProtection="1">
      <alignment horizontal="center" vertical="center"/>
    </xf>
    <xf numFmtId="166" fontId="12" fillId="10" borderId="0" xfId="17" applyFont="1" applyFill="1" applyAlignment="1" applyProtection="1">
      <alignment vertical="center"/>
    </xf>
    <xf numFmtId="0" fontId="46" fillId="7" borderId="5" xfId="0" applyFont="1" applyFill="1" applyBorder="1" applyAlignment="1">
      <alignment horizontal="left"/>
    </xf>
    <xf numFmtId="0" fontId="4" fillId="7" borderId="5" xfId="0" applyFont="1" applyFill="1" applyBorder="1" applyAlignment="1">
      <alignment horizontal="center"/>
    </xf>
    <xf numFmtId="0" fontId="4" fillId="7" borderId="5" xfId="0" applyFont="1" applyFill="1" applyBorder="1" applyAlignment="1">
      <alignment horizontal="center" vertical="center"/>
    </xf>
    <xf numFmtId="0" fontId="7" fillId="0" borderId="2" xfId="1" applyNumberFormat="1" applyFont="1" applyFill="1" applyBorder="1" applyAlignment="1" applyProtection="1">
      <alignment horizontal="left" vertical="center"/>
    </xf>
    <xf numFmtId="167" fontId="7" fillId="0" borderId="2" xfId="9" applyFont="1" applyFill="1" applyBorder="1" applyAlignment="1" applyProtection="1">
      <alignment horizontal="left" vertical="center"/>
    </xf>
    <xf numFmtId="167" fontId="0" fillId="7" borderId="2" xfId="9" applyFont="1" applyFill="1" applyBorder="1" applyAlignment="1" applyProtection="1">
      <alignment horizontal="center" vertical="center"/>
    </xf>
    <xf numFmtId="167" fontId="0" fillId="7" borderId="2" xfId="9" applyFont="1" applyFill="1" applyBorder="1" applyAlignment="1" applyProtection="1">
      <alignment vertical="center"/>
    </xf>
    <xf numFmtId="10" fontId="0" fillId="7" borderId="2" xfId="3" applyNumberFormat="1" applyFont="1" applyFill="1" applyBorder="1" applyAlignment="1" applyProtection="1">
      <alignment vertical="center"/>
    </xf>
    <xf numFmtId="166" fontId="2" fillId="7" borderId="2" xfId="17" applyFont="1" applyFill="1" applyBorder="1" applyAlignment="1" applyProtection="1">
      <alignment vertical="center"/>
    </xf>
    <xf numFmtId="166" fontId="0" fillId="7" borderId="2" xfId="17" applyFont="1" applyFill="1" applyBorder="1" applyAlignment="1" applyProtection="1">
      <alignment vertical="center"/>
    </xf>
    <xf numFmtId="167" fontId="7" fillId="0" borderId="2" xfId="9" applyFont="1" applyFill="1" applyBorder="1" applyAlignment="1" applyProtection="1">
      <alignment horizontal="center" vertical="center"/>
      <protection locked="0"/>
    </xf>
    <xf numFmtId="171" fontId="7" fillId="0" borderId="2" xfId="9" applyNumberFormat="1" applyFont="1" applyFill="1" applyBorder="1" applyAlignment="1" applyProtection="1">
      <alignment horizontal="center" vertical="center"/>
      <protection locked="0"/>
    </xf>
    <xf numFmtId="166" fontId="0" fillId="6" borderId="2" xfId="17" applyFont="1" applyFill="1" applyBorder="1" applyAlignment="1" applyProtection="1">
      <alignment vertical="center"/>
      <protection locked="0"/>
    </xf>
    <xf numFmtId="10" fontId="3" fillId="4" borderId="2" xfId="3" applyNumberFormat="1" applyFont="1" applyFill="1" applyBorder="1" applyAlignment="1" applyProtection="1">
      <alignment vertical="center"/>
    </xf>
    <xf numFmtId="0" fontId="4" fillId="7" borderId="11" xfId="0" applyFont="1" applyFill="1" applyBorder="1" applyAlignment="1">
      <alignment vertical="center"/>
    </xf>
    <xf numFmtId="0" fontId="41" fillId="0" borderId="0" xfId="0" applyFont="1" applyAlignment="1">
      <alignment horizontal="center" vertical="center"/>
    </xf>
    <xf numFmtId="0" fontId="15" fillId="0" borderId="59" xfId="10" applyBorder="1" applyAlignment="1" applyProtection="1">
      <alignment horizontal="left" vertical="center" wrapText="1"/>
    </xf>
    <xf numFmtId="0" fontId="41" fillId="0" borderId="0" xfId="0" applyFont="1" applyAlignment="1">
      <alignment horizontal="left" vertical="center"/>
    </xf>
    <xf numFmtId="0" fontId="42" fillId="0" borderId="59" xfId="10" applyFont="1" applyBorder="1" applyAlignment="1" applyProtection="1">
      <alignment horizontal="left" vertical="center" wrapText="1"/>
    </xf>
    <xf numFmtId="0" fontId="42" fillId="0" borderId="59" xfId="10" applyFont="1" applyBorder="1" applyAlignment="1" applyProtection="1">
      <alignment vertical="center" wrapText="1"/>
    </xf>
    <xf numFmtId="0" fontId="41" fillId="0" borderId="59" xfId="0" applyFont="1" applyBorder="1" applyAlignment="1">
      <alignment horizontal="left" vertical="center" wrapText="1"/>
    </xf>
    <xf numFmtId="0" fontId="0" fillId="0" borderId="2" xfId="3" applyNumberFormat="1" applyFont="1" applyFill="1" applyBorder="1" applyAlignment="1" applyProtection="1">
      <alignment vertical="center"/>
    </xf>
    <xf numFmtId="0" fontId="0" fillId="0" borderId="5" xfId="3" applyNumberFormat="1" applyFont="1" applyFill="1" applyBorder="1" applyAlignment="1" applyProtection="1">
      <alignment vertical="center"/>
    </xf>
    <xf numFmtId="0" fontId="0" fillId="0" borderId="6" xfId="3" applyNumberFormat="1" applyFont="1" applyFill="1" applyBorder="1" applyAlignment="1" applyProtection="1">
      <alignment vertical="center"/>
    </xf>
    <xf numFmtId="179" fontId="7" fillId="7" borderId="73" xfId="1" applyNumberFormat="1" applyFont="1" applyFill="1" applyBorder="1" applyAlignment="1" applyProtection="1">
      <alignment horizontal="center" vertical="center"/>
    </xf>
    <xf numFmtId="172" fontId="7" fillId="12" borderId="74" xfId="0" applyNumberFormat="1" applyFont="1" applyFill="1" applyBorder="1" applyAlignment="1">
      <alignment horizontal="right"/>
    </xf>
    <xf numFmtId="179" fontId="7" fillId="10" borderId="0" xfId="19" applyNumberFormat="1" applyFont="1" applyFill="1" applyAlignment="1" applyProtection="1">
      <alignment vertical="center"/>
    </xf>
    <xf numFmtId="0" fontId="0" fillId="16" borderId="0" xfId="0" applyFill="1" applyAlignment="1">
      <alignment vertical="center"/>
    </xf>
    <xf numFmtId="0" fontId="0" fillId="16" borderId="0" xfId="0" applyFill="1"/>
    <xf numFmtId="0" fontId="0" fillId="13" borderId="0" xfId="0" applyFill="1"/>
    <xf numFmtId="0" fontId="4" fillId="7" borderId="2" xfId="0" applyFont="1" applyFill="1" applyBorder="1"/>
    <xf numFmtId="166" fontId="19" fillId="7" borderId="2" xfId="0" applyNumberFormat="1" applyFont="1" applyFill="1" applyBorder="1"/>
    <xf numFmtId="0" fontId="0" fillId="0" borderId="2" xfId="3" applyNumberFormat="1" applyFont="1" applyFill="1" applyBorder="1" applyProtection="1"/>
    <xf numFmtId="0" fontId="0" fillId="0" borderId="2" xfId="11" applyNumberFormat="1" applyFont="1" applyFill="1" applyBorder="1" applyProtection="1"/>
    <xf numFmtId="166" fontId="0" fillId="0" borderId="2" xfId="1" applyFont="1" applyFill="1" applyBorder="1" applyProtection="1"/>
    <xf numFmtId="166" fontId="0" fillId="3" borderId="2" xfId="1" applyFont="1" applyFill="1" applyBorder="1" applyProtection="1"/>
    <xf numFmtId="172" fontId="0" fillId="0" borderId="2" xfId="11" applyNumberFormat="1" applyFont="1" applyFill="1" applyBorder="1" applyProtection="1"/>
    <xf numFmtId="166" fontId="12" fillId="3" borderId="2" xfId="1" applyFont="1" applyFill="1" applyBorder="1" applyProtection="1"/>
    <xf numFmtId="172" fontId="0" fillId="0" borderId="0" xfId="0" applyNumberFormat="1"/>
    <xf numFmtId="166" fontId="0" fillId="0" borderId="0" xfId="0" applyNumberFormat="1"/>
    <xf numFmtId="9" fontId="0" fillId="0" borderId="2" xfId="3" applyFont="1" applyFill="1" applyBorder="1" applyProtection="1"/>
    <xf numFmtId="166" fontId="0" fillId="0" borderId="2" xfId="3" applyNumberFormat="1" applyFont="1" applyFill="1" applyBorder="1" applyProtection="1"/>
    <xf numFmtId="0" fontId="17" fillId="4" borderId="0" xfId="0" applyFont="1" applyFill="1" applyAlignment="1">
      <alignment horizontal="left" vertical="center" wrapText="1"/>
    </xf>
    <xf numFmtId="0" fontId="0" fillId="4" borderId="0" xfId="0" applyFill="1" applyAlignment="1">
      <alignment vertical="center"/>
    </xf>
    <xf numFmtId="0" fontId="32" fillId="4" borderId="0" xfId="0" applyFont="1" applyFill="1" applyAlignment="1">
      <alignment vertical="center"/>
    </xf>
    <xf numFmtId="0" fontId="5" fillId="4" borderId="0" xfId="0" applyFont="1" applyFill="1" applyAlignment="1">
      <alignment vertical="center"/>
    </xf>
    <xf numFmtId="170" fontId="7" fillId="6" borderId="0" xfId="0" applyNumberFormat="1" applyFont="1" applyFill="1" applyAlignment="1">
      <alignment vertical="center"/>
    </xf>
    <xf numFmtId="0" fontId="58" fillId="10" borderId="0" xfId="0" applyFont="1" applyFill="1" applyAlignment="1">
      <alignment vertical="center"/>
    </xf>
    <xf numFmtId="0" fontId="36" fillId="10" borderId="0" xfId="0" applyFont="1" applyFill="1" applyAlignment="1">
      <alignment vertical="center"/>
    </xf>
    <xf numFmtId="0" fontId="59" fillId="0" borderId="0" xfId="0" applyFont="1" applyAlignment="1">
      <alignment vertical="center"/>
    </xf>
    <xf numFmtId="0" fontId="60" fillId="10" borderId="0" xfId="0" applyFont="1" applyFill="1" applyAlignment="1">
      <alignment horizontal="left" vertical="center" wrapText="1"/>
    </xf>
    <xf numFmtId="0" fontId="52" fillId="10" borderId="0" xfId="0" applyFont="1" applyFill="1" applyAlignment="1">
      <alignment vertical="center"/>
    </xf>
    <xf numFmtId="0" fontId="19" fillId="10" borderId="0" xfId="0" applyFont="1" applyFill="1" applyAlignment="1">
      <alignment horizontal="center" vertical="center"/>
    </xf>
    <xf numFmtId="0" fontId="13" fillId="0" borderId="0" xfId="0" applyFont="1" applyAlignment="1">
      <alignment vertical="center"/>
    </xf>
    <xf numFmtId="0" fontId="7" fillId="6" borderId="7" xfId="0" applyFont="1" applyFill="1" applyBorder="1" applyAlignment="1">
      <alignment horizontal="left" vertical="center"/>
    </xf>
    <xf numFmtId="0" fontId="17" fillId="10" borderId="0" xfId="0" applyFont="1" applyFill="1" applyAlignment="1">
      <alignment horizontal="left" vertical="center" wrapText="1"/>
    </xf>
    <xf numFmtId="0" fontId="63" fillId="6" borderId="0" xfId="0" applyFont="1" applyFill="1" applyAlignment="1">
      <alignment vertical="center"/>
    </xf>
    <xf numFmtId="0" fontId="7" fillId="10" borderId="0" xfId="0" applyFont="1" applyFill="1" applyAlignment="1">
      <alignment horizontal="center" vertical="center"/>
    </xf>
    <xf numFmtId="0" fontId="24" fillId="10" borderId="0" xfId="0" applyFont="1" applyFill="1" applyAlignment="1">
      <alignment horizontal="left" vertical="center"/>
    </xf>
    <xf numFmtId="0" fontId="7" fillId="10" borderId="0" xfId="0" applyFont="1" applyFill="1" applyAlignment="1">
      <alignment vertical="center"/>
    </xf>
    <xf numFmtId="0" fontId="7" fillId="10" borderId="0" xfId="0" applyFont="1" applyFill="1" applyAlignment="1">
      <alignment horizontal="left" vertical="center"/>
    </xf>
    <xf numFmtId="179" fontId="7" fillId="6" borderId="7" xfId="19" applyNumberFormat="1" applyFont="1" applyFill="1" applyBorder="1" applyAlignment="1" applyProtection="1">
      <alignment horizontal="left" vertical="center"/>
    </xf>
    <xf numFmtId="9" fontId="7" fillId="10" borderId="0" xfId="0" applyNumberFormat="1" applyFont="1" applyFill="1" applyAlignment="1">
      <alignment vertical="center"/>
    </xf>
    <xf numFmtId="166" fontId="7" fillId="7" borderId="7" xfId="0" applyNumberFormat="1" applyFont="1" applyFill="1" applyBorder="1" applyAlignment="1">
      <alignment vertical="center"/>
    </xf>
    <xf numFmtId="0" fontId="7" fillId="10" borderId="0" xfId="0" quotePrefix="1" applyFont="1" applyFill="1" applyAlignment="1">
      <alignment vertical="center" wrapText="1"/>
    </xf>
    <xf numFmtId="168" fontId="7" fillId="10" borderId="0" xfId="0" applyNumberFormat="1" applyFont="1" applyFill="1" applyAlignment="1">
      <alignment vertical="center"/>
    </xf>
    <xf numFmtId="171" fontId="7" fillId="7" borderId="7" xfId="0" applyNumberFormat="1" applyFont="1" applyFill="1" applyBorder="1" applyAlignment="1">
      <alignment vertical="center"/>
    </xf>
    <xf numFmtId="0" fontId="13" fillId="6" borderId="0" xfId="0" applyFont="1" applyFill="1" applyAlignment="1">
      <alignment vertical="center"/>
    </xf>
    <xf numFmtId="168" fontId="7" fillId="10" borderId="0" xfId="0" quotePrefix="1" applyNumberFormat="1" applyFont="1" applyFill="1" applyAlignment="1">
      <alignment vertical="center"/>
    </xf>
    <xf numFmtId="0" fontId="7" fillId="6" borderId="0" xfId="0" applyFont="1" applyFill="1" applyAlignment="1">
      <alignment vertical="center"/>
    </xf>
    <xf numFmtId="0" fontId="7" fillId="10" borderId="0" xfId="0" quotePrefix="1" applyFont="1" applyFill="1" applyAlignment="1">
      <alignment vertical="center"/>
    </xf>
    <xf numFmtId="0" fontId="6" fillId="10" borderId="0" xfId="0" applyFont="1" applyFill="1" applyAlignment="1">
      <alignment horizontal="left" vertical="center"/>
    </xf>
    <xf numFmtId="166" fontId="37" fillId="10" borderId="0" xfId="1" applyFont="1" applyFill="1" applyBorder="1" applyAlignment="1" applyProtection="1">
      <alignment vertical="center"/>
    </xf>
    <xf numFmtId="0" fontId="7" fillId="6" borderId="67" xfId="0" applyFont="1" applyFill="1" applyBorder="1" applyAlignment="1">
      <alignment horizontal="left" vertical="center"/>
    </xf>
    <xf numFmtId="166" fontId="23" fillId="10" borderId="0" xfId="1" applyFont="1" applyFill="1" applyBorder="1" applyAlignment="1" applyProtection="1">
      <alignment vertical="center"/>
    </xf>
    <xf numFmtId="167" fontId="7" fillId="10" borderId="0" xfId="9" applyFont="1" applyFill="1" applyAlignment="1" applyProtection="1">
      <alignment vertical="center"/>
    </xf>
    <xf numFmtId="9" fontId="7" fillId="10" borderId="0" xfId="3" applyFont="1" applyFill="1" applyAlignment="1" applyProtection="1">
      <alignment horizontal="center" vertical="center"/>
    </xf>
    <xf numFmtId="166" fontId="7" fillId="7" borderId="8" xfId="0" applyNumberFormat="1" applyFont="1" applyFill="1" applyBorder="1" applyAlignment="1">
      <alignment vertical="center"/>
    </xf>
    <xf numFmtId="0" fontId="33" fillId="10" borderId="0" xfId="0" applyFont="1" applyFill="1" applyAlignment="1">
      <alignment horizontal="left" vertical="center"/>
    </xf>
    <xf numFmtId="0" fontId="12" fillId="10" borderId="0" xfId="0" quotePrefix="1" applyFont="1" applyFill="1" applyAlignment="1">
      <alignment vertical="center"/>
    </xf>
    <xf numFmtId="0" fontId="19" fillId="10" borderId="0" xfId="0" applyFont="1" applyFill="1" applyAlignment="1">
      <alignment horizontal="left" vertical="center"/>
    </xf>
    <xf numFmtId="168" fontId="6" fillId="10" borderId="0" xfId="0" applyNumberFormat="1" applyFont="1" applyFill="1" applyAlignment="1">
      <alignment horizontal="left" vertical="center"/>
    </xf>
    <xf numFmtId="166" fontId="19" fillId="7" borderId="7" xfId="0" applyNumberFormat="1" applyFont="1" applyFill="1" applyBorder="1" applyAlignment="1">
      <alignment vertical="center"/>
    </xf>
    <xf numFmtId="166" fontId="24" fillId="10" borderId="0" xfId="1" applyFont="1" applyFill="1" applyBorder="1" applyAlignment="1" applyProtection="1">
      <alignment vertical="center"/>
    </xf>
    <xf numFmtId="166" fontId="7" fillId="6" borderId="7" xfId="1" applyFont="1" applyFill="1" applyBorder="1" applyAlignment="1" applyProtection="1">
      <alignment horizontal="center" vertical="center"/>
    </xf>
    <xf numFmtId="0" fontId="7" fillId="6" borderId="0" xfId="0" applyFont="1" applyFill="1" applyAlignment="1">
      <alignment horizontal="center" vertical="center"/>
    </xf>
    <xf numFmtId="0" fontId="19" fillId="6" borderId="0" xfId="0" applyFont="1" applyFill="1" applyAlignment="1">
      <alignment horizontal="center" vertical="center"/>
    </xf>
    <xf numFmtId="0" fontId="5" fillId="6" borderId="0" xfId="0" applyFont="1" applyFill="1" applyAlignment="1">
      <alignment horizontal="center" vertical="center"/>
    </xf>
    <xf numFmtId="166" fontId="12" fillId="6" borderId="0" xfId="1" applyFont="1" applyFill="1" applyAlignment="1" applyProtection="1">
      <alignment horizontal="center" vertical="center"/>
    </xf>
    <xf numFmtId="0" fontId="30" fillId="10" borderId="0" xfId="0" applyFont="1" applyFill="1" applyAlignment="1">
      <alignment vertical="center"/>
    </xf>
    <xf numFmtId="0" fontId="18" fillId="0" borderId="0" xfId="0" applyFont="1" applyAlignment="1">
      <alignment vertical="center"/>
    </xf>
    <xf numFmtId="0" fontId="30" fillId="10" borderId="0" xfId="0" applyFont="1" applyFill="1" applyAlignment="1">
      <alignment vertical="center" wrapText="1"/>
    </xf>
    <xf numFmtId="0" fontId="2" fillId="10" borderId="0" xfId="0" applyFont="1" applyFill="1" applyAlignment="1">
      <alignment vertical="center"/>
    </xf>
    <xf numFmtId="166" fontId="7" fillId="10" borderId="7" xfId="0" applyNumberFormat="1" applyFont="1" applyFill="1" applyBorder="1" applyAlignment="1">
      <alignment vertical="center"/>
    </xf>
    <xf numFmtId="166" fontId="33" fillId="10" borderId="7" xfId="0" applyNumberFormat="1" applyFont="1" applyFill="1" applyBorder="1" applyAlignment="1">
      <alignment vertical="center"/>
    </xf>
    <xf numFmtId="0" fontId="33" fillId="10" borderId="0" xfId="0" applyFont="1" applyFill="1" applyAlignment="1">
      <alignment vertical="center"/>
    </xf>
    <xf numFmtId="10" fontId="7" fillId="6" borderId="7" xfId="3" applyNumberFormat="1" applyFont="1" applyFill="1" applyBorder="1" applyAlignment="1" applyProtection="1">
      <alignment horizontal="right" vertical="center"/>
    </xf>
    <xf numFmtId="2" fontId="7" fillId="6" borderId="7" xfId="3" applyNumberFormat="1" applyFont="1" applyFill="1" applyBorder="1" applyAlignment="1" applyProtection="1">
      <alignment horizontal="right" vertical="center"/>
    </xf>
    <xf numFmtId="171" fontId="0" fillId="10" borderId="0" xfId="9" applyNumberFormat="1" applyFont="1" applyFill="1" applyBorder="1" applyAlignment="1" applyProtection="1">
      <alignment vertical="center"/>
    </xf>
    <xf numFmtId="0" fontId="6" fillId="6" borderId="0" xfId="0" applyFont="1" applyFill="1" applyAlignment="1">
      <alignment vertical="center"/>
    </xf>
    <xf numFmtId="166" fontId="0" fillId="10" borderId="0" xfId="0" applyNumberFormat="1" applyFill="1" applyAlignment="1">
      <alignment vertical="center"/>
    </xf>
    <xf numFmtId="168" fontId="34" fillId="10" borderId="0" xfId="0" applyNumberFormat="1" applyFont="1" applyFill="1" applyAlignment="1">
      <alignment vertical="center" wrapText="1"/>
    </xf>
    <xf numFmtId="0" fontId="7" fillId="6" borderId="0" xfId="0" applyFont="1" applyFill="1" applyAlignment="1">
      <alignment horizontal="left" vertical="center"/>
    </xf>
    <xf numFmtId="166" fontId="7" fillId="6" borderId="0" xfId="1" applyFont="1" applyFill="1" applyBorder="1" applyAlignment="1" applyProtection="1">
      <alignment vertical="center"/>
    </xf>
    <xf numFmtId="166" fontId="7" fillId="6" borderId="0" xfId="1" applyFont="1" applyFill="1" applyBorder="1" applyAlignment="1" applyProtection="1">
      <alignment horizontal="left" vertical="center"/>
    </xf>
    <xf numFmtId="166" fontId="7" fillId="6" borderId="0" xfId="1" applyFont="1" applyFill="1" applyAlignment="1" applyProtection="1">
      <alignment vertical="center"/>
    </xf>
    <xf numFmtId="0" fontId="16" fillId="10" borderId="0" xfId="0" applyFont="1" applyFill="1" applyAlignment="1">
      <alignment vertical="center"/>
    </xf>
    <xf numFmtId="0" fontId="1" fillId="0" borderId="0" xfId="0" applyFont="1" applyAlignment="1">
      <alignment vertical="center"/>
    </xf>
    <xf numFmtId="171" fontId="37" fillId="10" borderId="0" xfId="0" applyNumberFormat="1" applyFont="1" applyFill="1" applyAlignment="1">
      <alignment horizontal="center" vertical="center"/>
    </xf>
    <xf numFmtId="0" fontId="17" fillId="10" borderId="0" xfId="0" applyFont="1" applyFill="1" applyAlignment="1">
      <alignment horizontal="left" vertical="center"/>
    </xf>
    <xf numFmtId="2" fontId="3" fillId="4" borderId="0" xfId="0" applyNumberFormat="1" applyFont="1" applyFill="1" applyAlignment="1">
      <alignment horizontal="center" vertical="center"/>
    </xf>
    <xf numFmtId="0" fontId="14" fillId="10" borderId="0" xfId="0" applyFont="1" applyFill="1" applyAlignment="1">
      <alignment horizontal="left" vertical="center" wrapText="1"/>
    </xf>
    <xf numFmtId="171" fontId="6" fillId="7" borderId="18" xfId="9" applyNumberFormat="1" applyFont="1" applyFill="1" applyBorder="1" applyAlignment="1" applyProtection="1">
      <alignment horizontal="center" vertical="center"/>
    </xf>
    <xf numFmtId="171" fontId="6" fillId="7" borderId="2" xfId="9" applyNumberFormat="1" applyFont="1" applyFill="1" applyBorder="1" applyAlignment="1" applyProtection="1">
      <alignment horizontal="center" vertical="center"/>
    </xf>
    <xf numFmtId="0" fontId="0" fillId="6" borderId="0" xfId="0" applyFill="1" applyAlignment="1">
      <alignment vertical="center"/>
    </xf>
    <xf numFmtId="0" fontId="6" fillId="7" borderId="2" xfId="0" applyFont="1" applyFill="1" applyBorder="1" applyAlignment="1">
      <alignment horizontal="center" vertical="center"/>
    </xf>
    <xf numFmtId="0" fontId="6" fillId="7" borderId="18" xfId="0" applyFont="1" applyFill="1" applyBorder="1" applyAlignment="1">
      <alignment horizontal="center" vertical="center"/>
    </xf>
    <xf numFmtId="166" fontId="6" fillId="7" borderId="11" xfId="0" applyNumberFormat="1" applyFont="1" applyFill="1" applyBorder="1" applyAlignment="1">
      <alignment horizontal="center" vertical="center"/>
    </xf>
    <xf numFmtId="166" fontId="4" fillId="7" borderId="2" xfId="0" applyNumberFormat="1" applyFont="1" applyFill="1" applyBorder="1" applyAlignment="1">
      <alignment horizontal="center" vertical="center"/>
    </xf>
    <xf numFmtId="0" fontId="6" fillId="7" borderId="3" xfId="0" applyFont="1" applyFill="1" applyBorder="1" applyAlignment="1">
      <alignment vertical="top" wrapText="1"/>
    </xf>
    <xf numFmtId="0" fontId="0" fillId="0" borderId="1" xfId="0" applyBorder="1" applyAlignment="1">
      <alignment horizontal="left" vertical="center" wrapText="1"/>
    </xf>
    <xf numFmtId="0" fontId="22" fillId="10" borderId="0" xfId="0" applyFont="1" applyFill="1" applyAlignment="1">
      <alignment horizontal="left" vertical="center" wrapText="1"/>
    </xf>
    <xf numFmtId="171" fontId="0" fillId="6" borderId="18" xfId="9" applyNumberFormat="1" applyFont="1" applyFill="1" applyBorder="1" applyAlignment="1" applyProtection="1">
      <alignment vertical="center"/>
    </xf>
    <xf numFmtId="9" fontId="0" fillId="6" borderId="18" xfId="3" applyFont="1" applyFill="1" applyBorder="1" applyAlignment="1" applyProtection="1">
      <alignment vertical="center"/>
    </xf>
    <xf numFmtId="43" fontId="0" fillId="7" borderId="11" xfId="9" applyNumberFormat="1" applyFont="1" applyFill="1" applyBorder="1" applyAlignment="1" applyProtection="1">
      <alignment vertical="center"/>
    </xf>
    <xf numFmtId="171" fontId="17" fillId="10" borderId="0" xfId="0" applyNumberFormat="1" applyFont="1" applyFill="1" applyAlignment="1">
      <alignment horizontal="left" vertical="center" wrapText="1"/>
    </xf>
    <xf numFmtId="176" fontId="0" fillId="6" borderId="2" xfId="9" applyNumberFormat="1" applyFont="1" applyFill="1" applyBorder="1" applyAlignment="1" applyProtection="1">
      <alignment vertical="center"/>
    </xf>
    <xf numFmtId="172" fontId="0" fillId="6" borderId="2" xfId="3" applyNumberFormat="1" applyFont="1" applyFill="1" applyBorder="1" applyAlignment="1" applyProtection="1">
      <alignment vertical="center"/>
    </xf>
    <xf numFmtId="176" fontId="0" fillId="6" borderId="2" xfId="0" applyNumberFormat="1" applyFill="1" applyBorder="1" applyAlignment="1">
      <alignment vertical="center"/>
    </xf>
    <xf numFmtId="176" fontId="0" fillId="0" borderId="2" xfId="0" applyNumberFormat="1" applyBorder="1" applyAlignment="1">
      <alignment vertical="center"/>
    </xf>
    <xf numFmtId="172" fontId="0" fillId="0" borderId="2" xfId="3" applyNumberFormat="1" applyFont="1" applyBorder="1" applyAlignment="1" applyProtection="1">
      <alignment vertical="center"/>
    </xf>
    <xf numFmtId="2" fontId="7" fillId="6" borderId="2" xfId="0" applyNumberFormat="1" applyFont="1" applyFill="1" applyBorder="1" applyAlignment="1">
      <alignment horizontal="center" vertical="center"/>
    </xf>
    <xf numFmtId="0" fontId="25" fillId="6" borderId="0" xfId="0" applyFont="1" applyFill="1" applyAlignment="1">
      <alignment vertical="center"/>
    </xf>
    <xf numFmtId="166" fontId="0" fillId="7" borderId="2" xfId="0" applyNumberFormat="1" applyFill="1" applyBorder="1" applyAlignment="1">
      <alignment horizontal="center" vertical="center"/>
    </xf>
    <xf numFmtId="172" fontId="7" fillId="6" borderId="71" xfId="3" applyNumberFormat="1" applyFont="1" applyFill="1" applyBorder="1" applyAlignment="1" applyProtection="1">
      <alignment horizontal="right" vertical="center"/>
    </xf>
    <xf numFmtId="0" fontId="6" fillId="7" borderId="4" xfId="0" applyFont="1" applyFill="1" applyBorder="1" applyAlignment="1">
      <alignment vertical="top" wrapText="1"/>
    </xf>
    <xf numFmtId="166" fontId="0" fillId="0" borderId="0" xfId="0" applyNumberFormat="1" applyAlignment="1">
      <alignment vertical="center"/>
    </xf>
    <xf numFmtId="0" fontId="6" fillId="7" borderId="72" xfId="0" applyFont="1" applyFill="1" applyBorder="1" applyAlignment="1">
      <alignment vertical="top" wrapText="1"/>
    </xf>
    <xf numFmtId="171" fontId="0" fillId="6" borderId="5" xfId="9" applyNumberFormat="1" applyFont="1" applyFill="1" applyBorder="1" applyAlignment="1" applyProtection="1">
      <alignment vertical="center"/>
    </xf>
    <xf numFmtId="9" fontId="0" fillId="6" borderId="5" xfId="3" applyFont="1" applyFill="1" applyBorder="1" applyAlignment="1" applyProtection="1">
      <alignment vertical="center"/>
    </xf>
    <xf numFmtId="43" fontId="0" fillId="7" borderId="2" xfId="9" applyNumberFormat="1" applyFont="1" applyFill="1" applyBorder="1" applyAlignment="1" applyProtection="1">
      <alignment vertical="center"/>
    </xf>
    <xf numFmtId="0" fontId="0" fillId="10" borderId="0" xfId="0" applyFill="1" applyAlignment="1">
      <alignment horizontal="left" vertical="center" wrapText="1"/>
    </xf>
    <xf numFmtId="0" fontId="7" fillId="0" borderId="0" xfId="0" applyFont="1" applyAlignment="1">
      <alignment vertical="center"/>
    </xf>
    <xf numFmtId="0" fontId="34" fillId="10" borderId="0" xfId="0" applyFont="1" applyFill="1" applyAlignment="1">
      <alignment horizontal="left" vertical="center" wrapText="1"/>
    </xf>
    <xf numFmtId="0" fontId="0" fillId="0" borderId="0" xfId="0" applyAlignment="1">
      <alignment horizontal="left" vertical="center" wrapText="1"/>
    </xf>
    <xf numFmtId="0" fontId="7" fillId="0" borderId="0" xfId="0" applyFont="1" applyAlignment="1">
      <alignment horizontal="center" vertical="center" wrapText="1"/>
    </xf>
    <xf numFmtId="0" fontId="39" fillId="10" borderId="0" xfId="0" applyFont="1" applyFill="1" applyAlignment="1">
      <alignment vertical="center"/>
    </xf>
    <xf numFmtId="0" fontId="40" fillId="10" borderId="0" xfId="0" applyFont="1" applyFill="1" applyAlignment="1">
      <alignment vertical="center"/>
    </xf>
    <xf numFmtId="0" fontId="4" fillId="10" borderId="17" xfId="0" applyFont="1" applyFill="1" applyBorder="1" applyAlignment="1">
      <alignment horizontal="center" vertical="center"/>
    </xf>
    <xf numFmtId="166" fontId="7" fillId="6" borderId="17" xfId="1" applyFont="1" applyFill="1" applyBorder="1" applyAlignment="1" applyProtection="1">
      <alignment horizontal="left" vertical="center"/>
    </xf>
    <xf numFmtId="1" fontId="7" fillId="6" borderId="17" xfId="1" applyNumberFormat="1" applyFont="1" applyFill="1" applyBorder="1" applyAlignment="1" applyProtection="1">
      <alignment horizontal="center" vertical="center"/>
    </xf>
    <xf numFmtId="166" fontId="7" fillId="6" borderId="17" xfId="1" applyFont="1" applyFill="1" applyBorder="1" applyAlignment="1" applyProtection="1">
      <alignment horizontal="center" vertical="center"/>
    </xf>
    <xf numFmtId="179" fontId="7" fillId="6" borderId="17" xfId="19" applyNumberFormat="1" applyFont="1" applyFill="1" applyBorder="1" applyAlignment="1" applyProtection="1">
      <alignment horizontal="center" vertical="center"/>
    </xf>
    <xf numFmtId="0" fontId="4" fillId="10" borderId="0" xfId="0" applyFont="1" applyFill="1" applyAlignment="1">
      <alignment horizontal="center" vertical="center"/>
    </xf>
    <xf numFmtId="0" fontId="19" fillId="0" borderId="0" xfId="0" applyFont="1" applyAlignment="1">
      <alignment horizontal="center" vertical="center"/>
    </xf>
    <xf numFmtId="0" fontId="0" fillId="6" borderId="0" xfId="0" applyFill="1" applyAlignment="1">
      <alignment horizontal="center" vertical="center" wrapText="1"/>
    </xf>
    <xf numFmtId="0" fontId="7" fillId="6" borderId="0" xfId="0" applyFont="1" applyFill="1" applyAlignment="1">
      <alignment horizontal="left" vertical="center" wrapText="1"/>
    </xf>
    <xf numFmtId="0" fontId="19" fillId="6" borderId="0" xfId="0" applyFont="1" applyFill="1" applyAlignment="1">
      <alignment vertical="center"/>
    </xf>
    <xf numFmtId="166" fontId="7" fillId="6" borderId="0" xfId="1" applyFont="1" applyFill="1" applyAlignment="1" applyProtection="1">
      <alignment horizontal="center" vertical="center"/>
    </xf>
    <xf numFmtId="10" fontId="7" fillId="6" borderId="67" xfId="3" applyNumberFormat="1" applyFont="1" applyFill="1" applyBorder="1" applyAlignment="1" applyProtection="1">
      <alignment horizontal="right" vertical="center"/>
    </xf>
    <xf numFmtId="0" fontId="4" fillId="10" borderId="0" xfId="0" applyFont="1" applyFill="1" applyAlignment="1">
      <alignment horizontal="right" vertical="center"/>
    </xf>
    <xf numFmtId="10" fontId="7" fillId="10" borderId="7" xfId="3" applyNumberFormat="1" applyFont="1" applyFill="1" applyBorder="1" applyAlignment="1" applyProtection="1">
      <alignment horizontal="right" vertical="center"/>
    </xf>
    <xf numFmtId="10" fontId="0" fillId="10" borderId="14" xfId="3" applyNumberFormat="1" applyFont="1" applyFill="1" applyBorder="1" applyAlignment="1" applyProtection="1">
      <alignment vertical="center"/>
    </xf>
    <xf numFmtId="2" fontId="3" fillId="4" borderId="2" xfId="0" applyNumberFormat="1" applyFont="1" applyFill="1" applyBorder="1" applyAlignment="1">
      <alignment horizontal="right" vertical="center"/>
    </xf>
    <xf numFmtId="176" fontId="7" fillId="7" borderId="9" xfId="0" applyNumberFormat="1" applyFont="1" applyFill="1" applyBorder="1" applyAlignment="1">
      <alignment horizontal="right" vertical="center"/>
    </xf>
    <xf numFmtId="0" fontId="0" fillId="10" borderId="0" xfId="0" applyFill="1" applyAlignment="1">
      <alignment horizontal="right" vertical="center"/>
    </xf>
    <xf numFmtId="0" fontId="4" fillId="10" borderId="0" xfId="0" applyFont="1" applyFill="1" applyAlignment="1">
      <alignment horizontal="left" vertical="center"/>
    </xf>
    <xf numFmtId="166" fontId="6" fillId="10" borderId="0" xfId="1" applyFont="1" applyFill="1" applyBorder="1" applyAlignment="1" applyProtection="1">
      <alignment horizontal="left" vertical="center" indent="1"/>
    </xf>
    <xf numFmtId="166" fontId="2" fillId="3" borderId="2" xfId="1" applyFont="1" applyFill="1" applyBorder="1" applyProtection="1"/>
    <xf numFmtId="166" fontId="2" fillId="0" borderId="0" xfId="0" applyNumberFormat="1" applyFont="1"/>
    <xf numFmtId="0" fontId="4" fillId="7" borderId="2" xfId="0" applyFont="1" applyFill="1" applyBorder="1" applyAlignment="1">
      <alignment horizontal="left" vertical="center"/>
    </xf>
    <xf numFmtId="14" fontId="4" fillId="6" borderId="2" xfId="0" applyNumberFormat="1" applyFont="1" applyFill="1" applyBorder="1" applyAlignment="1">
      <alignment horizontal="left" vertical="center" wrapText="1"/>
    </xf>
    <xf numFmtId="0" fontId="77" fillId="0" borderId="0" xfId="0" applyFont="1"/>
    <xf numFmtId="0" fontId="62" fillId="4" borderId="0" xfId="0" applyFont="1" applyFill="1" applyAlignment="1">
      <alignment vertical="center" wrapText="1"/>
    </xf>
    <xf numFmtId="0" fontId="4" fillId="7"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0" fillId="0" borderId="0" xfId="0" applyAlignment="1">
      <alignment vertical="center" wrapText="1"/>
    </xf>
    <xf numFmtId="167" fontId="19" fillId="0" borderId="0" xfId="9" applyFont="1" applyFill="1" applyAlignment="1">
      <alignment horizontal="left"/>
    </xf>
    <xf numFmtId="179" fontId="7" fillId="6" borderId="7" xfId="19" applyNumberFormat="1" applyFont="1" applyFill="1" applyBorder="1" applyAlignment="1" applyProtection="1">
      <alignment horizontal="right" vertical="center"/>
    </xf>
    <xf numFmtId="0" fontId="4" fillId="7" borderId="2" xfId="0" applyFont="1" applyFill="1" applyBorder="1" applyAlignment="1">
      <alignment horizontal="right" vertical="center" indent="1"/>
    </xf>
    <xf numFmtId="165" fontId="7" fillId="6" borderId="67" xfId="19" applyFont="1" applyFill="1" applyBorder="1" applyAlignment="1" applyProtection="1">
      <alignment horizontal="right" vertical="center"/>
    </xf>
    <xf numFmtId="166" fontId="19" fillId="7" borderId="76" xfId="0" applyNumberFormat="1" applyFont="1" applyFill="1" applyBorder="1" applyAlignment="1">
      <alignment horizontal="right" vertical="center"/>
    </xf>
    <xf numFmtId="0" fontId="19" fillId="10" borderId="0" xfId="0" applyFont="1" applyFill="1" applyAlignment="1">
      <alignment horizontal="right" vertical="center" indent="1"/>
    </xf>
    <xf numFmtId="166" fontId="7" fillId="7" borderId="76" xfId="0" applyNumberFormat="1" applyFont="1" applyFill="1" applyBorder="1" applyAlignment="1">
      <alignment horizontal="right" vertical="center"/>
    </xf>
    <xf numFmtId="166" fontId="7" fillId="7" borderId="76" xfId="1" applyFont="1" applyFill="1" applyBorder="1" applyAlignment="1" applyProtection="1">
      <alignment horizontal="right" vertical="center"/>
    </xf>
    <xf numFmtId="166" fontId="7" fillId="7" borderId="77" xfId="1" applyFont="1" applyFill="1" applyBorder="1" applyAlignment="1" applyProtection="1">
      <alignment horizontal="right" vertical="center"/>
    </xf>
    <xf numFmtId="166" fontId="7" fillId="7" borderId="78" xfId="0" applyNumberFormat="1" applyFont="1" applyFill="1" applyBorder="1" applyAlignment="1">
      <alignment horizontal="right" vertical="center"/>
    </xf>
    <xf numFmtId="166" fontId="7" fillId="7" borderId="79" xfId="1" applyFont="1" applyFill="1" applyBorder="1" applyAlignment="1" applyProtection="1">
      <alignment vertical="center"/>
    </xf>
    <xf numFmtId="166" fontId="7" fillId="7" borderId="80" xfId="1" applyFont="1" applyFill="1" applyBorder="1" applyAlignment="1" applyProtection="1">
      <alignment vertical="center"/>
    </xf>
    <xf numFmtId="166" fontId="7" fillId="7" borderId="79" xfId="0" applyNumberFormat="1" applyFont="1" applyFill="1" applyBorder="1" applyAlignment="1">
      <alignment vertical="center"/>
    </xf>
    <xf numFmtId="166" fontId="7" fillId="10" borderId="76" xfId="0" applyNumberFormat="1" applyFont="1" applyFill="1" applyBorder="1" applyAlignment="1">
      <alignment horizontal="right" vertical="center"/>
    </xf>
    <xf numFmtId="166" fontId="23" fillId="10" borderId="81" xfId="1" applyFont="1" applyFill="1" applyBorder="1" applyAlignment="1" applyProtection="1">
      <alignment horizontal="right" vertical="center"/>
    </xf>
    <xf numFmtId="166" fontId="24" fillId="10" borderId="81" xfId="1" applyFont="1" applyFill="1" applyBorder="1" applyAlignment="1" applyProtection="1">
      <alignment horizontal="right" vertical="center"/>
    </xf>
    <xf numFmtId="166" fontId="19" fillId="10" borderId="0" xfId="1" applyFont="1" applyFill="1" applyBorder="1" applyAlignment="1" applyProtection="1">
      <alignment horizontal="right" vertical="center"/>
    </xf>
    <xf numFmtId="172" fontId="7" fillId="7" borderId="73" xfId="3" applyNumberFormat="1" applyFont="1" applyFill="1" applyBorder="1" applyAlignment="1" applyProtection="1">
      <alignment horizontal="right" vertical="center"/>
    </xf>
    <xf numFmtId="0" fontId="0" fillId="0" borderId="0" xfId="9" applyNumberFormat="1" applyFont="1" applyFill="1"/>
    <xf numFmtId="180" fontId="7" fillId="6" borderId="67" xfId="3" applyNumberFormat="1" applyFont="1" applyFill="1" applyBorder="1" applyAlignment="1" applyProtection="1">
      <alignment horizontal="right" vertical="center"/>
    </xf>
    <xf numFmtId="10" fontId="3" fillId="4" borderId="2" xfId="3" applyNumberFormat="1" applyFont="1" applyFill="1" applyBorder="1" applyAlignment="1" applyProtection="1">
      <alignment horizontal="right" vertical="center" indent="1"/>
    </xf>
    <xf numFmtId="166" fontId="7" fillId="7" borderId="76" xfId="1" applyFont="1" applyFill="1" applyBorder="1" applyAlignment="1" applyProtection="1">
      <alignment vertical="center"/>
    </xf>
    <xf numFmtId="166" fontId="7" fillId="7" borderId="77" xfId="1" applyFont="1" applyFill="1" applyBorder="1" applyAlignment="1" applyProtection="1">
      <alignment vertical="center"/>
    </xf>
    <xf numFmtId="166" fontId="7" fillId="7" borderId="85" xfId="0" applyNumberFormat="1" applyFont="1" applyFill="1" applyBorder="1" applyAlignment="1">
      <alignment vertical="center"/>
    </xf>
    <xf numFmtId="166" fontId="7" fillId="7" borderId="83" xfId="0" applyNumberFormat="1" applyFont="1" applyFill="1" applyBorder="1" applyAlignment="1">
      <alignment vertical="center"/>
    </xf>
    <xf numFmtId="166" fontId="7" fillId="7" borderId="78" xfId="0" applyNumberFormat="1" applyFont="1" applyFill="1" applyBorder="1" applyAlignment="1">
      <alignment vertical="center"/>
    </xf>
    <xf numFmtId="166" fontId="7" fillId="7" borderId="87" xfId="0" applyNumberFormat="1" applyFont="1" applyFill="1" applyBorder="1" applyAlignment="1">
      <alignment vertical="center"/>
    </xf>
    <xf numFmtId="166" fontId="7" fillId="7" borderId="84" xfId="0" applyNumberFormat="1" applyFont="1" applyFill="1" applyBorder="1" applyAlignment="1">
      <alignment vertical="center"/>
    </xf>
    <xf numFmtId="166" fontId="7" fillId="7" borderId="86" xfId="1" applyFont="1" applyFill="1" applyBorder="1" applyAlignment="1" applyProtection="1">
      <alignment vertical="center"/>
    </xf>
    <xf numFmtId="166" fontId="19" fillId="7" borderId="76" xfId="0" applyNumberFormat="1" applyFont="1" applyFill="1" applyBorder="1" applyAlignment="1">
      <alignment vertical="center"/>
    </xf>
    <xf numFmtId="166" fontId="19" fillId="7" borderId="86" xfId="0" applyNumberFormat="1" applyFont="1" applyFill="1" applyBorder="1" applyAlignment="1">
      <alignment vertical="center"/>
    </xf>
    <xf numFmtId="166" fontId="19" fillId="7" borderId="82" xfId="0" applyNumberFormat="1" applyFont="1" applyFill="1" applyBorder="1" applyAlignment="1">
      <alignment vertical="center"/>
    </xf>
    <xf numFmtId="166" fontId="24" fillId="10" borderId="81" xfId="1" applyFont="1" applyFill="1" applyBorder="1" applyAlignment="1" applyProtection="1">
      <alignment vertical="center"/>
    </xf>
    <xf numFmtId="166" fontId="7" fillId="10" borderId="86" xfId="0" applyNumberFormat="1" applyFont="1" applyFill="1" applyBorder="1" applyAlignment="1">
      <alignment vertical="center"/>
    </xf>
    <xf numFmtId="166" fontId="7" fillId="10" borderId="82" xfId="0" applyNumberFormat="1" applyFont="1" applyFill="1" applyBorder="1" applyAlignment="1">
      <alignment vertical="center"/>
    </xf>
    <xf numFmtId="166" fontId="7" fillId="10" borderId="78" xfId="0" applyNumberFormat="1" applyFont="1" applyFill="1" applyBorder="1" applyAlignment="1">
      <alignment vertical="center"/>
    </xf>
    <xf numFmtId="166" fontId="7" fillId="10" borderId="8" xfId="0" applyNumberFormat="1" applyFont="1" applyFill="1" applyBorder="1" applyAlignment="1">
      <alignment vertical="center"/>
    </xf>
    <xf numFmtId="166" fontId="7" fillId="10" borderId="76" xfId="0" applyNumberFormat="1" applyFont="1" applyFill="1" applyBorder="1" applyAlignment="1">
      <alignment vertical="center"/>
    </xf>
    <xf numFmtId="166" fontId="23" fillId="10" borderId="81" xfId="1" applyFont="1" applyFill="1" applyBorder="1" applyAlignment="1" applyProtection="1">
      <alignment vertical="center"/>
    </xf>
    <xf numFmtId="166" fontId="7" fillId="7" borderId="82" xfId="0" applyNumberFormat="1" applyFont="1" applyFill="1" applyBorder="1" applyAlignment="1">
      <alignment vertical="center"/>
    </xf>
    <xf numFmtId="0" fontId="24" fillId="10" borderId="0" xfId="0" applyFont="1" applyFill="1" applyAlignment="1">
      <alignment vertical="center"/>
    </xf>
    <xf numFmtId="172" fontId="7" fillId="6" borderId="89" xfId="3" applyNumberFormat="1" applyFont="1" applyFill="1" applyBorder="1" applyAlignment="1" applyProtection="1">
      <alignment horizontal="right" vertical="center"/>
    </xf>
    <xf numFmtId="172" fontId="7" fillId="6" borderId="88" xfId="3" applyNumberFormat="1" applyFont="1" applyFill="1" applyBorder="1" applyAlignment="1" applyProtection="1">
      <alignment horizontal="right" vertical="center"/>
    </xf>
    <xf numFmtId="0" fontId="7" fillId="7" borderId="42" xfId="0" applyFont="1" applyFill="1" applyBorder="1" applyAlignment="1">
      <alignment horizontal="left" vertical="center"/>
    </xf>
    <xf numFmtId="0" fontId="7" fillId="7" borderId="54" xfId="0" applyFont="1" applyFill="1" applyBorder="1" applyAlignment="1">
      <alignment horizontal="left" vertical="center"/>
    </xf>
    <xf numFmtId="181" fontId="28" fillId="10" borderId="0" xfId="0" applyNumberFormat="1" applyFont="1" applyFill="1" applyAlignment="1">
      <alignment vertical="top"/>
    </xf>
    <xf numFmtId="1" fontId="7" fillId="6" borderId="42" xfId="1" applyNumberFormat="1" applyFont="1" applyFill="1" applyBorder="1" applyAlignment="1" applyProtection="1">
      <alignment horizontal="right"/>
      <protection locked="0"/>
    </xf>
    <xf numFmtId="1" fontId="7" fillId="6" borderId="44" xfId="1" applyNumberFormat="1" applyFont="1" applyFill="1" applyBorder="1" applyAlignment="1" applyProtection="1">
      <alignment horizontal="right"/>
      <protection locked="0"/>
    </xf>
    <xf numFmtId="1" fontId="7" fillId="6" borderId="57" xfId="1" applyNumberFormat="1" applyFont="1" applyFill="1" applyBorder="1" applyAlignment="1" applyProtection="1">
      <alignment horizontal="right"/>
      <protection locked="0"/>
    </xf>
    <xf numFmtId="0" fontId="28" fillId="10" borderId="0" xfId="0" applyFont="1" applyFill="1" applyAlignment="1">
      <alignment horizontal="right" vertical="top"/>
    </xf>
    <xf numFmtId="0" fontId="7" fillId="7" borderId="53" xfId="0" applyFont="1" applyFill="1" applyBorder="1" applyAlignment="1">
      <alignment vertical="center"/>
    </xf>
    <xf numFmtId="0" fontId="7" fillId="7" borderId="54" xfId="0" applyFont="1" applyFill="1" applyBorder="1" applyAlignment="1">
      <alignment vertical="center"/>
    </xf>
    <xf numFmtId="0" fontId="7" fillId="7" borderId="42" xfId="0" applyFont="1" applyFill="1" applyBorder="1" applyAlignment="1">
      <alignment vertical="center"/>
    </xf>
    <xf numFmtId="0" fontId="15" fillId="10" borderId="0" xfId="10" applyFill="1" applyAlignment="1" applyProtection="1">
      <alignment vertical="center"/>
      <protection locked="0"/>
    </xf>
    <xf numFmtId="0" fontId="4" fillId="10" borderId="0" xfId="0" applyFont="1" applyFill="1" applyAlignment="1" applyProtection="1">
      <alignment vertical="center"/>
      <protection locked="0"/>
    </xf>
    <xf numFmtId="0" fontId="7" fillId="6" borderId="71" xfId="3" applyNumberFormat="1" applyFont="1" applyFill="1" applyBorder="1" applyAlignment="1" applyProtection="1">
      <alignment horizontal="center" vertical="center"/>
    </xf>
    <xf numFmtId="2" fontId="0" fillId="6" borderId="2" xfId="9" applyNumberFormat="1" applyFont="1" applyFill="1" applyBorder="1" applyAlignment="1" applyProtection="1">
      <alignment vertical="center"/>
    </xf>
    <xf numFmtId="166" fontId="0" fillId="7" borderId="2" xfId="1" applyFont="1" applyFill="1" applyBorder="1" applyAlignment="1" applyProtection="1">
      <alignment horizontal="right" vertical="center"/>
    </xf>
    <xf numFmtId="0" fontId="0" fillId="6" borderId="0" xfId="0" applyFill="1" applyAlignment="1">
      <alignment horizontal="left" vertical="center"/>
    </xf>
    <xf numFmtId="0" fontId="3" fillId="4" borderId="92" xfId="0" applyFont="1" applyFill="1" applyBorder="1"/>
    <xf numFmtId="0" fontId="80" fillId="0" borderId="0" xfId="0" applyFont="1"/>
    <xf numFmtId="2" fontId="80" fillId="0" borderId="0" xfId="0" applyNumberFormat="1" applyFont="1"/>
    <xf numFmtId="2" fontId="0" fillId="0" borderId="0" xfId="0" applyNumberFormat="1"/>
    <xf numFmtId="0" fontId="81" fillId="0" borderId="0" xfId="0" applyFont="1"/>
    <xf numFmtId="49" fontId="6" fillId="7" borderId="18" xfId="0" applyNumberFormat="1" applyFont="1" applyFill="1" applyBorder="1" applyAlignment="1">
      <alignment horizontal="left" vertical="center" indent="1"/>
    </xf>
    <xf numFmtId="4" fontId="0" fillId="0" borderId="0" xfId="0" applyNumberFormat="1"/>
    <xf numFmtId="166" fontId="0" fillId="7" borderId="6" xfId="1" applyFont="1" applyFill="1" applyBorder="1" applyAlignment="1" applyProtection="1">
      <alignment horizontal="center" vertical="center"/>
    </xf>
    <xf numFmtId="0" fontId="4" fillId="0" borderId="1" xfId="0" applyFont="1" applyBorder="1" applyAlignment="1">
      <alignment horizontal="left" vertical="center" wrapText="1"/>
    </xf>
    <xf numFmtId="0" fontId="1" fillId="10" borderId="0" xfId="0" applyFont="1" applyFill="1" applyAlignment="1">
      <alignment vertical="center"/>
    </xf>
    <xf numFmtId="0" fontId="1" fillId="0" borderId="0" xfId="0" applyFont="1" applyProtection="1">
      <protection locked="0"/>
    </xf>
    <xf numFmtId="0" fontId="77" fillId="0" borderId="94" xfId="0" applyFont="1" applyBorder="1" applyAlignment="1">
      <alignment wrapText="1"/>
    </xf>
    <xf numFmtId="0" fontId="77" fillId="0" borderId="95" xfId="0" applyFont="1" applyBorder="1" applyAlignment="1">
      <alignment wrapText="1"/>
    </xf>
    <xf numFmtId="0" fontId="83" fillId="0" borderId="95" xfId="0" applyFont="1" applyBorder="1" applyAlignment="1">
      <alignment wrapText="1"/>
    </xf>
    <xf numFmtId="0" fontId="0" fillId="6" borderId="1" xfId="0" applyFill="1" applyBorder="1" applyAlignment="1">
      <alignment horizontal="left" vertical="center" wrapText="1"/>
    </xf>
    <xf numFmtId="0" fontId="77" fillId="17" borderId="74" xfId="0" applyFont="1" applyFill="1" applyBorder="1"/>
    <xf numFmtId="171" fontId="0" fillId="6" borderId="2" xfId="9" applyNumberFormat="1" applyFont="1" applyFill="1" applyBorder="1" applyAlignment="1">
      <alignment vertical="center"/>
    </xf>
    <xf numFmtId="0" fontId="6" fillId="7" borderId="1" xfId="0" applyFont="1" applyFill="1" applyBorder="1" applyAlignment="1">
      <alignment horizontal="left" vertical="top" wrapText="1"/>
    </xf>
    <xf numFmtId="0" fontId="77" fillId="0" borderId="0" xfId="0" applyFont="1" applyAlignment="1">
      <alignment wrapText="1"/>
    </xf>
    <xf numFmtId="171" fontId="0" fillId="6" borderId="6" xfId="9" applyNumberFormat="1" applyFont="1" applyFill="1" applyBorder="1" applyAlignment="1">
      <alignment vertical="center"/>
    </xf>
    <xf numFmtId="171" fontId="0" fillId="6" borderId="18" xfId="9" applyNumberFormat="1" applyFont="1" applyFill="1" applyBorder="1" applyAlignment="1">
      <alignment vertical="center"/>
    </xf>
    <xf numFmtId="0" fontId="83" fillId="0" borderId="0" xfId="0" applyFont="1" applyAlignment="1">
      <alignment wrapText="1"/>
    </xf>
    <xf numFmtId="0" fontId="77" fillId="0" borderId="95" xfId="0" applyFont="1" applyBorder="1" applyAlignment="1">
      <alignment horizontal="left" wrapText="1" indent="1"/>
    </xf>
    <xf numFmtId="0" fontId="83" fillId="18" borderId="95" xfId="0" applyFont="1" applyFill="1" applyBorder="1" applyAlignment="1">
      <alignment wrapText="1"/>
    </xf>
    <xf numFmtId="0" fontId="83" fillId="0" borderId="95" xfId="0" applyFont="1" applyBorder="1" applyAlignment="1">
      <alignment horizontal="left" wrapText="1" indent="2"/>
    </xf>
    <xf numFmtId="0" fontId="77" fillId="0" borderId="95" xfId="0" applyFont="1" applyBorder="1" applyAlignment="1">
      <alignment horizontal="left" wrapText="1" indent="3"/>
    </xf>
    <xf numFmtId="0" fontId="77" fillId="17" borderId="96" xfId="0" applyFont="1" applyFill="1" applyBorder="1"/>
    <xf numFmtId="9" fontId="0" fillId="6" borderId="2" xfId="3" applyFont="1" applyFill="1" applyBorder="1" applyAlignment="1">
      <alignment vertical="center"/>
    </xf>
    <xf numFmtId="0" fontId="84" fillId="0" borderId="97" xfId="0" applyFont="1" applyBorder="1" applyAlignment="1">
      <alignment horizontal="left" vertical="center" indent="4"/>
    </xf>
    <xf numFmtId="0" fontId="86" fillId="0" borderId="97" xfId="0" applyFont="1" applyBorder="1" applyAlignment="1">
      <alignment horizontal="left" vertical="center" indent="10"/>
    </xf>
    <xf numFmtId="166" fontId="0" fillId="7" borderId="5" xfId="1" applyFont="1" applyFill="1" applyBorder="1" applyAlignment="1" applyProtection="1">
      <alignment horizontal="center" vertical="center"/>
    </xf>
    <xf numFmtId="166" fontId="0" fillId="7" borderId="6" xfId="1" applyFont="1" applyFill="1" applyBorder="1" applyAlignment="1" applyProtection="1">
      <alignment horizontal="center" vertical="center"/>
    </xf>
    <xf numFmtId="166" fontId="3" fillId="4" borderId="13" xfId="1" applyFont="1" applyFill="1" applyBorder="1" applyAlignment="1" applyProtection="1">
      <alignment horizontal="center" vertical="center"/>
    </xf>
    <xf numFmtId="166" fontId="3" fillId="4" borderId="90" xfId="1" applyFont="1" applyFill="1" applyBorder="1" applyAlignment="1" applyProtection="1">
      <alignment horizontal="center" vertical="center"/>
    </xf>
    <xf numFmtId="0" fontId="4" fillId="7" borderId="5" xfId="0" applyFont="1" applyFill="1" applyBorder="1" applyAlignment="1">
      <alignment horizontal="center"/>
    </xf>
    <xf numFmtId="0" fontId="4" fillId="7" borderId="6" xfId="0" applyFont="1" applyFill="1" applyBorder="1" applyAlignment="1">
      <alignment horizontal="center"/>
    </xf>
    <xf numFmtId="0" fontId="30" fillId="10" borderId="0" xfId="0" applyFont="1" applyFill="1" applyAlignment="1">
      <alignment horizontal="center" vertical="center"/>
    </xf>
    <xf numFmtId="10" fontId="7" fillId="6" borderId="82" xfId="3" applyNumberFormat="1" applyFont="1" applyFill="1" applyBorder="1" applyAlignment="1" applyProtection="1">
      <alignment horizontal="right" vertical="center"/>
    </xf>
    <xf numFmtId="10" fontId="7" fillId="7" borderId="82" xfId="3" applyNumberFormat="1" applyFont="1" applyFill="1" applyBorder="1" applyAlignment="1">
      <alignment horizontal="right" vertical="center"/>
    </xf>
    <xf numFmtId="0" fontId="30" fillId="10" borderId="0" xfId="0" applyFont="1" applyFill="1" applyAlignment="1">
      <alignment horizontal="center" vertical="center" wrapText="1"/>
    </xf>
    <xf numFmtId="0" fontId="48" fillId="4" borderId="0" xfId="0" applyFont="1" applyFill="1" applyAlignment="1">
      <alignment horizontal="center" vertical="center" wrapText="1"/>
    </xf>
    <xf numFmtId="0" fontId="32" fillId="4" borderId="0" xfId="0" applyFont="1" applyFill="1" applyAlignment="1">
      <alignment horizontal="center" vertical="center"/>
    </xf>
    <xf numFmtId="0" fontId="7" fillId="6" borderId="0" xfId="0" applyFont="1" applyFill="1" applyAlignment="1">
      <alignment horizontal="left" vertical="top" wrapText="1"/>
    </xf>
    <xf numFmtId="0" fontId="7" fillId="6" borderId="7" xfId="0" applyFont="1" applyFill="1" applyBorder="1" applyAlignment="1">
      <alignment horizontal="left" vertical="top" wrapText="1"/>
    </xf>
    <xf numFmtId="10" fontId="19" fillId="7" borderId="75" xfId="3" applyNumberFormat="1" applyFont="1" applyFill="1" applyBorder="1" applyAlignment="1" applyProtection="1">
      <alignment horizontal="right" vertical="center"/>
    </xf>
    <xf numFmtId="0" fontId="5" fillId="4" borderId="0" xfId="0" applyFont="1" applyFill="1" applyAlignment="1">
      <alignment horizontal="center"/>
    </xf>
    <xf numFmtId="0" fontId="5" fillId="4" borderId="93" xfId="0" applyFont="1" applyFill="1" applyBorder="1" applyAlignment="1">
      <alignment horizontal="center"/>
    </xf>
    <xf numFmtId="0" fontId="5" fillId="4" borderId="91" xfId="0" applyFont="1" applyFill="1" applyBorder="1" applyAlignment="1">
      <alignment horizontal="center"/>
    </xf>
    <xf numFmtId="175" fontId="7" fillId="7" borderId="70" xfId="19" applyNumberFormat="1" applyFont="1" applyFill="1" applyBorder="1" applyAlignment="1" applyProtection="1">
      <alignment horizontal="center" vertical="center"/>
    </xf>
    <xf numFmtId="175" fontId="7" fillId="7" borderId="48" xfId="19" applyNumberFormat="1" applyFont="1" applyFill="1" applyBorder="1" applyAlignment="1" applyProtection="1">
      <alignment horizontal="center" vertical="center"/>
    </xf>
    <xf numFmtId="175" fontId="7" fillId="7" borderId="42" xfId="19" applyNumberFormat="1" applyFont="1" applyFill="1" applyBorder="1" applyAlignment="1" applyProtection="1">
      <alignment horizontal="center" vertical="center"/>
    </xf>
    <xf numFmtId="175" fontId="7" fillId="7" borderId="45" xfId="19" applyNumberFormat="1" applyFont="1" applyFill="1" applyBorder="1" applyAlignment="1" applyProtection="1">
      <alignment horizontal="center" vertical="center"/>
    </xf>
    <xf numFmtId="0" fontId="62" fillId="4" borderId="0" xfId="0" applyFont="1" applyFill="1" applyAlignment="1">
      <alignment horizontal="left" vertical="center"/>
    </xf>
    <xf numFmtId="49" fontId="7" fillId="7" borderId="44" xfId="1" applyNumberFormat="1" applyFont="1" applyFill="1" applyBorder="1" applyAlignment="1" applyProtection="1">
      <alignment horizontal="left" vertical="center" wrapText="1"/>
    </xf>
    <xf numFmtId="49" fontId="7" fillId="7" borderId="42" xfId="1" applyNumberFormat="1" applyFont="1" applyFill="1" applyBorder="1" applyAlignment="1" applyProtection="1">
      <alignment horizontal="left" vertical="center" wrapText="1"/>
    </xf>
    <xf numFmtId="49" fontId="7" fillId="7" borderId="45" xfId="1" applyNumberFormat="1" applyFont="1" applyFill="1" applyBorder="1" applyAlignment="1" applyProtection="1">
      <alignment horizontal="left" vertical="center" wrapText="1"/>
    </xf>
    <xf numFmtId="0" fontId="46" fillId="7" borderId="37" xfId="0" applyFont="1" applyFill="1" applyBorder="1" applyAlignment="1">
      <alignment horizontal="center"/>
    </xf>
    <xf numFmtId="0" fontId="46" fillId="7" borderId="38" xfId="0" applyFont="1" applyFill="1" applyBorder="1" applyAlignment="1">
      <alignment horizontal="center"/>
    </xf>
    <xf numFmtId="0" fontId="46" fillId="7" borderId="39" xfId="0" applyFont="1" applyFill="1" applyBorder="1" applyAlignment="1">
      <alignment horizontal="center"/>
    </xf>
    <xf numFmtId="175" fontId="40" fillId="7" borderId="50" xfId="19" applyNumberFormat="1" applyFont="1" applyFill="1" applyBorder="1" applyAlignment="1" applyProtection="1">
      <alignment horizontal="center" vertical="center"/>
    </xf>
    <xf numFmtId="175" fontId="40" fillId="7" borderId="21" xfId="19" applyNumberFormat="1" applyFont="1" applyFill="1" applyBorder="1" applyAlignment="1" applyProtection="1">
      <alignment horizontal="center" vertical="center"/>
    </xf>
    <xf numFmtId="175" fontId="40" fillId="7" borderId="51" xfId="19" applyNumberFormat="1" applyFont="1" applyFill="1" applyBorder="1" applyAlignment="1" applyProtection="1">
      <alignment horizontal="center" vertical="center"/>
    </xf>
    <xf numFmtId="175" fontId="40" fillId="7" borderId="23" xfId="19" applyNumberFormat="1" applyFont="1" applyFill="1" applyBorder="1" applyAlignment="1" applyProtection="1">
      <alignment horizontal="center" vertical="center"/>
    </xf>
    <xf numFmtId="175" fontId="40" fillId="7" borderId="52" xfId="19" applyNumberFormat="1" applyFont="1" applyFill="1" applyBorder="1" applyAlignment="1" applyProtection="1">
      <alignment horizontal="center" vertical="center"/>
    </xf>
    <xf numFmtId="175" fontId="40" fillId="7" borderId="25" xfId="19" applyNumberFormat="1" applyFont="1" applyFill="1" applyBorder="1" applyAlignment="1" applyProtection="1">
      <alignment horizontal="center" vertical="center"/>
    </xf>
    <xf numFmtId="166" fontId="7" fillId="7" borderId="20" xfId="1" applyFont="1" applyFill="1" applyBorder="1" applyAlignment="1" applyProtection="1">
      <alignment horizontal="left" vertical="center" wrapText="1" indent="1"/>
    </xf>
    <xf numFmtId="166" fontId="7" fillId="7" borderId="21" xfId="1" applyFont="1" applyFill="1" applyBorder="1" applyAlignment="1" applyProtection="1">
      <alignment horizontal="left" vertical="center" wrapText="1" indent="1"/>
    </xf>
    <xf numFmtId="166" fontId="7" fillId="7" borderId="22" xfId="1" applyFont="1" applyFill="1" applyBorder="1" applyAlignment="1" applyProtection="1">
      <alignment horizontal="left" vertical="center" wrapText="1" indent="1"/>
    </xf>
    <xf numFmtId="166" fontId="7" fillId="7" borderId="23" xfId="1" applyFont="1" applyFill="1" applyBorder="1" applyAlignment="1" applyProtection="1">
      <alignment horizontal="left" vertical="center" wrapText="1" indent="1"/>
    </xf>
    <xf numFmtId="166" fontId="7" fillId="7" borderId="24" xfId="1" applyFont="1" applyFill="1" applyBorder="1" applyAlignment="1" applyProtection="1">
      <alignment horizontal="left" vertical="center" wrapText="1" indent="1"/>
    </xf>
    <xf numFmtId="166" fontId="7" fillId="7" borderId="25" xfId="1" applyFont="1" applyFill="1" applyBorder="1" applyAlignment="1" applyProtection="1">
      <alignment horizontal="left" vertical="center" wrapText="1" indent="1"/>
    </xf>
    <xf numFmtId="0" fontId="46" fillId="7" borderId="41" xfId="0" applyFont="1" applyFill="1" applyBorder="1" applyAlignment="1">
      <alignment horizontal="center"/>
    </xf>
    <xf numFmtId="0" fontId="64" fillId="7" borderId="61" xfId="0" applyFont="1" applyFill="1" applyBorder="1" applyAlignment="1">
      <alignment horizontal="right" vertical="center" indent="3"/>
    </xf>
    <xf numFmtId="0" fontId="64" fillId="7" borderId="62" xfId="0" applyFont="1" applyFill="1" applyBorder="1" applyAlignment="1">
      <alignment horizontal="right" vertical="center" indent="3"/>
    </xf>
    <xf numFmtId="0" fontId="64" fillId="7" borderId="63" xfId="0" applyFont="1" applyFill="1" applyBorder="1" applyAlignment="1">
      <alignment horizontal="right" vertical="center" indent="3"/>
    </xf>
    <xf numFmtId="0" fontId="6" fillId="7" borderId="64" xfId="0" applyFont="1" applyFill="1" applyBorder="1" applyAlignment="1">
      <alignment horizontal="center" vertical="center"/>
    </xf>
    <xf numFmtId="0" fontId="6" fillId="7" borderId="65" xfId="0" applyFont="1" applyFill="1" applyBorder="1" applyAlignment="1">
      <alignment horizontal="center" vertical="center"/>
    </xf>
    <xf numFmtId="0" fontId="6" fillId="7" borderId="66" xfId="0" applyFont="1" applyFill="1" applyBorder="1" applyAlignment="1">
      <alignment horizontal="center" vertical="center"/>
    </xf>
    <xf numFmtId="175" fontId="7" fillId="7" borderId="53" xfId="19" applyNumberFormat="1" applyFont="1" applyFill="1" applyBorder="1" applyAlignment="1" applyProtection="1">
      <alignment horizontal="center" vertical="center"/>
    </xf>
    <xf numFmtId="0" fontId="61" fillId="10" borderId="13" xfId="0" applyFont="1" applyFill="1" applyBorder="1" applyAlignment="1">
      <alignment horizontal="center" vertical="top"/>
    </xf>
    <xf numFmtId="0" fontId="46" fillId="7" borderId="40" xfId="0" applyFont="1" applyFill="1" applyBorder="1" applyAlignment="1">
      <alignment horizontal="center"/>
    </xf>
    <xf numFmtId="0" fontId="6" fillId="7" borderId="68" xfId="0" applyFont="1" applyFill="1" applyBorder="1" applyAlignment="1">
      <alignment horizontal="center" vertical="center"/>
    </xf>
    <xf numFmtId="0" fontId="6" fillId="7" borderId="69" xfId="0" applyFont="1" applyFill="1" applyBorder="1" applyAlignment="1">
      <alignment horizontal="center" vertical="center"/>
    </xf>
    <xf numFmtId="0" fontId="46" fillId="7" borderId="18" xfId="0" applyFont="1" applyFill="1" applyBorder="1" applyAlignment="1">
      <alignment horizontal="center" vertical="center"/>
    </xf>
    <xf numFmtId="0" fontId="46" fillId="7" borderId="46" xfId="0" applyFont="1" applyFill="1" applyBorder="1" applyAlignment="1">
      <alignment horizontal="center" vertical="center"/>
    </xf>
    <xf numFmtId="0" fontId="46" fillId="7" borderId="47" xfId="0" applyFont="1" applyFill="1" applyBorder="1" applyAlignment="1">
      <alignment horizontal="center" vertical="center"/>
    </xf>
    <xf numFmtId="0" fontId="46" fillId="7" borderId="25" xfId="0" applyFont="1" applyFill="1" applyBorder="1" applyAlignment="1">
      <alignment horizontal="center" vertical="center"/>
    </xf>
    <xf numFmtId="166" fontId="7" fillId="7" borderId="44" xfId="1" applyFont="1" applyFill="1" applyBorder="1" applyAlignment="1" applyProtection="1">
      <alignment horizontal="left"/>
    </xf>
    <xf numFmtId="166" fontId="7" fillId="7" borderId="42" xfId="1" applyFont="1" applyFill="1" applyBorder="1" applyAlignment="1" applyProtection="1">
      <alignment horizontal="left"/>
    </xf>
    <xf numFmtId="166" fontId="7" fillId="7" borderId="45" xfId="1" applyFont="1" applyFill="1" applyBorder="1" applyAlignment="1" applyProtection="1">
      <alignment horizontal="left"/>
    </xf>
    <xf numFmtId="0" fontId="46" fillId="7" borderId="11" xfId="0" applyFont="1" applyFill="1" applyBorder="1" applyAlignment="1">
      <alignment horizontal="center" vertical="center" wrapText="1"/>
    </xf>
    <xf numFmtId="0" fontId="46" fillId="7" borderId="15" xfId="0" applyFont="1" applyFill="1" applyBorder="1" applyAlignment="1">
      <alignment horizontal="center" vertical="center" wrapText="1"/>
    </xf>
    <xf numFmtId="0" fontId="46" fillId="7" borderId="11" xfId="0" applyFont="1" applyFill="1" applyBorder="1" applyAlignment="1">
      <alignment horizontal="center" vertical="center"/>
    </xf>
    <xf numFmtId="0" fontId="46" fillId="7" borderId="15" xfId="0" applyFont="1" applyFill="1" applyBorder="1" applyAlignment="1">
      <alignment horizontal="center" vertical="center"/>
    </xf>
    <xf numFmtId="49" fontId="46" fillId="7" borderId="11" xfId="0" applyNumberFormat="1" applyFont="1" applyFill="1" applyBorder="1" applyAlignment="1">
      <alignment horizontal="center" vertical="center"/>
    </xf>
    <xf numFmtId="49" fontId="46" fillId="7" borderId="12" xfId="0" applyNumberFormat="1" applyFont="1" applyFill="1" applyBorder="1" applyAlignment="1">
      <alignment horizontal="center" vertical="center"/>
    </xf>
    <xf numFmtId="49" fontId="46" fillId="7" borderId="15" xfId="0" applyNumberFormat="1" applyFont="1" applyFill="1" applyBorder="1" applyAlignment="1">
      <alignment horizontal="center" vertical="center"/>
    </xf>
    <xf numFmtId="49" fontId="46" fillId="7" borderId="11" xfId="0" applyNumberFormat="1" applyFont="1" applyFill="1" applyBorder="1" applyAlignment="1">
      <alignment horizontal="center" vertical="center" wrapText="1"/>
    </xf>
    <xf numFmtId="49" fontId="46" fillId="7" borderId="15" xfId="0" applyNumberFormat="1" applyFont="1" applyFill="1" applyBorder="1" applyAlignment="1">
      <alignment horizontal="center" vertical="center" wrapText="1"/>
    </xf>
    <xf numFmtId="0" fontId="7" fillId="7" borderId="0" xfId="10" applyFont="1" applyFill="1" applyAlignment="1" applyProtection="1">
      <alignment horizontal="left" vertical="center"/>
    </xf>
    <xf numFmtId="0" fontId="15" fillId="7" borderId="0" xfId="10" applyFill="1" applyAlignment="1" applyProtection="1">
      <alignment horizontal="left" vertical="center"/>
    </xf>
    <xf numFmtId="0" fontId="7" fillId="6" borderId="0" xfId="0" applyFont="1" applyFill="1" applyAlignment="1" applyProtection="1">
      <alignment horizontal="center" vertical="center"/>
      <protection locked="0"/>
    </xf>
    <xf numFmtId="0" fontId="57" fillId="7" borderId="0" xfId="0" applyFont="1" applyFill="1" applyAlignment="1">
      <alignment horizontal="left" vertical="center" wrapText="1"/>
    </xf>
    <xf numFmtId="0" fontId="53" fillId="7" borderId="0" xfId="0" applyFont="1" applyFill="1" applyAlignment="1">
      <alignment horizontal="left" vertical="center" wrapText="1"/>
    </xf>
    <xf numFmtId="0" fontId="57" fillId="7" borderId="0" xfId="0" applyFont="1" applyFill="1" applyAlignment="1">
      <alignment horizontal="left" vertical="center"/>
    </xf>
    <xf numFmtId="172" fontId="40" fillId="6" borderId="0" xfId="3" applyNumberFormat="1" applyFont="1" applyFill="1" applyAlignment="1" applyProtection="1">
      <alignment horizontal="center" vertical="center" wrapText="1"/>
    </xf>
    <xf numFmtId="0" fontId="12" fillId="6" borderId="0" xfId="0" applyFont="1" applyFill="1" applyAlignment="1" applyProtection="1">
      <alignment horizontal="center" vertical="center" wrapText="1"/>
      <protection locked="0"/>
    </xf>
    <xf numFmtId="0" fontId="12" fillId="6" borderId="0" xfId="0" applyFont="1" applyFill="1" applyAlignment="1" applyProtection="1">
      <alignment horizontal="center" vertical="center"/>
      <protection locked="0"/>
    </xf>
    <xf numFmtId="0" fontId="19" fillId="7" borderId="27" xfId="0" applyFont="1" applyFill="1" applyBorder="1" applyAlignment="1">
      <alignment horizontal="center" vertical="center" wrapText="1"/>
    </xf>
    <xf numFmtId="0" fontId="19" fillId="7" borderId="28" xfId="0" applyFont="1" applyFill="1" applyBorder="1" applyAlignment="1">
      <alignment horizontal="center" vertical="center" wrapText="1"/>
    </xf>
    <xf numFmtId="0" fontId="12" fillId="7" borderId="30" xfId="0" applyFont="1" applyFill="1" applyBorder="1" applyAlignment="1">
      <alignment horizontal="center" vertical="center" wrapText="1"/>
    </xf>
    <xf numFmtId="0" fontId="12" fillId="7" borderId="31" xfId="0" applyFont="1" applyFill="1" applyBorder="1" applyAlignment="1">
      <alignment horizontal="center" vertical="center" wrapText="1"/>
    </xf>
    <xf numFmtId="0" fontId="12" fillId="7" borderId="32" xfId="0" applyFont="1" applyFill="1" applyBorder="1" applyAlignment="1">
      <alignment horizontal="center" vertical="center" wrapText="1"/>
    </xf>
    <xf numFmtId="0" fontId="19" fillId="7" borderId="30" xfId="0" applyFont="1" applyFill="1" applyBorder="1" applyAlignment="1">
      <alignment horizontal="center" vertical="center" wrapText="1"/>
    </xf>
    <xf numFmtId="0" fontId="19" fillId="7" borderId="31" xfId="0" applyFont="1" applyFill="1" applyBorder="1" applyAlignment="1">
      <alignment horizontal="center" vertical="center" wrapText="1"/>
    </xf>
    <xf numFmtId="0" fontId="19" fillId="7" borderId="32" xfId="0" applyFont="1" applyFill="1" applyBorder="1" applyAlignment="1">
      <alignment horizontal="center" vertical="center" wrapText="1"/>
    </xf>
    <xf numFmtId="167" fontId="12" fillId="7" borderId="30" xfId="9" applyFont="1" applyFill="1" applyBorder="1" applyAlignment="1" applyProtection="1">
      <alignment horizontal="center" vertical="center"/>
    </xf>
    <xf numFmtId="167" fontId="12" fillId="7" borderId="32" xfId="9" applyFont="1" applyFill="1" applyBorder="1" applyAlignment="1" applyProtection="1">
      <alignment horizontal="center" vertical="center"/>
    </xf>
    <xf numFmtId="0" fontId="12" fillId="7" borderId="33" xfId="9" applyNumberFormat="1" applyFont="1" applyFill="1" applyBorder="1" applyAlignment="1" applyProtection="1">
      <alignment horizontal="center" vertical="center"/>
    </xf>
    <xf numFmtId="0" fontId="12" fillId="7" borderId="34" xfId="9" applyNumberFormat="1" applyFont="1" applyFill="1" applyBorder="1" applyAlignment="1" applyProtection="1">
      <alignment horizontal="center" vertical="center"/>
    </xf>
    <xf numFmtId="0" fontId="12" fillId="7" borderId="35" xfId="9" applyNumberFormat="1" applyFont="1" applyFill="1" applyBorder="1" applyAlignment="1" applyProtection="1">
      <alignment horizontal="center" vertical="center"/>
    </xf>
    <xf numFmtId="0" fontId="12" fillId="7" borderId="27" xfId="9" applyNumberFormat="1" applyFont="1" applyFill="1" applyBorder="1" applyAlignment="1" applyProtection="1">
      <alignment horizontal="center" vertical="center"/>
    </xf>
    <xf numFmtId="0" fontId="12" fillId="7" borderId="28" xfId="9" applyNumberFormat="1" applyFont="1" applyFill="1" applyBorder="1" applyAlignment="1" applyProtection="1">
      <alignment horizontal="center" vertical="center"/>
    </xf>
    <xf numFmtId="0" fontId="12" fillId="7" borderId="36" xfId="9" applyNumberFormat="1" applyFont="1" applyFill="1" applyBorder="1" applyAlignment="1" applyProtection="1">
      <alignment horizontal="center" vertical="center"/>
    </xf>
    <xf numFmtId="166" fontId="67" fillId="7" borderId="20" xfId="1" applyFont="1" applyFill="1" applyBorder="1" applyAlignment="1" applyProtection="1">
      <alignment horizontal="center" vertical="top" wrapText="1"/>
    </xf>
    <xf numFmtId="166" fontId="67" fillId="7" borderId="21" xfId="1" applyFont="1" applyFill="1" applyBorder="1" applyAlignment="1" applyProtection="1">
      <alignment horizontal="center" vertical="top" wrapText="1"/>
    </xf>
    <xf numFmtId="166" fontId="67" fillId="7" borderId="22" xfId="1" applyFont="1" applyFill="1" applyBorder="1" applyAlignment="1" applyProtection="1">
      <alignment horizontal="center" vertical="top" wrapText="1"/>
    </xf>
    <xf numFmtId="166" fontId="67" fillId="7" borderId="23" xfId="1" applyFont="1" applyFill="1" applyBorder="1" applyAlignment="1" applyProtection="1">
      <alignment horizontal="center" vertical="top" wrapText="1"/>
    </xf>
    <xf numFmtId="166" fontId="67" fillId="7" borderId="24" xfId="1" applyFont="1" applyFill="1" applyBorder="1" applyAlignment="1" applyProtection="1">
      <alignment horizontal="center" vertical="top" wrapText="1"/>
    </xf>
    <xf numFmtId="166" fontId="67" fillId="7" borderId="25" xfId="1" applyFont="1" applyFill="1" applyBorder="1" applyAlignment="1" applyProtection="1">
      <alignment horizontal="center" vertical="top" wrapText="1"/>
    </xf>
    <xf numFmtId="0" fontId="89" fillId="0" borderId="97" xfId="0" applyFont="1" applyBorder="1" applyAlignment="1">
      <alignment horizontal="left" vertical="center" indent="4"/>
    </xf>
  </cellXfs>
  <cellStyles count="21">
    <cellStyle name="40% - Accent1 2" xfId="13" xr:uid="{7A63DF8D-38E7-4680-AB20-8E2277382B52}"/>
    <cellStyle name="Accent1 2" xfId="12" xr:uid="{20D1C404-1A4F-433B-AC2E-0CF5EFE664F6}"/>
    <cellStyle name="Accent2" xfId="2" builtinId="33"/>
    <cellStyle name="Comma" xfId="9" builtinId="3"/>
    <cellStyle name="Comma 2" xfId="5" xr:uid="{425421DD-6591-4F03-B433-142064F5295C}"/>
    <cellStyle name="Currency" xfId="1" builtinId="4"/>
    <cellStyle name="Currency [0]" xfId="19" builtinId="7"/>
    <cellStyle name="Currency [0] 2" xfId="20" xr:uid="{11EFB706-2934-ED43-93F3-EBD620EEA2CE}"/>
    <cellStyle name="Currency 2" xfId="7" xr:uid="{25CAE9B4-DEEA-4317-A2AF-DC86B4BCA924}"/>
    <cellStyle name="Currency 21" xfId="17" xr:uid="{377B2D35-1053-4669-B7D7-9D4AF0F9324C}"/>
    <cellStyle name="Currency 3" xfId="11" xr:uid="{ACD0937C-BB43-4C29-8B41-66CC2D2EB3F2}"/>
    <cellStyle name="Currency 3 2" xfId="18" xr:uid="{EFE82977-8A38-4103-AAAB-2A9E06635955}"/>
    <cellStyle name="Hyperlink" xfId="10" builtinId="8"/>
    <cellStyle name="Normal" xfId="0" builtinId="0"/>
    <cellStyle name="Normal 11" xfId="16" xr:uid="{8D103AAE-1690-40F1-9223-EE53148BB103}"/>
    <cellStyle name="Normal 2" xfId="4" xr:uid="{F7FA3648-D706-46A8-9533-0BCC65E0FC45}"/>
    <cellStyle name="Normal 2 2" xfId="8" xr:uid="{68C07199-29E0-4F8E-8B9C-1098B51346DE}"/>
    <cellStyle name="Normal 2 2 2" xfId="15" xr:uid="{DE79A94A-F785-416C-B428-81899EF450C2}"/>
    <cellStyle name="Normal 2 3" xfId="14" xr:uid="{55B4E8D0-0735-4FEE-A84F-8CB43F3D7095}"/>
    <cellStyle name="Percent" xfId="3" builtinId="5"/>
    <cellStyle name="Percent 2" xfId="6" xr:uid="{549B18A8-D923-439A-B92A-50510663946F}"/>
  </cellStyles>
  <dxfs count="94">
    <dxf>
      <font>
        <color rgb="FF9C0006"/>
      </font>
    </dxf>
    <dxf>
      <font>
        <color rgb="FFFF0000"/>
      </font>
      <fill>
        <patternFill>
          <bgColor rgb="FFFFFF00"/>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ill>
        <patternFill patternType="solid">
          <fgColor indexed="64"/>
          <bgColor theme="7" tint="0.79998168889431442"/>
        </patternFill>
      </fill>
      <alignment horizontal="general"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color rgb="FF9C0006"/>
      </font>
      <fill>
        <patternFill>
          <bgColor rgb="FFFFC7CE"/>
        </patternFill>
      </fill>
    </dxf>
    <dxf>
      <font>
        <color theme="0"/>
      </font>
      <fill>
        <patternFill>
          <bgColor rgb="FFC00000"/>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67" formatCode="_-* #,##0.00_-;\-* #,##0.00_-;_-* &quot;-&quot;??_-;_-@_-"/>
      <fill>
        <patternFill patternType="none">
          <fgColor indexed="64"/>
          <bgColor auto="1"/>
        </patternFill>
      </fill>
    </dxf>
    <dxf>
      <font>
        <b val="0"/>
      </font>
      <numFmt numFmtId="13" formatCode="0%"/>
      <fill>
        <patternFill patternType="none">
          <fgColor indexed="64"/>
          <bgColor auto="1"/>
        </patternFill>
      </fill>
    </dxf>
    <dxf>
      <font>
        <b val="0"/>
      </font>
      <numFmt numFmtId="167" formatCode="_-* #,##0.00_-;\-* #,##0.00_-;_-* &quot;-&quot;??_-;_-@_-"/>
      <fill>
        <patternFill patternType="none">
          <fgColor indexed="64"/>
          <bgColor auto="1"/>
        </patternFill>
      </fill>
    </dxf>
    <dxf>
      <numFmt numFmtId="0" formatCode="General"/>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numFmt numFmtId="167" formatCode="_-* #,##0.00_-;\-* #,##0.00_-;_-* &quot;-&quot;??_-;_-@_-"/>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font>
      <fill>
        <patternFill patternType="none">
          <fgColor indexed="64"/>
          <bgColor auto="1"/>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9C0006"/>
      </font>
      <fill>
        <patternFill>
          <bgColor rgb="FFFFC7CE"/>
        </patternFill>
      </fill>
    </dxf>
    <dxf>
      <font>
        <color rgb="FFEFF0FF"/>
      </font>
      <fill>
        <patternFill>
          <bgColor rgb="FFEFF0FF"/>
        </patternFill>
      </fill>
    </dxf>
    <dxf>
      <font>
        <color rgb="FFEFF0FF"/>
      </font>
      <fill>
        <patternFill>
          <bgColor rgb="FFEFF0FF"/>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9C0006"/>
      </font>
      <fill>
        <patternFill>
          <bgColor rgb="FFFFC7CE"/>
        </patternFill>
      </fill>
    </dxf>
    <dxf>
      <font>
        <color rgb="FFEFF0FF"/>
      </font>
      <fill>
        <patternFill>
          <bgColor rgb="FFEFF0FF"/>
        </patternFill>
      </fill>
    </dxf>
    <dxf>
      <font>
        <color rgb="FFEFF0FF"/>
      </font>
      <fill>
        <patternFill>
          <bgColor rgb="FFEFF0FF"/>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theme="0"/>
      </font>
      <fill>
        <patternFill>
          <fgColor rgb="FF3E00FF"/>
        </patternFill>
      </fill>
    </dxf>
    <dxf>
      <fill>
        <patternFill>
          <fgColor rgb="FF3E00FF"/>
        </patternFill>
      </fill>
    </dxf>
  </dxfs>
  <tableStyles count="2" defaultTableStyle="TableStyleMedium2" defaultPivotStyle="PivotStyleLight16">
    <tableStyle name="Table Style 1" pivot="0" count="1" xr9:uid="{D5F99D5C-A365-422A-B65B-40AF2600766E}">
      <tableStyleElement type="wholeTable" dxfId="93"/>
    </tableStyle>
    <tableStyle name="Table Style 2" pivot="0" count="1" xr9:uid="{DC9D1D28-AF45-4FBB-922F-80ADC4538B3D}">
      <tableStyleElement type="firstColumnStripe" dxfId="92"/>
    </tableStyle>
  </tableStyles>
  <colors>
    <mruColors>
      <color rgb="FF3E00FF"/>
      <color rgb="FFDEE0FE"/>
      <color rgb="FFBCBFFC"/>
      <color rgb="FFEFF0FF"/>
      <color rgb="FFFFE7E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 Id="rId30" Type="http://schemas.microsoft.com/office/2023/09/relationships/Python" Target="pytho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E7AB5D-0122-457A-8C1E-4733F1B685DC}" autoFormatId="16" applyNumberFormats="0" applyBorderFormats="0" applyFontFormats="0" applyPatternFormats="0" applyAlignmentFormats="0" applyWidthHeightFormats="0">
  <queryTableRefresh nextId="6" unboundColumnsRight="1">
    <queryTableFields count="4">
      <queryTableField id="1" name="displayName" tableColumnId="1"/>
      <queryTableField id="2" name="mail" tableColumnId="2"/>
      <queryTableField id="3" name="userType" tableColumnId="3"/>
      <queryTableField id="4" dataBound="0" tableColumnId="4"/>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713EEE-8715-43A4-B82F-0DE4609E348D}" name="CostRateTbl" displayName="CostRateTbl" ref="A4:O279" totalsRowShown="0" headerRowDxfId="35" dataDxfId="34">
  <autoFilter ref="A4:O279" xr:uid="{93713EEE-8715-43A4-B82F-0DE4609E348D}"/>
  <sortState xmlns:xlrd2="http://schemas.microsoft.com/office/spreadsheetml/2017/richdata2" ref="A175:O279">
    <sortCondition ref="B4:B279"/>
  </sortState>
  <tableColumns count="15">
    <tableColumn id="3" xr3:uid="{66C56F04-EBC5-4B95-A147-3399FE5C0108}" name="Org Unit" dataDxfId="33"/>
    <tableColumn id="1" xr3:uid="{3C380BE5-5499-42AC-8892-3D61E9E0606E}" name="Service Line" dataDxfId="32"/>
    <tableColumn id="2" xr3:uid="{9418ECE3-038F-4E6F-B701-AEA763587C52}" name="Role" dataDxfId="31"/>
    <tableColumn id="4" xr3:uid="{77611C73-F94E-4D10-A0AF-AE43E9FC3EDF}" name="Cost Rate" dataDxfId="30"/>
    <tableColumn id="16" xr3:uid="{11890ACD-F1AA-4640-A08C-542BC21FD105}" name="Estimated" dataDxfId="29"/>
    <tableColumn id="17" xr3:uid="{25A7F205-306E-44A5-A19A-05B6AE1B2AA1}" name="Actual Resource" dataDxfId="28"/>
    <tableColumn id="7" xr3:uid="{E3EC13A8-BA84-4E2E-8B38-5E1ED0E51B07}" name="KeyCostRate" dataDxfId="27">
      <calculatedColumnFormula>_xlfn.CONCAT(CostRateTbl[[#This Row],[Org Unit]],CostRateTbl[[#This Row],[Service Line]],CostRateTbl[[#This Row],[Role]],CostRateTbl[[#This Row],[BluePrint]])</calculatedColumnFormula>
    </tableColumn>
    <tableColumn id="13" xr3:uid="{85E95F99-4502-4514-B5E8-DACF75D7BC09}" name="CountryCode" dataDxfId="26">
      <calculatedColumnFormula>SUBSTITUTE(TRIM(CostRateTbl[[#This Row],[Org Unit]])," ","")</calculatedColumnFormula>
    </tableColumn>
    <tableColumn id="14" xr3:uid="{40CA4D61-4C52-4560-BC82-DFFE3720A82E}" name="SLCode" dataDxfId="25">
      <calculatedColumnFormula>_xlfn.CONCAT(H5,SUBSTITUTE(SUBSTITUTE(SUBSTITUTE(TRIM(CostRateTbl[[#This Row],[Service Line]]), "-", "")," ",""),"&amp;",""))</calculatedColumnFormula>
    </tableColumn>
    <tableColumn id="15" xr3:uid="{E98323A2-9B12-417A-8F15-31CF42ABB050}" name="RoleCode" dataDxfId="24">
      <calculatedColumnFormula>_xlfn.CONCAT(I5,SUBSTITUTE(SUBSTITUTE(SUBSTITUTE(TRIM(CostRateTbl[[#This Row],[Role]]),"-", "")," ",""),"&amp;",""))</calculatedColumnFormula>
    </tableColumn>
    <tableColumn id="6" xr3:uid="{CCFF9DCC-3395-481D-9F04-2A87EBE3FDD3}" name="BluePrint" dataDxfId="23"/>
    <tableColumn id="8" xr3:uid="{EA5CB55F-89C8-4A82-9C45-A04EA5CD29DE}" name="CostRateDefault" dataDxfId="22"/>
    <tableColumn id="10" xr3:uid="{42A8690F-FBE2-467B-BD24-88B63412DEC8}" name="SLHabilitada" dataDxfId="21"/>
    <tableColumn id="11" xr3:uid="{6721CD7F-74BF-4C2C-9F8E-98BC2DFDAC63}" name="CountryHabilitado" dataDxfId="20"/>
    <tableColumn id="12" xr3:uid="{CED90F83-DE73-41ED-A7BA-FC3CDC701A34}" name="Observaciones" dataDxfId="1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A675300-D758-4079-B212-CEBED35A29D6}" name="Usuarios" displayName="Usuarios" ref="A1:D134" tableType="queryTable" totalsRowShown="0" headerRowDxfId="16" dataDxfId="15">
  <autoFilter ref="A1:D134" xr:uid="{0A675300-D758-4079-B212-CEBED35A29D6}"/>
  <tableColumns count="4">
    <tableColumn id="1" xr3:uid="{C16366FC-5D2B-49B5-ABF4-F8BD93BDCC2C}" uniqueName="1" name="name" queryTableFieldId="1" dataDxfId="14"/>
    <tableColumn id="2" xr3:uid="{6383B6FF-87C3-4371-BA7C-5CF24CDB58E7}" uniqueName="2" name="mail" queryTableFieldId="2" dataDxfId="13"/>
    <tableColumn id="3" xr3:uid="{23AB4070-E632-45DD-9CA6-8F2A48515F2B}" uniqueName="3" name="userType" queryTableFieldId="3" dataDxfId="12"/>
    <tableColumn id="4" xr3:uid="{84638716-6A6A-0346-A9B8-5620827E7FDD}" uniqueName="4" name="region" queryTableFieldId="4" dataDxfId="1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solutions-catalog.softwareone.com/solutions"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s://solutions-catalog.softwareone.com/solutions" TargetMode="Externa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hyperlink" Target="https://softwareone-internal.atlassian.net/wiki/spaces/APS/pages/17851352080/2024+Toolset+for+Delivery+projects"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cpa-services.domain.global/Taxes/WhtMatrix" TargetMode="External"/><Relationship Id="rId1" Type="http://schemas.openxmlformats.org/officeDocument/2006/relationships/hyperlink" Target="https://cpa-services.domain.global/Taxes/WhtTechnicalServices"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mailto:alberto.medina@softwareone.com" TargetMode="External"/><Relationship Id="rId1" Type="http://schemas.openxmlformats.org/officeDocument/2006/relationships/hyperlink" Target="mailto:andres.mendez@softwareone.com" TargetMode="Externa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hyperlink" Target="../../../../../../../:f:/r/sites/Pre-SalesLatam/DWP/Security/1.%20Soporte%20-%20Unified%20Support%20for%20Security%20%26%20EDR-XDR?csf=1&amp;web=1&amp;e=fex3Xx" TargetMode="External"/><Relationship Id="rId1" Type="http://schemas.openxmlformats.org/officeDocument/2006/relationships/hyperlink" Target="../../../../../../../:f:/r/sites/Pre-SalesLatam/DWP/Security/6.%20Soporte%20-%20All%20in%20One%20Azure%20Sec?csf=1&amp;web=1&amp;e=y0rV5J" TargetMode="External"/><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17" Type="http://schemas.openxmlformats.org/officeDocument/2006/relationships/hyperlink" Target="https://azure.microsoft.com/services/digital-twins" TargetMode="External"/><Relationship Id="rId299" Type="http://schemas.openxmlformats.org/officeDocument/2006/relationships/hyperlink" Target="https://learn.microsoft.com/en-us/azure/virtual-machine-scale-sets/overview" TargetMode="External"/><Relationship Id="rId21" Type="http://schemas.openxmlformats.org/officeDocument/2006/relationships/hyperlink" Target="https://azure.microsoft.com/services/time-series-insights" TargetMode="External"/><Relationship Id="rId63" Type="http://schemas.openxmlformats.org/officeDocument/2006/relationships/hyperlink" Target="https://aws.amazon.com/ecr" TargetMode="External"/><Relationship Id="rId159" Type="http://schemas.openxmlformats.org/officeDocument/2006/relationships/hyperlink" Target="https://aws.amazon.com/kinesis/" TargetMode="External"/><Relationship Id="rId324" Type="http://schemas.openxmlformats.org/officeDocument/2006/relationships/hyperlink" Target="https://azure.microsoft.com/services/storage/databox/" TargetMode="External"/><Relationship Id="rId170" Type="http://schemas.openxmlformats.org/officeDocument/2006/relationships/hyperlink" Target="https://aws.amazon.com/mobileanalytics" TargetMode="External"/><Relationship Id="rId226" Type="http://schemas.openxmlformats.org/officeDocument/2006/relationships/hyperlink" Target="https://azure.microsoft.com/blog/internals-of-app-service-certificate" TargetMode="External"/><Relationship Id="rId268" Type="http://schemas.openxmlformats.org/officeDocument/2006/relationships/hyperlink" Target="https://learn.microsoft.com/en-us/azure/virtual-desktop" TargetMode="External"/><Relationship Id="rId32" Type="http://schemas.openxmlformats.org/officeDocument/2006/relationships/hyperlink" Target="https://aws.amazon.com/kinesis/data-analytics" TargetMode="External"/><Relationship Id="rId74" Type="http://schemas.openxmlformats.org/officeDocument/2006/relationships/hyperlink" Target="https://aws.amazon.com/rds/aurora/serverless" TargetMode="External"/><Relationship Id="rId128" Type="http://schemas.openxmlformats.org/officeDocument/2006/relationships/hyperlink" Target="https://aws.amazon.com/console" TargetMode="External"/><Relationship Id="rId335" Type="http://schemas.openxmlformats.org/officeDocument/2006/relationships/hyperlink" Target="https://aws.amazon.com/appstream2" TargetMode="External"/><Relationship Id="rId5" Type="http://schemas.openxmlformats.org/officeDocument/2006/relationships/hyperlink" Target="https://developer.amazon.com/alexa/alexa-skills-kit" TargetMode="External"/><Relationship Id="rId181" Type="http://schemas.openxmlformats.org/officeDocument/2006/relationships/hyperlink" Target="https://azure.microsoft.com/services/traffic-manager" TargetMode="External"/><Relationship Id="rId237" Type="http://schemas.openxmlformats.org/officeDocument/2006/relationships/hyperlink" Target="https://aws.amazon.com/efs/" TargetMode="External"/><Relationship Id="rId279" Type="http://schemas.openxmlformats.org/officeDocument/2006/relationships/hyperlink" Target="https://azure.microsoft.com/services/logic-apps" TargetMode="External"/><Relationship Id="rId43" Type="http://schemas.openxmlformats.org/officeDocument/2006/relationships/hyperlink" Target="https://learn.microsoft.com/en-us/azure/synapse-analytics/overview-what-is" TargetMode="External"/><Relationship Id="rId139" Type="http://schemas.openxmlformats.org/officeDocument/2006/relationships/hyperlink" Target="https://learn.microsoft.com/en-us/azure/azure-monitor/app/app-insights-overview" TargetMode="External"/><Relationship Id="rId290" Type="http://schemas.openxmlformats.org/officeDocument/2006/relationships/hyperlink" Target="https://aws.amazon.com/timestream" TargetMode="External"/><Relationship Id="rId304" Type="http://schemas.openxmlformats.org/officeDocument/2006/relationships/hyperlink" Target="https://aws.amazon.com/lambda" TargetMode="External"/><Relationship Id="rId85" Type="http://schemas.openxmlformats.org/officeDocument/2006/relationships/hyperlink" Target="https://aws.amazon.com/dms" TargetMode="External"/><Relationship Id="rId150" Type="http://schemas.openxmlformats.org/officeDocument/2006/relationships/hyperlink" Target="https://learn.microsoft.com/en-us/azure/azure-resource-manager/managed-applications/overview" TargetMode="External"/><Relationship Id="rId192" Type="http://schemas.openxmlformats.org/officeDocument/2006/relationships/hyperlink" Target="https://docs.aws.amazon.com/vpc/latest/privatelink/vpc-endpoints.html" TargetMode="External"/><Relationship Id="rId206" Type="http://schemas.openxmlformats.org/officeDocument/2006/relationships/hyperlink" Target="https://aws.amazon.com/iam/features/mfa" TargetMode="External"/><Relationship Id="rId248" Type="http://schemas.openxmlformats.org/officeDocument/2006/relationships/hyperlink" Target="https://learn.microsoft.com/en-us/azure/storage/files/storage-sync-files-planning" TargetMode="External"/><Relationship Id="rId12" Type="http://schemas.openxmlformats.org/officeDocument/2006/relationships/hyperlink" Target="https://aws.amazon.com/rekognition" TargetMode="External"/><Relationship Id="rId108" Type="http://schemas.openxmlformats.org/officeDocument/2006/relationships/hyperlink" Target="https://learn.microsoft.com/en-us/azure/azure-resource-manager/bicep/overview" TargetMode="External"/><Relationship Id="rId315" Type="http://schemas.openxmlformats.org/officeDocument/2006/relationships/hyperlink" Target="https://aws.amazon.com/xray/" TargetMode="External"/><Relationship Id="rId54" Type="http://schemas.openxmlformats.org/officeDocument/2006/relationships/hyperlink" Target="https://aws.amazon.com/ebs" TargetMode="External"/><Relationship Id="rId96" Type="http://schemas.openxmlformats.org/officeDocument/2006/relationships/hyperlink" Target="https://github.com/features/actions" TargetMode="External"/><Relationship Id="rId161" Type="http://schemas.openxmlformats.org/officeDocument/2006/relationships/hyperlink" Target="https://docs.aws.amazon.com/amazon-mq" TargetMode="External"/><Relationship Id="rId217" Type="http://schemas.openxmlformats.org/officeDocument/2006/relationships/hyperlink" Target="https://learn.microsoft.com/en-us/azure/storage/storage-service-encryption" TargetMode="External"/><Relationship Id="rId259" Type="http://schemas.openxmlformats.org/officeDocument/2006/relationships/hyperlink" Target="https://azure.microsoft.com/services/frontdoor" TargetMode="External"/><Relationship Id="rId23" Type="http://schemas.openxmlformats.org/officeDocument/2006/relationships/hyperlink" Target="https://aws.amazon.com/emr" TargetMode="External"/><Relationship Id="rId119" Type="http://schemas.openxmlformats.org/officeDocument/2006/relationships/hyperlink" Target="https://learn.microsoft.com/en-us/azure/governance/management-groups" TargetMode="External"/><Relationship Id="rId270" Type="http://schemas.openxmlformats.org/officeDocument/2006/relationships/hyperlink" Target="https://learn.microsoft.com/en-us/azure/active-directory/app-proxy/application-proxy" TargetMode="External"/><Relationship Id="rId326" Type="http://schemas.openxmlformats.org/officeDocument/2006/relationships/hyperlink" Target="https://learn.microsoft.com/en-us/azure/virtual-desktop" TargetMode="External"/><Relationship Id="rId65" Type="http://schemas.openxmlformats.org/officeDocument/2006/relationships/hyperlink" Target="https://aws.amazon.com/eks" TargetMode="External"/><Relationship Id="rId130" Type="http://schemas.openxmlformats.org/officeDocument/2006/relationships/hyperlink" Target="https://aws.amazon.com/application-discovery" TargetMode="External"/><Relationship Id="rId172" Type="http://schemas.openxmlformats.org/officeDocument/2006/relationships/hyperlink" Target="https://aws.amazon.com/vpc" TargetMode="External"/><Relationship Id="rId228" Type="http://schemas.openxmlformats.org/officeDocument/2006/relationships/hyperlink" Target="https://azure.microsoft.com/products/microsoft-sentinel/" TargetMode="External"/><Relationship Id="rId281" Type="http://schemas.openxmlformats.org/officeDocument/2006/relationships/hyperlink" Target="https://azure.microsoft.com/overview/azure-stack" TargetMode="External"/><Relationship Id="rId337" Type="http://schemas.openxmlformats.org/officeDocument/2006/relationships/hyperlink" Target="https://products.office.com/" TargetMode="External"/><Relationship Id="rId34" Type="http://schemas.openxmlformats.org/officeDocument/2006/relationships/hyperlink" Target="https://azure.microsoft.com/services/data-explorer" TargetMode="External"/><Relationship Id="rId76" Type="http://schemas.openxmlformats.org/officeDocument/2006/relationships/hyperlink" Target="https://learn.microsoft.com/en-us/azure/synapse-analytics/sql/on-demand-workspace-overview" TargetMode="External"/><Relationship Id="rId141" Type="http://schemas.openxmlformats.org/officeDocument/2006/relationships/hyperlink" Target="https://learn.microsoft.com/en-us/azure/azure-monitor/app/change-analysis" TargetMode="External"/><Relationship Id="rId7" Type="http://schemas.openxmlformats.org/officeDocument/2006/relationships/hyperlink" Target="https://aws.amazon.com/lex" TargetMode="External"/><Relationship Id="rId183" Type="http://schemas.openxmlformats.org/officeDocument/2006/relationships/hyperlink" Target="https://azure.microsoft.com/services/expressroute" TargetMode="External"/><Relationship Id="rId239" Type="http://schemas.openxmlformats.org/officeDocument/2006/relationships/hyperlink" Target="https://aws.amazon.com/s3/storage-classes" TargetMode="External"/><Relationship Id="rId250" Type="http://schemas.openxmlformats.org/officeDocument/2006/relationships/hyperlink" Target="https://learn.microsoft.com/en-us/azure/storage/common/storage-import-export-service" TargetMode="External"/><Relationship Id="rId292" Type="http://schemas.openxmlformats.org/officeDocument/2006/relationships/hyperlink" Target="https://aws.amazon.com/datapipeline" TargetMode="External"/><Relationship Id="rId306" Type="http://schemas.openxmlformats.org/officeDocument/2006/relationships/hyperlink" Target="https://learn.microsoft.com/en-us/azure/app-service/web-sites-create-web-jobs" TargetMode="External"/><Relationship Id="rId45" Type="http://schemas.openxmlformats.org/officeDocument/2006/relationships/hyperlink" Target="https://aws.amazon.com/ec2/instance-types" TargetMode="External"/><Relationship Id="rId87" Type="http://schemas.openxmlformats.org/officeDocument/2006/relationships/hyperlink" Target="https://azure.microsoft.com/services/monitor" TargetMode="External"/><Relationship Id="rId110" Type="http://schemas.openxmlformats.org/officeDocument/2006/relationships/hyperlink" Target="https://azure.microsoft.com/services/automation" TargetMode="External"/><Relationship Id="rId152" Type="http://schemas.openxmlformats.org/officeDocument/2006/relationships/hyperlink" Target="https://azure.microsoft.com/downloads" TargetMode="External"/><Relationship Id="rId194" Type="http://schemas.openxmlformats.org/officeDocument/2006/relationships/hyperlink" Target="https://docs.aws.amazon.com/vpc/latest/peering/what-is-vpc-peering.html" TargetMode="External"/><Relationship Id="rId208" Type="http://schemas.openxmlformats.org/officeDocument/2006/relationships/hyperlink" Target="https://aws.amazon.com/directoryservice" TargetMode="External"/><Relationship Id="rId240" Type="http://schemas.openxmlformats.org/officeDocument/2006/relationships/hyperlink" Target="https://learn.microsoft.com/en-us/azure/storage/blobs/access-tiers-overview" TargetMode="External"/><Relationship Id="rId261" Type="http://schemas.openxmlformats.org/officeDocument/2006/relationships/hyperlink" Target="https://learn.microsoft.com/en-us/azure/load-balancer/cross-region-overview" TargetMode="External"/><Relationship Id="rId14" Type="http://schemas.openxmlformats.org/officeDocument/2006/relationships/hyperlink" Target="https://developer.amazon.com/alexa/alexa-skills-kit" TargetMode="External"/><Relationship Id="rId35" Type="http://schemas.openxmlformats.org/officeDocument/2006/relationships/hyperlink" Target="https://azure.microsoft.com/services/data-lake-analytics" TargetMode="External"/><Relationship Id="rId56" Type="http://schemas.openxmlformats.org/officeDocument/2006/relationships/hyperlink" Target="https://docs.aws.amazon.com/AWSEC2/latest/UserGuide/InstanceStorage.html" TargetMode="External"/><Relationship Id="rId77" Type="http://schemas.openxmlformats.org/officeDocument/2006/relationships/hyperlink" Target="https://aws.amazon.com/dynamodb" TargetMode="External"/><Relationship Id="rId100" Type="http://schemas.openxmlformats.org/officeDocument/2006/relationships/hyperlink" Target="https://docs.aws.amazon.com/eks/latest/userguide/getting-started-eksctl.html" TargetMode="External"/><Relationship Id="rId282" Type="http://schemas.openxmlformats.org/officeDocument/2006/relationships/hyperlink" Target="https://aws.amazon.com/media-services" TargetMode="External"/><Relationship Id="rId317" Type="http://schemas.openxmlformats.org/officeDocument/2006/relationships/hyperlink" Target="https://azure.microsoft.com/services/devops/" TargetMode="External"/><Relationship Id="rId338" Type="http://schemas.openxmlformats.org/officeDocument/2006/relationships/hyperlink" Target="https://aws.amazon.com/workmail" TargetMode="External"/><Relationship Id="rId8" Type="http://schemas.openxmlformats.org/officeDocument/2006/relationships/hyperlink" Target="https://azure.microsoft.com/services/cognitive-services/speech" TargetMode="External"/><Relationship Id="rId98" Type="http://schemas.openxmlformats.org/officeDocument/2006/relationships/hyperlink" Target="https://learn.microsoft.com/en-us/cli/azure/install-azure-cli" TargetMode="External"/><Relationship Id="rId121" Type="http://schemas.openxmlformats.org/officeDocument/2006/relationships/hyperlink" Target="https://learn.microsoft.com/en-us/assessments/?mode=pre-assessment" TargetMode="External"/><Relationship Id="rId142" Type="http://schemas.openxmlformats.org/officeDocument/2006/relationships/hyperlink" Target="https://aws.amazon.com/aws-cost-management/aws-cost-explorer" TargetMode="External"/><Relationship Id="rId163" Type="http://schemas.openxmlformats.org/officeDocument/2006/relationships/hyperlink" Target="https://aws.amazon.com/blogs/aws/aws-mobile-hub-build-test-and-monitor-mobile-applications" TargetMode="External"/><Relationship Id="rId184" Type="http://schemas.openxmlformats.org/officeDocument/2006/relationships/hyperlink" Target="https://docs.aws.amazon.com/elasticloadbalancing/latest/network/introduction.html" TargetMode="External"/><Relationship Id="rId219" Type="http://schemas.openxmlformats.org/officeDocument/2006/relationships/hyperlink" Target="https://aws.amazon.com/waf" TargetMode="External"/><Relationship Id="rId230" Type="http://schemas.openxmlformats.org/officeDocument/2006/relationships/hyperlink" Target="https://servicetrust.microsoft.com/" TargetMode="External"/><Relationship Id="rId251" Type="http://schemas.openxmlformats.org/officeDocument/2006/relationships/hyperlink" Target="https://azure.microsoft.com/services/storage/databox/" TargetMode="External"/><Relationship Id="rId25" Type="http://schemas.openxmlformats.org/officeDocument/2006/relationships/hyperlink" Target="https://aws.amazon.com/emr" TargetMode="External"/><Relationship Id="rId46" Type="http://schemas.openxmlformats.org/officeDocument/2006/relationships/hyperlink" Target="https://azure.microsoft.com/services/virtual-machines" TargetMode="External"/><Relationship Id="rId67" Type="http://schemas.openxmlformats.org/officeDocument/2006/relationships/hyperlink" Target="https://aws.amazon.com/app-mesh" TargetMode="External"/><Relationship Id="rId272" Type="http://schemas.openxmlformats.org/officeDocument/2006/relationships/hyperlink" Target="https://azure.microsoft.com/services/logic-apps" TargetMode="External"/><Relationship Id="rId293" Type="http://schemas.openxmlformats.org/officeDocument/2006/relationships/hyperlink" Target="https://aws.amazon.com/kinesis/data-analytics" TargetMode="External"/><Relationship Id="rId307" Type="http://schemas.openxmlformats.org/officeDocument/2006/relationships/hyperlink" Target="https://azure.microsoft.com/services/sql-database" TargetMode="External"/><Relationship Id="rId328" Type="http://schemas.openxmlformats.org/officeDocument/2006/relationships/hyperlink" Target="https://learn.microsoft.com/en-us/azure/azure-resource-manager/management/overview" TargetMode="External"/><Relationship Id="rId88" Type="http://schemas.openxmlformats.org/officeDocument/2006/relationships/hyperlink" Target="https://aws.amazon.com/codedeploy" TargetMode="External"/><Relationship Id="rId111" Type="http://schemas.openxmlformats.org/officeDocument/2006/relationships/hyperlink" Target="https://aws.amazon.com/iot-core" TargetMode="External"/><Relationship Id="rId132" Type="http://schemas.openxmlformats.org/officeDocument/2006/relationships/hyperlink" Target="https://aws.amazon.com/systems-manager" TargetMode="External"/><Relationship Id="rId153" Type="http://schemas.openxmlformats.org/officeDocument/2006/relationships/hyperlink" Target="https://aws.amazon.com/sqs" TargetMode="External"/><Relationship Id="rId174" Type="http://schemas.openxmlformats.org/officeDocument/2006/relationships/hyperlink" Target="https://docs.aws.amazon.com/vpc/latest/userguide/vpc-nat-gateway.html" TargetMode="External"/><Relationship Id="rId195" Type="http://schemas.openxmlformats.org/officeDocument/2006/relationships/hyperlink" Target="https://azure.microsoft.com/resources/videos/virtual-network-vnet-peering" TargetMode="External"/><Relationship Id="rId209" Type="http://schemas.openxmlformats.org/officeDocument/2006/relationships/hyperlink" Target="https://azure.microsoft.com/services/active-directory-ds" TargetMode="External"/><Relationship Id="rId220" Type="http://schemas.openxmlformats.org/officeDocument/2006/relationships/hyperlink" Target="https://azure.microsoft.com/products/web-application-firewall" TargetMode="External"/><Relationship Id="rId241" Type="http://schemas.openxmlformats.org/officeDocument/2006/relationships/hyperlink" Target="https://aws.amazon.com/s3/storage-classes" TargetMode="External"/><Relationship Id="rId15" Type="http://schemas.openxmlformats.org/officeDocument/2006/relationships/hyperlink" Target="https://learn.microsoft.com/en-us/azure/bot-service/bot-builder-virtual-assistant-introduction?view=azure-bot-service-4.0&amp;preserve-view=true" TargetMode="External"/><Relationship Id="rId36" Type="http://schemas.openxmlformats.org/officeDocument/2006/relationships/hyperlink" Target="https://azure.microsoft.com/services/data-lake-store" TargetMode="External"/><Relationship Id="rId57" Type="http://schemas.openxmlformats.org/officeDocument/2006/relationships/hyperlink" Target="https://learn.microsoft.com/en-us/archive/blogs/mast/understanding-the-temporary-drive-on-windows-azure-virtual-machines" TargetMode="External"/><Relationship Id="rId262" Type="http://schemas.openxmlformats.org/officeDocument/2006/relationships/hyperlink" Target="https://aws.amazon.com/lightsail" TargetMode="External"/><Relationship Id="rId283" Type="http://schemas.openxmlformats.org/officeDocument/2006/relationships/hyperlink" Target="https://azure.microsoft.com/services/media-services" TargetMode="External"/><Relationship Id="rId318" Type="http://schemas.openxmlformats.org/officeDocument/2006/relationships/hyperlink" Target="https://aws.amazon.com/codebuild" TargetMode="External"/><Relationship Id="rId339" Type="http://schemas.openxmlformats.org/officeDocument/2006/relationships/hyperlink" Target="https://aws.amazon.com/workdocs" TargetMode="External"/><Relationship Id="rId78" Type="http://schemas.openxmlformats.org/officeDocument/2006/relationships/hyperlink" Target="https://aws.amazon.com/simpledb/" TargetMode="External"/><Relationship Id="rId99" Type="http://schemas.openxmlformats.org/officeDocument/2006/relationships/hyperlink" Target="https://learn.microsoft.com/en-us/powershell/azure/overview" TargetMode="External"/><Relationship Id="rId101" Type="http://schemas.openxmlformats.org/officeDocument/2006/relationships/hyperlink" Target="https://learn.microsoft.com/en-us/cli/azure/aks" TargetMode="External"/><Relationship Id="rId122" Type="http://schemas.openxmlformats.org/officeDocument/2006/relationships/hyperlink" Target="https://aws.amazon.com/premiumsupport/technology/trusted-advisor" TargetMode="External"/><Relationship Id="rId143" Type="http://schemas.openxmlformats.org/officeDocument/2006/relationships/hyperlink" Target="https://azure.microsoft.com/services/cost-management" TargetMode="External"/><Relationship Id="rId164" Type="http://schemas.openxmlformats.org/officeDocument/2006/relationships/hyperlink" Target="https://azure.microsoft.com/services/app-center" TargetMode="External"/><Relationship Id="rId185" Type="http://schemas.openxmlformats.org/officeDocument/2006/relationships/hyperlink" Target="https://azure.microsoft.com/services/load-balancer" TargetMode="External"/><Relationship Id="rId9" Type="http://schemas.openxmlformats.org/officeDocument/2006/relationships/hyperlink" Target="https://aws.amazon.com/lex" TargetMode="External"/><Relationship Id="rId210" Type="http://schemas.openxmlformats.org/officeDocument/2006/relationships/hyperlink" Target="https://aws.amazon.com/cognito" TargetMode="External"/><Relationship Id="rId26" Type="http://schemas.openxmlformats.org/officeDocument/2006/relationships/hyperlink" Target="https://azure.microsoft.com/services/hdinsight" TargetMode="External"/><Relationship Id="rId231" Type="http://schemas.openxmlformats.org/officeDocument/2006/relationships/hyperlink" Target="https://aws.amazon.com/shield" TargetMode="External"/><Relationship Id="rId252" Type="http://schemas.openxmlformats.org/officeDocument/2006/relationships/hyperlink" Target="https://aws.amazon.com/elasticbeanstalk" TargetMode="External"/><Relationship Id="rId273" Type="http://schemas.openxmlformats.org/officeDocument/2006/relationships/hyperlink" Target="https://products.office.com/" TargetMode="External"/><Relationship Id="rId294" Type="http://schemas.openxmlformats.org/officeDocument/2006/relationships/hyperlink" Target="https://aws.amazon.com/kinesis/data-analytics" TargetMode="External"/><Relationship Id="rId308" Type="http://schemas.openxmlformats.org/officeDocument/2006/relationships/hyperlink" Target="https://aws.amazon.com/rds/aurora/serverless" TargetMode="External"/><Relationship Id="rId329" Type="http://schemas.openxmlformats.org/officeDocument/2006/relationships/hyperlink" Target="https://docs.aws.amazon.com/ARG" TargetMode="External"/><Relationship Id="rId47" Type="http://schemas.openxmlformats.org/officeDocument/2006/relationships/hyperlink" Target="https://aws.amazon.com/vmware" TargetMode="External"/><Relationship Id="rId68" Type="http://schemas.openxmlformats.org/officeDocument/2006/relationships/hyperlink" Target="https://learn.microsoft.com/en-us/azure/aks/open-service-mesh-integrations" TargetMode="External"/><Relationship Id="rId89" Type="http://schemas.openxmlformats.org/officeDocument/2006/relationships/hyperlink" Target="https://aws.amazon.com/codecommit/" TargetMode="External"/><Relationship Id="rId112" Type="http://schemas.openxmlformats.org/officeDocument/2006/relationships/hyperlink" Target="https://azure.microsoft.com/services/iot-hub" TargetMode="External"/><Relationship Id="rId133" Type="http://schemas.openxmlformats.org/officeDocument/2006/relationships/hyperlink" Target="https://azure.microsoft.com/services/monitor" TargetMode="External"/><Relationship Id="rId154" Type="http://schemas.openxmlformats.org/officeDocument/2006/relationships/hyperlink" Target="https://azure.microsoft.com/services/storage/queues" TargetMode="External"/><Relationship Id="rId175" Type="http://schemas.openxmlformats.org/officeDocument/2006/relationships/hyperlink" Target="https://learn.microsoft.com/en-us/azure/virtual-network/nat-gateway/nat-overview" TargetMode="External"/><Relationship Id="rId340" Type="http://schemas.openxmlformats.org/officeDocument/2006/relationships/hyperlink" Target="https://aws.amazon.com/chime" TargetMode="External"/><Relationship Id="rId196" Type="http://schemas.openxmlformats.org/officeDocument/2006/relationships/hyperlink" Target="https://aws.amazon.com/cloudfront" TargetMode="External"/><Relationship Id="rId200" Type="http://schemas.openxmlformats.org/officeDocument/2006/relationships/hyperlink" Target="https://aws.amazon.com/iam" TargetMode="External"/><Relationship Id="rId16" Type="http://schemas.openxmlformats.org/officeDocument/2006/relationships/hyperlink" Target="https://aws.amazon.com/redshift" TargetMode="External"/><Relationship Id="rId221" Type="http://schemas.openxmlformats.org/officeDocument/2006/relationships/hyperlink" Target="https://aws.amazon.com/network-firewall" TargetMode="External"/><Relationship Id="rId242" Type="http://schemas.openxmlformats.org/officeDocument/2006/relationships/hyperlink" Target="https://learn.microsoft.com/en-us/azure/storage/blobs/access-tiers-overview" TargetMode="External"/><Relationship Id="rId263" Type="http://schemas.openxmlformats.org/officeDocument/2006/relationships/hyperlink" Target="https://azure.microsoft.com/services/app-service" TargetMode="External"/><Relationship Id="rId284" Type="http://schemas.openxmlformats.org/officeDocument/2006/relationships/hyperlink" Target="https://aws.amazon.com/ground-station" TargetMode="External"/><Relationship Id="rId319" Type="http://schemas.openxmlformats.org/officeDocument/2006/relationships/hyperlink" Target="https://aws.amazon.com/cli" TargetMode="External"/><Relationship Id="rId37" Type="http://schemas.openxmlformats.org/officeDocument/2006/relationships/hyperlink" Target="https://aws.amazon.com/quicksight" TargetMode="External"/><Relationship Id="rId58" Type="http://schemas.openxmlformats.org/officeDocument/2006/relationships/hyperlink" Target="https://aws.amazon.com/ebs/provisioned-iops" TargetMode="External"/><Relationship Id="rId79" Type="http://schemas.openxmlformats.org/officeDocument/2006/relationships/hyperlink" Target="https://aws.amazon.com/documentdb" TargetMode="External"/><Relationship Id="rId102" Type="http://schemas.openxmlformats.org/officeDocument/2006/relationships/hyperlink" Target="https://aws.amazon.com/cloudshell" TargetMode="External"/><Relationship Id="rId123" Type="http://schemas.openxmlformats.org/officeDocument/2006/relationships/hyperlink" Target="https://azure.microsoft.com/services/advisor" TargetMode="External"/><Relationship Id="rId144" Type="http://schemas.openxmlformats.org/officeDocument/2006/relationships/hyperlink" Target="https://aws.amazon.com/controltower" TargetMode="External"/><Relationship Id="rId330" Type="http://schemas.openxmlformats.org/officeDocument/2006/relationships/hyperlink" Target="https://learn.microsoft.com/en-us/azure/azure-resource-manager/management/tag-resources" TargetMode="External"/><Relationship Id="rId90" Type="http://schemas.openxmlformats.org/officeDocument/2006/relationships/hyperlink" Target="https://aws.amazon.com/codepipeline" TargetMode="External"/><Relationship Id="rId165" Type="http://schemas.openxmlformats.org/officeDocument/2006/relationships/hyperlink" Target="https://azure.microsoft.com/features/xamarin" TargetMode="External"/><Relationship Id="rId186" Type="http://schemas.openxmlformats.org/officeDocument/2006/relationships/hyperlink" Target="https://docs.aws.amazon.com/elasticloadbalancing/latest/application/introduction.html" TargetMode="External"/><Relationship Id="rId211" Type="http://schemas.openxmlformats.org/officeDocument/2006/relationships/hyperlink" Target="https://azure.microsoft.com/products/active-directory/external-identities/" TargetMode="External"/><Relationship Id="rId232" Type="http://schemas.openxmlformats.org/officeDocument/2006/relationships/hyperlink" Target="https://learn.microsoft.com/en-us/azure/security/fundamentals/ddos-best-practices" TargetMode="External"/><Relationship Id="rId253" Type="http://schemas.openxmlformats.org/officeDocument/2006/relationships/hyperlink" Target="https://azure.microsoft.com/services/app-service" TargetMode="External"/><Relationship Id="rId274" Type="http://schemas.openxmlformats.org/officeDocument/2006/relationships/hyperlink" Target="https://aws.amazon.com/gamelift" TargetMode="External"/><Relationship Id="rId295" Type="http://schemas.openxmlformats.org/officeDocument/2006/relationships/hyperlink" Target="https://aws.amazon.com/kinesis/data-analytics" TargetMode="External"/><Relationship Id="rId309" Type="http://schemas.openxmlformats.org/officeDocument/2006/relationships/hyperlink" Target="https://azure.microsoft.com/services/cosmos-db" TargetMode="External"/><Relationship Id="rId27" Type="http://schemas.openxmlformats.org/officeDocument/2006/relationships/hyperlink" Target="https://aws.amazon.com/emr" TargetMode="External"/><Relationship Id="rId48" Type="http://schemas.openxmlformats.org/officeDocument/2006/relationships/hyperlink" Target="https://azure.microsoft.com/services/azure-vmware" TargetMode="External"/><Relationship Id="rId69" Type="http://schemas.openxmlformats.org/officeDocument/2006/relationships/hyperlink" Target="https://aws.amazon.com/lambda" TargetMode="External"/><Relationship Id="rId113" Type="http://schemas.openxmlformats.org/officeDocument/2006/relationships/hyperlink" Target="https://aws.amazon.com/greengrass" TargetMode="External"/><Relationship Id="rId134" Type="http://schemas.openxmlformats.org/officeDocument/2006/relationships/hyperlink" Target="https://aws.amazon.com/premiumsupport/technology/personal-health-dashboard" TargetMode="External"/><Relationship Id="rId320" Type="http://schemas.openxmlformats.org/officeDocument/2006/relationships/hyperlink" Target="https://aws.amazon.com/cloudformation" TargetMode="External"/><Relationship Id="rId80" Type="http://schemas.openxmlformats.org/officeDocument/2006/relationships/hyperlink" Target="https://aws.amazon.com/neptune/" TargetMode="External"/><Relationship Id="rId155" Type="http://schemas.openxmlformats.org/officeDocument/2006/relationships/hyperlink" Target="https://aws.amazon.com/sns" TargetMode="External"/><Relationship Id="rId176" Type="http://schemas.openxmlformats.org/officeDocument/2006/relationships/hyperlink" Target="https://docs.aws.amazon.com/vpn/latest/s2svpn/VPC_VPN.html" TargetMode="External"/><Relationship Id="rId197" Type="http://schemas.openxmlformats.org/officeDocument/2006/relationships/hyperlink" Target="https://azure.microsoft.com/services/frontdoor" TargetMode="External"/><Relationship Id="rId341" Type="http://schemas.openxmlformats.org/officeDocument/2006/relationships/printerSettings" Target="../printerSettings/printerSettings9.bin"/><Relationship Id="rId201" Type="http://schemas.openxmlformats.org/officeDocument/2006/relationships/hyperlink" Target="https://azure.microsoft.com/services/active-directory" TargetMode="External"/><Relationship Id="rId222" Type="http://schemas.openxmlformats.org/officeDocument/2006/relationships/hyperlink" Target="https://azure.microsoft.com/services/azure-firewall" TargetMode="External"/><Relationship Id="rId243" Type="http://schemas.openxmlformats.org/officeDocument/2006/relationships/hyperlink" Target="https://aws.amazon.com/backup/" TargetMode="External"/><Relationship Id="rId264" Type="http://schemas.openxmlformats.org/officeDocument/2006/relationships/hyperlink" Target="https://aws.amazon.com/apprunner" TargetMode="External"/><Relationship Id="rId285" Type="http://schemas.openxmlformats.org/officeDocument/2006/relationships/hyperlink" Target="https://learn.microsoft.com/en-us/azure/networking/azure-orbital-overview" TargetMode="External"/><Relationship Id="rId17" Type="http://schemas.openxmlformats.org/officeDocument/2006/relationships/hyperlink" Target="https://azure.microsoft.com/services/synapse-analytics/" TargetMode="External"/><Relationship Id="rId38" Type="http://schemas.openxmlformats.org/officeDocument/2006/relationships/hyperlink" Target="https://powerbi.microsoft.com/" TargetMode="External"/><Relationship Id="rId59" Type="http://schemas.openxmlformats.org/officeDocument/2006/relationships/hyperlink" Target="https://learn.microsoft.com/en-us/azure/virtual-machines/premium-storage-performance" TargetMode="External"/><Relationship Id="rId103" Type="http://schemas.openxmlformats.org/officeDocument/2006/relationships/hyperlink" Target="https://learn.microsoft.com/en-us/azure/cloud-shell/overview" TargetMode="External"/><Relationship Id="rId124" Type="http://schemas.openxmlformats.org/officeDocument/2006/relationships/hyperlink" Target="https://docs.aws.amazon.com/account-billing/index.html" TargetMode="External"/><Relationship Id="rId310" Type="http://schemas.openxmlformats.org/officeDocument/2006/relationships/hyperlink" Target="https://azure.microsoft.com/services/cosmos-db" TargetMode="External"/><Relationship Id="rId70" Type="http://schemas.openxmlformats.org/officeDocument/2006/relationships/hyperlink" Target="https://azure.microsoft.com/services/sql-database" TargetMode="External"/><Relationship Id="rId91" Type="http://schemas.openxmlformats.org/officeDocument/2006/relationships/hyperlink" Target="https://azure.microsoft.com/services/devops/" TargetMode="External"/><Relationship Id="rId145" Type="http://schemas.openxmlformats.org/officeDocument/2006/relationships/hyperlink" Target="https://learn.microsoft.com/en-us/azure/lighthouse/overview" TargetMode="External"/><Relationship Id="rId166" Type="http://schemas.openxmlformats.org/officeDocument/2006/relationships/hyperlink" Target="https://www.redfoundry.com/what-is-a-mobile-sdk" TargetMode="External"/><Relationship Id="rId187" Type="http://schemas.openxmlformats.org/officeDocument/2006/relationships/hyperlink" Target="https://azure.microsoft.com/services/application-gateway" TargetMode="External"/><Relationship Id="rId331" Type="http://schemas.openxmlformats.org/officeDocument/2006/relationships/hyperlink" Target="https://aws.amazon.com/snowball/" TargetMode="External"/><Relationship Id="rId1" Type="http://schemas.openxmlformats.org/officeDocument/2006/relationships/hyperlink" Target="https://aws.amazon.com/marketplace" TargetMode="External"/><Relationship Id="rId212" Type="http://schemas.openxmlformats.org/officeDocument/2006/relationships/hyperlink" Target="https://aws.amazon.com/config/" TargetMode="External"/><Relationship Id="rId233" Type="http://schemas.openxmlformats.org/officeDocument/2006/relationships/hyperlink" Target="https://aws.amazon.com/s3/" TargetMode="External"/><Relationship Id="rId254" Type="http://schemas.openxmlformats.org/officeDocument/2006/relationships/hyperlink" Target="https://aws.amazon.com/api-gateway" TargetMode="External"/><Relationship Id="rId28" Type="http://schemas.openxmlformats.org/officeDocument/2006/relationships/hyperlink" Target="https://azure.microsoft.com/services/storage/data-lake-storage" TargetMode="External"/><Relationship Id="rId49" Type="http://schemas.openxmlformats.org/officeDocument/2006/relationships/hyperlink" Target="https://aws.amazon.com/hpc/parallelcluster" TargetMode="External"/><Relationship Id="rId114" Type="http://schemas.openxmlformats.org/officeDocument/2006/relationships/hyperlink" Target="https://azure.microsoft.com/services/iot-edge" TargetMode="External"/><Relationship Id="rId275" Type="http://schemas.openxmlformats.org/officeDocument/2006/relationships/hyperlink" Target="https://playfab.com/" TargetMode="External"/><Relationship Id="rId296" Type="http://schemas.openxmlformats.org/officeDocument/2006/relationships/hyperlink" Target="https://aws.amazon.com/elasticsearch-service/the-elk-stack" TargetMode="External"/><Relationship Id="rId300" Type="http://schemas.openxmlformats.org/officeDocument/2006/relationships/hyperlink" Target="https://learn.microsoft.com/en-us/azure/app-service/web-sites-scale" TargetMode="External"/><Relationship Id="rId60" Type="http://schemas.openxmlformats.org/officeDocument/2006/relationships/hyperlink" Target="https://aws.amazon.com/efs" TargetMode="External"/><Relationship Id="rId81" Type="http://schemas.openxmlformats.org/officeDocument/2006/relationships/hyperlink" Target="https://azure.microsoft.com/services/cosmos-db" TargetMode="External"/><Relationship Id="rId135" Type="http://schemas.openxmlformats.org/officeDocument/2006/relationships/hyperlink" Target="https://learn.microsoft.com/en-us/azure/resource-health/resource-health-overview" TargetMode="External"/><Relationship Id="rId156" Type="http://schemas.openxmlformats.org/officeDocument/2006/relationships/hyperlink" Target="https://azure.microsoft.com/services/service-bus" TargetMode="External"/><Relationship Id="rId177" Type="http://schemas.openxmlformats.org/officeDocument/2006/relationships/hyperlink" Target="https://learn.microsoft.com/en-us/azure/vpn-gateway/vpn-gateway-about-vpngateways" TargetMode="External"/><Relationship Id="rId198" Type="http://schemas.openxmlformats.org/officeDocument/2006/relationships/hyperlink" Target="https://docs.aws.amazon.com/vpc/latest/userguide/flow-logs.html" TargetMode="External"/><Relationship Id="rId321" Type="http://schemas.openxmlformats.org/officeDocument/2006/relationships/hyperlink" Target="https://aws.amazon.com/cloudformation" TargetMode="External"/><Relationship Id="rId202" Type="http://schemas.openxmlformats.org/officeDocument/2006/relationships/hyperlink" Target="https://aws.amazon.com/iam" TargetMode="External"/><Relationship Id="rId223" Type="http://schemas.openxmlformats.org/officeDocument/2006/relationships/hyperlink" Target="https://aws.amazon.com/inspector" TargetMode="External"/><Relationship Id="rId244" Type="http://schemas.openxmlformats.org/officeDocument/2006/relationships/hyperlink" Target="https://azure.microsoft.com/services/backup/" TargetMode="External"/><Relationship Id="rId18" Type="http://schemas.openxmlformats.org/officeDocument/2006/relationships/hyperlink" Target="https://aws.amazon.com/lake-formation" TargetMode="External"/><Relationship Id="rId39" Type="http://schemas.openxmlformats.org/officeDocument/2006/relationships/hyperlink" Target="https://aws.amazon.com/cloudsearch" TargetMode="External"/><Relationship Id="rId265" Type="http://schemas.openxmlformats.org/officeDocument/2006/relationships/hyperlink" Target="https://azure.microsoft.com/services/app-service/containers" TargetMode="External"/><Relationship Id="rId286" Type="http://schemas.openxmlformats.org/officeDocument/2006/relationships/hyperlink" Target="https://aws.amazon.com/braket" TargetMode="External"/><Relationship Id="rId50" Type="http://schemas.openxmlformats.org/officeDocument/2006/relationships/hyperlink" Target="https://azure.microsoft.com/features/azure-cyclecloud" TargetMode="External"/><Relationship Id="rId104" Type="http://schemas.openxmlformats.org/officeDocument/2006/relationships/hyperlink" Target="https://aws.amazon.com/opsworks" TargetMode="External"/><Relationship Id="rId125" Type="http://schemas.openxmlformats.org/officeDocument/2006/relationships/hyperlink" Target="https://learn.microsoft.com/en-us/azure/cost-management-billing" TargetMode="External"/><Relationship Id="rId146" Type="http://schemas.openxmlformats.org/officeDocument/2006/relationships/hyperlink" Target="https://docs.aws.amazon.com/ARG" TargetMode="External"/><Relationship Id="rId167" Type="http://schemas.openxmlformats.org/officeDocument/2006/relationships/hyperlink" Target="https://azure.microsoft.com/services/app-center" TargetMode="External"/><Relationship Id="rId188" Type="http://schemas.openxmlformats.org/officeDocument/2006/relationships/hyperlink" Target="https://docs.aws.amazon.com/vpc/latest/userguide/VPC_Route_Tables.html" TargetMode="External"/><Relationship Id="rId311" Type="http://schemas.openxmlformats.org/officeDocument/2006/relationships/hyperlink" Target="https://azure.microsoft.com/services/cosmos-db" TargetMode="External"/><Relationship Id="rId332" Type="http://schemas.openxmlformats.org/officeDocument/2006/relationships/hyperlink" Target="https://aws.amazon.com/snowball-edge/" TargetMode="External"/><Relationship Id="rId71" Type="http://schemas.openxmlformats.org/officeDocument/2006/relationships/hyperlink" Target="https://azure.microsoft.com/services/mysql" TargetMode="External"/><Relationship Id="rId92" Type="http://schemas.openxmlformats.org/officeDocument/2006/relationships/hyperlink" Target="https://aws.amazon.com/products/developer-tools" TargetMode="External"/><Relationship Id="rId213" Type="http://schemas.openxmlformats.org/officeDocument/2006/relationships/hyperlink" Target="https://azure.microsoft.com/services/azure-policy/" TargetMode="External"/><Relationship Id="rId234" Type="http://schemas.openxmlformats.org/officeDocument/2006/relationships/hyperlink" Target="https://learn.microsoft.com/en-us/azure/storage/blobs/storage-blobs-introduction" TargetMode="External"/><Relationship Id="rId2" Type="http://schemas.openxmlformats.org/officeDocument/2006/relationships/hyperlink" Target="https://azure.microsoft.com/marketplace" TargetMode="External"/><Relationship Id="rId29" Type="http://schemas.openxmlformats.org/officeDocument/2006/relationships/hyperlink" Target="https://azure.microsoft.com/services/data-factory" TargetMode="External"/><Relationship Id="rId255" Type="http://schemas.openxmlformats.org/officeDocument/2006/relationships/hyperlink" Target="https://azure.microsoft.com/services/api-management" TargetMode="External"/><Relationship Id="rId276" Type="http://schemas.openxmlformats.org/officeDocument/2006/relationships/hyperlink" Target="https://aws.amazon.com/elastictranscoder" TargetMode="External"/><Relationship Id="rId297" Type="http://schemas.openxmlformats.org/officeDocument/2006/relationships/hyperlink" Target="https://aws.amazon.com/athena" TargetMode="External"/><Relationship Id="rId40" Type="http://schemas.openxmlformats.org/officeDocument/2006/relationships/hyperlink" Target="https://azure.microsoft.com/services/search/" TargetMode="External"/><Relationship Id="rId115" Type="http://schemas.openxmlformats.org/officeDocument/2006/relationships/hyperlink" Target="https://azure.microsoft.com/services/event-hubs" TargetMode="External"/><Relationship Id="rId136" Type="http://schemas.openxmlformats.org/officeDocument/2006/relationships/hyperlink" Target="https://aws.amazon.com/cloudtrail" TargetMode="External"/><Relationship Id="rId157" Type="http://schemas.openxmlformats.org/officeDocument/2006/relationships/hyperlink" Target="https://aws.amazon.com/eventbridge" TargetMode="External"/><Relationship Id="rId178" Type="http://schemas.openxmlformats.org/officeDocument/2006/relationships/hyperlink" Target="https://aws.amazon.com/route53" TargetMode="External"/><Relationship Id="rId301" Type="http://schemas.openxmlformats.org/officeDocument/2006/relationships/hyperlink" Target="https://azure.microsoft.com/products/container-apps/" TargetMode="External"/><Relationship Id="rId322" Type="http://schemas.openxmlformats.org/officeDocument/2006/relationships/hyperlink" Target="https://aws.amazon.com/cloudformation" TargetMode="External"/><Relationship Id="rId61" Type="http://schemas.openxmlformats.org/officeDocument/2006/relationships/hyperlink" Target="https://learn.microsoft.com/en-us/azure/storage/files/storage-files-introduction" TargetMode="External"/><Relationship Id="rId82" Type="http://schemas.openxmlformats.org/officeDocument/2006/relationships/hyperlink" Target="https://aws.amazon.com/elasticache" TargetMode="External"/><Relationship Id="rId199" Type="http://schemas.openxmlformats.org/officeDocument/2006/relationships/hyperlink" Target="https://learn.microsoft.com/en-us/azure/network-watcher/network-watcher-monitoring-overview" TargetMode="External"/><Relationship Id="rId203" Type="http://schemas.openxmlformats.org/officeDocument/2006/relationships/hyperlink" Target="https://learn.microsoft.com/en-us/azure/role-based-access-control/overview" TargetMode="External"/><Relationship Id="rId19" Type="http://schemas.openxmlformats.org/officeDocument/2006/relationships/hyperlink" Target="https://azure.microsoft.com/services/data-share/" TargetMode="External"/><Relationship Id="rId224" Type="http://schemas.openxmlformats.org/officeDocument/2006/relationships/hyperlink" Target="https://azure.microsoft.com/services/security-center" TargetMode="External"/><Relationship Id="rId245" Type="http://schemas.openxmlformats.org/officeDocument/2006/relationships/hyperlink" Target="https://aws.amazon.com/storagegateway/" TargetMode="External"/><Relationship Id="rId266" Type="http://schemas.openxmlformats.org/officeDocument/2006/relationships/hyperlink" Target="https://aws.amazon.com/amplify" TargetMode="External"/><Relationship Id="rId287" Type="http://schemas.openxmlformats.org/officeDocument/2006/relationships/hyperlink" Target="https://learn.microsoft.com/en-us/azure/quantum/overview-azure-quantum" TargetMode="External"/><Relationship Id="rId30" Type="http://schemas.openxmlformats.org/officeDocument/2006/relationships/hyperlink" Target="https://aws.amazon.com/glue" TargetMode="External"/><Relationship Id="rId105" Type="http://schemas.openxmlformats.org/officeDocument/2006/relationships/hyperlink" Target="https://azure.microsoft.com/services/automation" TargetMode="External"/><Relationship Id="rId126" Type="http://schemas.openxmlformats.org/officeDocument/2006/relationships/hyperlink" Target="https://docs.aws.amazon.com/cur/latest/userguide/cur-create.html" TargetMode="External"/><Relationship Id="rId147" Type="http://schemas.openxmlformats.org/officeDocument/2006/relationships/hyperlink" Target="https://aws.amazon.com/systems-manager/features/appconfig" TargetMode="External"/><Relationship Id="rId168" Type="http://schemas.openxmlformats.org/officeDocument/2006/relationships/hyperlink" Target="https://aws.amazon.com/device-farm" TargetMode="External"/><Relationship Id="rId312" Type="http://schemas.openxmlformats.org/officeDocument/2006/relationships/hyperlink" Target="https://azure.microsoft.com/services/cache" TargetMode="External"/><Relationship Id="rId333" Type="http://schemas.openxmlformats.org/officeDocument/2006/relationships/hyperlink" Target="https://aws.amazon.com/snowmobile/" TargetMode="External"/><Relationship Id="rId51" Type="http://schemas.openxmlformats.org/officeDocument/2006/relationships/hyperlink" Target="https://aws.amazon.com/autoscaling" TargetMode="External"/><Relationship Id="rId72" Type="http://schemas.openxmlformats.org/officeDocument/2006/relationships/hyperlink" Target="https://azure.microsoft.com/services/postgresql" TargetMode="External"/><Relationship Id="rId93" Type="http://schemas.openxmlformats.org/officeDocument/2006/relationships/hyperlink" Target="https://azure.microsoft.com/services/devops/" TargetMode="External"/><Relationship Id="rId189" Type="http://schemas.openxmlformats.org/officeDocument/2006/relationships/hyperlink" Target="https://learn.microsoft.com/en-us/azure/virtual-network/virtual-networks-udr-overview" TargetMode="External"/><Relationship Id="rId3" Type="http://schemas.openxmlformats.org/officeDocument/2006/relationships/hyperlink" Target="https://aws.amazon.com/sagemaker" TargetMode="External"/><Relationship Id="rId214" Type="http://schemas.openxmlformats.org/officeDocument/2006/relationships/hyperlink" Target="https://aws.amazon.com/organizations" TargetMode="External"/><Relationship Id="rId235" Type="http://schemas.openxmlformats.org/officeDocument/2006/relationships/hyperlink" Target="https://aws.amazon.com/ebs/" TargetMode="External"/><Relationship Id="rId256" Type="http://schemas.openxmlformats.org/officeDocument/2006/relationships/hyperlink" Target="https://aws.amazon.com/cloudfront" TargetMode="External"/><Relationship Id="rId277" Type="http://schemas.openxmlformats.org/officeDocument/2006/relationships/hyperlink" Target="https://azure.microsoft.com/services/media-services/" TargetMode="External"/><Relationship Id="rId298" Type="http://schemas.openxmlformats.org/officeDocument/2006/relationships/hyperlink" Target="https://aws.amazon.com/autoscaling" TargetMode="External"/><Relationship Id="rId116" Type="http://schemas.openxmlformats.org/officeDocument/2006/relationships/hyperlink" Target="https://aws.amazon.com/iot-things-graph" TargetMode="External"/><Relationship Id="rId137" Type="http://schemas.openxmlformats.org/officeDocument/2006/relationships/hyperlink" Target="https://learn.microsoft.com/en-us/azure/azure-monitor/essentials/activity-log" TargetMode="External"/><Relationship Id="rId158" Type="http://schemas.openxmlformats.org/officeDocument/2006/relationships/hyperlink" Target="https://azure.microsoft.com/services/event-grid" TargetMode="External"/><Relationship Id="rId302" Type="http://schemas.openxmlformats.org/officeDocument/2006/relationships/hyperlink" Target="https://aws.amazon.com/ecs" TargetMode="External"/><Relationship Id="rId323" Type="http://schemas.openxmlformats.org/officeDocument/2006/relationships/hyperlink" Target="https://azure.microsoft.com/services/key-vault" TargetMode="External"/><Relationship Id="rId20" Type="http://schemas.openxmlformats.org/officeDocument/2006/relationships/hyperlink" Target="https://azure.microsoft.com/services/data-explorer" TargetMode="External"/><Relationship Id="rId41" Type="http://schemas.openxmlformats.org/officeDocument/2006/relationships/hyperlink" Target="https://aws.amazon.com/athena" TargetMode="External"/><Relationship Id="rId62" Type="http://schemas.openxmlformats.org/officeDocument/2006/relationships/hyperlink" Target="https://azure.microsoft.com/products/container-apps/" TargetMode="External"/><Relationship Id="rId83" Type="http://schemas.openxmlformats.org/officeDocument/2006/relationships/hyperlink" Target="https://aws.amazon.com/memorydb/" TargetMode="External"/><Relationship Id="rId179" Type="http://schemas.openxmlformats.org/officeDocument/2006/relationships/hyperlink" Target="https://azure.microsoft.com/services/dns/" TargetMode="External"/><Relationship Id="rId190" Type="http://schemas.openxmlformats.org/officeDocument/2006/relationships/hyperlink" Target="https://aws.amazon.com/privatelink" TargetMode="External"/><Relationship Id="rId204" Type="http://schemas.openxmlformats.org/officeDocument/2006/relationships/hyperlink" Target="https://aws.amazon.com/organizations" TargetMode="External"/><Relationship Id="rId225" Type="http://schemas.openxmlformats.org/officeDocument/2006/relationships/hyperlink" Target="https://aws.amazon.com/certificate-manager" TargetMode="External"/><Relationship Id="rId246" Type="http://schemas.openxmlformats.org/officeDocument/2006/relationships/hyperlink" Target="https://azure.microsoft.com/services/storsimple/" TargetMode="External"/><Relationship Id="rId267" Type="http://schemas.openxmlformats.org/officeDocument/2006/relationships/hyperlink" Target="https://azure.microsoft.com/services/app-service/static" TargetMode="External"/><Relationship Id="rId288" Type="http://schemas.openxmlformats.org/officeDocument/2006/relationships/hyperlink" Target="https://aws.amazon.com/transcribe" TargetMode="External"/><Relationship Id="rId106" Type="http://schemas.openxmlformats.org/officeDocument/2006/relationships/hyperlink" Target="https://aws.amazon.com/cloudformation" TargetMode="External"/><Relationship Id="rId127" Type="http://schemas.openxmlformats.org/officeDocument/2006/relationships/hyperlink" Target="https://learn.microsoft.com/en-us/azure/cost-management-billing/manage/consumption-api-overview" TargetMode="External"/><Relationship Id="rId313" Type="http://schemas.openxmlformats.org/officeDocument/2006/relationships/hyperlink" Target="https://azure.microsoft.com/services/monitor" TargetMode="External"/><Relationship Id="rId10" Type="http://schemas.openxmlformats.org/officeDocument/2006/relationships/hyperlink" Target="https://azure.microsoft.com/services/cognitive-services/language-understanding-intelligent-service" TargetMode="External"/><Relationship Id="rId31" Type="http://schemas.openxmlformats.org/officeDocument/2006/relationships/hyperlink" Target="https://azure.microsoft.com/services/purview" TargetMode="External"/><Relationship Id="rId52" Type="http://schemas.openxmlformats.org/officeDocument/2006/relationships/hyperlink" Target="https://aws.amazon.com/batch" TargetMode="External"/><Relationship Id="rId73" Type="http://schemas.openxmlformats.org/officeDocument/2006/relationships/hyperlink" Target="https://azure.microsoft.com/services/mariadb" TargetMode="External"/><Relationship Id="rId94" Type="http://schemas.openxmlformats.org/officeDocument/2006/relationships/hyperlink" Target="https://aws.amazon.com/codebuild" TargetMode="External"/><Relationship Id="rId148" Type="http://schemas.openxmlformats.org/officeDocument/2006/relationships/hyperlink" Target="https://learn.microsoft.com/en-us/azure/azure-app-configuration" TargetMode="External"/><Relationship Id="rId169" Type="http://schemas.openxmlformats.org/officeDocument/2006/relationships/hyperlink" Target="https://azure.microsoft.com/services/app-center" TargetMode="External"/><Relationship Id="rId334" Type="http://schemas.openxmlformats.org/officeDocument/2006/relationships/hyperlink" Target="https://aws.amazon.com/workspaces" TargetMode="External"/><Relationship Id="rId4" Type="http://schemas.openxmlformats.org/officeDocument/2006/relationships/hyperlink" Target="https://azure.microsoft.com/services/machine-learning-services" TargetMode="External"/><Relationship Id="rId180" Type="http://schemas.openxmlformats.org/officeDocument/2006/relationships/hyperlink" Target="https://aws.amazon.com/route53" TargetMode="External"/><Relationship Id="rId215" Type="http://schemas.openxmlformats.org/officeDocument/2006/relationships/hyperlink" Target="https://learn.microsoft.com/en-us/azure/governance/management-groups/" TargetMode="External"/><Relationship Id="rId236" Type="http://schemas.openxmlformats.org/officeDocument/2006/relationships/hyperlink" Target="https://azure.microsoft.com/services/storage/disks/" TargetMode="External"/><Relationship Id="rId257" Type="http://schemas.openxmlformats.org/officeDocument/2006/relationships/hyperlink" Target="https://azure.microsoft.com/services/frontdoor" TargetMode="External"/><Relationship Id="rId278" Type="http://schemas.openxmlformats.org/officeDocument/2006/relationships/hyperlink" Target="https://aws.amazon.com/step-functions" TargetMode="External"/><Relationship Id="rId303" Type="http://schemas.openxmlformats.org/officeDocument/2006/relationships/hyperlink" Target="https://aws.amazon.com/fargate" TargetMode="External"/><Relationship Id="rId42" Type="http://schemas.openxmlformats.org/officeDocument/2006/relationships/hyperlink" Target="https://azure.microsoft.com/services/data-lake-analytics" TargetMode="External"/><Relationship Id="rId84" Type="http://schemas.openxmlformats.org/officeDocument/2006/relationships/hyperlink" Target="https://azure.microsoft.com/services/cache" TargetMode="External"/><Relationship Id="rId138" Type="http://schemas.openxmlformats.org/officeDocument/2006/relationships/hyperlink" Target="https://aws.amazon.com/cloudwatch" TargetMode="External"/><Relationship Id="rId191" Type="http://schemas.openxmlformats.org/officeDocument/2006/relationships/hyperlink" Target="https://azure.microsoft.com/services/private-link" TargetMode="External"/><Relationship Id="rId205" Type="http://schemas.openxmlformats.org/officeDocument/2006/relationships/hyperlink" Target="https://learn.microsoft.com/en-us/azure/azure-subscription-service-limits" TargetMode="External"/><Relationship Id="rId247" Type="http://schemas.openxmlformats.org/officeDocument/2006/relationships/hyperlink" Target="https://aws.amazon.com/datasync/" TargetMode="External"/><Relationship Id="rId107" Type="http://schemas.openxmlformats.org/officeDocument/2006/relationships/hyperlink" Target="https://azure.microsoft.com/features/resource-manager" TargetMode="External"/><Relationship Id="rId289" Type="http://schemas.openxmlformats.org/officeDocument/2006/relationships/hyperlink" Target="https://aws.amazon.com/timestream" TargetMode="External"/><Relationship Id="rId11" Type="http://schemas.openxmlformats.org/officeDocument/2006/relationships/hyperlink" Target="https://azure.microsoft.com/services/cognitive-services/speech" TargetMode="External"/><Relationship Id="rId53" Type="http://schemas.openxmlformats.org/officeDocument/2006/relationships/hyperlink" Target="https://azure.microsoft.com/services/batch" TargetMode="External"/><Relationship Id="rId149" Type="http://schemas.openxmlformats.org/officeDocument/2006/relationships/hyperlink" Target="https://aws.amazon.com/servicecatalog" TargetMode="External"/><Relationship Id="rId314" Type="http://schemas.openxmlformats.org/officeDocument/2006/relationships/hyperlink" Target="https://aws.amazon.com/cloudwatch" TargetMode="External"/><Relationship Id="rId95" Type="http://schemas.openxmlformats.org/officeDocument/2006/relationships/hyperlink" Target="https://azure.microsoft.com/services/devops/pipelines" TargetMode="External"/><Relationship Id="rId160" Type="http://schemas.openxmlformats.org/officeDocument/2006/relationships/hyperlink" Target="https://azure.microsoft.com/services/event-hubs" TargetMode="External"/><Relationship Id="rId216" Type="http://schemas.openxmlformats.org/officeDocument/2006/relationships/hyperlink" Target="https://docs.aws.amazon.com/kms/latest/developerguide/services-s3.html" TargetMode="External"/><Relationship Id="rId258" Type="http://schemas.openxmlformats.org/officeDocument/2006/relationships/hyperlink" Target="https://aws.amazon.com/global-accelerator" TargetMode="External"/><Relationship Id="rId22" Type="http://schemas.openxmlformats.org/officeDocument/2006/relationships/hyperlink" Target="https://azure.microsoft.com/services/data-explorer" TargetMode="External"/><Relationship Id="rId64" Type="http://schemas.openxmlformats.org/officeDocument/2006/relationships/hyperlink" Target="https://azure.microsoft.com/services/container-registry" TargetMode="External"/><Relationship Id="rId118" Type="http://schemas.openxmlformats.org/officeDocument/2006/relationships/hyperlink" Target="https://aws.amazon.com/organizations" TargetMode="External"/><Relationship Id="rId325" Type="http://schemas.openxmlformats.org/officeDocument/2006/relationships/hyperlink" Target="https://azure.microsoft.com/services/storage/databox/" TargetMode="External"/><Relationship Id="rId171" Type="http://schemas.openxmlformats.org/officeDocument/2006/relationships/hyperlink" Target="https://azure.microsoft.com/services/app-center" TargetMode="External"/><Relationship Id="rId227" Type="http://schemas.openxmlformats.org/officeDocument/2006/relationships/hyperlink" Target="https://aws.amazon.com/guardduty/" TargetMode="External"/><Relationship Id="rId269" Type="http://schemas.openxmlformats.org/officeDocument/2006/relationships/hyperlink" Target="https://aws.amazon.com/worklink" TargetMode="External"/><Relationship Id="rId33" Type="http://schemas.openxmlformats.org/officeDocument/2006/relationships/hyperlink" Target="https://azure.microsoft.com/services/stream-analytics" TargetMode="External"/><Relationship Id="rId129" Type="http://schemas.openxmlformats.org/officeDocument/2006/relationships/hyperlink" Target="https://azure.microsoft.com/features/azure-portal" TargetMode="External"/><Relationship Id="rId280" Type="http://schemas.openxmlformats.org/officeDocument/2006/relationships/hyperlink" Target="https://aws.amazon.com/outposts" TargetMode="External"/><Relationship Id="rId336" Type="http://schemas.openxmlformats.org/officeDocument/2006/relationships/hyperlink" Target="https://products.office.com/" TargetMode="External"/><Relationship Id="rId75" Type="http://schemas.openxmlformats.org/officeDocument/2006/relationships/hyperlink" Target="https://learn.microsoft.com/en-us/azure/azure-sql/database/serverless-tier-overview" TargetMode="External"/><Relationship Id="rId140" Type="http://schemas.openxmlformats.org/officeDocument/2006/relationships/hyperlink" Target="https://aws.amazon.com/config" TargetMode="External"/><Relationship Id="rId182" Type="http://schemas.openxmlformats.org/officeDocument/2006/relationships/hyperlink" Target="https://aws.amazon.com/directconnect" TargetMode="External"/><Relationship Id="rId6" Type="http://schemas.openxmlformats.org/officeDocument/2006/relationships/hyperlink" Target="https://dev.botframework.com/" TargetMode="External"/><Relationship Id="rId238" Type="http://schemas.openxmlformats.org/officeDocument/2006/relationships/hyperlink" Target="https://azure.microsoft.com/services/storage/files/" TargetMode="External"/><Relationship Id="rId291" Type="http://schemas.openxmlformats.org/officeDocument/2006/relationships/hyperlink" Target="https://aws.amazon.com/emr" TargetMode="External"/><Relationship Id="rId305" Type="http://schemas.openxmlformats.org/officeDocument/2006/relationships/hyperlink" Target="https://azure.microsoft.com/services/functions" TargetMode="External"/><Relationship Id="rId44" Type="http://schemas.openxmlformats.org/officeDocument/2006/relationships/hyperlink" Target="https://azuremarketplace.microsoft.com/marketplace/apps/elastic.ec-azure-pp" TargetMode="External"/><Relationship Id="rId86" Type="http://schemas.openxmlformats.org/officeDocument/2006/relationships/hyperlink" Target="https://azure.microsoft.com/campaigns/database-migration" TargetMode="External"/><Relationship Id="rId151" Type="http://schemas.openxmlformats.org/officeDocument/2006/relationships/hyperlink" Target="https://aws.amazon.com/getting-started/tools-sdks" TargetMode="External"/><Relationship Id="rId193" Type="http://schemas.openxmlformats.org/officeDocument/2006/relationships/hyperlink" Target="https://learn.microsoft.com/en-us/azure/private-link/private-endpoint-overview" TargetMode="External"/><Relationship Id="rId207" Type="http://schemas.openxmlformats.org/officeDocument/2006/relationships/hyperlink" Target="https://azure.microsoft.com/services/active-directory" TargetMode="External"/><Relationship Id="rId249" Type="http://schemas.openxmlformats.org/officeDocument/2006/relationships/hyperlink" Target="https://aws.amazon.com/snowball/disk/details/" TargetMode="External"/><Relationship Id="rId13" Type="http://schemas.openxmlformats.org/officeDocument/2006/relationships/hyperlink" Target="https://azure.microsoft.com/services/cognitive-services" TargetMode="External"/><Relationship Id="rId109" Type="http://schemas.openxmlformats.org/officeDocument/2006/relationships/hyperlink" Target="https://learn.microsoft.com/en-us/azure/virtual-machines/extensions/features-windows" TargetMode="External"/><Relationship Id="rId260" Type="http://schemas.openxmlformats.org/officeDocument/2006/relationships/hyperlink" Target="https://aws.amazon.com/global-accelerator" TargetMode="External"/><Relationship Id="rId316" Type="http://schemas.openxmlformats.org/officeDocument/2006/relationships/hyperlink" Target="https://azure.microsoft.com/services/devops/" TargetMode="External"/><Relationship Id="rId55" Type="http://schemas.openxmlformats.org/officeDocument/2006/relationships/hyperlink" Target="https://azure.microsoft.com/services/storage/blobs" TargetMode="External"/><Relationship Id="rId97" Type="http://schemas.openxmlformats.org/officeDocument/2006/relationships/hyperlink" Target="https://aws.amazon.com/cli" TargetMode="External"/><Relationship Id="rId120" Type="http://schemas.openxmlformats.org/officeDocument/2006/relationships/hyperlink" Target="https://docs.aws.amazon.com/wellarchitected/latest/userguide/intro.html" TargetMode="External"/><Relationship Id="rId162" Type="http://schemas.openxmlformats.org/officeDocument/2006/relationships/hyperlink" Target="https://learn.microsoft.com/en-us/azure/service-bus-messaging/migrate-jms-activemq-to-servicebus" TargetMode="External"/><Relationship Id="rId218" Type="http://schemas.openxmlformats.org/officeDocument/2006/relationships/hyperlink" Target="https://azure.microsoft.com/services/key-vault" TargetMode="External"/><Relationship Id="rId271" Type="http://schemas.openxmlformats.org/officeDocument/2006/relationships/hyperlink" Target="https://aws.amazon.com/step-functions" TargetMode="External"/><Relationship Id="rId24" Type="http://schemas.openxmlformats.org/officeDocument/2006/relationships/hyperlink" Target="https://azure.microsoft.com/services/databricks" TargetMode="External"/><Relationship Id="rId66" Type="http://schemas.openxmlformats.org/officeDocument/2006/relationships/hyperlink" Target="https://azure.microsoft.com/services/kubernetes-service" TargetMode="External"/><Relationship Id="rId131" Type="http://schemas.openxmlformats.org/officeDocument/2006/relationships/hyperlink" Target="https://azure.microsoft.com/services/azure-migrate" TargetMode="External"/><Relationship Id="rId327" Type="http://schemas.openxmlformats.org/officeDocument/2006/relationships/hyperlink" Target="https://aws.amazon.com/blogs/aws/aws-mobile-hub-build-test-and-monitor-mobile-applications" TargetMode="External"/><Relationship Id="rId173" Type="http://schemas.openxmlformats.org/officeDocument/2006/relationships/hyperlink" Target="https://azure.microsoft.com/services/virtual-network" TargetMode="External"/><Relationship Id="rId229" Type="http://schemas.openxmlformats.org/officeDocument/2006/relationships/hyperlink" Target="https://aws.amazon.com/artifact"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47453-F26D-429D-BA2B-ADE0A93A3F72}">
  <sheetPr codeName="Sheet19"/>
  <dimension ref="A1:CD365"/>
  <sheetViews>
    <sheetView showGridLines="0" tabSelected="1" topLeftCell="A39" zoomScaleNormal="100" workbookViewId="0">
      <selection activeCell="C43" sqref="C43"/>
    </sheetView>
  </sheetViews>
  <sheetFormatPr defaultColWidth="8.7109375" defaultRowHeight="14.45" outlineLevelRow="1" outlineLevelCol="1"/>
  <cols>
    <col min="1" max="1" width="1.42578125" style="18" customWidth="1"/>
    <col min="2" max="2" width="21" style="379" customWidth="1" outlineLevel="1"/>
    <col min="3" max="3" width="51.42578125" style="379" customWidth="1" outlineLevel="1"/>
    <col min="4" max="4" width="2.140625" style="379" customWidth="1" outlineLevel="1"/>
    <col min="5" max="5" width="3.140625" style="349" customWidth="1"/>
    <col min="6" max="6" width="2.140625" style="349" customWidth="1"/>
    <col min="7" max="7" width="8.7109375" style="10" customWidth="1" outlineLevel="1"/>
    <col min="8" max="9" width="6.7109375" style="10" customWidth="1" outlineLevel="1"/>
    <col min="10" max="10" width="8.7109375" style="10" customWidth="1" outlineLevel="1"/>
    <col min="11" max="11" width="2.140625" style="10" customWidth="1" outlineLevel="1"/>
    <col min="12" max="12" width="3.140625" style="10" customWidth="1"/>
    <col min="13" max="13" width="2.140625" style="10" customWidth="1"/>
    <col min="14" max="14" width="24" style="10" customWidth="1" outlineLevel="1"/>
    <col min="15" max="15" width="40.42578125" style="10" customWidth="1" outlineLevel="1"/>
    <col min="16" max="16" width="55.28515625" style="10" customWidth="1" outlineLevel="1"/>
    <col min="17" max="17" width="8.140625" style="10" customWidth="1" outlineLevel="1"/>
    <col min="18" max="18" width="12.42578125" style="10" customWidth="1" outlineLevel="1"/>
    <col min="19" max="19" width="10.28515625" style="10" customWidth="1" outlineLevel="1"/>
    <col min="20" max="21" width="18.28515625" style="10" customWidth="1" outlineLevel="1"/>
    <col min="22" max="23" width="22.140625" style="10" customWidth="1" outlineLevel="1"/>
    <col min="24" max="24" width="17.28515625" style="10" hidden="1" customWidth="1" outlineLevel="1"/>
    <col min="25" max="25" width="17.7109375" style="10" hidden="1" customWidth="1" outlineLevel="1"/>
    <col min="26" max="26" width="2.140625" style="10" customWidth="1" outlineLevel="1"/>
    <col min="27" max="27" width="3.140625" style="380" customWidth="1"/>
    <col min="28" max="28" width="2.140625" style="10" customWidth="1"/>
    <col min="29" max="29" width="18.140625" style="10" customWidth="1"/>
    <col min="30" max="30" width="22.7109375" style="10" customWidth="1"/>
    <col min="31" max="31" width="18.7109375" style="10" customWidth="1" outlineLevel="1"/>
    <col min="32" max="32" width="4.7109375" style="10" customWidth="1" outlineLevel="1"/>
    <col min="33" max="34" width="17.28515625" style="10" customWidth="1" outlineLevel="1"/>
    <col min="35" max="35" width="4.7109375" style="10" customWidth="1" outlineLevel="1"/>
    <col min="36" max="36" width="17.28515625" style="10" customWidth="1" outlineLevel="1"/>
    <col min="37" max="37" width="18.7109375" style="10" customWidth="1" outlineLevel="1"/>
    <col min="38" max="38" width="4.28515625" style="10" customWidth="1" outlineLevel="1"/>
    <col min="39" max="40" width="23" style="10" customWidth="1" outlineLevel="1"/>
    <col min="41" max="41" width="21.7109375" style="10" customWidth="1" outlineLevel="1"/>
    <col min="42" max="42" width="2.140625" style="10" customWidth="1" outlineLevel="1"/>
    <col min="43" max="43" width="3.140625" style="349" customWidth="1"/>
    <col min="44" max="44" width="2.140625" style="10" customWidth="1" outlineLevel="1"/>
    <col min="45" max="45" width="6.42578125" style="10" customWidth="1" outlineLevel="1"/>
    <col min="46" max="46" width="12.7109375" style="10" customWidth="1" outlineLevel="1"/>
    <col min="47" max="47" width="10.28515625" style="10" customWidth="1" outlineLevel="1"/>
    <col min="48" max="48" width="22.28515625" style="10" customWidth="1" outlineLevel="1"/>
    <col min="49" max="49" width="20" style="10" customWidth="1" outlineLevel="1"/>
    <col min="50" max="50" width="2.140625" style="10" customWidth="1" outlineLevel="1"/>
    <col min="51" max="51" width="3.140625" style="349" customWidth="1"/>
    <col min="52" max="52" width="2.140625" style="10" customWidth="1" outlineLevel="1"/>
    <col min="53" max="53" width="13.42578125" style="10" customWidth="1" outlineLevel="1"/>
    <col min="54" max="54" width="10.28515625" style="10" customWidth="1" outlineLevel="1"/>
    <col min="55" max="56" width="22.28515625" style="10" customWidth="1" outlineLevel="1"/>
    <col min="57" max="57" width="2.140625" style="10" customWidth="1" outlineLevel="1"/>
    <col min="58" max="58" width="3.140625" style="349" customWidth="1"/>
    <col min="59" max="59" width="2.140625" style="10" customWidth="1" outlineLevel="1"/>
    <col min="60" max="60" width="13.42578125" style="10" customWidth="1" outlineLevel="1"/>
    <col min="61" max="61" width="10.28515625" style="10" customWidth="1" outlineLevel="1"/>
    <col min="62" max="63" width="22.28515625" style="10" customWidth="1" outlineLevel="1"/>
    <col min="64" max="64" width="2.140625" style="10" customWidth="1" outlineLevel="1"/>
    <col min="65" max="65" width="3.140625" style="349" customWidth="1"/>
    <col min="66" max="66" width="2.140625" style="10" customWidth="1" outlineLevel="1"/>
    <col min="67" max="67" width="13.42578125" style="10" customWidth="1" outlineLevel="1"/>
    <col min="68" max="68" width="10.28515625" style="10" customWidth="1" outlineLevel="1"/>
    <col min="69" max="70" width="22.28515625" style="10" customWidth="1" outlineLevel="1"/>
    <col min="71" max="71" width="2.140625" style="10" customWidth="1" outlineLevel="1"/>
    <col min="72" max="72" width="3.140625" style="349" customWidth="1"/>
    <col min="73" max="73" width="2.140625" style="10" customWidth="1" outlineLevel="1"/>
    <col min="74" max="74" width="13.42578125" style="10" customWidth="1" outlineLevel="1"/>
    <col min="75" max="75" width="10.28515625" style="10" customWidth="1" outlineLevel="1"/>
    <col min="76" max="77" width="22.28515625" style="10" customWidth="1" outlineLevel="1"/>
    <col min="78" max="78" width="2.140625" style="10" customWidth="1" outlineLevel="1"/>
    <col min="79" max="16384" width="8.7109375" style="18"/>
  </cols>
  <sheetData>
    <row r="1" spans="1:78" ht="19.149999999999999" customHeight="1" outlineLevel="1">
      <c r="A1" s="512" t="s">
        <v>0</v>
      </c>
      <c r="B1" s="512"/>
      <c r="C1" s="512"/>
      <c r="D1" s="512"/>
      <c r="E1" s="18"/>
      <c r="F1" s="277"/>
      <c r="G1" s="277"/>
      <c r="H1" s="277"/>
      <c r="I1" s="277"/>
      <c r="J1" s="277"/>
      <c r="K1" s="277"/>
      <c r="L1" s="18"/>
      <c r="M1" s="278"/>
      <c r="N1" s="512" t="s">
        <v>1</v>
      </c>
      <c r="O1" s="512"/>
      <c r="P1" s="512"/>
      <c r="Q1" s="512"/>
      <c r="R1" s="512"/>
      <c r="S1" s="512"/>
      <c r="T1" s="512"/>
      <c r="U1" s="512"/>
      <c r="V1" s="512"/>
      <c r="W1" s="512"/>
      <c r="X1" s="279"/>
      <c r="Y1" s="279"/>
      <c r="Z1" s="280"/>
      <c r="AA1" s="281"/>
      <c r="AB1" s="280"/>
      <c r="AC1" s="512" t="s">
        <v>2</v>
      </c>
      <c r="AD1" s="512"/>
      <c r="AE1" s="512"/>
      <c r="AF1" s="512"/>
      <c r="AG1" s="512"/>
      <c r="AH1" s="512"/>
      <c r="AI1" s="512"/>
      <c r="AJ1" s="512"/>
      <c r="AK1" s="512"/>
      <c r="AL1" s="512"/>
      <c r="AM1" s="512"/>
      <c r="AN1" s="512"/>
      <c r="AO1" s="512"/>
      <c r="AP1" s="278"/>
      <c r="AQ1" s="18"/>
      <c r="AR1" s="277"/>
      <c r="AS1" s="277"/>
      <c r="AT1" s="511" t="s">
        <v>3</v>
      </c>
      <c r="AU1" s="511"/>
      <c r="AV1" s="511"/>
      <c r="AW1" s="511"/>
      <c r="AX1" s="277"/>
      <c r="AY1" s="18"/>
      <c r="AZ1" s="277"/>
      <c r="BA1" s="511" t="s">
        <v>4</v>
      </c>
      <c r="BB1" s="511"/>
      <c r="BC1" s="511"/>
      <c r="BD1" s="511"/>
      <c r="BE1" s="277"/>
      <c r="BF1" s="18"/>
      <c r="BG1" s="277"/>
      <c r="BH1" s="511" t="s">
        <v>5</v>
      </c>
      <c r="BI1" s="511"/>
      <c r="BJ1" s="511"/>
      <c r="BK1" s="511"/>
      <c r="BL1" s="277"/>
      <c r="BM1" s="18"/>
      <c r="BN1" s="277"/>
      <c r="BO1" s="511" t="s">
        <v>6</v>
      </c>
      <c r="BP1" s="511"/>
      <c r="BQ1" s="511"/>
      <c r="BR1" s="511"/>
      <c r="BS1" s="277"/>
      <c r="BT1" s="18"/>
      <c r="BU1" s="277"/>
      <c r="BV1" s="511" t="s">
        <v>7</v>
      </c>
      <c r="BW1" s="511"/>
      <c r="BX1" s="511"/>
      <c r="BY1" s="511"/>
      <c r="BZ1" s="277"/>
    </row>
    <row r="2" spans="1:78" s="288" customFormat="1" outlineLevel="1">
      <c r="A2" s="7"/>
      <c r="B2" s="282" t="s">
        <v>8</v>
      </c>
      <c r="C2" s="283"/>
      <c r="D2" s="283"/>
      <c r="E2" s="284"/>
      <c r="F2" s="285"/>
      <c r="G2" s="285"/>
      <c r="H2" s="285"/>
      <c r="I2" s="285"/>
      <c r="J2" s="285"/>
      <c r="K2" s="285"/>
      <c r="L2" s="284"/>
      <c r="M2" s="286"/>
      <c r="N2" s="282" t="s">
        <v>8</v>
      </c>
      <c r="O2" s="3"/>
      <c r="P2" s="3"/>
      <c r="Q2" s="2"/>
      <c r="R2" s="2"/>
      <c r="S2" s="2"/>
      <c r="T2" s="2"/>
      <c r="U2" s="2"/>
      <c r="V2" s="2"/>
      <c r="W2" s="2"/>
      <c r="X2" s="2"/>
      <c r="Y2" s="2"/>
      <c r="Z2" s="3"/>
      <c r="AA2" s="281"/>
      <c r="AB2" s="3"/>
      <c r="AC2" s="3"/>
      <c r="AD2" s="3"/>
      <c r="AE2" s="3"/>
      <c r="AF2" s="3"/>
      <c r="AG2" s="3"/>
      <c r="AH2" s="3"/>
      <c r="AI2" s="3"/>
      <c r="AJ2" s="3"/>
      <c r="AK2" s="3"/>
      <c r="AL2" s="3"/>
      <c r="AM2" s="3"/>
      <c r="AN2" s="3"/>
      <c r="AO2" s="3"/>
      <c r="AP2" s="3"/>
      <c r="AR2" s="3"/>
      <c r="AS2" s="3"/>
      <c r="AT2" s="3"/>
      <c r="AU2" s="3"/>
      <c r="AV2" s="3"/>
      <c r="AW2" s="3"/>
      <c r="AX2" s="3"/>
      <c r="AZ2" s="3"/>
      <c r="BA2" s="3"/>
      <c r="BB2" s="3"/>
      <c r="BC2" s="3"/>
      <c r="BD2" s="3"/>
      <c r="BE2" s="3"/>
      <c r="BG2" s="3"/>
      <c r="BH2" s="3"/>
      <c r="BI2" s="3"/>
      <c r="BJ2" s="3"/>
      <c r="BK2" s="3"/>
      <c r="BL2" s="3"/>
      <c r="BN2" s="3"/>
      <c r="BO2" s="3"/>
      <c r="BP2" s="3"/>
      <c r="BQ2" s="3"/>
      <c r="BR2" s="3"/>
      <c r="BS2" s="3"/>
      <c r="BU2" s="3"/>
      <c r="BV2" s="3"/>
      <c r="BW2" s="3"/>
      <c r="BX2" s="3"/>
      <c r="BY2" s="3"/>
      <c r="BZ2" s="3"/>
    </row>
    <row r="3" spans="1:78" s="288" customFormat="1" ht="15.6" outlineLevel="1">
      <c r="A3" s="7"/>
      <c r="B3" s="6" t="s">
        <v>9</v>
      </c>
      <c r="C3" s="289" t="s">
        <v>10</v>
      </c>
      <c r="D3" s="7"/>
      <c r="F3" s="290"/>
      <c r="G3" s="290"/>
      <c r="H3" s="290"/>
      <c r="I3" s="290"/>
      <c r="J3" s="290"/>
      <c r="K3" s="290"/>
      <c r="M3" s="3"/>
      <c r="N3" s="13" t="s">
        <v>11</v>
      </c>
      <c r="O3" s="289" t="s">
        <v>12</v>
      </c>
      <c r="P3" s="3"/>
      <c r="Q3" s="3"/>
      <c r="R3" s="3"/>
      <c r="S3" s="3"/>
      <c r="T3" s="2"/>
      <c r="U3" s="70" t="s">
        <v>13</v>
      </c>
      <c r="V3" s="428" t="str">
        <f>_xlfn.CONCAT("DELIVERY COST (",BillingCountryCurrency,")")</f>
        <v>DELIVERY COST (USD)</v>
      </c>
      <c r="W3" s="428" t="str">
        <f>_xlfn.CONCAT("DELIVERY COST (",IF(ISBLANK(BusinessCurrency),"N/A",BusinessCurrency),")")</f>
        <v>DELIVERY COST (N/A)</v>
      </c>
      <c r="X3" s="3"/>
      <c r="Y3" s="3"/>
      <c r="Z3" s="3"/>
      <c r="AA3" s="291"/>
      <c r="AB3" s="3"/>
      <c r="AC3" s="3"/>
      <c r="AD3" s="428" t="str">
        <f>_xlfn.CONCAT("PRICING (",BillingCountryCurrency,")")</f>
        <v>PRICING (USD)</v>
      </c>
      <c r="AE3" s="428" t="str">
        <f>_xlfn.CONCAT("PRICING (",IF(ISBLANK(BusinessCurrency),"N/A",BusinessCurrency),")")</f>
        <v>PRICING (N/A)</v>
      </c>
      <c r="AF3" s="70" t="s">
        <v>14</v>
      </c>
      <c r="AG3" s="428" t="str">
        <f>_xlfn.CONCAT("Intercompany (",BillingCountryCurrency,")")</f>
        <v>Intercompany (USD)</v>
      </c>
      <c r="AH3" s="428" t="str">
        <f>_xlfn.CONCAT("Intercompany (",IF(ISBLANK(BusinessCurrency),"N/A",BusinessCurrency),")")</f>
        <v>Intercompany (N/A)</v>
      </c>
      <c r="AI3" s="70" t="s">
        <v>14</v>
      </c>
      <c r="AJ3" s="428" t="str">
        <f>_xlfn.CONCAT("WHT (",BillingCountryCurrency,")")</f>
        <v>WHT (USD)</v>
      </c>
      <c r="AK3" s="428" t="str">
        <f>_xlfn.CONCAT("WHT (",IF(ISBLANK(BusinessCurrency),"N/A",BusinessCurrency),")")</f>
        <v>WHT (N/A)</v>
      </c>
      <c r="AL3" s="70"/>
      <c r="AM3" s="70" t="s">
        <v>15</v>
      </c>
      <c r="AN3" s="428" t="str">
        <f>_xlfn.CONCAT("BUSINESS VOLUME (",BillingCountryCurrency,")")</f>
        <v>BUSINESS VOLUME (USD)</v>
      </c>
      <c r="AO3" s="428" t="str">
        <f>_xlfn.CONCAT("BUSINESS VOLUME (",IF(ISBLANK(BusinessCurrency),"N/A",BusinessCurrency),")")</f>
        <v>BUSINESS VOLUME (N/A)</v>
      </c>
      <c r="AP3" s="3"/>
      <c r="AR3" s="292"/>
      <c r="AS3" s="452" t="s">
        <v>16</v>
      </c>
      <c r="AT3" s="452"/>
      <c r="AU3" s="292"/>
      <c r="AV3" s="414" t="str">
        <f>BillingCountryCurrency</f>
        <v>USD</v>
      </c>
      <c r="AW3" s="414" t="str">
        <f>IF(ISBLANK(BusinessCurrency),"N/A",BusinessCurrency)</f>
        <v>N/A</v>
      </c>
      <c r="AX3" s="290"/>
      <c r="AZ3" s="292"/>
      <c r="BA3" s="293" t="s">
        <v>16</v>
      </c>
      <c r="BB3" s="292"/>
      <c r="BC3" s="414" t="str">
        <f>BillingCountryCurrency</f>
        <v>USD</v>
      </c>
      <c r="BD3" s="414" t="str">
        <f>IF(ISBLANK(BusinessCurrency),"N/A",BusinessCurrency)</f>
        <v>N/A</v>
      </c>
      <c r="BE3" s="290"/>
      <c r="BG3" s="292"/>
      <c r="BH3" s="293" t="s">
        <v>16</v>
      </c>
      <c r="BI3" s="292"/>
      <c r="BJ3" s="414" t="str">
        <f>BillingCountryCurrency</f>
        <v>USD</v>
      </c>
      <c r="BK3" s="414" t="str">
        <f>IF(ISBLANK(BusinessCurrency),"N/A",BusinessCurrency)</f>
        <v>N/A</v>
      </c>
      <c r="BL3" s="290"/>
      <c r="BN3" s="292"/>
      <c r="BO3" s="293" t="s">
        <v>16</v>
      </c>
      <c r="BP3" s="292"/>
      <c r="BQ3" s="414" t="str">
        <f>BillingCountryCurrency</f>
        <v>USD</v>
      </c>
      <c r="BR3" s="414" t="str">
        <f>IF(ISBLANK(BusinessCurrency),"N/A",BusinessCurrency)</f>
        <v>N/A</v>
      </c>
      <c r="BS3" s="290"/>
      <c r="BU3" s="292"/>
      <c r="BV3" s="293" t="s">
        <v>16</v>
      </c>
      <c r="BW3" s="292"/>
      <c r="BX3" s="414" t="str">
        <f>BillingCountryCurrency</f>
        <v>USD</v>
      </c>
      <c r="BY3" s="414" t="str">
        <f>IF(ISBLANK(BusinessCurrency),"N/A",BusinessCurrency)</f>
        <v>N/A</v>
      </c>
      <c r="BZ3" s="290"/>
    </row>
    <row r="4" spans="1:78" s="288" customFormat="1" ht="15.6" outlineLevel="1">
      <c r="A4" s="7"/>
      <c r="B4" s="6" t="s">
        <v>17</v>
      </c>
      <c r="C4" s="289" t="s">
        <v>18</v>
      </c>
      <c r="D4" s="7"/>
      <c r="F4" s="290"/>
      <c r="G4" s="290"/>
      <c r="H4" s="290"/>
      <c r="I4" s="290"/>
      <c r="J4" s="290"/>
      <c r="K4" s="290"/>
      <c r="M4" s="3"/>
      <c r="N4" s="13" t="str">
        <f>IF(Approach="By Hours", "N/A for ByHours", "Hours/Day")</f>
        <v>N/A for ByHours</v>
      </c>
      <c r="O4" s="399">
        <v>8.1</v>
      </c>
      <c r="P4" s="3"/>
      <c r="Q4" s="3"/>
      <c r="R4" s="294"/>
      <c r="S4" s="3"/>
      <c r="T4" s="13" t="s">
        <v>19</v>
      </c>
      <c r="U4" s="33"/>
      <c r="V4" s="33"/>
      <c r="W4" s="33"/>
      <c r="X4" s="294"/>
      <c r="Y4" s="294"/>
      <c r="Z4" s="3"/>
      <c r="AA4" s="281"/>
      <c r="AB4" s="3"/>
      <c r="AC4" s="13" t="s">
        <v>20</v>
      </c>
      <c r="AD4" s="13"/>
      <c r="AE4" s="13"/>
      <c r="AF4" s="3"/>
      <c r="AG4" s="13"/>
      <c r="AH4" s="13"/>
      <c r="AI4" s="3"/>
      <c r="AJ4" s="3"/>
      <c r="AK4" s="3"/>
      <c r="AL4" s="3"/>
      <c r="AM4" s="3"/>
      <c r="AN4" s="294"/>
      <c r="AO4" s="3"/>
      <c r="AP4" s="3"/>
      <c r="AR4" s="290"/>
      <c r="AS4" s="4" t="s">
        <v>21</v>
      </c>
      <c r="AT4" s="294"/>
      <c r="AU4" s="453">
        <v>0</v>
      </c>
      <c r="AV4" s="415">
        <v>0</v>
      </c>
      <c r="AW4" s="413" t="str">
        <f t="shared" ref="AW4:AW15" si="0">IFERROR(AV4/BusinessCurrencyTRM,"N/A")</f>
        <v>N/A</v>
      </c>
      <c r="AX4" s="3"/>
      <c r="AZ4" s="290"/>
      <c r="BA4" s="295" t="s">
        <v>21</v>
      </c>
      <c r="BB4" s="453">
        <v>0</v>
      </c>
      <c r="BC4" s="415">
        <v>0</v>
      </c>
      <c r="BD4" s="413" t="str">
        <f t="shared" ref="BD4:BD15" si="1">IFERROR(BC4/BusinessCurrencyTRM,"N/A")</f>
        <v>N/A</v>
      </c>
      <c r="BE4" s="3"/>
      <c r="BG4" s="290"/>
      <c r="BH4" s="295" t="s">
        <v>21</v>
      </c>
      <c r="BI4" s="453">
        <v>0</v>
      </c>
      <c r="BJ4" s="415">
        <v>0</v>
      </c>
      <c r="BK4" s="413" t="str">
        <f t="shared" ref="BK4:BK15" si="2">IFERROR(BJ4/BusinessCurrencyTRM,"N/A")</f>
        <v>N/A</v>
      </c>
      <c r="BL4" s="3"/>
      <c r="BN4" s="290"/>
      <c r="BO4" s="295" t="s">
        <v>21</v>
      </c>
      <c r="BP4" s="453">
        <v>0</v>
      </c>
      <c r="BQ4" s="415">
        <v>0</v>
      </c>
      <c r="BR4" s="413" t="str">
        <f t="shared" ref="BR4:BR15" si="3">IFERROR(BQ4/BusinessCurrencyTRM,"N/A")</f>
        <v>N/A</v>
      </c>
      <c r="BS4" s="3"/>
      <c r="BU4" s="290"/>
      <c r="BV4" s="295" t="s">
        <v>21</v>
      </c>
      <c r="BW4" s="453">
        <v>0</v>
      </c>
      <c r="BX4" s="415">
        <v>0</v>
      </c>
      <c r="BY4" s="413" t="str">
        <f t="shared" ref="BY4:BY15" si="4">IFERROR(BX4/BusinessCurrencyTRM,"N/A")</f>
        <v>N/A</v>
      </c>
      <c r="BZ4" s="3"/>
    </row>
    <row r="5" spans="1:78" s="288" customFormat="1" ht="15.6" outlineLevel="1">
      <c r="A5" s="7"/>
      <c r="B5" s="6" t="s">
        <v>22</v>
      </c>
      <c r="C5" s="289" t="s">
        <v>23</v>
      </c>
      <c r="D5" s="7"/>
      <c r="F5" s="290"/>
      <c r="G5" s="290"/>
      <c r="H5" s="290"/>
      <c r="I5" s="290"/>
      <c r="J5" s="290"/>
      <c r="K5" s="290"/>
      <c r="M5" s="3"/>
      <c r="N5" s="13"/>
      <c r="O5" s="294"/>
      <c r="P5" s="294"/>
      <c r="Q5" s="297"/>
      <c r="R5" s="294"/>
      <c r="S5" s="3"/>
      <c r="T5" s="4" t="s">
        <v>24</v>
      </c>
      <c r="U5" s="72">
        <f>IFERROR(SUMIFS(O:O,Y:Y,"varTotalConsultant"),0)</f>
        <v>91.12</v>
      </c>
      <c r="V5" s="422">
        <f>IFERROR(SUMIFS(V:V,Y:Y,"varTotalConsultant"),0)</f>
        <v>3336.8143999999998</v>
      </c>
      <c r="W5" s="419" t="str">
        <f>IFERROR(V5/BusinessCurrencyTRM,"N/A")</f>
        <v>N/A</v>
      </c>
      <c r="X5" s="294"/>
      <c r="Y5" s="294"/>
      <c r="Z5" s="3"/>
      <c r="AA5" s="281"/>
      <c r="AB5" s="3"/>
      <c r="AC5" s="4" t="s">
        <v>24</v>
      </c>
      <c r="AD5" s="298">
        <f>IFERROR(SUMIF(Y:Y,"varTotalConsultant",AD:AD),0)</f>
        <v>5213.8864000000003</v>
      </c>
      <c r="AE5" s="419" t="str">
        <f>IFERROR(AD5/BusinessCurrencyTRM,"N/A")</f>
        <v>N/A</v>
      </c>
      <c r="AF5" s="3"/>
      <c r="AG5" s="298">
        <f>IFERROR(SUMIF(Y:Y,"varTotalConsultant",AG:AG),0)</f>
        <v>0</v>
      </c>
      <c r="AH5" s="433" t="str">
        <f>IFERROR(AG5/BusinessCurrencyTRM,"N/A")</f>
        <v>N/A</v>
      </c>
      <c r="AI5" s="3"/>
      <c r="AJ5" s="298">
        <f>IFERROR(SUMIF(Y:Y,"varTotalConsultant",AJ:AJ),0)</f>
        <v>0</v>
      </c>
      <c r="AK5" s="419" t="str">
        <f>IFERROR(AJ5/BusinessCurrencyTRM,"N/A")</f>
        <v>N/A</v>
      </c>
      <c r="AL5" s="3"/>
      <c r="AM5" s="3"/>
      <c r="AN5" s="298">
        <f>SUM(AD5,AG5,AJ5)</f>
        <v>5213.8864000000003</v>
      </c>
      <c r="AO5" s="419" t="str">
        <f>IFERROR(AN5/BusinessCurrencyTRM,"N/A")</f>
        <v>N/A</v>
      </c>
      <c r="AP5" s="3"/>
      <c r="AR5" s="290"/>
      <c r="AS5" s="4" t="s">
        <v>25</v>
      </c>
      <c r="AT5" s="294"/>
      <c r="AU5" s="453">
        <v>0</v>
      </c>
      <c r="AV5" s="415">
        <v>0</v>
      </c>
      <c r="AW5" s="413" t="str">
        <f t="shared" si="0"/>
        <v>N/A</v>
      </c>
      <c r="AX5" s="290"/>
      <c r="AZ5" s="290"/>
      <c r="BA5" s="295" t="s">
        <v>25</v>
      </c>
      <c r="BB5" s="453">
        <v>0</v>
      </c>
      <c r="BC5" s="415">
        <v>0</v>
      </c>
      <c r="BD5" s="413" t="str">
        <f t="shared" si="1"/>
        <v>N/A</v>
      </c>
      <c r="BE5" s="290"/>
      <c r="BG5" s="290"/>
      <c r="BH5" s="295" t="s">
        <v>25</v>
      </c>
      <c r="BI5" s="453">
        <v>0</v>
      </c>
      <c r="BJ5" s="415">
        <v>0</v>
      </c>
      <c r="BK5" s="413" t="str">
        <f t="shared" si="2"/>
        <v>N/A</v>
      </c>
      <c r="BL5" s="290"/>
      <c r="BN5" s="290"/>
      <c r="BO5" s="295" t="s">
        <v>25</v>
      </c>
      <c r="BP5" s="453">
        <v>0</v>
      </c>
      <c r="BQ5" s="415">
        <v>0</v>
      </c>
      <c r="BR5" s="413" t="str">
        <f t="shared" si="3"/>
        <v>N/A</v>
      </c>
      <c r="BS5" s="290"/>
      <c r="BU5" s="290"/>
      <c r="BV5" s="295" t="s">
        <v>25</v>
      </c>
      <c r="BW5" s="453">
        <v>0</v>
      </c>
      <c r="BX5" s="415">
        <v>0</v>
      </c>
      <c r="BY5" s="413" t="str">
        <f t="shared" si="4"/>
        <v>N/A</v>
      </c>
      <c r="BZ5" s="290"/>
    </row>
    <row r="6" spans="1:78" s="288" customFormat="1" ht="16.149999999999999" outlineLevel="1" thickBot="1">
      <c r="A6" s="7"/>
      <c r="B6" s="6" t="s">
        <v>26</v>
      </c>
      <c r="C6" t="s">
        <v>27</v>
      </c>
      <c r="D6" s="7"/>
      <c r="F6" s="290"/>
      <c r="G6" s="290"/>
      <c r="H6" s="290"/>
      <c r="I6" s="290"/>
      <c r="J6" s="290"/>
      <c r="K6" s="290"/>
      <c r="M6" s="3"/>
      <c r="N6" s="13" t="s">
        <v>28</v>
      </c>
      <c r="O6" s="289" t="s">
        <v>29</v>
      </c>
      <c r="P6" s="294"/>
      <c r="Q6" s="299"/>
      <c r="R6" s="294"/>
      <c r="S6" s="3"/>
      <c r="T6" s="4" t="s">
        <v>30</v>
      </c>
      <c r="U6" s="74">
        <f>IFERROR(SUMIFS(O:O,Y:Y,"varTotalPM"),0)</f>
        <v>18.224</v>
      </c>
      <c r="V6" s="423">
        <f>IFERROR(SUMIFS(V:V,Y:Y,"varTotalPM"),0)</f>
        <v>863.81759999999997</v>
      </c>
      <c r="W6" s="420" t="str">
        <f>IFERROR(V6/BusinessCurrencyTRM,"N/A")</f>
        <v>N/A</v>
      </c>
      <c r="X6" s="294"/>
      <c r="Y6" s="294"/>
      <c r="Z6" s="3"/>
      <c r="AA6" s="281"/>
      <c r="AB6" s="3"/>
      <c r="AC6" s="4" t="s">
        <v>30</v>
      </c>
      <c r="AD6" s="75">
        <f>IFERROR(SUMIF(Y:Y,"varTotalPM",AD:AD),0)</f>
        <v>1349.8516800000002</v>
      </c>
      <c r="AE6" s="420" t="str">
        <f>IFERROR(AD6/BusinessCurrencyTRM,"N/A")</f>
        <v>N/A</v>
      </c>
      <c r="AF6" s="3"/>
      <c r="AG6" s="75">
        <f>IFERROR(SUMIF(Y:Y,"varTotalPM",AG:AG),0)</f>
        <v>0</v>
      </c>
      <c r="AH6" s="434" t="str">
        <f>IFERROR(AG6/BusinessCurrencyTRM,"N/A")</f>
        <v>N/A</v>
      </c>
      <c r="AI6" s="3"/>
      <c r="AJ6" s="75">
        <f>IFERROR(SUMIF(Y:Y,"varTotalPM",AJ:AJ),0)</f>
        <v>0</v>
      </c>
      <c r="AK6" s="420" t="str">
        <f>IFERROR(AJ6/BusinessCurrencyTRM,"N/A")</f>
        <v>N/A</v>
      </c>
      <c r="AL6" s="3"/>
      <c r="AM6" s="3"/>
      <c r="AN6" s="75">
        <f>SUM(AD6,AG6,AJ6)</f>
        <v>1349.8516800000002</v>
      </c>
      <c r="AO6" s="420" t="str">
        <f>IFERROR(AN6/BusinessCurrencyTRM,"N/A")</f>
        <v>N/A</v>
      </c>
      <c r="AP6" s="76"/>
      <c r="AR6" s="290"/>
      <c r="AS6" s="4" t="s">
        <v>31</v>
      </c>
      <c r="AT6" s="294"/>
      <c r="AU6" s="453">
        <v>0</v>
      </c>
      <c r="AV6" s="415">
        <v>0</v>
      </c>
      <c r="AW6" s="413" t="str">
        <f t="shared" si="0"/>
        <v>N/A</v>
      </c>
      <c r="AX6" s="3"/>
      <c r="AZ6" s="290"/>
      <c r="BA6" s="295" t="s">
        <v>31</v>
      </c>
      <c r="BB6" s="453">
        <v>0</v>
      </c>
      <c r="BC6" s="415">
        <v>0</v>
      </c>
      <c r="BD6" s="413" t="str">
        <f t="shared" si="1"/>
        <v>N/A</v>
      </c>
      <c r="BE6" s="3"/>
      <c r="BG6" s="290"/>
      <c r="BH6" s="295" t="s">
        <v>31</v>
      </c>
      <c r="BI6" s="453">
        <v>0</v>
      </c>
      <c r="BJ6" s="415">
        <v>0</v>
      </c>
      <c r="BK6" s="413" t="str">
        <f t="shared" si="2"/>
        <v>N/A</v>
      </c>
      <c r="BL6" s="3"/>
      <c r="BN6" s="290"/>
      <c r="BO6" s="295" t="s">
        <v>31</v>
      </c>
      <c r="BP6" s="453">
        <v>0</v>
      </c>
      <c r="BQ6" s="415">
        <v>0</v>
      </c>
      <c r="BR6" s="413" t="str">
        <f t="shared" si="3"/>
        <v>N/A</v>
      </c>
      <c r="BS6" s="3"/>
      <c r="BU6" s="290"/>
      <c r="BV6" s="295" t="s">
        <v>31</v>
      </c>
      <c r="BW6" s="453">
        <v>0</v>
      </c>
      <c r="BX6" s="415">
        <v>0</v>
      </c>
      <c r="BY6" s="413" t="str">
        <f t="shared" si="4"/>
        <v>N/A</v>
      </c>
      <c r="BZ6" s="3"/>
    </row>
    <row r="7" spans="1:78" s="302" customFormat="1" ht="16.149999999999999" outlineLevel="1" thickTop="1">
      <c r="A7" s="7"/>
      <c r="B7" s="6" t="s">
        <v>32</v>
      </c>
      <c r="C7" s="289"/>
      <c r="D7" s="7"/>
      <c r="E7" s="288"/>
      <c r="F7" s="290"/>
      <c r="G7" s="290"/>
      <c r="H7" s="290"/>
      <c r="I7" s="290"/>
      <c r="J7" s="290"/>
      <c r="K7" s="290"/>
      <c r="L7" s="288"/>
      <c r="M7" s="3"/>
      <c r="N7" s="13" t="s">
        <v>33</v>
      </c>
      <c r="O7" s="289" t="s">
        <v>34</v>
      </c>
      <c r="P7" s="294"/>
      <c r="Q7" s="300"/>
      <c r="R7" s="300"/>
      <c r="S7" s="3"/>
      <c r="T7" s="35" t="s">
        <v>35</v>
      </c>
      <c r="U7" s="301">
        <f>IFERROR(SUM(U5:U6),0)</f>
        <v>109.34400000000001</v>
      </c>
      <c r="V7" s="424">
        <f>IFERROR(SUM($V$5:$V$6),0)</f>
        <v>4200.6319999999996</v>
      </c>
      <c r="W7" s="418" t="str">
        <f>IFERROR(V7/BusinessCurrencyTRM,"N/A")</f>
        <v>N/A</v>
      </c>
      <c r="X7" s="294"/>
      <c r="Y7" s="294"/>
      <c r="Z7" s="294"/>
      <c r="AA7" s="291"/>
      <c r="AB7" s="294"/>
      <c r="AC7" s="4" t="s">
        <v>35</v>
      </c>
      <c r="AD7" s="298">
        <f>IFERROR(SUM(AD5:AD6),0)</f>
        <v>6563.738080000001</v>
      </c>
      <c r="AE7" s="418" t="str">
        <f>IFERROR(AD7/BusinessCurrencyTRM,"N/A")</f>
        <v>N/A</v>
      </c>
      <c r="AF7" s="3"/>
      <c r="AG7" s="298">
        <f>IFERROR(SUM(AG5:AG6),0)</f>
        <v>0</v>
      </c>
      <c r="AH7" s="435" t="str">
        <f>IFERROR(AG7/BusinessCurrencyTRM,"N/A")</f>
        <v>N/A</v>
      </c>
      <c r="AI7" s="3"/>
      <c r="AJ7" s="436">
        <f>IFERROR(SUM(AJ5:AJ6),0)</f>
        <v>0</v>
      </c>
      <c r="AK7" s="418" t="str">
        <f>IFERROR(AJ7/BusinessCurrencyTRM,"N/A")</f>
        <v>N/A</v>
      </c>
      <c r="AL7" s="3"/>
      <c r="AM7" s="3"/>
      <c r="AN7" s="298">
        <f>IFERROR(SUM(AN5:AN6),0)</f>
        <v>6563.738080000001</v>
      </c>
      <c r="AO7" s="418" t="str">
        <f>IFERROR(AN7/BusinessCurrencyTRM,"N/A")</f>
        <v>N/A</v>
      </c>
      <c r="AP7" s="76"/>
      <c r="AQ7" s="288"/>
      <c r="AR7" s="290"/>
      <c r="AS7" s="4" t="s">
        <v>36</v>
      </c>
      <c r="AT7" s="294"/>
      <c r="AU7" s="453">
        <v>0</v>
      </c>
      <c r="AV7" s="415">
        <v>0</v>
      </c>
      <c r="AW7" s="413" t="str">
        <f t="shared" si="0"/>
        <v>N/A</v>
      </c>
      <c r="AX7" s="290"/>
      <c r="AY7" s="288"/>
      <c r="AZ7" s="290"/>
      <c r="BA7" s="295" t="s">
        <v>36</v>
      </c>
      <c r="BB7" s="453">
        <v>0</v>
      </c>
      <c r="BC7" s="415">
        <v>0</v>
      </c>
      <c r="BD7" s="413" t="str">
        <f t="shared" si="1"/>
        <v>N/A</v>
      </c>
      <c r="BE7" s="290"/>
      <c r="BF7" s="288"/>
      <c r="BG7" s="290"/>
      <c r="BH7" s="295" t="s">
        <v>36</v>
      </c>
      <c r="BI7" s="453">
        <v>0</v>
      </c>
      <c r="BJ7" s="415">
        <v>0</v>
      </c>
      <c r="BK7" s="413" t="str">
        <f t="shared" si="2"/>
        <v>N/A</v>
      </c>
      <c r="BL7" s="290"/>
      <c r="BM7" s="288"/>
      <c r="BN7" s="290"/>
      <c r="BO7" s="295" t="s">
        <v>36</v>
      </c>
      <c r="BP7" s="453">
        <v>0</v>
      </c>
      <c r="BQ7" s="415">
        <v>0</v>
      </c>
      <c r="BR7" s="413" t="str">
        <f t="shared" si="3"/>
        <v>N/A</v>
      </c>
      <c r="BS7" s="290"/>
      <c r="BT7" s="288"/>
      <c r="BU7" s="290"/>
      <c r="BV7" s="295" t="s">
        <v>36</v>
      </c>
      <c r="BW7" s="453">
        <v>0</v>
      </c>
      <c r="BX7" s="415">
        <v>0</v>
      </c>
      <c r="BY7" s="413" t="str">
        <f t="shared" si="4"/>
        <v>N/A</v>
      </c>
      <c r="BZ7" s="290"/>
    </row>
    <row r="8" spans="1:78" s="302" customFormat="1" ht="15.6" outlineLevel="1">
      <c r="A8" s="7"/>
      <c r="B8" s="6" t="s">
        <v>37</v>
      </c>
      <c r="C8" s="289" t="s">
        <v>38</v>
      </c>
      <c r="D8" s="7"/>
      <c r="E8" s="288"/>
      <c r="F8" s="290"/>
      <c r="G8" s="290"/>
      <c r="H8" s="290"/>
      <c r="I8" s="290"/>
      <c r="J8" s="290"/>
      <c r="K8" s="290"/>
      <c r="L8" s="288"/>
      <c r="M8" s="3"/>
      <c r="N8" s="13" t="s">
        <v>39</v>
      </c>
      <c r="O8" s="289"/>
      <c r="P8" s="294"/>
      <c r="Q8" s="303"/>
      <c r="R8" s="300"/>
      <c r="S8" s="294"/>
      <c r="T8" s="13"/>
      <c r="U8" s="13"/>
      <c r="V8" s="13"/>
      <c r="W8" s="13"/>
      <c r="X8" s="294"/>
      <c r="Y8" s="294"/>
      <c r="Z8" s="3"/>
      <c r="AA8" s="304"/>
      <c r="AB8" s="3"/>
      <c r="AC8" s="3"/>
      <c r="AD8" s="3"/>
      <c r="AE8" s="3"/>
      <c r="AF8" s="3"/>
      <c r="AG8" s="3"/>
      <c r="AH8" s="3"/>
      <c r="AI8" s="3"/>
      <c r="AJ8" s="3"/>
      <c r="AK8" s="3"/>
      <c r="AL8" s="3"/>
      <c r="AM8" s="3"/>
      <c r="AN8" s="3"/>
      <c r="AO8" s="3"/>
      <c r="AP8" s="76"/>
      <c r="AQ8" s="288"/>
      <c r="AR8" s="290"/>
      <c r="AS8" s="4" t="s">
        <v>40</v>
      </c>
      <c r="AT8" s="294"/>
      <c r="AU8" s="453">
        <v>0</v>
      </c>
      <c r="AV8" s="415">
        <v>0</v>
      </c>
      <c r="AW8" s="413" t="str">
        <f t="shared" si="0"/>
        <v>N/A</v>
      </c>
      <c r="AX8" s="3"/>
      <c r="AY8" s="288"/>
      <c r="AZ8" s="290"/>
      <c r="BA8" s="295" t="s">
        <v>40</v>
      </c>
      <c r="BB8" s="453">
        <v>0</v>
      </c>
      <c r="BC8" s="415">
        <v>0</v>
      </c>
      <c r="BD8" s="413" t="str">
        <f t="shared" si="1"/>
        <v>N/A</v>
      </c>
      <c r="BE8" s="3"/>
      <c r="BF8" s="288"/>
      <c r="BG8" s="290"/>
      <c r="BH8" s="295" t="s">
        <v>40</v>
      </c>
      <c r="BI8" s="453">
        <v>0</v>
      </c>
      <c r="BJ8" s="415">
        <v>0</v>
      </c>
      <c r="BK8" s="413" t="str">
        <f t="shared" si="2"/>
        <v>N/A</v>
      </c>
      <c r="BL8" s="3"/>
      <c r="BM8" s="288"/>
      <c r="BN8" s="290"/>
      <c r="BO8" s="295" t="s">
        <v>40</v>
      </c>
      <c r="BP8" s="453">
        <v>0</v>
      </c>
      <c r="BQ8" s="415">
        <v>0</v>
      </c>
      <c r="BR8" s="413" t="str">
        <f t="shared" si="3"/>
        <v>N/A</v>
      </c>
      <c r="BS8" s="3"/>
      <c r="BT8" s="288"/>
      <c r="BU8" s="290"/>
      <c r="BV8" s="295" t="s">
        <v>40</v>
      </c>
      <c r="BW8" s="453">
        <v>0</v>
      </c>
      <c r="BX8" s="415">
        <v>0</v>
      </c>
      <c r="BY8" s="413" t="str">
        <f t="shared" si="4"/>
        <v>N/A</v>
      </c>
      <c r="BZ8" s="3"/>
    </row>
    <row r="9" spans="1:78" s="302" customFormat="1" ht="15.6" outlineLevel="1">
      <c r="A9" s="7"/>
      <c r="B9" s="6" t="s">
        <v>41</v>
      </c>
      <c r="C9" s="289"/>
      <c r="D9" s="7"/>
      <c r="E9" s="288"/>
      <c r="F9" s="290"/>
      <c r="G9" s="290"/>
      <c r="H9" s="290"/>
      <c r="I9" s="290"/>
      <c r="J9" s="290"/>
      <c r="K9" s="290"/>
      <c r="L9" s="288"/>
      <c r="M9" s="3"/>
      <c r="N9" s="13"/>
      <c r="O9" s="294"/>
      <c r="P9" s="294"/>
      <c r="Q9" s="305"/>
      <c r="R9" s="294"/>
      <c r="S9" s="77"/>
      <c r="T9" s="13" t="s">
        <v>42</v>
      </c>
      <c r="U9" s="13"/>
      <c r="V9" s="13"/>
      <c r="W9" s="13"/>
      <c r="X9" s="294"/>
      <c r="Y9" s="294"/>
      <c r="Z9" s="3"/>
      <c r="AA9" s="304"/>
      <c r="AB9" s="3"/>
      <c r="AC9" s="13" t="s">
        <v>43</v>
      </c>
      <c r="AD9" s="294"/>
      <c r="AE9" s="294"/>
      <c r="AF9" s="3"/>
      <c r="AG9" s="294"/>
      <c r="AH9" s="294"/>
      <c r="AI9" s="3"/>
      <c r="AJ9" s="294"/>
      <c r="AK9" s="294"/>
      <c r="AL9" s="3"/>
      <c r="AM9" s="3"/>
      <c r="AN9" s="294"/>
      <c r="AO9" s="294"/>
      <c r="AP9" s="306"/>
      <c r="AQ9" s="288"/>
      <c r="AR9" s="290"/>
      <c r="AS9" s="4" t="s">
        <v>44</v>
      </c>
      <c r="AT9" s="294"/>
      <c r="AU9" s="453">
        <v>0</v>
      </c>
      <c r="AV9" s="415">
        <v>0</v>
      </c>
      <c r="AW9" s="413" t="str">
        <f t="shared" si="0"/>
        <v>N/A</v>
      </c>
      <c r="AX9" s="292"/>
      <c r="AY9" s="288"/>
      <c r="AZ9" s="290"/>
      <c r="BA9" s="295" t="s">
        <v>44</v>
      </c>
      <c r="BB9" s="453">
        <v>0</v>
      </c>
      <c r="BC9" s="415">
        <v>0</v>
      </c>
      <c r="BD9" s="413" t="str">
        <f t="shared" si="1"/>
        <v>N/A</v>
      </c>
      <c r="BE9" s="292"/>
      <c r="BF9" s="288"/>
      <c r="BG9" s="290"/>
      <c r="BH9" s="295" t="s">
        <v>44</v>
      </c>
      <c r="BI9" s="453">
        <v>0</v>
      </c>
      <c r="BJ9" s="415">
        <v>0</v>
      </c>
      <c r="BK9" s="413" t="str">
        <f t="shared" si="2"/>
        <v>N/A</v>
      </c>
      <c r="BL9" s="292"/>
      <c r="BM9" s="288"/>
      <c r="BN9" s="290"/>
      <c r="BO9" s="295" t="s">
        <v>44</v>
      </c>
      <c r="BP9" s="453">
        <v>0</v>
      </c>
      <c r="BQ9" s="415">
        <v>0</v>
      </c>
      <c r="BR9" s="413" t="str">
        <f t="shared" si="3"/>
        <v>N/A</v>
      </c>
      <c r="BS9" s="292"/>
      <c r="BT9" s="288"/>
      <c r="BU9" s="290"/>
      <c r="BV9" s="295" t="s">
        <v>44</v>
      </c>
      <c r="BW9" s="453">
        <v>0</v>
      </c>
      <c r="BX9" s="415">
        <v>0</v>
      </c>
      <c r="BY9" s="413" t="str">
        <f t="shared" si="4"/>
        <v>N/A</v>
      </c>
      <c r="BZ9" s="292"/>
    </row>
    <row r="10" spans="1:78" s="302" customFormat="1" ht="15.6" outlineLevel="1">
      <c r="A10" s="7"/>
      <c r="B10" s="6" t="s">
        <v>45</v>
      </c>
      <c r="C10" s="289"/>
      <c r="D10" s="7"/>
      <c r="E10" s="288"/>
      <c r="F10" s="290"/>
      <c r="G10" s="290"/>
      <c r="H10" s="290"/>
      <c r="I10" s="290"/>
      <c r="J10" s="290"/>
      <c r="K10" s="290"/>
      <c r="L10" s="288"/>
      <c r="M10" s="3"/>
      <c r="N10" s="13" t="s">
        <v>46</v>
      </c>
      <c r="O10" s="289" t="str">
        <f>CustomerCountry</f>
        <v>Noram</v>
      </c>
      <c r="P10" s="294"/>
      <c r="Q10" s="305"/>
      <c r="R10" s="294"/>
      <c r="S10" s="77"/>
      <c r="T10" s="4" t="s">
        <v>47</v>
      </c>
      <c r="U10" s="2"/>
      <c r="V10" s="73">
        <f>IFERROR(SUMIF(Y:Y,"varTotalRisks",V:V),0)</f>
        <v>0</v>
      </c>
      <c r="W10" s="419" t="str">
        <f t="shared" ref="W10:W15" si="5">IFERROR(V10/BusinessCurrencyTRM,"N/A")</f>
        <v>N/A</v>
      </c>
      <c r="X10" s="294"/>
      <c r="Y10" s="294"/>
      <c r="Z10" s="3"/>
      <c r="AA10" s="304"/>
      <c r="AB10" s="3"/>
      <c r="AC10" s="4" t="s">
        <v>47</v>
      </c>
      <c r="AD10" s="298">
        <f>IFERROR(SUMIF(Y:Y,"varTotalRisks",AD:AD),0)</f>
        <v>0</v>
      </c>
      <c r="AE10" s="419" t="str">
        <f t="shared" ref="AE10:AE15" si="6">IFERROR(AD10/BusinessCurrencyTRM,"N/A")</f>
        <v>N/A</v>
      </c>
      <c r="AF10" s="3"/>
      <c r="AG10" s="298">
        <f>IFERROR(SUMIF(Y:Y,"varTotalRisks",AG:AG),0)</f>
        <v>0</v>
      </c>
      <c r="AH10" s="433" t="str">
        <f t="shared" ref="AH10:AH16" si="7">IFERROR(AG10/BusinessCurrencyTRM,"N/A")</f>
        <v>N/A</v>
      </c>
      <c r="AI10" s="3"/>
      <c r="AJ10" s="298">
        <f>IFERROR(SUMIF(Y:Y,"varTotalRisks",AJ:AJ),0)</f>
        <v>0</v>
      </c>
      <c r="AK10" s="419" t="str">
        <f t="shared" ref="AK10:AK16" si="8">IFERROR(AJ10/BusinessCurrencyTRM,"N/A")</f>
        <v>N/A</v>
      </c>
      <c r="AL10" s="3"/>
      <c r="AM10" s="3"/>
      <c r="AN10" s="298">
        <f t="shared" ref="AN10:AN15" si="9">SUM(AD10,AG10,AJ10)</f>
        <v>0</v>
      </c>
      <c r="AO10" s="419" t="str">
        <f t="shared" ref="AO10:AO16" si="10">IFERROR(AN10/BusinessCurrencyTRM,"N/A")</f>
        <v>N/A</v>
      </c>
      <c r="AP10" s="306"/>
      <c r="AQ10" s="288"/>
      <c r="AR10" s="290"/>
      <c r="AS10" s="4" t="s">
        <v>48</v>
      </c>
      <c r="AT10" s="294"/>
      <c r="AU10" s="453">
        <v>0</v>
      </c>
      <c r="AV10" s="415">
        <v>0</v>
      </c>
      <c r="AW10" s="413" t="str">
        <f t="shared" si="0"/>
        <v>N/A</v>
      </c>
      <c r="AX10" s="290"/>
      <c r="AY10" s="288"/>
      <c r="AZ10" s="290"/>
      <c r="BA10" s="295" t="s">
        <v>48</v>
      </c>
      <c r="BB10" s="453">
        <v>0</v>
      </c>
      <c r="BC10" s="415">
        <v>0</v>
      </c>
      <c r="BD10" s="413" t="str">
        <f t="shared" si="1"/>
        <v>N/A</v>
      </c>
      <c r="BE10" s="290"/>
      <c r="BF10" s="288"/>
      <c r="BG10" s="290"/>
      <c r="BH10" s="295" t="s">
        <v>48</v>
      </c>
      <c r="BI10" s="453">
        <v>0</v>
      </c>
      <c r="BJ10" s="415">
        <v>0</v>
      </c>
      <c r="BK10" s="413" t="str">
        <f t="shared" si="2"/>
        <v>N/A</v>
      </c>
      <c r="BL10" s="290"/>
      <c r="BM10" s="288"/>
      <c r="BN10" s="290"/>
      <c r="BO10" s="295" t="s">
        <v>48</v>
      </c>
      <c r="BP10" s="453">
        <v>0</v>
      </c>
      <c r="BQ10" s="415">
        <v>0</v>
      </c>
      <c r="BR10" s="413" t="str">
        <f t="shared" si="3"/>
        <v>N/A</v>
      </c>
      <c r="BS10" s="290"/>
      <c r="BT10" s="288"/>
      <c r="BU10" s="290"/>
      <c r="BV10" s="295" t="s">
        <v>48</v>
      </c>
      <c r="BW10" s="453">
        <v>0</v>
      </c>
      <c r="BX10" s="415">
        <v>0</v>
      </c>
      <c r="BY10" s="413" t="str">
        <f t="shared" si="4"/>
        <v>N/A</v>
      </c>
      <c r="BZ10" s="290"/>
    </row>
    <row r="11" spans="1:78" s="288" customFormat="1" ht="15.6" outlineLevel="1">
      <c r="A11" s="7"/>
      <c r="B11" s="7"/>
      <c r="C11" s="7"/>
      <c r="D11" s="7"/>
      <c r="F11" s="290"/>
      <c r="G11" s="290"/>
      <c r="H11" s="290"/>
      <c r="I11" s="290"/>
      <c r="J11" s="290"/>
      <c r="K11" s="290"/>
      <c r="M11" s="3"/>
      <c r="N11" s="13" t="s">
        <v>49</v>
      </c>
      <c r="O11" s="399" t="str">
        <f>INDEX(Paramenters!$C$28:$C$85,MATCH(BillingCountry,Paramenters!$A$28:$A$85,0))</f>
        <v>USD</v>
      </c>
      <c r="P11" s="294"/>
      <c r="Q11" s="305"/>
      <c r="R11" s="294"/>
      <c r="S11" s="77"/>
      <c r="T11" s="4" t="s">
        <v>50</v>
      </c>
      <c r="U11" s="2"/>
      <c r="V11" s="73">
        <f>IFERROR(SUMIF(Y:Y,"varTotalPayRise",V:V),0)</f>
        <v>0</v>
      </c>
      <c r="W11" s="419" t="str">
        <f t="shared" si="5"/>
        <v>N/A</v>
      </c>
      <c r="X11" s="2"/>
      <c r="Y11" s="2"/>
      <c r="Z11" s="3"/>
      <c r="AA11" s="304"/>
      <c r="AB11" s="3"/>
      <c r="AC11" s="4" t="s">
        <v>51</v>
      </c>
      <c r="AD11" s="298">
        <f>IFERROR(SUMIF(Y:Y,"varTotalPayRise",AD:AD),0)</f>
        <v>0</v>
      </c>
      <c r="AE11" s="419" t="str">
        <f t="shared" si="6"/>
        <v>N/A</v>
      </c>
      <c r="AF11" s="3"/>
      <c r="AG11" s="298">
        <f>IFERROR(SUMIF(Y:Y,"varTotalPayRise",AG:AG),0)</f>
        <v>0</v>
      </c>
      <c r="AH11" s="440" t="str">
        <f t="shared" si="7"/>
        <v>N/A</v>
      </c>
      <c r="AI11" s="3"/>
      <c r="AJ11" s="451">
        <f>IFERROR(SUMIF(Y:Y,"varTotalPayRise",AJ:AJ),0)</f>
        <v>0</v>
      </c>
      <c r="AK11" s="419" t="str">
        <f t="shared" si="8"/>
        <v>N/A</v>
      </c>
      <c r="AL11" s="3"/>
      <c r="AM11" s="3"/>
      <c r="AN11" s="298">
        <f t="shared" si="9"/>
        <v>0</v>
      </c>
      <c r="AO11" s="419" t="str">
        <f t="shared" si="10"/>
        <v>N/A</v>
      </c>
      <c r="AP11" s="306"/>
      <c r="AR11" s="290"/>
      <c r="AS11" s="4" t="s">
        <v>52</v>
      </c>
      <c r="AT11" s="294"/>
      <c r="AU11" s="453">
        <v>0</v>
      </c>
      <c r="AV11" s="415">
        <v>0</v>
      </c>
      <c r="AW11" s="413" t="str">
        <f t="shared" si="0"/>
        <v>N/A</v>
      </c>
      <c r="AX11" s="292"/>
      <c r="AZ11" s="290"/>
      <c r="BA11" s="295" t="s">
        <v>52</v>
      </c>
      <c r="BB11" s="453">
        <v>0</v>
      </c>
      <c r="BC11" s="415">
        <v>0</v>
      </c>
      <c r="BD11" s="413" t="str">
        <f t="shared" si="1"/>
        <v>N/A</v>
      </c>
      <c r="BE11" s="292"/>
      <c r="BG11" s="290"/>
      <c r="BH11" s="295" t="s">
        <v>52</v>
      </c>
      <c r="BI11" s="453">
        <v>0</v>
      </c>
      <c r="BJ11" s="415">
        <v>0</v>
      </c>
      <c r="BK11" s="413" t="str">
        <f t="shared" si="2"/>
        <v>N/A</v>
      </c>
      <c r="BL11" s="292"/>
      <c r="BN11" s="290"/>
      <c r="BO11" s="295" t="s">
        <v>52</v>
      </c>
      <c r="BP11" s="453">
        <v>0</v>
      </c>
      <c r="BQ11" s="415">
        <v>0</v>
      </c>
      <c r="BR11" s="413" t="str">
        <f t="shared" si="3"/>
        <v>N/A</v>
      </c>
      <c r="BS11" s="292"/>
      <c r="BU11" s="290"/>
      <c r="BV11" s="295" t="s">
        <v>52</v>
      </c>
      <c r="BW11" s="453">
        <v>0</v>
      </c>
      <c r="BX11" s="415">
        <v>0</v>
      </c>
      <c r="BY11" s="413" t="str">
        <f t="shared" si="4"/>
        <v>N/A</v>
      </c>
      <c r="BZ11" s="292"/>
    </row>
    <row r="12" spans="1:78" s="288" customFormat="1" ht="15.6" outlineLevel="1">
      <c r="A12" s="7"/>
      <c r="B12" s="71" t="s">
        <v>53</v>
      </c>
      <c r="C12" s="35" t="s">
        <v>54</v>
      </c>
      <c r="D12" s="7"/>
      <c r="F12" s="290"/>
      <c r="G12" s="290"/>
      <c r="H12" s="290"/>
      <c r="I12" s="290"/>
      <c r="J12" s="290"/>
      <c r="K12" s="290"/>
      <c r="M12" s="3"/>
      <c r="N12" s="13"/>
      <c r="O12" s="294"/>
      <c r="P12" s="294"/>
      <c r="Q12" s="305"/>
      <c r="R12" s="13"/>
      <c r="S12" s="307"/>
      <c r="T12" s="4" t="s">
        <v>55</v>
      </c>
      <c r="U12" s="295"/>
      <c r="V12" s="73">
        <f>IFERROR(SUMIF(Y:Y,"varTotalProducts",V:V),0)</f>
        <v>0</v>
      </c>
      <c r="W12" s="419" t="str">
        <f t="shared" si="5"/>
        <v>N/A</v>
      </c>
      <c r="X12" s="294"/>
      <c r="Y12" s="294"/>
      <c r="Z12" s="3"/>
      <c r="AA12" s="304"/>
      <c r="AB12" s="3"/>
      <c r="AC12" s="4" t="s">
        <v>55</v>
      </c>
      <c r="AD12" s="298">
        <f>IFERROR(SUMIF(Y:Y,"varTotalProducts",AD:AD),0)</f>
        <v>0</v>
      </c>
      <c r="AE12" s="419" t="str">
        <f t="shared" si="6"/>
        <v>N/A</v>
      </c>
      <c r="AF12" s="3"/>
      <c r="AG12" s="298">
        <f>IFERROR(SUMIF(Y:Y,"varTotalProducts",AG:AG),0)</f>
        <v>0</v>
      </c>
      <c r="AH12" s="440" t="str">
        <f t="shared" si="7"/>
        <v>N/A</v>
      </c>
      <c r="AI12" s="3"/>
      <c r="AJ12" s="451">
        <f>IFERROR(SUMIF(Y:Y,"varTotalProducts",AJ:AJ),0)</f>
        <v>0</v>
      </c>
      <c r="AK12" s="419" t="str">
        <f t="shared" si="8"/>
        <v>N/A</v>
      </c>
      <c r="AL12" s="3"/>
      <c r="AM12" s="3"/>
      <c r="AN12" s="298">
        <f t="shared" si="9"/>
        <v>0</v>
      </c>
      <c r="AO12" s="419" t="str">
        <f t="shared" si="10"/>
        <v>N/A</v>
      </c>
      <c r="AP12" s="306"/>
      <c r="AR12" s="290"/>
      <c r="AS12" s="4" t="s">
        <v>56</v>
      </c>
      <c r="AT12" s="294"/>
      <c r="AU12" s="453">
        <v>0</v>
      </c>
      <c r="AV12" s="415">
        <v>0</v>
      </c>
      <c r="AW12" s="413" t="str">
        <f t="shared" si="0"/>
        <v>N/A</v>
      </c>
      <c r="AX12" s="292"/>
      <c r="AZ12" s="290"/>
      <c r="BA12" s="295" t="s">
        <v>56</v>
      </c>
      <c r="BB12" s="453">
        <v>0</v>
      </c>
      <c r="BC12" s="415">
        <v>0</v>
      </c>
      <c r="BD12" s="413" t="str">
        <f t="shared" si="1"/>
        <v>N/A</v>
      </c>
      <c r="BE12" s="292"/>
      <c r="BG12" s="290"/>
      <c r="BH12" s="295" t="s">
        <v>56</v>
      </c>
      <c r="BI12" s="453">
        <v>0</v>
      </c>
      <c r="BJ12" s="415">
        <v>0</v>
      </c>
      <c r="BK12" s="413" t="str">
        <f t="shared" si="2"/>
        <v>N/A</v>
      </c>
      <c r="BL12" s="292"/>
      <c r="BN12" s="290"/>
      <c r="BO12" s="295" t="s">
        <v>56</v>
      </c>
      <c r="BP12" s="453">
        <v>0</v>
      </c>
      <c r="BQ12" s="415">
        <v>0</v>
      </c>
      <c r="BR12" s="413" t="str">
        <f t="shared" si="3"/>
        <v>N/A</v>
      </c>
      <c r="BS12" s="292"/>
      <c r="BU12" s="290"/>
      <c r="BV12" s="295" t="s">
        <v>56</v>
      </c>
      <c r="BW12" s="453">
        <v>0</v>
      </c>
      <c r="BX12" s="415">
        <v>0</v>
      </c>
      <c r="BY12" s="413" t="str">
        <f t="shared" si="4"/>
        <v>N/A</v>
      </c>
      <c r="BZ12" s="292"/>
    </row>
    <row r="13" spans="1:78" s="288" customFormat="1" ht="15.6" outlineLevel="1">
      <c r="A13" s="7"/>
      <c r="B13" s="308"/>
      <c r="C13" s="289"/>
      <c r="D13" s="7"/>
      <c r="F13" s="290"/>
      <c r="G13" s="290"/>
      <c r="H13" s="290"/>
      <c r="I13" s="290"/>
      <c r="J13" s="290"/>
      <c r="K13" s="290"/>
      <c r="M13" s="3"/>
      <c r="N13" s="13" t="s">
        <v>57</v>
      </c>
      <c r="O13" s="394"/>
      <c r="P13" s="294"/>
      <c r="Q13" s="294"/>
      <c r="R13" s="13"/>
      <c r="S13" s="309"/>
      <c r="T13" s="4" t="s">
        <v>58</v>
      </c>
      <c r="U13" s="295"/>
      <c r="V13" s="73">
        <f>IFERROR(SUMIF(Y:Y,"varTotalVAR",V:V),0)</f>
        <v>0</v>
      </c>
      <c r="W13" s="419" t="str">
        <f t="shared" si="5"/>
        <v>N/A</v>
      </c>
      <c r="X13" s="294"/>
      <c r="Y13" s="294"/>
      <c r="Z13" s="3"/>
      <c r="AA13" s="304"/>
      <c r="AB13" s="3"/>
      <c r="AC13" s="4" t="s">
        <v>58</v>
      </c>
      <c r="AD13" s="298">
        <f>IFERROR(SUMIF(Y:Y,"varTotalVAR",AD:AD),0)</f>
        <v>0</v>
      </c>
      <c r="AE13" s="419" t="str">
        <f t="shared" si="6"/>
        <v>N/A</v>
      </c>
      <c r="AF13" s="3"/>
      <c r="AG13" s="298">
        <f>IFERROR(SUMIF(Y:Y,"varTotalVAR",AG:AG),0)</f>
        <v>0</v>
      </c>
      <c r="AH13" s="440" t="str">
        <f t="shared" si="7"/>
        <v>N/A</v>
      </c>
      <c r="AI13" s="3"/>
      <c r="AJ13" s="451">
        <f>IFERROR(SUMIF(Y:Y,"varTotalVAR",AJ:AJ),0)</f>
        <v>0</v>
      </c>
      <c r="AK13" s="419" t="str">
        <f t="shared" si="8"/>
        <v>N/A</v>
      </c>
      <c r="AL13" s="3"/>
      <c r="AM13" s="3"/>
      <c r="AN13" s="298">
        <f t="shared" si="9"/>
        <v>0</v>
      </c>
      <c r="AO13" s="419" t="str">
        <f t="shared" si="10"/>
        <v>N/A</v>
      </c>
      <c r="AP13" s="306"/>
      <c r="AR13" s="290"/>
      <c r="AS13" s="4" t="s">
        <v>59</v>
      </c>
      <c r="AT13" s="294"/>
      <c r="AU13" s="453">
        <v>0</v>
      </c>
      <c r="AV13" s="415">
        <v>0</v>
      </c>
      <c r="AW13" s="413" t="str">
        <f t="shared" si="0"/>
        <v>N/A</v>
      </c>
      <c r="AX13" s="292"/>
      <c r="AZ13" s="290"/>
      <c r="BA13" s="295" t="s">
        <v>59</v>
      </c>
      <c r="BB13" s="453">
        <v>0</v>
      </c>
      <c r="BC13" s="415">
        <v>0</v>
      </c>
      <c r="BD13" s="413" t="str">
        <f t="shared" si="1"/>
        <v>N/A</v>
      </c>
      <c r="BE13" s="292"/>
      <c r="BG13" s="290"/>
      <c r="BH13" s="295" t="s">
        <v>59</v>
      </c>
      <c r="BI13" s="453">
        <v>0</v>
      </c>
      <c r="BJ13" s="415">
        <v>0</v>
      </c>
      <c r="BK13" s="413" t="str">
        <f t="shared" si="2"/>
        <v>N/A</v>
      </c>
      <c r="BL13" s="292"/>
      <c r="BN13" s="290"/>
      <c r="BO13" s="295" t="s">
        <v>59</v>
      </c>
      <c r="BP13" s="453">
        <v>0</v>
      </c>
      <c r="BQ13" s="415">
        <v>0</v>
      </c>
      <c r="BR13" s="413" t="str">
        <f t="shared" si="3"/>
        <v>N/A</v>
      </c>
      <c r="BS13" s="292"/>
      <c r="BU13" s="290"/>
      <c r="BV13" s="295" t="s">
        <v>59</v>
      </c>
      <c r="BW13" s="453">
        <v>0</v>
      </c>
      <c r="BX13" s="415">
        <v>0</v>
      </c>
      <c r="BY13" s="413" t="str">
        <f t="shared" si="4"/>
        <v>N/A</v>
      </c>
      <c r="BZ13" s="292"/>
    </row>
    <row r="14" spans="1:78" s="288" customFormat="1" ht="15.6" outlineLevel="1">
      <c r="A14" s="7"/>
      <c r="B14" s="308"/>
      <c r="C14" s="289"/>
      <c r="D14" s="7"/>
      <c r="F14" s="290"/>
      <c r="G14" s="290"/>
      <c r="H14" s="290"/>
      <c r="I14" s="290"/>
      <c r="J14" s="290"/>
      <c r="K14" s="290"/>
      <c r="M14" s="3"/>
      <c r="N14" s="401" t="s">
        <v>60</v>
      </c>
      <c r="O14" s="296"/>
      <c r="P14" s="294"/>
      <c r="Q14" s="310"/>
      <c r="R14" s="13"/>
      <c r="S14" s="309"/>
      <c r="T14" s="4" t="s">
        <v>61</v>
      </c>
      <c r="U14" s="295"/>
      <c r="V14" s="73">
        <f>IFERROR(SUMIF(Y:Y,"varTotalInsurances",V:V),0)</f>
        <v>0</v>
      </c>
      <c r="W14" s="419" t="str">
        <f t="shared" si="5"/>
        <v>N/A</v>
      </c>
      <c r="X14" s="2"/>
      <c r="Y14" s="294"/>
      <c r="Z14" s="3"/>
      <c r="AA14" s="304"/>
      <c r="AB14" s="3"/>
      <c r="AC14" s="4" t="s">
        <v>61</v>
      </c>
      <c r="AD14" s="298">
        <f>IFERROR(SUMIF(Y:Y,"varTotalInsurances",AD:AD),0)</f>
        <v>0</v>
      </c>
      <c r="AE14" s="419" t="str">
        <f t="shared" si="6"/>
        <v>N/A</v>
      </c>
      <c r="AF14" s="3"/>
      <c r="AG14" s="298">
        <f>IFERROR(SUMIF(Y:Y,"varTotalInsurances",AG:AG),0)</f>
        <v>0</v>
      </c>
      <c r="AH14" s="440" t="str">
        <f t="shared" si="7"/>
        <v>N/A</v>
      </c>
      <c r="AI14" s="3"/>
      <c r="AJ14" s="451">
        <f>IFERROR(SUMIF(Y:Y,"varTotalInsurances",AJ:AJ),0)</f>
        <v>0</v>
      </c>
      <c r="AK14" s="419" t="str">
        <f t="shared" si="8"/>
        <v>N/A</v>
      </c>
      <c r="AL14" s="3"/>
      <c r="AM14" s="3"/>
      <c r="AN14" s="298">
        <f t="shared" si="9"/>
        <v>0</v>
      </c>
      <c r="AO14" s="419" t="str">
        <f t="shared" si="10"/>
        <v>N/A</v>
      </c>
      <c r="AP14" s="306"/>
      <c r="AR14" s="290"/>
      <c r="AS14" s="4" t="s">
        <v>62</v>
      </c>
      <c r="AT14" s="294"/>
      <c r="AU14" s="453">
        <v>0</v>
      </c>
      <c r="AV14" s="415">
        <v>0</v>
      </c>
      <c r="AW14" s="413" t="str">
        <f t="shared" si="0"/>
        <v>N/A</v>
      </c>
      <c r="AX14" s="292"/>
      <c r="AZ14" s="290"/>
      <c r="BA14" s="295" t="s">
        <v>62</v>
      </c>
      <c r="BB14" s="453">
        <v>0</v>
      </c>
      <c r="BC14" s="415">
        <v>0</v>
      </c>
      <c r="BD14" s="413" t="str">
        <f t="shared" si="1"/>
        <v>N/A</v>
      </c>
      <c r="BE14" s="292"/>
      <c r="BG14" s="290"/>
      <c r="BH14" s="295" t="s">
        <v>62</v>
      </c>
      <c r="BI14" s="453">
        <v>0</v>
      </c>
      <c r="BJ14" s="415">
        <v>0</v>
      </c>
      <c r="BK14" s="413" t="str">
        <f t="shared" si="2"/>
        <v>N/A</v>
      </c>
      <c r="BL14" s="292"/>
      <c r="BN14" s="290"/>
      <c r="BO14" s="295" t="s">
        <v>62</v>
      </c>
      <c r="BP14" s="453">
        <v>0</v>
      </c>
      <c r="BQ14" s="415">
        <v>0</v>
      </c>
      <c r="BR14" s="413" t="str">
        <f t="shared" si="3"/>
        <v>N/A</v>
      </c>
      <c r="BS14" s="292"/>
      <c r="BU14" s="290"/>
      <c r="BV14" s="295" t="s">
        <v>62</v>
      </c>
      <c r="BW14" s="453">
        <v>0</v>
      </c>
      <c r="BX14" s="415">
        <v>0</v>
      </c>
      <c r="BY14" s="413" t="str">
        <f t="shared" si="4"/>
        <v>N/A</v>
      </c>
      <c r="BZ14" s="292"/>
    </row>
    <row r="15" spans="1:78" s="288" customFormat="1" ht="16.149999999999999" outlineLevel="1" thickBot="1">
      <c r="A15" s="7"/>
      <c r="B15" s="308"/>
      <c r="C15" s="289"/>
      <c r="D15" s="7"/>
      <c r="F15" s="290"/>
      <c r="G15" s="290"/>
      <c r="H15" s="290"/>
      <c r="I15" s="290"/>
      <c r="J15" s="290"/>
      <c r="K15" s="290"/>
      <c r="M15" s="3"/>
      <c r="N15" s="13" t="s">
        <v>63</v>
      </c>
      <c r="O15" s="431"/>
      <c r="P15" s="294"/>
      <c r="Q15" s="310"/>
      <c r="R15" s="13"/>
      <c r="S15" s="309"/>
      <c r="T15" s="4" t="s">
        <v>64</v>
      </c>
      <c r="U15" s="13"/>
      <c r="V15" s="312">
        <f>IFERROR(SUMIF(Y:Y,"varTotalOthers",V:V),0)</f>
        <v>0</v>
      </c>
      <c r="W15" s="421" t="str">
        <f t="shared" si="5"/>
        <v>N/A</v>
      </c>
      <c r="X15" s="294"/>
      <c r="Y15" s="294"/>
      <c r="Z15" s="3"/>
      <c r="AA15" s="304"/>
      <c r="AB15" s="3"/>
      <c r="AC15" s="4" t="s">
        <v>64</v>
      </c>
      <c r="AD15" s="312">
        <f>IFERROR(SUMIF(Y:Y,"varTotalOthers",AD:AD),0)</f>
        <v>0</v>
      </c>
      <c r="AE15" s="421" t="str">
        <f t="shared" si="6"/>
        <v>N/A</v>
      </c>
      <c r="AF15" s="3"/>
      <c r="AG15" s="312">
        <f>IFERROR(SUMIF(Y:Y,"varTotalOthers",AG:AG),0)</f>
        <v>0</v>
      </c>
      <c r="AH15" s="437" t="str">
        <f t="shared" si="7"/>
        <v>N/A</v>
      </c>
      <c r="AI15" s="3"/>
      <c r="AJ15" s="312">
        <f>IFERROR(SUMIF(Y:Y,"varTotalOthers",AJ:AJ),0)</f>
        <v>0</v>
      </c>
      <c r="AK15" s="421" t="str">
        <f t="shared" si="8"/>
        <v>N/A</v>
      </c>
      <c r="AL15" s="3"/>
      <c r="AM15" s="3"/>
      <c r="AN15" s="312">
        <f t="shared" si="9"/>
        <v>0</v>
      </c>
      <c r="AO15" s="421" t="str">
        <f t="shared" si="10"/>
        <v>N/A</v>
      </c>
      <c r="AP15" s="306"/>
      <c r="AR15" s="290"/>
      <c r="AS15" s="4" t="s">
        <v>65</v>
      </c>
      <c r="AT15" s="294"/>
      <c r="AU15" s="454">
        <v>0</v>
      </c>
      <c r="AV15" s="415">
        <v>0</v>
      </c>
      <c r="AW15" s="413" t="str">
        <f t="shared" si="0"/>
        <v>N/A</v>
      </c>
      <c r="AX15" s="292"/>
      <c r="AZ15" s="290"/>
      <c r="BA15" s="295" t="s">
        <v>65</v>
      </c>
      <c r="BB15" s="454">
        <v>0</v>
      </c>
      <c r="BC15" s="415">
        <v>0</v>
      </c>
      <c r="BD15" s="413" t="str">
        <f t="shared" si="1"/>
        <v>N/A</v>
      </c>
      <c r="BE15" s="292"/>
      <c r="BG15" s="290"/>
      <c r="BH15" s="295" t="s">
        <v>65</v>
      </c>
      <c r="BI15" s="454">
        <v>0</v>
      </c>
      <c r="BJ15" s="415">
        <v>0</v>
      </c>
      <c r="BK15" s="413" t="str">
        <f t="shared" si="2"/>
        <v>N/A</v>
      </c>
      <c r="BL15" s="292"/>
      <c r="BN15" s="290"/>
      <c r="BO15" s="295" t="s">
        <v>65</v>
      </c>
      <c r="BP15" s="454">
        <v>0</v>
      </c>
      <c r="BQ15" s="415">
        <v>0</v>
      </c>
      <c r="BR15" s="413" t="str">
        <f t="shared" si="3"/>
        <v>N/A</v>
      </c>
      <c r="BS15" s="292"/>
      <c r="BU15" s="290"/>
      <c r="BV15" s="295" t="s">
        <v>65</v>
      </c>
      <c r="BW15" s="454">
        <v>0</v>
      </c>
      <c r="BX15" s="415">
        <v>0</v>
      </c>
      <c r="BY15" s="413" t="str">
        <f t="shared" si="4"/>
        <v>N/A</v>
      </c>
      <c r="BZ15" s="292"/>
    </row>
    <row r="16" spans="1:78" s="288" customFormat="1" ht="16.149999999999999" outlineLevel="1" thickTop="1">
      <c r="A16" s="7"/>
      <c r="B16" s="7"/>
      <c r="C16" s="7"/>
      <c r="D16" s="7"/>
      <c r="F16" s="290"/>
      <c r="G16" s="290"/>
      <c r="H16" s="290"/>
      <c r="I16" s="290"/>
      <c r="J16" s="290"/>
      <c r="K16" s="290"/>
      <c r="M16" s="3"/>
      <c r="N16" s="71"/>
      <c r="O16" s="111" t="str">
        <f>IF(ISBLANK(BusinessCurrency),"","* Request the official TRM/RMR from the financial area and/or official url in each billing country")</f>
        <v/>
      </c>
      <c r="P16" s="294"/>
      <c r="Q16" s="310"/>
      <c r="R16" s="13"/>
      <c r="S16" s="309"/>
      <c r="T16" s="35" t="s">
        <v>35</v>
      </c>
      <c r="U16" s="3"/>
      <c r="V16" s="298">
        <f>IFERROR(SUM(V10:V15),0)</f>
        <v>0</v>
      </c>
      <c r="W16" s="418" t="str">
        <f>IFERROR(V16/BusinessCurrencyTRM,"N/A")</f>
        <v>N/A</v>
      </c>
      <c r="X16" s="294"/>
      <c r="Y16" s="294"/>
      <c r="Z16" s="3"/>
      <c r="AA16" s="304"/>
      <c r="AB16" s="3"/>
      <c r="AC16" s="4" t="s">
        <v>35</v>
      </c>
      <c r="AD16" s="298">
        <f>IFERROR(SUM(AD10:AD15),0)</f>
        <v>0</v>
      </c>
      <c r="AE16" s="418" t="str">
        <f>IFERROR(AD16/BusinessCurrencyTRM,"N/A")</f>
        <v>N/A</v>
      </c>
      <c r="AF16" s="3"/>
      <c r="AG16" s="298">
        <f>IFERROR(SUM(AG10:AG15),0)</f>
        <v>0</v>
      </c>
      <c r="AH16" s="438" t="str">
        <f t="shared" si="7"/>
        <v>N/A</v>
      </c>
      <c r="AI16" s="3"/>
      <c r="AJ16" s="439">
        <f>IFERROR(SUM(AJ10:AJ15),0)</f>
        <v>0</v>
      </c>
      <c r="AK16" s="418" t="str">
        <f t="shared" si="8"/>
        <v>N/A</v>
      </c>
      <c r="AL16" s="3"/>
      <c r="AM16" s="3"/>
      <c r="AN16" s="298">
        <f>IFERROR(SUM(AN10:AN15),0)</f>
        <v>0</v>
      </c>
      <c r="AO16" s="418" t="str">
        <f t="shared" si="10"/>
        <v>N/A</v>
      </c>
      <c r="AP16" s="306"/>
      <c r="AR16" s="290"/>
      <c r="AS16" s="290"/>
      <c r="AT16" s="295"/>
      <c r="AU16" s="429">
        <f>SUM(AU4:AU15)</f>
        <v>0</v>
      </c>
      <c r="AV16" s="259">
        <f>SUM(AV4:AV15)</f>
        <v>0</v>
      </c>
      <c r="AW16" s="259">
        <f>SUM(AW4:AW15)</f>
        <v>0</v>
      </c>
      <c r="AX16" s="292"/>
      <c r="AZ16" s="290"/>
      <c r="BA16" s="295"/>
      <c r="BB16" s="429">
        <f>SUM(BB4:BB15)</f>
        <v>0</v>
      </c>
      <c r="BC16" s="259">
        <f>SUM(BC4:BC15)</f>
        <v>0</v>
      </c>
      <c r="BD16" s="259">
        <f>SUM(BD4:BD15)</f>
        <v>0</v>
      </c>
      <c r="BE16" s="292"/>
      <c r="BG16" s="290"/>
      <c r="BH16" s="295"/>
      <c r="BI16" s="429">
        <f>SUM(BI4:BI15)</f>
        <v>0</v>
      </c>
      <c r="BJ16" s="259">
        <f>SUM(BJ4:BJ15)</f>
        <v>0</v>
      </c>
      <c r="BK16" s="259">
        <f>SUM(BK4:BK15)</f>
        <v>0</v>
      </c>
      <c r="BL16" s="292"/>
      <c r="BN16" s="290"/>
      <c r="BO16" s="295"/>
      <c r="BP16" s="429">
        <f>SUM(BP4:BP15)</f>
        <v>0</v>
      </c>
      <c r="BQ16" s="259">
        <f>SUM(BQ4:BQ15)</f>
        <v>0</v>
      </c>
      <c r="BR16" s="259">
        <f>SUM(BR4:BR15)</f>
        <v>0</v>
      </c>
      <c r="BS16" s="292"/>
      <c r="BU16" s="290"/>
      <c r="BV16" s="295"/>
      <c r="BW16" s="429">
        <f>SUM(BW4:BW15)</f>
        <v>0</v>
      </c>
      <c r="BX16" s="259">
        <f>SUM(BX4:BX15)</f>
        <v>0</v>
      </c>
      <c r="BY16" s="259">
        <f>SUM(BY4:BY15)</f>
        <v>0</v>
      </c>
      <c r="BZ16" s="292"/>
    </row>
    <row r="17" spans="1:82" s="288" customFormat="1" ht="15.6" outlineLevel="1">
      <c r="A17" s="7"/>
      <c r="B17" s="306" t="s">
        <v>66</v>
      </c>
      <c r="C17" s="7"/>
      <c r="D17" s="7"/>
      <c r="F17" s="290"/>
      <c r="G17" s="290"/>
      <c r="H17" s="290"/>
      <c r="I17" s="290"/>
      <c r="J17" s="290"/>
      <c r="K17" s="290"/>
      <c r="M17" s="3"/>
      <c r="N17" s="71"/>
      <c r="O17" s="311"/>
      <c r="P17" s="294"/>
      <c r="Q17" s="310"/>
      <c r="R17" s="13"/>
      <c r="S17" s="309"/>
      <c r="T17" s="13"/>
      <c r="U17" s="13"/>
      <c r="V17" s="13"/>
      <c r="W17" s="13"/>
      <c r="X17" s="294"/>
      <c r="Y17" s="294"/>
      <c r="Z17" s="3"/>
      <c r="AA17" s="304"/>
      <c r="AB17" s="3"/>
      <c r="AC17" s="13"/>
      <c r="AD17" s="3"/>
      <c r="AE17" s="3"/>
      <c r="AF17" s="3"/>
      <c r="AG17" s="3"/>
      <c r="AH17" s="3"/>
      <c r="AI17" s="3"/>
      <c r="AJ17" s="3"/>
      <c r="AK17" s="3"/>
      <c r="AL17" s="3"/>
      <c r="AM17" s="3"/>
      <c r="AN17" s="3"/>
      <c r="AO17" s="3"/>
      <c r="AP17" s="306"/>
      <c r="AR17" s="290"/>
      <c r="AS17" s="290"/>
      <c r="AT17" s="313"/>
      <c r="AU17" s="3"/>
      <c r="AV17" s="3"/>
      <c r="AW17" s="3"/>
      <c r="AX17" s="292"/>
      <c r="AZ17" s="290"/>
      <c r="BA17" s="313"/>
      <c r="BB17" s="3"/>
      <c r="BC17" s="3"/>
      <c r="BD17" s="3"/>
      <c r="BE17" s="292"/>
      <c r="BG17" s="290"/>
      <c r="BH17" s="313"/>
      <c r="BI17" s="3"/>
      <c r="BJ17" s="3"/>
      <c r="BK17" s="3"/>
      <c r="BL17" s="292"/>
      <c r="BN17" s="290"/>
      <c r="BO17" s="313"/>
      <c r="BP17" s="3"/>
      <c r="BQ17" s="3"/>
      <c r="BR17" s="3"/>
      <c r="BS17" s="292"/>
      <c r="BU17" s="290"/>
      <c r="BV17" s="313"/>
      <c r="BW17" s="3"/>
      <c r="BX17" s="3"/>
      <c r="BY17" s="3"/>
      <c r="BZ17" s="292"/>
    </row>
    <row r="18" spans="1:82" s="288" customFormat="1" ht="15.6" customHeight="1" outlineLevel="1">
      <c r="A18" s="7"/>
      <c r="B18" s="513" t="s">
        <v>67</v>
      </c>
      <c r="C18" s="513"/>
      <c r="D18" s="7"/>
      <c r="F18" s="290"/>
      <c r="G18" s="290"/>
      <c r="H18" s="290"/>
      <c r="I18" s="290"/>
      <c r="J18" s="290"/>
      <c r="K18" s="290"/>
      <c r="M18" s="3"/>
      <c r="N18" s="71"/>
      <c r="O18" s="311"/>
      <c r="P18" s="314"/>
      <c r="Q18" s="310"/>
      <c r="R18" s="13"/>
      <c r="S18" s="309"/>
      <c r="T18" s="13"/>
      <c r="U18" s="13"/>
      <c r="V18" s="13"/>
      <c r="W18" s="13"/>
      <c r="X18" s="294"/>
      <c r="Y18" s="294"/>
      <c r="Z18" s="3"/>
      <c r="AA18" s="304"/>
      <c r="AB18" s="3"/>
      <c r="AC18" s="13"/>
      <c r="AD18" s="3"/>
      <c r="AE18" s="3"/>
      <c r="AF18" s="3"/>
      <c r="AG18" s="3"/>
      <c r="AH18" s="3"/>
      <c r="AI18" s="3"/>
      <c r="AJ18" s="3"/>
      <c r="AK18" s="3"/>
      <c r="AL18" s="3"/>
      <c r="AM18" s="3"/>
      <c r="AN18" s="3"/>
      <c r="AO18" s="3"/>
      <c r="AP18" s="306"/>
      <c r="AR18" s="290"/>
      <c r="AS18" s="290"/>
      <c r="AT18" s="315"/>
      <c r="AU18" s="3"/>
      <c r="AV18" s="417" t="str">
        <f>BillingCountryCurrency</f>
        <v>USD</v>
      </c>
      <c r="AW18" s="417" t="str">
        <f>IF(ISBLANK(BusinessCurrency),"N/A",BusinessCurrency)</f>
        <v>N/A</v>
      </c>
      <c r="AX18" s="316"/>
      <c r="AZ18" s="290"/>
      <c r="BA18" s="313"/>
      <c r="BB18" s="3"/>
      <c r="BC18" s="3"/>
      <c r="BD18" s="3"/>
      <c r="BE18" s="316"/>
      <c r="BG18" s="290"/>
      <c r="BH18" s="315"/>
      <c r="BI18" s="3"/>
      <c r="BJ18" s="3"/>
      <c r="BK18" s="3"/>
      <c r="BL18" s="316"/>
      <c r="BN18" s="290"/>
      <c r="BO18" s="315"/>
      <c r="BP18" s="3"/>
      <c r="BQ18" s="3"/>
      <c r="BR18" s="3"/>
      <c r="BS18" s="316"/>
      <c r="BU18" s="290"/>
      <c r="BV18" s="315"/>
      <c r="BW18" s="3"/>
      <c r="BX18" s="3"/>
      <c r="BY18" s="3"/>
      <c r="BZ18" s="316"/>
    </row>
    <row r="19" spans="1:82" s="288" customFormat="1" ht="15.6" outlineLevel="1">
      <c r="A19" s="7"/>
      <c r="B19" s="513"/>
      <c r="C19" s="513"/>
      <c r="D19" s="7"/>
      <c r="F19" s="290"/>
      <c r="G19" s="290"/>
      <c r="H19" s="290"/>
      <c r="I19" s="290"/>
      <c r="J19" s="290"/>
      <c r="K19" s="290"/>
      <c r="M19" s="3"/>
      <c r="N19" s="71"/>
      <c r="O19" s="311"/>
      <c r="P19" s="294"/>
      <c r="Q19" s="294"/>
      <c r="R19" s="13"/>
      <c r="S19" s="309"/>
      <c r="T19" s="13"/>
      <c r="U19" s="13"/>
      <c r="V19" s="13"/>
      <c r="W19" s="13"/>
      <c r="X19" s="400"/>
      <c r="Y19" s="7"/>
      <c r="Z19" s="13"/>
      <c r="AA19" s="304"/>
      <c r="AB19" s="13"/>
      <c r="AC19" s="3" t="s">
        <v>68</v>
      </c>
      <c r="AD19" s="317">
        <f>SUM(AD7,AD16)</f>
        <v>6563.738080000001</v>
      </c>
      <c r="AE19" s="416" t="str">
        <f>IFERROR(AD19/BusinessCurrencyTRM,"N/A")</f>
        <v>N/A</v>
      </c>
      <c r="AF19" s="3"/>
      <c r="AG19" s="317">
        <f>SUM(AG7,AG16)</f>
        <v>0</v>
      </c>
      <c r="AH19" s="441" t="str">
        <f>IFERROR(AG19/BusinessCurrencyTRM,"N/A")</f>
        <v>N/A</v>
      </c>
      <c r="AI19" s="3"/>
      <c r="AJ19" s="317">
        <f>SUM(AJ7,AJ16)</f>
        <v>0</v>
      </c>
      <c r="AK19" s="416" t="str">
        <f>IFERROR(AJ19/BusinessCurrencyTRM,"N/A")</f>
        <v>N/A</v>
      </c>
      <c r="AL19" s="3"/>
      <c r="AM19" s="3"/>
      <c r="AN19" s="317">
        <f>SUM(AN7,AN16)</f>
        <v>6563.738080000001</v>
      </c>
      <c r="AO19" s="416" t="str">
        <f>IFERROR(AN19/BusinessCurrencyTRM,"N/A")</f>
        <v>N/A</v>
      </c>
      <c r="AP19" s="306"/>
      <c r="AR19" s="290"/>
      <c r="AS19" s="3" t="s">
        <v>69</v>
      </c>
      <c r="AT19" s="3"/>
      <c r="AU19" s="3"/>
      <c r="AV19" s="317">
        <f>AN21</f>
        <v>6499.9980800000012</v>
      </c>
      <c r="AW19" s="416" t="str">
        <f>IFERROR(AV19/BusinessCurrencyTRM,"N/A")</f>
        <v>N/A</v>
      </c>
      <c r="AX19" s="316"/>
      <c r="AZ19" s="290"/>
      <c r="BA19" s="313"/>
      <c r="BB19" s="3"/>
      <c r="BC19" s="3"/>
      <c r="BD19" s="3"/>
      <c r="BE19" s="316"/>
      <c r="BG19" s="290"/>
      <c r="BH19" s="315"/>
      <c r="BI19" s="3"/>
      <c r="BJ19" s="3"/>
      <c r="BK19" s="3"/>
      <c r="BL19" s="316"/>
      <c r="BN19" s="290"/>
      <c r="BO19" s="315"/>
      <c r="BP19" s="3"/>
      <c r="BQ19" s="3"/>
      <c r="BR19" s="3"/>
      <c r="BS19" s="316"/>
      <c r="BU19" s="290"/>
      <c r="BV19" s="315"/>
      <c r="BW19" s="3"/>
      <c r="BX19" s="3"/>
      <c r="BY19" s="3"/>
      <c r="BZ19" s="316"/>
    </row>
    <row r="20" spans="1:82" s="288" customFormat="1" ht="15.6" outlineLevel="1">
      <c r="A20" s="7"/>
      <c r="B20" s="513"/>
      <c r="C20" s="513"/>
      <c r="D20" s="7"/>
      <c r="F20" s="290"/>
      <c r="G20" s="290"/>
      <c r="H20" s="290"/>
      <c r="I20" s="290"/>
      <c r="J20" s="290"/>
      <c r="K20" s="290"/>
      <c r="M20" s="3"/>
      <c r="N20" s="71"/>
      <c r="O20" s="311"/>
      <c r="P20" s="294"/>
      <c r="Q20" s="294"/>
      <c r="R20" s="13"/>
      <c r="S20" s="318"/>
      <c r="T20" s="13"/>
      <c r="U20" s="13"/>
      <c r="V20" s="13"/>
      <c r="W20" s="13"/>
      <c r="X20" s="400"/>
      <c r="Y20" s="7"/>
      <c r="Z20" s="13"/>
      <c r="AA20" s="304"/>
      <c r="AB20" s="13"/>
      <c r="AC20" s="3" t="s">
        <v>70</v>
      </c>
      <c r="AD20" s="319">
        <v>-63.74</v>
      </c>
      <c r="AE20" s="416" t="str">
        <f>IFERROR(AD20/BusinessCurrencyTRM,"N/A")</f>
        <v>N/A</v>
      </c>
      <c r="AF20" s="3"/>
      <c r="AG20" s="317">
        <v>0</v>
      </c>
      <c r="AH20" s="442" t="str">
        <f>IFERROR(AG20/BusinessCurrencyTRM,"N/A")</f>
        <v>N/A</v>
      </c>
      <c r="AI20" s="3"/>
      <c r="AJ20" s="317">
        <v>0</v>
      </c>
      <c r="AK20" s="416" t="str">
        <f>IFERROR(AJ20/BusinessCurrencyTRM,"N/A")</f>
        <v>N/A</v>
      </c>
      <c r="AL20" s="3"/>
      <c r="AM20" s="3"/>
      <c r="AN20" s="317">
        <f>SUM(AD20,AG20,AJ20)</f>
        <v>-63.74</v>
      </c>
      <c r="AO20" s="416" t="str">
        <f>IFERROR(AN20/BusinessCurrencyTRM,"N/A")</f>
        <v>N/A</v>
      </c>
      <c r="AP20" s="306"/>
      <c r="AR20" s="290"/>
      <c r="AS20" s="3" t="s">
        <v>71</v>
      </c>
      <c r="AT20" s="3"/>
      <c r="AU20" s="3"/>
      <c r="AV20" s="317">
        <f>SUM($V$21,$AG$21,$AJ$21)</f>
        <v>4200.6319999999996</v>
      </c>
      <c r="AW20" s="416" t="str">
        <f>IFERROR(AV20/BusinessCurrencyTRM,"N/A")</f>
        <v>N/A</v>
      </c>
      <c r="AX20" s="316"/>
      <c r="AZ20" s="290"/>
      <c r="BA20" s="313"/>
      <c r="BB20" s="3"/>
      <c r="BC20" s="3"/>
      <c r="BD20" s="3"/>
      <c r="BE20" s="316"/>
      <c r="BG20" s="290"/>
      <c r="BH20" s="315"/>
      <c r="BI20" s="3"/>
      <c r="BJ20" s="3"/>
      <c r="BK20" s="3"/>
      <c r="BL20" s="316"/>
      <c r="BN20" s="290"/>
      <c r="BO20" s="315"/>
      <c r="BP20" s="3"/>
      <c r="BQ20" s="3"/>
      <c r="BR20" s="3"/>
      <c r="BS20" s="316"/>
      <c r="BU20" s="290"/>
      <c r="BV20" s="315"/>
      <c r="BW20" s="3"/>
      <c r="BX20" s="3"/>
      <c r="BY20" s="3"/>
      <c r="BZ20" s="316"/>
    </row>
    <row r="21" spans="1:82" s="288" customFormat="1" ht="15.6" outlineLevel="1">
      <c r="A21" s="7"/>
      <c r="B21" s="514"/>
      <c r="C21" s="514"/>
      <c r="D21" s="7"/>
      <c r="F21" s="290"/>
      <c r="G21" s="290"/>
      <c r="H21" s="290"/>
      <c r="I21" s="290"/>
      <c r="J21" s="290"/>
      <c r="K21" s="290"/>
      <c r="M21" s="3"/>
      <c r="N21" s="110" t="str">
        <f>IF(CustomerCountry="Colombia","Impuesto de Timbre","")</f>
        <v/>
      </c>
      <c r="O21" s="111" t="str">
        <f>IF(CustomerCountry="Colombia","Aplica a nuevos contratos donde la cuantia supera los 6.000 UVT (COP 298.794.000)","")</f>
        <v/>
      </c>
      <c r="P21" s="300"/>
      <c r="Q21" s="294"/>
      <c r="R21" s="13"/>
      <c r="S21" s="13"/>
      <c r="T21" s="3" t="s">
        <v>72</v>
      </c>
      <c r="U21" s="3"/>
      <c r="V21" s="317">
        <f>V7+V16</f>
        <v>4200.6319999999996</v>
      </c>
      <c r="W21" s="416" t="str">
        <f>IFERROR(V21/BusinessCurrencyTRM,"N/A")</f>
        <v>N/A</v>
      </c>
      <c r="X21" s="261">
        <f>INDEX(Paramenters!$D$28:$D$85,MATCH(BillingCountryCurrency,Paramenters!$C$28:$C$85,0))</f>
        <v>1.2788018138524928</v>
      </c>
      <c r="Y21" s="7" t="s">
        <v>73</v>
      </c>
      <c r="Z21" s="13"/>
      <c r="AA21" s="304"/>
      <c r="AB21" s="3"/>
      <c r="AC21" s="3" t="s">
        <v>74</v>
      </c>
      <c r="AD21" s="317">
        <f>SUM(AD19:AD20)</f>
        <v>6499.9980800000012</v>
      </c>
      <c r="AE21" s="416" t="str">
        <f>IFERROR(AD21/BusinessCurrencyTRM,"N/A")</f>
        <v>N/A</v>
      </c>
      <c r="AF21" s="3"/>
      <c r="AG21" s="317">
        <f>SUM(AG19:AG20)</f>
        <v>0</v>
      </c>
      <c r="AH21" s="442" t="str">
        <f>IFERROR(AG21/BusinessCurrencyTRM,"N/A")</f>
        <v>N/A</v>
      </c>
      <c r="AI21" s="3"/>
      <c r="AJ21" s="443">
        <f>SUM(AJ19:AJ20)</f>
        <v>0</v>
      </c>
      <c r="AK21" s="416" t="str">
        <f>IFERROR(AJ21/BusinessCurrencyTRM,"N/A")</f>
        <v>N/A</v>
      </c>
      <c r="AL21" s="3"/>
      <c r="AM21" s="3"/>
      <c r="AN21" s="78">
        <f>SUM(AN19:AN20)</f>
        <v>6499.9980800000012</v>
      </c>
      <c r="AO21" s="416" t="str">
        <f>IFERROR(AN21/BusinessCurrencyTRM,"N/A")</f>
        <v>N/A</v>
      </c>
      <c r="AP21" s="3"/>
      <c r="AR21" s="3"/>
      <c r="AS21" s="3" t="s">
        <v>75</v>
      </c>
      <c r="AT21" s="3"/>
      <c r="AU21" s="3"/>
      <c r="AV21" s="515">
        <f>IFERROR(1-AV20/AV19,0)</f>
        <v>0.35374873218424108</v>
      </c>
      <c r="AW21" s="515"/>
      <c r="AX21" s="316"/>
      <c r="AZ21" s="3"/>
      <c r="BA21" s="313"/>
      <c r="BB21" s="3"/>
      <c r="BC21" s="3"/>
      <c r="BD21" s="3"/>
      <c r="BE21" s="316"/>
      <c r="BG21" s="3"/>
      <c r="BH21" s="315"/>
      <c r="BI21" s="3"/>
      <c r="BJ21" s="3"/>
      <c r="BK21" s="3"/>
      <c r="BL21" s="316"/>
      <c r="BN21" s="3"/>
      <c r="BO21" s="315"/>
      <c r="BP21" s="3"/>
      <c r="BQ21" s="3"/>
      <c r="BR21" s="3"/>
      <c r="BS21" s="316"/>
      <c r="BU21" s="3"/>
      <c r="BV21" s="315"/>
      <c r="BW21" s="3"/>
      <c r="BX21" s="3"/>
      <c r="BY21" s="3"/>
      <c r="BZ21" s="316"/>
    </row>
    <row r="22" spans="1:82" s="288" customFormat="1" ht="15.6" outlineLevel="1">
      <c r="A22" s="7"/>
      <c r="B22" s="7"/>
      <c r="C22" s="7"/>
      <c r="D22" s="7"/>
      <c r="F22" s="290"/>
      <c r="G22" s="290"/>
      <c r="H22" s="290"/>
      <c r="I22" s="290"/>
      <c r="J22" s="290"/>
      <c r="K22" s="290"/>
      <c r="M22" s="3"/>
      <c r="N22" s="110"/>
      <c r="O22" s="111"/>
      <c r="P22" s="294"/>
      <c r="Q22" s="294"/>
      <c r="R22" s="13"/>
      <c r="S22" s="13"/>
      <c r="T22" s="3"/>
      <c r="U22" s="13"/>
      <c r="V22" s="13"/>
      <c r="W22" s="13"/>
      <c r="X22" s="294"/>
      <c r="Y22" s="294"/>
      <c r="Z22" s="3"/>
      <c r="AA22" s="304"/>
      <c r="AB22" s="3"/>
      <c r="AC22" s="13"/>
      <c r="AD22" s="3"/>
      <c r="AE22" s="3"/>
      <c r="AF22" s="3"/>
      <c r="AG22" s="3"/>
      <c r="AH22" s="3"/>
      <c r="AI22" s="3"/>
      <c r="AJ22" s="3"/>
      <c r="AK22" s="3"/>
      <c r="AL22" s="3"/>
      <c r="AM22" s="3"/>
      <c r="AN22" s="3"/>
      <c r="AO22" s="3"/>
      <c r="AP22" s="3"/>
      <c r="AR22" s="315"/>
      <c r="AS22" s="315"/>
      <c r="AT22" s="315"/>
      <c r="AU22" s="315"/>
      <c r="AV22" s="315"/>
      <c r="AW22" s="315"/>
      <c r="AX22" s="3"/>
      <c r="AZ22" s="3"/>
      <c r="BA22" s="313"/>
      <c r="BB22" s="3"/>
      <c r="BC22" s="3"/>
      <c r="BD22" s="3"/>
      <c r="BE22" s="3"/>
      <c r="BG22" s="3"/>
      <c r="BH22" s="315"/>
      <c r="BI22" s="3"/>
      <c r="BJ22" s="3"/>
      <c r="BK22" s="3"/>
      <c r="BL22" s="3"/>
      <c r="BN22" s="3"/>
      <c r="BO22" s="315"/>
      <c r="BP22" s="3"/>
      <c r="BQ22" s="3"/>
      <c r="BR22" s="3"/>
      <c r="BS22" s="3"/>
      <c r="BU22" s="3"/>
      <c r="BV22" s="315"/>
      <c r="BW22" s="3"/>
      <c r="BX22" s="3"/>
      <c r="BY22" s="3"/>
      <c r="BZ22" s="3"/>
    </row>
    <row r="23" spans="1:82" s="389" customFormat="1">
      <c r="A23" s="390"/>
      <c r="B23" s="390"/>
      <c r="C23" s="390"/>
      <c r="D23" s="390"/>
      <c r="E23" s="390"/>
      <c r="F23" s="390"/>
      <c r="G23" s="390"/>
      <c r="H23" s="390"/>
      <c r="I23" s="390"/>
      <c r="J23" s="390"/>
      <c r="K23" s="390"/>
      <c r="L23" s="390"/>
      <c r="M23" s="392"/>
      <c r="N23" s="392"/>
      <c r="O23" s="392"/>
      <c r="P23" s="392"/>
      <c r="Q23" s="392"/>
      <c r="R23" s="392"/>
      <c r="S23" s="392"/>
      <c r="T23" s="392"/>
      <c r="U23" s="392"/>
      <c r="V23" s="392"/>
      <c r="W23" s="392"/>
      <c r="X23" s="392"/>
      <c r="Y23" s="392"/>
      <c r="Z23" s="392"/>
      <c r="AA23" s="320"/>
      <c r="AB23" s="321"/>
      <c r="AC23" s="322"/>
      <c r="AD23" s="322"/>
      <c r="AE23" s="322"/>
      <c r="AF23" s="322"/>
      <c r="AG23" s="322"/>
      <c r="AH23" s="322"/>
      <c r="AI23" s="322"/>
      <c r="AJ23" s="323"/>
      <c r="AK23" s="322"/>
      <c r="AL23" s="322"/>
      <c r="AM23" s="322"/>
      <c r="AN23" s="323"/>
      <c r="AO23" s="323"/>
      <c r="AP23" s="323"/>
      <c r="AR23" s="390"/>
      <c r="AS23" s="390"/>
      <c r="AT23" s="390"/>
      <c r="AU23" s="390"/>
      <c r="AV23" s="390"/>
      <c r="AW23" s="390"/>
      <c r="AX23" s="390"/>
      <c r="AZ23" s="390"/>
      <c r="BA23" s="390"/>
      <c r="BB23" s="390"/>
      <c r="BC23" s="390"/>
      <c r="BD23" s="390"/>
      <c r="BE23" s="390"/>
      <c r="BF23" s="390"/>
      <c r="BG23" s="390"/>
      <c r="BH23" s="390"/>
      <c r="BI23" s="390"/>
      <c r="BJ23" s="390"/>
      <c r="BK23" s="390"/>
      <c r="BL23" s="390"/>
      <c r="BM23" s="390"/>
      <c r="BN23" s="390"/>
      <c r="BO23" s="390"/>
      <c r="BP23" s="390"/>
      <c r="BQ23" s="390"/>
      <c r="BR23" s="390"/>
      <c r="BS23" s="390"/>
      <c r="BT23" s="390"/>
      <c r="BU23" s="390"/>
      <c r="BV23" s="390"/>
      <c r="BW23" s="390"/>
      <c r="BX23" s="390"/>
      <c r="BY23" s="390"/>
      <c r="BZ23" s="390"/>
      <c r="CA23" s="390"/>
      <c r="CB23" s="390"/>
      <c r="CC23" s="390"/>
      <c r="CD23" s="390"/>
    </row>
    <row r="24" spans="1:82" s="389" customFormat="1">
      <c r="A24" s="390"/>
      <c r="B24" s="470" t="s">
        <v>76</v>
      </c>
      <c r="C24" s="390"/>
      <c r="D24" s="390"/>
      <c r="E24" s="390"/>
      <c r="F24" s="390"/>
      <c r="G24" s="390"/>
      <c r="H24" s="390"/>
      <c r="I24" s="390"/>
      <c r="J24" s="390"/>
      <c r="K24" s="390"/>
      <c r="L24" s="390"/>
      <c r="M24" s="392"/>
      <c r="N24" s="392"/>
      <c r="O24" s="392"/>
      <c r="P24" s="392"/>
      <c r="Q24" s="392"/>
      <c r="R24" s="392"/>
      <c r="S24" s="392"/>
      <c r="T24" s="392"/>
      <c r="U24" s="392"/>
      <c r="V24" s="392"/>
      <c r="W24" s="392"/>
      <c r="X24" s="392"/>
      <c r="Y24" s="392"/>
      <c r="Z24" s="392"/>
      <c r="AA24" s="320"/>
      <c r="AB24" s="321"/>
      <c r="AC24" s="322"/>
      <c r="AD24" s="322"/>
      <c r="AE24" s="322"/>
      <c r="AF24" s="322"/>
      <c r="AG24" s="322"/>
      <c r="AH24" s="322"/>
      <c r="AI24" s="322"/>
      <c r="AJ24" s="323"/>
      <c r="AK24" s="322"/>
      <c r="AL24" s="322"/>
      <c r="AM24" s="322"/>
      <c r="AN24" s="323"/>
      <c r="AO24" s="323"/>
      <c r="AP24" s="323"/>
      <c r="AR24" s="390"/>
      <c r="AS24" s="390"/>
      <c r="AT24" s="390"/>
      <c r="AU24" s="390"/>
      <c r="AV24" s="390"/>
      <c r="AW24" s="390"/>
      <c r="AX24" s="390"/>
      <c r="AZ24" s="390"/>
      <c r="BA24" s="390"/>
      <c r="BB24" s="390"/>
      <c r="BC24" s="390"/>
      <c r="BD24" s="390"/>
      <c r="BE24" s="390"/>
      <c r="BF24" s="390"/>
      <c r="BG24" s="390"/>
      <c r="BH24" s="390"/>
      <c r="BI24" s="390"/>
      <c r="BJ24" s="390"/>
      <c r="BK24" s="390"/>
      <c r="BL24" s="390"/>
      <c r="BM24" s="390"/>
      <c r="BN24" s="390"/>
      <c r="BO24" s="390"/>
      <c r="BP24" s="390"/>
      <c r="BQ24" s="390"/>
      <c r="BR24" s="390"/>
      <c r="BS24" s="390"/>
      <c r="BT24" s="390"/>
      <c r="BU24" s="390"/>
      <c r="BV24" s="390"/>
      <c r="BW24" s="390"/>
      <c r="BX24" s="390"/>
      <c r="BY24" s="390"/>
      <c r="BZ24" s="390"/>
      <c r="CA24" s="390"/>
      <c r="CB24" s="390"/>
      <c r="CC24" s="390"/>
      <c r="CD24" s="390"/>
    </row>
    <row r="25" spans="1:82" s="389" customFormat="1">
      <c r="A25" s="390"/>
      <c r="B25" s="390"/>
      <c r="C25" s="390"/>
      <c r="D25" s="390"/>
      <c r="E25" s="390"/>
      <c r="F25" s="390"/>
      <c r="G25" s="390"/>
      <c r="H25" s="390"/>
      <c r="I25" s="390"/>
      <c r="J25" s="390"/>
      <c r="K25" s="390"/>
      <c r="L25" s="390"/>
      <c r="M25" s="392"/>
      <c r="N25" s="392"/>
      <c r="O25" s="392"/>
      <c r="P25" s="392"/>
      <c r="Q25" s="392"/>
      <c r="R25" s="392"/>
      <c r="S25" s="392"/>
      <c r="T25" s="392"/>
      <c r="U25" s="392"/>
      <c r="V25" s="392"/>
      <c r="W25" s="392"/>
      <c r="X25" s="392"/>
      <c r="Y25" s="392"/>
      <c r="Z25" s="392"/>
      <c r="AA25" s="320"/>
      <c r="AB25" s="321"/>
      <c r="AC25" s="322"/>
      <c r="AD25" s="322"/>
      <c r="AE25" s="322"/>
      <c r="AF25" s="322"/>
      <c r="AG25" s="322"/>
      <c r="AH25" s="322"/>
      <c r="AI25" s="322"/>
      <c r="AJ25" s="323"/>
      <c r="AK25" s="322"/>
      <c r="AL25" s="322"/>
      <c r="AM25" s="322"/>
      <c r="AN25" s="323"/>
      <c r="AO25" s="323"/>
      <c r="AP25" s="323"/>
      <c r="AR25" s="390"/>
      <c r="AS25" s="390"/>
      <c r="AT25" s="390"/>
      <c r="AU25" s="390"/>
      <c r="AV25" s="390"/>
      <c r="AW25" s="390"/>
      <c r="AX25" s="390"/>
      <c r="AZ25" s="390"/>
      <c r="BA25" s="390"/>
      <c r="BB25" s="390"/>
      <c r="BC25" s="390"/>
      <c r="BD25" s="390"/>
      <c r="BE25" s="390"/>
      <c r="BF25" s="390"/>
      <c r="BG25" s="390"/>
      <c r="BH25" s="390"/>
      <c r="BI25" s="390"/>
      <c r="BJ25" s="390"/>
      <c r="BK25" s="390"/>
      <c r="BL25" s="390"/>
      <c r="BM25" s="390"/>
      <c r="BN25" s="390"/>
      <c r="BO25" s="390"/>
      <c r="BP25" s="390"/>
      <c r="BQ25" s="390"/>
      <c r="BR25" s="390"/>
      <c r="BS25" s="390"/>
      <c r="BT25" s="390"/>
      <c r="BU25" s="390"/>
      <c r="BV25" s="390"/>
      <c r="BW25" s="390"/>
      <c r="BX25" s="390"/>
      <c r="BY25" s="390"/>
      <c r="BZ25" s="390"/>
      <c r="CA25" s="390"/>
      <c r="CB25" s="390"/>
      <c r="CC25" s="390"/>
      <c r="CD25" s="390"/>
    </row>
    <row r="26" spans="1:82" s="325" customFormat="1" ht="15.6">
      <c r="A26" s="480"/>
      <c r="B26" s="510" t="s">
        <v>77</v>
      </c>
      <c r="C26" s="507"/>
      <c r="D26" s="324"/>
      <c r="E26" s="342"/>
      <c r="F26" s="290"/>
      <c r="G26" s="79"/>
      <c r="H26" s="326"/>
      <c r="I26" s="326"/>
      <c r="J26" s="80"/>
      <c r="K26" s="290"/>
      <c r="L26" s="342"/>
      <c r="M26" s="2"/>
      <c r="N26" s="7"/>
      <c r="O26" s="7"/>
      <c r="P26" s="77"/>
      <c r="Q26" s="77"/>
      <c r="R26" s="77"/>
      <c r="S26" s="77"/>
      <c r="T26" s="77"/>
      <c r="U26" s="77"/>
      <c r="V26" s="77"/>
      <c r="W26" s="77"/>
      <c r="X26" s="77"/>
      <c r="Y26" s="77"/>
      <c r="Z26" s="2"/>
      <c r="AA26" s="304"/>
      <c r="AB26" s="7"/>
      <c r="AC26" s="13"/>
      <c r="AD26" s="13"/>
      <c r="AE26" s="13"/>
      <c r="AF26" s="13"/>
      <c r="AG26" s="13"/>
      <c r="AH26" s="13"/>
      <c r="AI26" s="13"/>
      <c r="AJ26" s="70"/>
      <c r="AK26" s="70"/>
      <c r="AL26" s="13"/>
      <c r="AM26" s="13"/>
      <c r="AN26" s="70"/>
      <c r="AO26" s="70"/>
      <c r="AP26" s="7"/>
      <c r="AQ26" s="342"/>
      <c r="AR26" s="290"/>
      <c r="AS26" s="290"/>
      <c r="AT26" s="290"/>
      <c r="AU26" s="290"/>
      <c r="AV26" s="290"/>
      <c r="AW26" s="290"/>
      <c r="AX26" s="290"/>
      <c r="AY26" s="342"/>
      <c r="AZ26" s="3"/>
      <c r="BA26" s="315"/>
      <c r="BB26" s="3"/>
      <c r="BC26" s="3"/>
      <c r="BD26" s="3"/>
      <c r="BE26" s="3"/>
      <c r="BF26" s="342"/>
      <c r="BG26" s="3"/>
      <c r="BH26" s="315"/>
      <c r="BI26" s="3"/>
      <c r="BJ26" s="3"/>
      <c r="BK26" s="3"/>
      <c r="BL26" s="3"/>
      <c r="BM26" s="342"/>
      <c r="BN26" s="3"/>
      <c r="BO26" s="315"/>
      <c r="BP26" s="3"/>
      <c r="BQ26" s="3"/>
      <c r="BR26" s="3"/>
      <c r="BS26" s="3"/>
      <c r="BT26" s="342"/>
      <c r="BU26" s="3"/>
      <c r="BV26" s="315"/>
      <c r="BW26" s="3"/>
      <c r="BX26" s="3"/>
      <c r="BY26" s="3"/>
      <c r="BZ26" s="3"/>
      <c r="CA26" s="342"/>
      <c r="CB26" s="342"/>
      <c r="CC26" s="342"/>
      <c r="CD26" s="342"/>
    </row>
    <row r="27" spans="1:82" s="325" customFormat="1" ht="15.6">
      <c r="A27" s="480"/>
      <c r="B27" s="507"/>
      <c r="C27" s="507"/>
      <c r="D27" s="324"/>
      <c r="E27" s="342"/>
      <c r="F27" s="290"/>
      <c r="G27" s="79"/>
      <c r="H27" s="326"/>
      <c r="I27" s="326"/>
      <c r="J27" s="80"/>
      <c r="K27" s="290"/>
      <c r="L27" s="342"/>
      <c r="M27" s="2"/>
      <c r="N27" s="13" t="s">
        <v>78</v>
      </c>
      <c r="O27" s="395" t="s">
        <v>79</v>
      </c>
      <c r="P27" s="395" t="s">
        <v>80</v>
      </c>
      <c r="Q27" s="77"/>
      <c r="R27" s="77"/>
      <c r="S27" s="77"/>
      <c r="T27" s="77"/>
      <c r="U27" s="13" t="s">
        <v>81</v>
      </c>
      <c r="V27" s="428" t="str">
        <f>_xlfn.CONCAT("DELIVERY COST (",BillingCountryCurrency,")")</f>
        <v>DELIVERY COST (USD)</v>
      </c>
      <c r="W27" s="428" t="str">
        <f>_xlfn.CONCAT("DELIVERY COST (",IF(ISBLANK(BusinessCurrency),"N/A",BusinessCurrency),")")</f>
        <v>DELIVERY COST (N/A)</v>
      </c>
      <c r="X27" s="77"/>
      <c r="Y27" s="77"/>
      <c r="Z27" s="2"/>
      <c r="AA27" s="304"/>
      <c r="AB27" s="7"/>
      <c r="AC27" s="13" t="s">
        <v>82</v>
      </c>
      <c r="AD27" s="428" t="str">
        <f>_xlfn.CONCAT("PRICING (",BillingCountryCurrency,")")</f>
        <v>PRICING (USD)</v>
      </c>
      <c r="AE27" s="428" t="str">
        <f>_xlfn.CONCAT("PRICING (",IF(ISBLANK(BusinessCurrency),"N/A",BusinessCurrency),")")</f>
        <v>PRICING (N/A)</v>
      </c>
      <c r="AF27" s="70" t="s">
        <v>14</v>
      </c>
      <c r="AG27" s="428" t="str">
        <f>_xlfn.CONCAT("Intercompany (",BillingCountryCurrency,")")</f>
        <v>Intercompany (USD)</v>
      </c>
      <c r="AH27" s="428" t="str">
        <f>_xlfn.CONCAT("Intercompany (",IF(ISBLANK(BusinessCurrency),"N/A",BusinessCurrency),")")</f>
        <v>Intercompany (N/A)</v>
      </c>
      <c r="AI27" s="70" t="s">
        <v>14</v>
      </c>
      <c r="AJ27" s="428" t="str">
        <f>_xlfn.CONCAT("WHT (",BillingCountryCurrency,")")</f>
        <v>WHT (USD)</v>
      </c>
      <c r="AK27" s="428" t="str">
        <f>_xlfn.CONCAT("WHT (",IF(ISBLANK(BusinessCurrency),"N/A",BusinessCurrency),")")</f>
        <v>WHT (N/A)</v>
      </c>
      <c r="AL27" s="70"/>
      <c r="AM27" s="70" t="s">
        <v>15</v>
      </c>
      <c r="AN27" s="428" t="str">
        <f>_xlfn.CONCAT("SUBTOTAL PRICE (",BillingCountryCurrency,")")</f>
        <v>SUBTOTAL PRICE (USD)</v>
      </c>
      <c r="AO27" s="428" t="str">
        <f>_xlfn.CONCAT("SUBTOTAL PRICE (",IF(ISBLANK(BusinessCurrency),"N/A",BusinessCurrency),")")</f>
        <v>SUBTOTAL PRICE (N/A)</v>
      </c>
      <c r="AP27" s="7"/>
      <c r="AQ27" s="342"/>
      <c r="AR27" s="290"/>
      <c r="AS27" s="13" t="s">
        <v>83</v>
      </c>
      <c r="AT27" s="290"/>
      <c r="AU27" s="100"/>
      <c r="AV27" s="417"/>
      <c r="AW27" s="417"/>
      <c r="AX27" s="290"/>
      <c r="AY27" s="342"/>
      <c r="AZ27" s="3"/>
      <c r="BA27" s="315"/>
      <c r="BB27" s="3"/>
      <c r="BC27" s="3"/>
      <c r="BD27" s="3"/>
      <c r="BE27" s="3"/>
      <c r="BF27" s="342"/>
      <c r="BG27" s="3"/>
      <c r="BH27" s="315"/>
      <c r="BI27" s="3"/>
      <c r="BJ27" s="3"/>
      <c r="BK27" s="3"/>
      <c r="BL27" s="3"/>
      <c r="BM27" s="342"/>
      <c r="BN27" s="3"/>
      <c r="BO27" s="315"/>
      <c r="BP27" s="3"/>
      <c r="BQ27" s="3"/>
      <c r="BR27" s="3"/>
      <c r="BS27" s="3"/>
      <c r="BT27" s="342"/>
      <c r="BU27" s="3"/>
      <c r="BV27" s="315"/>
      <c r="BW27" s="3"/>
      <c r="BX27" s="3"/>
      <c r="BY27" s="3"/>
      <c r="BZ27" s="3"/>
      <c r="CA27" s="342"/>
      <c r="CB27" s="342"/>
      <c r="CC27" s="342"/>
      <c r="CD27" s="342"/>
    </row>
    <row r="28" spans="1:82" s="325" customFormat="1" ht="15.6">
      <c r="A28" s="480"/>
      <c r="B28" s="507"/>
      <c r="C28" s="507"/>
      <c r="D28" s="324"/>
      <c r="E28" s="342"/>
      <c r="F28" s="290"/>
      <c r="G28" s="79"/>
      <c r="H28" s="326"/>
      <c r="I28" s="326"/>
      <c r="J28" s="80"/>
      <c r="K28" s="290"/>
      <c r="L28" s="342"/>
      <c r="M28" s="2"/>
      <c r="N28" s="79" t="s">
        <v>84</v>
      </c>
      <c r="O28" s="103">
        <f>SUMIF($P42:$P71,"&lt;&gt;*Project Management*",$T42:$T71)</f>
        <v>91.12</v>
      </c>
      <c r="P28" s="396">
        <f>IFERROR(O28/O31,0)</f>
        <v>0.76917882225823875</v>
      </c>
      <c r="Q28" s="82"/>
      <c r="R28" s="77"/>
      <c r="S28" s="77"/>
      <c r="T28" s="77"/>
      <c r="U28" s="4" t="s">
        <v>24</v>
      </c>
      <c r="V28" s="328">
        <f>SUMIF(P42:P71,"&lt;&gt;*Project Management*",W42:W71)</f>
        <v>3336.8143999999998</v>
      </c>
      <c r="W28" s="425" t="str">
        <f t="shared" ref="W28:W37" si="11">IFERROR(V28/BusinessCurrencyTRM,"N/A")</f>
        <v>N/A</v>
      </c>
      <c r="X28" s="7"/>
      <c r="Y28" s="7" t="s">
        <v>85</v>
      </c>
      <c r="Z28" s="2"/>
      <c r="AA28" s="304"/>
      <c r="AB28" s="7"/>
      <c r="AC28" s="4" t="s">
        <v>24</v>
      </c>
      <c r="AD28" s="329">
        <f>SUMIF(P42:P71,"&lt;&gt;*Project Management*",AD42:AD71)</f>
        <v>5213.8864000000003</v>
      </c>
      <c r="AE28" s="425" t="str">
        <f t="shared" ref="AE28:AE37" si="12">IFERROR(AD28/BusinessCurrencyTRM,"N/A")</f>
        <v>N/A</v>
      </c>
      <c r="AF28" s="330"/>
      <c r="AG28" s="328">
        <f>SUMIF(P42:P71,"&lt;&gt;*Project Management*",AH42:AH71)</f>
        <v>0</v>
      </c>
      <c r="AH28" s="449" t="str">
        <f t="shared" ref="AH28:AH37" si="13">IFERROR(AG28/BusinessCurrencyTRM,"N/A")</f>
        <v>N/A</v>
      </c>
      <c r="AI28" s="330"/>
      <c r="AJ28" s="328">
        <f>SUMIF(P42:P71,"&lt;&gt;*Project Management*",AK42:AK71)</f>
        <v>0</v>
      </c>
      <c r="AK28" s="425" t="str">
        <f t="shared" ref="AK28:AK37" si="14">IFERROR(AJ28/BusinessCurrencyTRM,"N/A")</f>
        <v>N/A</v>
      </c>
      <c r="AL28" s="330"/>
      <c r="AM28" s="330"/>
      <c r="AN28" s="329">
        <f>SUM(AD28,AG28,AJ28)</f>
        <v>5213.8864000000003</v>
      </c>
      <c r="AO28" s="425" t="str">
        <f t="shared" ref="AO28:AO37" si="15">IFERROR(AN28/BusinessCurrencyTRM,"N/A")</f>
        <v>N/A</v>
      </c>
      <c r="AP28" s="7"/>
      <c r="AQ28" s="342"/>
      <c r="AR28" s="290"/>
      <c r="AS28" s="402" t="s">
        <v>86</v>
      </c>
      <c r="AT28" s="290"/>
      <c r="AU28" s="81"/>
      <c r="AV28" s="508">
        <v>0.36</v>
      </c>
      <c r="AW28" s="508"/>
      <c r="AX28" s="290"/>
      <c r="AY28" s="342"/>
      <c r="AZ28" s="3"/>
      <c r="BA28" s="315"/>
      <c r="BB28" s="3"/>
      <c r="BC28" s="3"/>
      <c r="BD28" s="3"/>
      <c r="BE28" s="3"/>
      <c r="BF28" s="342"/>
      <c r="BG28" s="3"/>
      <c r="BH28" s="315"/>
      <c r="BI28" s="3"/>
      <c r="BJ28" s="3"/>
      <c r="BK28" s="3"/>
      <c r="BL28" s="3"/>
      <c r="BM28" s="342"/>
      <c r="BN28" s="3"/>
      <c r="BO28" s="315"/>
      <c r="BP28" s="3"/>
      <c r="BQ28" s="3"/>
      <c r="BR28" s="3"/>
      <c r="BS28" s="3"/>
      <c r="BT28" s="342"/>
      <c r="BU28" s="3"/>
      <c r="BV28" s="315"/>
      <c r="BW28" s="3"/>
      <c r="BX28" s="3"/>
      <c r="BY28" s="3"/>
      <c r="BZ28" s="3"/>
      <c r="CA28" s="342"/>
      <c r="CB28" s="342"/>
      <c r="CC28" s="342"/>
      <c r="CD28" s="342"/>
    </row>
    <row r="29" spans="1:82" s="325" customFormat="1" ht="16.149999999999999" thickBot="1">
      <c r="A29" s="480"/>
      <c r="B29" s="507"/>
      <c r="C29" s="507"/>
      <c r="D29" s="324"/>
      <c r="E29" s="342"/>
      <c r="F29" s="290"/>
      <c r="G29" s="79"/>
      <c r="H29" s="326"/>
      <c r="I29" s="326"/>
      <c r="J29" s="80"/>
      <c r="K29" s="290"/>
      <c r="L29" s="342"/>
      <c r="M29" s="2"/>
      <c r="N29" s="79" t="s">
        <v>87</v>
      </c>
      <c r="O29" s="103">
        <f>SUMIF($P42:$P71,"=*Project Management*",$T42:T71)</f>
        <v>18.224</v>
      </c>
      <c r="P29" s="396">
        <f>IFERROR(O29/O31,0)</f>
        <v>0.15383576445164773</v>
      </c>
      <c r="Q29" s="82"/>
      <c r="R29" s="77"/>
      <c r="S29" s="77"/>
      <c r="T29" s="77"/>
      <c r="U29" s="4" t="s">
        <v>30</v>
      </c>
      <c r="V29" s="328">
        <f>SUMIF(P42:P71,"=*Project Management*",W42:W71)</f>
        <v>863.81759999999997</v>
      </c>
      <c r="W29" s="425" t="str">
        <f t="shared" si="11"/>
        <v>N/A</v>
      </c>
      <c r="X29" s="7"/>
      <c r="Y29" s="7" t="s">
        <v>88</v>
      </c>
      <c r="Z29" s="2"/>
      <c r="AA29" s="304"/>
      <c r="AB29" s="7"/>
      <c r="AC29" s="4" t="s">
        <v>30</v>
      </c>
      <c r="AD29" s="329">
        <f>SUMIF(P42:P71,"=*Project Management*",AD42:AD71)</f>
        <v>1349.8516800000002</v>
      </c>
      <c r="AE29" s="425" t="str">
        <f t="shared" si="12"/>
        <v>N/A</v>
      </c>
      <c r="AF29" s="330"/>
      <c r="AG29" s="328">
        <f>SUMIF(P42:P71,"=*Project Management*",AH42:AH71)</f>
        <v>0</v>
      </c>
      <c r="AH29" s="447" t="str">
        <f t="shared" si="13"/>
        <v>N/A</v>
      </c>
      <c r="AI29" s="330"/>
      <c r="AJ29" s="448">
        <f>SUMIF(P42:P71,"=*Project Management*",AK42:AK71)</f>
        <v>0</v>
      </c>
      <c r="AK29" s="425" t="str">
        <f t="shared" si="14"/>
        <v>N/A</v>
      </c>
      <c r="AL29" s="330"/>
      <c r="AM29" s="330"/>
      <c r="AN29" s="329">
        <f t="shared" ref="AN29:AN37" si="16">SUM(AD29,AG29,AJ29)</f>
        <v>1349.8516800000002</v>
      </c>
      <c r="AO29" s="425" t="str">
        <f t="shared" si="15"/>
        <v>N/A</v>
      </c>
      <c r="AP29" s="7"/>
      <c r="AQ29" s="342"/>
      <c r="AR29" s="290"/>
      <c r="AS29" s="402" t="s">
        <v>89</v>
      </c>
      <c r="AT29" s="290"/>
      <c r="AU29" s="81"/>
      <c r="AV29" s="509">
        <f>IFERROR(1-AV31/AV32,0)</f>
        <v>0.36002443290668307</v>
      </c>
      <c r="AW29" s="509"/>
      <c r="AX29" s="290"/>
      <c r="AY29" s="342"/>
      <c r="AZ29" s="3"/>
      <c r="BA29" s="315"/>
      <c r="BB29" s="3"/>
      <c r="BC29" s="3"/>
      <c r="BD29" s="3"/>
      <c r="BE29" s="3"/>
      <c r="BF29" s="342"/>
      <c r="BG29" s="3"/>
      <c r="BH29" s="315"/>
      <c r="BI29" s="3"/>
      <c r="BJ29" s="3"/>
      <c r="BK29" s="3"/>
      <c r="BL29" s="3"/>
      <c r="BM29" s="342"/>
      <c r="BN29" s="3"/>
      <c r="BO29" s="315"/>
      <c r="BP29" s="3"/>
      <c r="BQ29" s="3"/>
      <c r="BR29" s="3"/>
      <c r="BS29" s="3"/>
      <c r="BT29" s="342"/>
      <c r="BU29" s="3"/>
      <c r="BV29" s="315"/>
      <c r="BW29" s="3"/>
      <c r="BX29" s="3"/>
      <c r="BY29" s="3"/>
      <c r="BZ29" s="3"/>
      <c r="CA29" s="342"/>
      <c r="CB29" s="342"/>
      <c r="CC29" s="342"/>
      <c r="CD29" s="342"/>
    </row>
    <row r="30" spans="1:82" s="325" customFormat="1" ht="16.899999999999999" thickTop="1" thickBot="1">
      <c r="A30" s="480"/>
      <c r="B30" s="507"/>
      <c r="C30" s="507"/>
      <c r="D30" s="324"/>
      <c r="E30" s="342"/>
      <c r="F30" s="290"/>
      <c r="G30" s="79"/>
      <c r="H30" s="326"/>
      <c r="I30" s="326"/>
      <c r="J30" s="80"/>
      <c r="K30" s="290"/>
      <c r="L30" s="342"/>
      <c r="M30" s="2"/>
      <c r="N30" s="79" t="s">
        <v>90</v>
      </c>
      <c r="O30" s="103">
        <f>IF(Approach="Team-Based",SUM(O28:O29)*$O33,$J40-$G40)</f>
        <v>9.1200000000000045</v>
      </c>
      <c r="P30" s="396">
        <f>IFERROR(O30/O31,0)</f>
        <v>7.6985413290113477E-2</v>
      </c>
      <c r="Q30" s="77"/>
      <c r="R30" s="77"/>
      <c r="S30" s="77"/>
      <c r="T30" s="77"/>
      <c r="U30" s="13" t="s">
        <v>35</v>
      </c>
      <c r="V30" s="84">
        <f>SUM(V28:V29)</f>
        <v>4200.6319999999996</v>
      </c>
      <c r="W30" s="426" t="str">
        <f t="shared" si="11"/>
        <v>N/A</v>
      </c>
      <c r="X30" s="77"/>
      <c r="Y30" s="77"/>
      <c r="Z30" s="2"/>
      <c r="AA30" s="304"/>
      <c r="AB30" s="7"/>
      <c r="AC30" s="13" t="s">
        <v>35</v>
      </c>
      <c r="AD30" s="84">
        <f>SUM(AD28:AD29)</f>
        <v>6563.738080000001</v>
      </c>
      <c r="AE30" s="426" t="str">
        <f t="shared" si="12"/>
        <v>N/A</v>
      </c>
      <c r="AF30" s="330"/>
      <c r="AG30" s="84">
        <f>SUM(AG28:AG29)</f>
        <v>0</v>
      </c>
      <c r="AH30" s="450" t="str">
        <f t="shared" si="13"/>
        <v>N/A</v>
      </c>
      <c r="AI30" s="330"/>
      <c r="AJ30" s="84">
        <f>SUM(AJ28:AJ29)</f>
        <v>0</v>
      </c>
      <c r="AK30" s="426" t="str">
        <f t="shared" si="14"/>
        <v>N/A</v>
      </c>
      <c r="AL30" s="330"/>
      <c r="AM30" s="330"/>
      <c r="AN30" s="84">
        <f t="shared" si="16"/>
        <v>6563.738080000001</v>
      </c>
      <c r="AO30" s="426" t="str">
        <f t="shared" si="15"/>
        <v>N/A</v>
      </c>
      <c r="AP30" s="7"/>
      <c r="AQ30" s="342"/>
      <c r="AR30" s="290"/>
      <c r="AS30" s="81"/>
      <c r="AT30" s="81"/>
      <c r="AU30" s="81"/>
      <c r="AV30" s="417" t="str">
        <f>BillingCountryCurrency</f>
        <v>USD</v>
      </c>
      <c r="AW30" s="417" t="str">
        <f>IF(ISBLANK(BusinessCurrency),"N/A",BusinessCurrency)</f>
        <v>N/A</v>
      </c>
      <c r="AX30" s="290"/>
      <c r="AY30" s="342"/>
      <c r="AZ30" s="3"/>
      <c r="BA30" s="315"/>
      <c r="BB30" s="3"/>
      <c r="BC30" s="3"/>
      <c r="BD30" s="3"/>
      <c r="BE30" s="3"/>
      <c r="BF30" s="342"/>
      <c r="BG30" s="3"/>
      <c r="BH30" s="315"/>
      <c r="BI30" s="3"/>
      <c r="BJ30" s="3"/>
      <c r="BK30" s="3"/>
      <c r="BL30" s="3"/>
      <c r="BM30" s="342"/>
      <c r="BN30" s="3"/>
      <c r="BO30" s="315"/>
      <c r="BP30" s="3"/>
      <c r="BQ30" s="3"/>
      <c r="BR30" s="3"/>
      <c r="BS30" s="3"/>
      <c r="BT30" s="342"/>
      <c r="BU30" s="3"/>
      <c r="BV30" s="315"/>
      <c r="BW30" s="3"/>
      <c r="BX30" s="3"/>
      <c r="BY30" s="3"/>
      <c r="BZ30" s="3"/>
      <c r="CA30" s="342"/>
      <c r="CB30" s="342"/>
      <c r="CC30" s="342"/>
      <c r="CD30" s="342"/>
    </row>
    <row r="31" spans="1:82" s="325" customFormat="1" ht="16.149999999999999" thickTop="1">
      <c r="A31" s="480"/>
      <c r="B31" s="507"/>
      <c r="C31" s="507"/>
      <c r="D31" s="324"/>
      <c r="E31" s="342"/>
      <c r="F31" s="290"/>
      <c r="G31" s="79"/>
      <c r="H31" s="326"/>
      <c r="I31" s="326"/>
      <c r="J31" s="80"/>
      <c r="K31" s="290"/>
      <c r="L31" s="342"/>
      <c r="M31" s="2"/>
      <c r="N31" s="83" t="s">
        <v>91</v>
      </c>
      <c r="O31" s="102">
        <f>SUM(O28:O30)</f>
        <v>118.46400000000001</v>
      </c>
      <c r="P31" s="397">
        <f>SUM(P28:P30)</f>
        <v>0.99999999999999989</v>
      </c>
      <c r="Q31" s="77"/>
      <c r="R31" s="77"/>
      <c r="S31" s="77"/>
      <c r="T31" s="77"/>
      <c r="U31" s="4" t="s">
        <v>47</v>
      </c>
      <c r="V31" s="328">
        <f>ROUNDUP(V30*O33,2)</f>
        <v>0</v>
      </c>
      <c r="W31" s="425" t="str">
        <f t="shared" si="11"/>
        <v>N/A</v>
      </c>
      <c r="X31" s="7"/>
      <c r="Y31" s="7" t="s">
        <v>92</v>
      </c>
      <c r="Z31" s="2"/>
      <c r="AA31" s="304"/>
      <c r="AB31" s="7"/>
      <c r="AC31" s="4" t="s">
        <v>47</v>
      </c>
      <c r="AD31" s="328">
        <f>ROUNDUP(V31/(1-$AV$28),2)</f>
        <v>0</v>
      </c>
      <c r="AE31" s="425" t="str">
        <f t="shared" si="12"/>
        <v>N/A</v>
      </c>
      <c r="AF31" s="330"/>
      <c r="AG31" s="328">
        <f>IFERROR(V31*MAX(AG42:AG71),0)</f>
        <v>0</v>
      </c>
      <c r="AH31" s="449" t="str">
        <f t="shared" si="13"/>
        <v>N/A</v>
      </c>
      <c r="AI31" s="330"/>
      <c r="AJ31" s="328">
        <f>IFERROR(SUM(V31,AG31)*MAX(AJ42:AJ71),0)</f>
        <v>0</v>
      </c>
      <c r="AK31" s="425" t="str">
        <f t="shared" si="14"/>
        <v>N/A</v>
      </c>
      <c r="AL31" s="330"/>
      <c r="AM31" s="330"/>
      <c r="AN31" s="329">
        <f t="shared" si="16"/>
        <v>0</v>
      </c>
      <c r="AO31" s="425" t="str">
        <f t="shared" si="15"/>
        <v>N/A</v>
      </c>
      <c r="AP31" s="7"/>
      <c r="AQ31" s="342"/>
      <c r="AR31" s="290"/>
      <c r="AS31" s="402" t="s">
        <v>93</v>
      </c>
      <c r="AT31" s="290"/>
      <c r="AU31" s="81"/>
      <c r="AV31" s="298">
        <f>SUM(V37,AG37,AJ37)</f>
        <v>4200.6319999999996</v>
      </c>
      <c r="AW31" s="418" t="str">
        <f>IFERROR(AV31/BusinessCurrencyTRM,"N/A")</f>
        <v>N/A</v>
      </c>
      <c r="AX31" s="290"/>
      <c r="AY31" s="342"/>
      <c r="AZ31" s="3"/>
      <c r="BA31" s="315"/>
      <c r="BB31" s="3"/>
      <c r="BC31" s="3"/>
      <c r="BD31" s="3"/>
      <c r="BE31" s="3"/>
      <c r="BF31" s="342"/>
      <c r="BG31" s="3"/>
      <c r="BH31" s="315"/>
      <c r="BI31" s="3"/>
      <c r="BJ31" s="3"/>
      <c r="BK31" s="3"/>
      <c r="BL31" s="3"/>
      <c r="BM31" s="342"/>
      <c r="BN31" s="3"/>
      <c r="BO31" s="315"/>
      <c r="BP31" s="3"/>
      <c r="BQ31" s="3"/>
      <c r="BR31" s="3"/>
      <c r="BS31" s="3"/>
      <c r="BT31" s="342"/>
      <c r="BU31" s="3"/>
      <c r="BV31" s="315"/>
      <c r="BW31" s="3"/>
      <c r="BX31" s="3"/>
      <c r="BY31" s="3"/>
      <c r="BZ31" s="3"/>
      <c r="CA31" s="342"/>
      <c r="CB31" s="342"/>
      <c r="CC31" s="342"/>
      <c r="CD31" s="342"/>
    </row>
    <row r="32" spans="1:82" s="325" customFormat="1" ht="15.6">
      <c r="A32" s="480"/>
      <c r="B32" s="507"/>
      <c r="C32" s="507"/>
      <c r="D32" s="324"/>
      <c r="E32" s="342"/>
      <c r="F32" s="290"/>
      <c r="G32" s="79"/>
      <c r="H32" s="326"/>
      <c r="I32" s="326"/>
      <c r="J32" s="80"/>
      <c r="K32" s="290"/>
      <c r="L32" s="342"/>
      <c r="M32" s="2"/>
      <c r="N32" s="2"/>
      <c r="O32" s="2"/>
      <c r="P32" s="32"/>
      <c r="Q32" s="77"/>
      <c r="R32" s="77"/>
      <c r="S32" s="77"/>
      <c r="T32" s="77"/>
      <c r="U32" s="4" t="s">
        <v>50</v>
      </c>
      <c r="V32" s="328">
        <f>IFERROR(SUMIF(PayRise!A:A,B26,PayRise!J:J),0)</f>
        <v>0</v>
      </c>
      <c r="W32" s="425" t="str">
        <f t="shared" si="11"/>
        <v>N/A</v>
      </c>
      <c r="X32" s="7"/>
      <c r="Y32" s="7" t="s">
        <v>94</v>
      </c>
      <c r="Z32" s="2"/>
      <c r="AA32" s="304"/>
      <c r="AB32" s="7"/>
      <c r="AC32" s="4" t="s">
        <v>50</v>
      </c>
      <c r="AD32" s="328">
        <f>IFERROR(SUMIF(PayRise!A:A,B26,PayRise!K:K),0)</f>
        <v>0</v>
      </c>
      <c r="AE32" s="425" t="str">
        <f t="shared" si="12"/>
        <v>N/A</v>
      </c>
      <c r="AF32" s="330"/>
      <c r="AG32" s="328">
        <f>IFERROR(SUMIF(PayRise!A:A,B26,PayRise!L:L),0)</f>
        <v>0</v>
      </c>
      <c r="AH32" s="445" t="str">
        <f t="shared" si="13"/>
        <v>N/A</v>
      </c>
      <c r="AI32" s="330"/>
      <c r="AJ32" s="446">
        <f>IFERROR(SUMIF(PayRise!A:A,B26,PayRise!M:M),0)</f>
        <v>0</v>
      </c>
      <c r="AK32" s="425" t="str">
        <f t="shared" si="14"/>
        <v>N/A</v>
      </c>
      <c r="AL32" s="330"/>
      <c r="AM32" s="330"/>
      <c r="AN32" s="329">
        <f t="shared" si="16"/>
        <v>0</v>
      </c>
      <c r="AO32" s="425" t="str">
        <f t="shared" si="15"/>
        <v>N/A</v>
      </c>
      <c r="AP32" s="7"/>
      <c r="AQ32" s="342"/>
      <c r="AR32" s="290"/>
      <c r="AS32" s="402" t="s">
        <v>95</v>
      </c>
      <c r="AT32" s="290"/>
      <c r="AU32" s="100"/>
      <c r="AV32" s="298">
        <f>AN37</f>
        <v>6563.738080000001</v>
      </c>
      <c r="AW32" s="418" t="str">
        <f>IFERROR(AV32/BusinessCurrencyTRM,"N/A")</f>
        <v>N/A</v>
      </c>
      <c r="AX32" s="290"/>
      <c r="AY32" s="342"/>
      <c r="AZ32" s="3"/>
      <c r="BA32" s="315"/>
      <c r="BB32" s="3"/>
      <c r="BC32" s="3"/>
      <c r="BD32" s="3"/>
      <c r="BE32" s="3"/>
      <c r="BF32" s="342"/>
      <c r="BG32" s="3"/>
      <c r="BH32" s="315"/>
      <c r="BI32" s="3"/>
      <c r="BJ32" s="3"/>
      <c r="BK32" s="3"/>
      <c r="BL32" s="3"/>
      <c r="BM32" s="342"/>
      <c r="BN32" s="3"/>
      <c r="BO32" s="315"/>
      <c r="BP32" s="3"/>
      <c r="BQ32" s="3"/>
      <c r="BR32" s="3"/>
      <c r="BS32" s="3"/>
      <c r="BT32" s="342"/>
      <c r="BU32" s="3"/>
      <c r="BV32" s="315"/>
      <c r="BW32" s="3"/>
      <c r="BX32" s="3"/>
      <c r="BY32" s="3"/>
      <c r="BZ32" s="3"/>
      <c r="CA32" s="342"/>
      <c r="CB32" s="342"/>
      <c r="CC32" s="342"/>
      <c r="CD32" s="342"/>
    </row>
    <row r="33" spans="1:78" s="325" customFormat="1" ht="15.6">
      <c r="A33" s="480"/>
      <c r="B33" s="507"/>
      <c r="C33" s="507"/>
      <c r="D33" s="324"/>
      <c r="E33" s="342"/>
      <c r="F33" s="290"/>
      <c r="G33" s="79"/>
      <c r="H33" s="326"/>
      <c r="I33" s="326"/>
      <c r="J33" s="80"/>
      <c r="K33" s="290"/>
      <c r="L33" s="342"/>
      <c r="M33" s="2"/>
      <c r="N33" s="13" t="str">
        <f>IF(Approach="By Hours", "N/A for ByHours", "% Risks")</f>
        <v>N/A for ByHours</v>
      </c>
      <c r="O33" s="331">
        <v>0</v>
      </c>
      <c r="P33" s="32"/>
      <c r="Q33" s="77"/>
      <c r="R33" s="77"/>
      <c r="S33" s="309"/>
      <c r="T33" s="309"/>
      <c r="U33" s="4" t="s">
        <v>55</v>
      </c>
      <c r="V33" s="328">
        <f>IFERROR(SUMIFS(OtherCosts!Q:Q,OtherCosts!A:A,B26,OtherCosts!B:B,"Hardware/Software"),0)</f>
        <v>0</v>
      </c>
      <c r="W33" s="425" t="str">
        <f t="shared" si="11"/>
        <v>N/A</v>
      </c>
      <c r="X33" s="7"/>
      <c r="Y33" s="7" t="s">
        <v>96</v>
      </c>
      <c r="Z33" s="2"/>
      <c r="AA33" s="304"/>
      <c r="AB33" s="7"/>
      <c r="AC33" s="4" t="s">
        <v>55</v>
      </c>
      <c r="AD33" s="328">
        <f>IFERROR(SUMIFS(OtherCosts!R:R,OtherCosts!A:A,B26,OtherCosts!B:B,"Hardware/Software"),0)</f>
        <v>0</v>
      </c>
      <c r="AE33" s="425" t="str">
        <f t="shared" si="12"/>
        <v>N/A</v>
      </c>
      <c r="AF33" s="330"/>
      <c r="AG33" s="328">
        <f>IFERROR(SUMIFS(OtherCosts!S:S,OtherCosts!A:A,B26,OtherCosts!B:B,"Hardware/Software"),0)</f>
        <v>0</v>
      </c>
      <c r="AH33" s="445" t="str">
        <f t="shared" si="13"/>
        <v>N/A</v>
      </c>
      <c r="AI33" s="330"/>
      <c r="AJ33" s="446">
        <f>IFERROR(SUMIFS(OtherCosts!T:T,OtherCosts!A:A,B26,OtherCosts!B:B,"Hardware/Software"),0)</f>
        <v>0</v>
      </c>
      <c r="AK33" s="425" t="str">
        <f t="shared" si="14"/>
        <v>N/A</v>
      </c>
      <c r="AL33" s="330"/>
      <c r="AM33" s="330"/>
      <c r="AN33" s="329">
        <f t="shared" si="16"/>
        <v>0</v>
      </c>
      <c r="AO33" s="425" t="str">
        <f t="shared" si="15"/>
        <v>N/A</v>
      </c>
      <c r="AP33" s="7"/>
      <c r="AQ33" s="342"/>
      <c r="AR33" s="290"/>
      <c r="AS33" s="402" t="s">
        <v>97</v>
      </c>
      <c r="AT33" s="290"/>
      <c r="AU33" s="100"/>
      <c r="AV33" s="298">
        <f>IFERROR(IF(O34&lt;1,AN37,AN37/O34),0)</f>
        <v>6563.738080000001</v>
      </c>
      <c r="AW33" s="418" t="str">
        <f>IFERROR(AV33/BusinessCurrencyTRM,"N/A")</f>
        <v>N/A</v>
      </c>
      <c r="AX33" s="290"/>
      <c r="AY33" s="342"/>
      <c r="AZ33" s="3"/>
      <c r="BA33" s="315"/>
      <c r="BB33" s="3"/>
      <c r="BC33" s="3"/>
      <c r="BD33" s="3"/>
      <c r="BE33" s="3"/>
      <c r="BF33" s="342"/>
      <c r="BG33" s="3"/>
      <c r="BH33" s="315"/>
      <c r="BI33" s="3"/>
      <c r="BJ33" s="3"/>
      <c r="BK33" s="3"/>
      <c r="BL33" s="3"/>
      <c r="BM33" s="342"/>
      <c r="BN33" s="3"/>
      <c r="BO33" s="315"/>
      <c r="BP33" s="3"/>
      <c r="BQ33" s="3"/>
      <c r="BR33" s="3"/>
      <c r="BS33" s="3"/>
      <c r="BT33" s="342"/>
      <c r="BU33" s="3"/>
      <c r="BV33" s="315"/>
      <c r="BW33" s="3"/>
      <c r="BX33" s="3"/>
      <c r="BY33" s="3"/>
      <c r="BZ33" s="3"/>
    </row>
    <row r="34" spans="1:78" s="325" customFormat="1" ht="15.6">
      <c r="A34" s="480"/>
      <c r="B34" s="507"/>
      <c r="C34" s="507"/>
      <c r="D34" s="324"/>
      <c r="E34" s="342"/>
      <c r="F34" s="290"/>
      <c r="G34" s="79"/>
      <c r="H34" s="326"/>
      <c r="I34" s="326"/>
      <c r="J34" s="80"/>
      <c r="K34" s="290"/>
      <c r="L34" s="342"/>
      <c r="M34" s="2"/>
      <c r="N34" s="13" t="str">
        <f>IF(Approach="By Hours", "N/A for ByHours", "Duration (Months) *")</f>
        <v>N/A for ByHours</v>
      </c>
      <c r="O34" s="332">
        <v>0</v>
      </c>
      <c r="P34" s="32"/>
      <c r="Q34" s="77"/>
      <c r="R34" s="77"/>
      <c r="S34" s="309"/>
      <c r="T34" s="309"/>
      <c r="U34" s="4" t="s">
        <v>58</v>
      </c>
      <c r="V34" s="328">
        <f>IFERROR(SUMIFS(OtherCosts!Q:Q,OtherCosts!A:A,B26,OtherCosts!B:B,"Vendor"),0)</f>
        <v>0</v>
      </c>
      <c r="W34" s="425" t="str">
        <f t="shared" si="11"/>
        <v>N/A</v>
      </c>
      <c r="X34" s="7"/>
      <c r="Y34" s="7" t="s">
        <v>98</v>
      </c>
      <c r="Z34" s="2"/>
      <c r="AA34" s="304"/>
      <c r="AB34" s="7"/>
      <c r="AC34" s="4" t="s">
        <v>58</v>
      </c>
      <c r="AD34" s="328">
        <f>IFERROR(SUMIFS(OtherCosts!R:R,OtherCosts!A:A,B26,OtherCosts!B:B,"Vendor"),0)</f>
        <v>0</v>
      </c>
      <c r="AE34" s="425" t="str">
        <f t="shared" si="12"/>
        <v>N/A</v>
      </c>
      <c r="AF34" s="330"/>
      <c r="AG34" s="328">
        <f>IFERROR(SUMIFS(OtherCosts!S:S,OtherCosts!A:A,B26,OtherCosts!B:B,"Vendor"),0)</f>
        <v>0</v>
      </c>
      <c r="AH34" s="445" t="str">
        <f t="shared" si="13"/>
        <v>N/A</v>
      </c>
      <c r="AI34" s="330"/>
      <c r="AJ34" s="446">
        <f>IFERROR(SUMIFS(OtherCosts!T:T,OtherCosts!A:A,B26,OtherCosts!B:B,"Vendor"),0)</f>
        <v>0</v>
      </c>
      <c r="AK34" s="425" t="str">
        <f t="shared" si="14"/>
        <v>N/A</v>
      </c>
      <c r="AL34" s="330"/>
      <c r="AM34" s="330"/>
      <c r="AN34" s="329">
        <f t="shared" si="16"/>
        <v>0</v>
      </c>
      <c r="AO34" s="425" t="str">
        <f t="shared" si="15"/>
        <v>N/A</v>
      </c>
      <c r="AP34" s="7"/>
      <c r="AQ34" s="342"/>
      <c r="AR34" s="290"/>
      <c r="AS34" s="402" t="s">
        <v>99</v>
      </c>
      <c r="AT34" s="290"/>
      <c r="AU34" s="100"/>
      <c r="AV34" s="298">
        <f>IFERROR(AN37/T40,0)</f>
        <v>60.025039597622317</v>
      </c>
      <c r="AW34" s="418" t="str">
        <f>IFERROR(AV34/BusinessCurrencyTRM,"N/A")</f>
        <v>N/A</v>
      </c>
      <c r="AX34" s="290"/>
      <c r="AY34" s="342"/>
      <c r="AZ34" s="3"/>
      <c r="BA34" s="315"/>
      <c r="BB34" s="3"/>
      <c r="BC34" s="3"/>
      <c r="BD34" s="3"/>
      <c r="BE34" s="3"/>
      <c r="BF34" s="342"/>
      <c r="BG34" s="3"/>
      <c r="BH34" s="315"/>
      <c r="BI34" s="3"/>
      <c r="BJ34" s="3"/>
      <c r="BK34" s="3"/>
      <c r="BL34" s="3"/>
      <c r="BM34" s="342"/>
      <c r="BN34" s="3"/>
      <c r="BO34" s="315"/>
      <c r="BP34" s="3"/>
      <c r="BQ34" s="3"/>
      <c r="BR34" s="3"/>
      <c r="BS34" s="3"/>
      <c r="BT34" s="342"/>
      <c r="BU34" s="3"/>
      <c r="BV34" s="315"/>
      <c r="BW34" s="3"/>
      <c r="BX34" s="3"/>
      <c r="BY34" s="3"/>
      <c r="BZ34" s="3"/>
    </row>
    <row r="35" spans="1:78" s="325" customFormat="1" ht="15.6">
      <c r="A35" s="480"/>
      <c r="B35" s="507"/>
      <c r="C35" s="507"/>
      <c r="D35" s="324"/>
      <c r="E35" s="342"/>
      <c r="F35" s="290"/>
      <c r="G35" s="79"/>
      <c r="H35" s="326"/>
      <c r="I35" s="326"/>
      <c r="J35" s="80"/>
      <c r="K35" s="290"/>
      <c r="L35" s="342"/>
      <c r="M35" s="2"/>
      <c r="N35" s="83"/>
      <c r="O35" s="333"/>
      <c r="P35" s="32"/>
      <c r="Q35" s="77"/>
      <c r="R35" s="77"/>
      <c r="S35" s="309"/>
      <c r="T35" s="309"/>
      <c r="U35" s="4" t="s">
        <v>61</v>
      </c>
      <c r="V35" s="328">
        <f>IFERROR(SUMIFS(OtherCosts!Q:Q,OtherCosts!A:A,B26,OtherCosts!B:B,"Insurance"),0)</f>
        <v>0</v>
      </c>
      <c r="W35" s="425" t="str">
        <f t="shared" si="11"/>
        <v>N/A</v>
      </c>
      <c r="X35" s="7"/>
      <c r="Y35" s="7" t="s">
        <v>100</v>
      </c>
      <c r="Z35" s="2"/>
      <c r="AA35" s="304"/>
      <c r="AB35" s="7"/>
      <c r="AC35" s="4" t="s">
        <v>61</v>
      </c>
      <c r="AD35" s="328">
        <f>IFERROR(SUMIFS(OtherCosts!R:R,OtherCosts!A:A,B26,OtherCosts!B:B,"Insurance"),0)</f>
        <v>0</v>
      </c>
      <c r="AE35" s="425" t="str">
        <f t="shared" si="12"/>
        <v>N/A</v>
      </c>
      <c r="AF35" s="330"/>
      <c r="AG35" s="328">
        <f>IFERROR(SUMIFS(OtherCosts!S:S,OtherCosts!A:A,B26,OtherCosts!B:B,"Insurance"),0)</f>
        <v>0</v>
      </c>
      <c r="AH35" s="445" t="str">
        <f t="shared" si="13"/>
        <v>N/A</v>
      </c>
      <c r="AI35" s="330"/>
      <c r="AJ35" s="446">
        <f>IFERROR(SUMIFS(OtherCosts!T:T,OtherCosts!A:A,B26,OtherCosts!B:B,"Insurance"),0)</f>
        <v>0</v>
      </c>
      <c r="AK35" s="425" t="str">
        <f t="shared" si="14"/>
        <v>N/A</v>
      </c>
      <c r="AL35" s="330"/>
      <c r="AM35" s="330"/>
      <c r="AN35" s="329">
        <f t="shared" si="16"/>
        <v>0</v>
      </c>
      <c r="AO35" s="425" t="str">
        <f t="shared" si="15"/>
        <v>N/A</v>
      </c>
      <c r="AP35" s="7"/>
      <c r="AQ35" s="342"/>
      <c r="AR35" s="290"/>
      <c r="AS35" s="290"/>
      <c r="AT35" s="81"/>
      <c r="AU35" s="81"/>
      <c r="AV35" s="81"/>
      <c r="AW35" s="81"/>
      <c r="AX35" s="290"/>
      <c r="AY35" s="342"/>
      <c r="AZ35" s="3"/>
      <c r="BA35" s="315"/>
      <c r="BB35" s="3"/>
      <c r="BC35" s="3"/>
      <c r="BD35" s="3"/>
      <c r="BE35" s="3"/>
      <c r="BF35" s="342"/>
      <c r="BG35" s="3"/>
      <c r="BH35" s="315"/>
      <c r="BI35" s="3"/>
      <c r="BJ35" s="3"/>
      <c r="BK35" s="3"/>
      <c r="BL35" s="3"/>
      <c r="BM35" s="342"/>
      <c r="BN35" s="3"/>
      <c r="BO35" s="315"/>
      <c r="BP35" s="3"/>
      <c r="BQ35" s="3"/>
      <c r="BR35" s="3"/>
      <c r="BS35" s="3"/>
      <c r="BT35" s="342"/>
      <c r="BU35" s="3"/>
      <c r="BV35" s="315"/>
      <c r="BW35" s="3"/>
      <c r="BX35" s="3"/>
      <c r="BY35" s="3"/>
      <c r="BZ35" s="3"/>
    </row>
    <row r="36" spans="1:78" s="325" customFormat="1" ht="16.149999999999999" thickBot="1">
      <c r="A36" s="480"/>
      <c r="B36" s="507"/>
      <c r="C36" s="507"/>
      <c r="D36" s="324"/>
      <c r="E36" s="342"/>
      <c r="F36" s="290"/>
      <c r="G36" s="79"/>
      <c r="H36" s="326"/>
      <c r="I36" s="326"/>
      <c r="J36" s="80"/>
      <c r="K36" s="290"/>
      <c r="L36" s="342"/>
      <c r="M36" s="7"/>
      <c r="N36" s="83"/>
      <c r="O36" s="333"/>
      <c r="P36" s="32"/>
      <c r="Q36" s="77"/>
      <c r="R36" s="77"/>
      <c r="S36" s="309"/>
      <c r="T36" s="309"/>
      <c r="U36" s="4" t="s">
        <v>64</v>
      </c>
      <c r="V36" s="328">
        <f>IFERROR(SUMIFS(OtherCosts!Q:Q,OtherCosts!A:A,B26,OtherCosts!B:B,"Other"),0)</f>
        <v>0</v>
      </c>
      <c r="W36" s="425" t="str">
        <f t="shared" si="11"/>
        <v>N/A</v>
      </c>
      <c r="X36" s="7"/>
      <c r="Y36" s="7" t="s">
        <v>101</v>
      </c>
      <c r="Z36" s="82"/>
      <c r="AA36" s="334"/>
      <c r="AB36" s="13"/>
      <c r="AC36" s="4" t="s">
        <v>64</v>
      </c>
      <c r="AD36" s="328">
        <f>IFERROR(SUMIFS(OtherCosts!R:R,OtherCosts!A:A,B26,OtherCosts!B:B,"Other"),0)</f>
        <v>0</v>
      </c>
      <c r="AE36" s="425" t="str">
        <f t="shared" si="12"/>
        <v>N/A</v>
      </c>
      <c r="AF36" s="83"/>
      <c r="AG36" s="328">
        <f>IFERROR(SUMIFS(OtherCosts!S:S,OtherCosts!A:A,B26,OtherCosts!B:B,"Other"),0)</f>
        <v>0</v>
      </c>
      <c r="AH36" s="447" t="str">
        <f t="shared" si="13"/>
        <v>N/A</v>
      </c>
      <c r="AI36" s="83"/>
      <c r="AJ36" s="448">
        <f>IFERROR(SUMIFS(OtherCosts!T:T,OtherCosts!A:A,B26,OtherCosts!B:B,"Other"),0)</f>
        <v>0</v>
      </c>
      <c r="AK36" s="425" t="str">
        <f t="shared" si="14"/>
        <v>N/A</v>
      </c>
      <c r="AL36" s="83"/>
      <c r="AM36" s="83"/>
      <c r="AN36" s="329">
        <f t="shared" si="16"/>
        <v>0</v>
      </c>
      <c r="AO36" s="425" t="str">
        <f t="shared" si="15"/>
        <v>N/A</v>
      </c>
      <c r="AP36" s="85"/>
      <c r="AQ36" s="342"/>
      <c r="AR36" s="290"/>
      <c r="AS36" s="290"/>
      <c r="AT36" s="13"/>
      <c r="AU36" s="81"/>
      <c r="AV36" s="81"/>
      <c r="AW36" s="81"/>
      <c r="AX36" s="290"/>
      <c r="AY36" s="342"/>
      <c r="AZ36" s="3"/>
      <c r="BA36" s="315"/>
      <c r="BB36" s="3"/>
      <c r="BC36" s="3"/>
      <c r="BD36" s="3"/>
      <c r="BE36" s="3"/>
      <c r="BF36" s="342"/>
      <c r="BG36" s="3"/>
      <c r="BH36" s="315"/>
      <c r="BI36" s="3"/>
      <c r="BJ36" s="3"/>
      <c r="BK36" s="3"/>
      <c r="BL36" s="3"/>
      <c r="BM36" s="342"/>
      <c r="BN36" s="3"/>
      <c r="BO36" s="315"/>
      <c r="BP36" s="3"/>
      <c r="BQ36" s="3"/>
      <c r="BR36" s="3"/>
      <c r="BS36" s="3"/>
      <c r="BT36" s="342"/>
      <c r="BU36" s="3"/>
      <c r="BV36" s="315"/>
      <c r="BW36" s="3"/>
      <c r="BX36" s="3"/>
      <c r="BY36" s="3"/>
      <c r="BZ36" s="3"/>
    </row>
    <row r="37" spans="1:78" s="325" customFormat="1" ht="16.149999999999999" thickTop="1">
      <c r="A37" s="480"/>
      <c r="B37" s="507"/>
      <c r="C37" s="507"/>
      <c r="D37" s="324"/>
      <c r="E37" s="342"/>
      <c r="F37" s="290"/>
      <c r="G37" s="79"/>
      <c r="H37" s="326"/>
      <c r="I37" s="326"/>
      <c r="J37" s="80"/>
      <c r="K37" s="290"/>
      <c r="L37" s="342"/>
      <c r="M37" s="7"/>
      <c r="N37" s="83"/>
      <c r="O37" s="333"/>
      <c r="P37" s="32"/>
      <c r="Q37" s="77"/>
      <c r="R37" s="77"/>
      <c r="S37" s="309"/>
      <c r="T37" s="309"/>
      <c r="U37" s="3" t="s">
        <v>35</v>
      </c>
      <c r="V37" s="86">
        <f>SUM(V30:V36)</f>
        <v>4200.6319999999996</v>
      </c>
      <c r="W37" s="427" t="str">
        <f t="shared" si="11"/>
        <v>N/A</v>
      </c>
      <c r="X37" s="335"/>
      <c r="Y37" s="335"/>
      <c r="Z37" s="82"/>
      <c r="AA37" s="334"/>
      <c r="AB37" s="13"/>
      <c r="AC37" s="3" t="s">
        <v>35</v>
      </c>
      <c r="AD37" s="86">
        <f>SUM(AD30:AD36)</f>
        <v>6563.738080000001</v>
      </c>
      <c r="AE37" s="427" t="str">
        <f t="shared" si="12"/>
        <v>N/A</v>
      </c>
      <c r="AF37" s="83"/>
      <c r="AG37" s="86">
        <f>SUM(AG30:AG36)</f>
        <v>0</v>
      </c>
      <c r="AH37" s="444" t="str">
        <f t="shared" si="13"/>
        <v>N/A</v>
      </c>
      <c r="AI37" s="83"/>
      <c r="AJ37" s="86">
        <f>SUM(AJ30:AJ36)</f>
        <v>0</v>
      </c>
      <c r="AK37" s="427" t="str">
        <f t="shared" si="14"/>
        <v>N/A</v>
      </c>
      <c r="AL37" s="83"/>
      <c r="AM37" s="83"/>
      <c r="AN37" s="86">
        <f t="shared" si="16"/>
        <v>6563.738080000001</v>
      </c>
      <c r="AO37" s="427" t="str">
        <f t="shared" si="15"/>
        <v>N/A</v>
      </c>
      <c r="AP37" s="85"/>
      <c r="AQ37" s="342"/>
      <c r="AR37" s="290"/>
      <c r="AS37" s="290"/>
      <c r="AT37" s="13"/>
      <c r="AU37" s="81"/>
      <c r="AV37" s="81"/>
      <c r="AW37" s="81"/>
      <c r="AX37" s="290"/>
      <c r="AY37" s="342"/>
      <c r="AZ37" s="3"/>
      <c r="BA37" s="315"/>
      <c r="BB37" s="3"/>
      <c r="BC37" s="3"/>
      <c r="BD37" s="3"/>
      <c r="BE37" s="3"/>
      <c r="BF37" s="342"/>
      <c r="BG37" s="3"/>
      <c r="BH37" s="315"/>
      <c r="BI37" s="3"/>
      <c r="BJ37" s="3"/>
      <c r="BK37" s="3"/>
      <c r="BL37" s="3"/>
      <c r="BM37" s="342"/>
      <c r="BN37" s="3"/>
      <c r="BO37" s="315"/>
      <c r="BP37" s="3"/>
      <c r="BQ37" s="3"/>
      <c r="BR37" s="3"/>
      <c r="BS37" s="3"/>
      <c r="BT37" s="342"/>
      <c r="BU37" s="3"/>
      <c r="BV37" s="315"/>
      <c r="BW37" s="3"/>
      <c r="BX37" s="3"/>
      <c r="BY37" s="3"/>
      <c r="BZ37" s="3"/>
    </row>
    <row r="38" spans="1:78" s="325" customFormat="1" ht="15.6">
      <c r="A38" s="480"/>
      <c r="B38" s="507"/>
      <c r="C38" s="507"/>
      <c r="D38" s="324"/>
      <c r="E38" s="342"/>
      <c r="F38" s="290"/>
      <c r="G38" s="336"/>
      <c r="H38" s="336"/>
      <c r="I38" s="336"/>
      <c r="J38" s="336"/>
      <c r="K38" s="290"/>
      <c r="L38" s="342"/>
      <c r="M38" s="7"/>
      <c r="N38" s="83"/>
      <c r="O38" s="333"/>
      <c r="P38" s="77"/>
      <c r="Q38" s="77"/>
      <c r="R38" s="77"/>
      <c r="S38" s="77"/>
      <c r="T38" s="77"/>
      <c r="U38" s="3"/>
      <c r="V38" s="77"/>
      <c r="W38" s="77"/>
      <c r="X38" s="77"/>
      <c r="Y38" s="77"/>
      <c r="Z38" s="82"/>
      <c r="AA38" s="334"/>
      <c r="AB38" s="13"/>
      <c r="AC38" s="13"/>
      <c r="AD38" s="13"/>
      <c r="AE38" s="13"/>
      <c r="AF38" s="13"/>
      <c r="AG38" s="13"/>
      <c r="AH38" s="13"/>
      <c r="AI38" s="13"/>
      <c r="AJ38" s="13"/>
      <c r="AK38" s="13"/>
      <c r="AL38" s="13"/>
      <c r="AM38" s="13"/>
      <c r="AN38" s="327"/>
      <c r="AO38" s="327"/>
      <c r="AP38" s="85"/>
      <c r="AQ38" s="342"/>
      <c r="AR38" s="290"/>
      <c r="AS38" s="81"/>
      <c r="AT38" s="81"/>
      <c r="AU38" s="81"/>
      <c r="AV38" s="81"/>
      <c r="AW38" s="81"/>
      <c r="AX38" s="290"/>
      <c r="AY38" s="342"/>
      <c r="AZ38" s="3"/>
      <c r="BA38" s="315"/>
      <c r="BB38" s="3"/>
      <c r="BC38" s="3"/>
      <c r="BD38" s="3"/>
      <c r="BE38" s="3"/>
      <c r="BF38" s="342"/>
      <c r="BG38" s="3"/>
      <c r="BH38" s="315"/>
      <c r="BI38" s="3"/>
      <c r="BJ38" s="3"/>
      <c r="BK38" s="3"/>
      <c r="BL38" s="3"/>
      <c r="BM38" s="342"/>
      <c r="BN38" s="3"/>
      <c r="BO38" s="315"/>
      <c r="BP38" s="3"/>
      <c r="BQ38" s="3"/>
      <c r="BR38" s="3"/>
      <c r="BS38" s="3"/>
      <c r="BT38" s="342"/>
      <c r="BU38" s="3"/>
      <c r="BV38" s="315"/>
      <c r="BW38" s="3"/>
      <c r="BX38" s="3"/>
      <c r="BY38" s="3"/>
      <c r="BZ38" s="3"/>
    </row>
    <row r="39" spans="1:78" s="304" customFormat="1" outlineLevel="1">
      <c r="B39" s="320"/>
      <c r="C39" s="320"/>
      <c r="D39" s="391"/>
      <c r="F39" s="391"/>
      <c r="G39" s="391"/>
      <c r="H39" s="391"/>
      <c r="I39" s="391"/>
      <c r="J39" s="391"/>
      <c r="K39" s="391"/>
      <c r="N39" s="337"/>
      <c r="O39" s="337"/>
      <c r="S39" s="337"/>
      <c r="T39" s="320"/>
      <c r="U39" s="320"/>
      <c r="V39" s="320"/>
      <c r="W39" s="393"/>
      <c r="Z39" s="338"/>
      <c r="AO39" s="338"/>
      <c r="AP39" s="340"/>
      <c r="AR39" s="391"/>
      <c r="AS39" s="391"/>
      <c r="AT39" s="391"/>
      <c r="AU39" s="391"/>
      <c r="AV39" s="391"/>
      <c r="AW39" s="391"/>
      <c r="AX39" s="391"/>
      <c r="AZ39"/>
      <c r="BA39"/>
      <c r="BB39"/>
      <c r="BC39"/>
      <c r="BD39"/>
      <c r="BE39"/>
      <c r="BG39"/>
      <c r="BH39"/>
      <c r="BI39"/>
      <c r="BJ39"/>
      <c r="BK39"/>
      <c r="BL39"/>
      <c r="BN39"/>
      <c r="BO39"/>
      <c r="BP39"/>
      <c r="BQ39"/>
      <c r="BR39"/>
      <c r="BS39"/>
      <c r="BU39"/>
      <c r="BV39"/>
      <c r="BW39"/>
      <c r="BX39"/>
      <c r="BY39"/>
      <c r="BZ39"/>
    </row>
    <row r="40" spans="1:78" s="325" customFormat="1" ht="15.6" outlineLevel="1">
      <c r="A40" s="480"/>
      <c r="B40" s="341"/>
      <c r="C40" s="341"/>
      <c r="D40" s="290"/>
      <c r="E40" s="342"/>
      <c r="F40" s="290"/>
      <c r="G40" s="343">
        <f>ROUNDUP(SUM(G42:G71),2)</f>
        <v>82</v>
      </c>
      <c r="H40" s="344"/>
      <c r="I40" s="344"/>
      <c r="J40" s="345">
        <f>ROUNDUP(SUM(J42:J71),2)</f>
        <v>91.12</v>
      </c>
      <c r="K40" s="290"/>
      <c r="L40" s="342"/>
      <c r="M40" s="7"/>
      <c r="N40" s="7"/>
      <c r="O40" s="7"/>
      <c r="P40" s="7"/>
      <c r="Q40" s="7"/>
      <c r="R40" s="7"/>
      <c r="S40" s="7"/>
      <c r="T40" s="398">
        <f>ROUNDUP(SUM(T42:T71),2)</f>
        <v>109.35000000000001</v>
      </c>
      <c r="U40" s="7"/>
      <c r="V40" s="7"/>
      <c r="W40" s="87">
        <f>SUM(W42:W69)</f>
        <v>4200.6319999999996</v>
      </c>
      <c r="X40" s="7"/>
      <c r="Y40" s="7" t="s">
        <v>102</v>
      </c>
      <c r="Z40" s="7"/>
      <c r="AA40" s="304"/>
      <c r="AB40" s="7"/>
      <c r="AC40" s="7"/>
      <c r="AD40" s="87">
        <f>SUM(AD42:AD71)</f>
        <v>6563.738080000001</v>
      </c>
      <c r="AE40" s="432">
        <f>IFERROR(1-($W40/$AD40),0)</f>
        <v>0.36002443290668307</v>
      </c>
      <c r="AF40" s="7"/>
      <c r="AG40" s="7"/>
      <c r="AH40" s="88">
        <f>SUM(AH42:AH71)</f>
        <v>0</v>
      </c>
      <c r="AI40" s="7"/>
      <c r="AJ40" s="7"/>
      <c r="AK40" s="88">
        <f>ROUNDUP(SUM(AK42:AK71),2)</f>
        <v>0</v>
      </c>
      <c r="AL40" s="7"/>
      <c r="AM40" s="88">
        <f>SUM(AM42:AM71)</f>
        <v>6563.738080000001</v>
      </c>
      <c r="AN40" s="88">
        <f>SUM(AN42:AN71)</f>
        <v>6563.738080000001</v>
      </c>
      <c r="AO40" s="417" t="str">
        <f>BillingCountryCurrency</f>
        <v>USD</v>
      </c>
      <c r="AP40" s="7"/>
      <c r="AQ40" s="18"/>
      <c r="AR40" s="290"/>
      <c r="AS40" s="290"/>
      <c r="AT40" s="503">
        <f>SUM(AT42:AU71)</f>
        <v>6563.738080000001</v>
      </c>
      <c r="AU40" s="504"/>
      <c r="AV40" s="417" t="str">
        <f>BillingCountryCurrency</f>
        <v>USD</v>
      </c>
      <c r="AW40" s="417" t="str">
        <f>IF(ISBLANK(BusinessCurrency),"N/A",BusinessCurrency)</f>
        <v>N/A</v>
      </c>
      <c r="AX40" s="290"/>
      <c r="AY40" s="18"/>
      <c r="AZ40" s="3"/>
      <c r="BA40" s="315"/>
      <c r="BB40" s="3"/>
      <c r="BC40" s="3"/>
      <c r="BD40" s="3"/>
      <c r="BE40" s="3"/>
      <c r="BF40" s="18"/>
      <c r="BG40" s="3"/>
      <c r="BH40" s="315"/>
      <c r="BI40" s="3"/>
      <c r="BJ40" s="3"/>
      <c r="BK40" s="3"/>
      <c r="BL40" s="3"/>
      <c r="BM40" s="18"/>
      <c r="BN40" s="3"/>
      <c r="BO40" s="315"/>
      <c r="BP40" s="3"/>
      <c r="BQ40" s="3"/>
      <c r="BR40" s="3"/>
      <c r="BS40" s="3"/>
      <c r="BT40" s="18"/>
      <c r="BU40" s="3"/>
      <c r="BV40" s="315"/>
      <c r="BW40" s="3"/>
      <c r="BX40" s="3"/>
      <c r="BY40" s="3"/>
      <c r="BZ40" s="3"/>
    </row>
    <row r="41" spans="1:78" ht="15.6" outlineLevel="1">
      <c r="A41" s="7"/>
      <c r="B41" s="346"/>
      <c r="C41" s="346"/>
      <c r="D41" s="346"/>
      <c r="E41" s="342"/>
      <c r="F41" s="290"/>
      <c r="G41" s="347" t="s">
        <v>79</v>
      </c>
      <c r="H41" s="347" t="s">
        <v>103</v>
      </c>
      <c r="I41" s="347" t="s">
        <v>104</v>
      </c>
      <c r="J41" s="348" t="s">
        <v>91</v>
      </c>
      <c r="K41" s="290"/>
      <c r="L41" s="349"/>
      <c r="M41" s="7"/>
      <c r="N41" s="16" t="s">
        <v>105</v>
      </c>
      <c r="O41" s="16" t="s">
        <v>106</v>
      </c>
      <c r="P41" s="16" t="s">
        <v>107</v>
      </c>
      <c r="Q41" s="16" t="s">
        <v>108</v>
      </c>
      <c r="R41" s="16" t="s">
        <v>109</v>
      </c>
      <c r="S41" s="16" t="s">
        <v>110</v>
      </c>
      <c r="T41" s="16" t="s">
        <v>111</v>
      </c>
      <c r="U41" s="16" t="s">
        <v>112</v>
      </c>
      <c r="V41" s="350" t="s">
        <v>113</v>
      </c>
      <c r="W41" s="16" t="s">
        <v>114</v>
      </c>
      <c r="X41" s="16" t="s">
        <v>115</v>
      </c>
      <c r="Y41" s="16" t="s">
        <v>116</v>
      </c>
      <c r="Z41" s="6"/>
      <c r="AA41" s="304"/>
      <c r="AB41" s="7"/>
      <c r="AC41" s="351" t="s">
        <v>117</v>
      </c>
      <c r="AD41" s="352" t="s">
        <v>118</v>
      </c>
      <c r="AE41" s="89" t="s">
        <v>119</v>
      </c>
      <c r="AF41" s="7"/>
      <c r="AG41" s="89" t="s">
        <v>120</v>
      </c>
      <c r="AH41" s="353" t="s">
        <v>121</v>
      </c>
      <c r="AI41" s="7"/>
      <c r="AJ41" s="89" t="s">
        <v>122</v>
      </c>
      <c r="AK41" s="353" t="s">
        <v>123</v>
      </c>
      <c r="AL41" s="7"/>
      <c r="AM41" s="16" t="s">
        <v>118</v>
      </c>
      <c r="AN41" s="16" t="s">
        <v>124</v>
      </c>
      <c r="AO41" s="8" t="s">
        <v>125</v>
      </c>
      <c r="AP41" s="7"/>
      <c r="AQ41" s="18"/>
      <c r="AR41" s="290"/>
      <c r="AS41" s="8" t="s">
        <v>126</v>
      </c>
      <c r="AT41" s="505" t="s">
        <v>124</v>
      </c>
      <c r="AU41" s="506"/>
      <c r="AV41" s="8" t="s">
        <v>127</v>
      </c>
      <c r="AW41" s="8" t="s">
        <v>127</v>
      </c>
      <c r="AX41" s="290"/>
      <c r="AY41" s="18"/>
      <c r="AZ41" s="3"/>
      <c r="BA41" s="315"/>
      <c r="BB41" s="3"/>
      <c r="BC41" s="3"/>
      <c r="BD41" s="3"/>
      <c r="BE41" s="3"/>
      <c r="BF41" s="18"/>
      <c r="BG41" s="3"/>
      <c r="BH41" s="315"/>
      <c r="BI41" s="3"/>
      <c r="BJ41" s="3"/>
      <c r="BK41" s="3"/>
      <c r="BL41" s="3"/>
      <c r="BM41" s="18"/>
      <c r="BN41" s="3"/>
      <c r="BO41" s="315"/>
      <c r="BP41" s="3"/>
      <c r="BQ41" s="3"/>
      <c r="BR41" s="3"/>
      <c r="BS41" s="3"/>
      <c r="BT41" s="18"/>
      <c r="BU41" s="3"/>
      <c r="BV41" s="315"/>
      <c r="BW41" s="3"/>
      <c r="BX41" s="3"/>
      <c r="BY41" s="3"/>
      <c r="BZ41" s="3"/>
    </row>
    <row r="42" spans="1:78" ht="28.9" outlineLevel="1">
      <c r="A42" s="7"/>
      <c r="B42" s="354" t="s">
        <v>128</v>
      </c>
      <c r="C42" s="499" t="s">
        <v>129</v>
      </c>
      <c r="D42" s="356"/>
      <c r="E42" s="342"/>
      <c r="F42" s="290"/>
      <c r="G42" s="357">
        <v>82</v>
      </c>
      <c r="H42" s="358">
        <v>0.1</v>
      </c>
      <c r="I42" s="358">
        <v>0</v>
      </c>
      <c r="J42" s="359">
        <f>IFERROR(G42/(1-(H42+I42)),0)</f>
        <v>91.111111111111114</v>
      </c>
      <c r="K42" s="360"/>
      <c r="L42" s="349"/>
      <c r="M42" s="7"/>
      <c r="N42" s="12" t="s">
        <v>130</v>
      </c>
      <c r="O42" s="12" t="s">
        <v>131</v>
      </c>
      <c r="P42" s="12" t="s">
        <v>132</v>
      </c>
      <c r="Q42" s="361"/>
      <c r="R42" s="362"/>
      <c r="S42" s="363">
        <f t="shared" ref="S42:S71" si="17">IF(ISBLANK(P42),0,$O$34*20)</f>
        <v>0</v>
      </c>
      <c r="T42" s="364">
        <f>J40</f>
        <v>91.12</v>
      </c>
      <c r="U42" s="365">
        <v>0</v>
      </c>
      <c r="V42" s="91">
        <f>ROUNDUP(IFERROR(INDEX(CostRateTbl[Cost Rate],MATCH(_xlfn.CONCAT(N42,O42,P42,"NA"),CostRateTbl[KeyCostRate],0)),0)*BillingCurrencyTRM*(1+U42),2)</f>
        <v>36.619999999999997</v>
      </c>
      <c r="W42" s="92">
        <f t="shared" ref="W42:W71" si="18">T42*V42</f>
        <v>3336.8143999999998</v>
      </c>
      <c r="X42" s="366" t="str" cm="1">
        <f t="array" ref="X42">_xlfn.LET(
    _xlpm.valor, INDEX(CostRate!H:H, MATCH(1, (CostRate!A:A=N42)*1, 0)),
    _xlpm.posicion, MATCH(_xlpm.valor, FilterSL!$F$1:$Z$1, 0),
    _xlpm.direccionCompleta, ADDRESS(1, _xlpm.posicion + 5, 4),
    _xlpm.letraColumna, SUBSTITUTE(_xlpm.direccionCompleta, "1", ""),
    _xlpm.letraColumna
)</f>
        <v>R</v>
      </c>
      <c r="Y42" s="366" t="str" cm="1">
        <f t="array" ref="Y42">_xlfn.LET(
    _xlpm.valor, INDEX(CostRate!I:I, MATCH(1, (CostRate!A:A=N42)*(CostRate!B:B=O42), 0)),
    _xlpm.posicion, MATCH(_xlpm.valor, FilterJP!$E$1:$FZ$1, 0),
    _xlpm.direccionCompleta, ADDRESS(1, _xlpm.posicion + 4, 4),
    _xlpm.letraColumna, SUBSTITUTE(_xlpm.direccionCompleta, "1", ""),
    _xlpm.letraColumna
)</f>
        <v>BJ</v>
      </c>
      <c r="Z42" s="7"/>
      <c r="AA42" s="367"/>
      <c r="AB42" s="7"/>
      <c r="AC42" s="93">
        <f t="shared" ref="AC42:AC65" si="19">ROUNDUP($V42/(1-$AV$28),2)</f>
        <v>57.22</v>
      </c>
      <c r="AD42" s="94">
        <f>$T42*$AC42</f>
        <v>5213.8864000000003</v>
      </c>
      <c r="AE42" s="109">
        <f>IFERROR(1-($W42/$AD42),0)</f>
        <v>0.36001398112548066</v>
      </c>
      <c r="AF42" s="7"/>
      <c r="AG42" s="369">
        <f t="shared" ref="AG42:AG65" si="20">IFERROR(IF(OR(ISBLANK(N42),N42=CustomerCountry,COUNTIF($N42,"*xDC*")),0,10%),0)</f>
        <v>0</v>
      </c>
      <c r="AH42" s="368">
        <f>W42*AG42</f>
        <v>0</v>
      </c>
      <c r="AI42" s="7"/>
      <c r="AJ42" s="369" cm="1">
        <f t="array" ref="AJ42">IFERROR(INDEX(WHT!$C$7:$W$18,MATCH(
_xlfn.SWITCH(N42,"xDC Medellin","Colombia","xDC Belo Horizonte","Brazil","xDC Guadalajara","Mexico","xDC Gurugram","India","xDC Leon","Spain","xDC San Jose","Costa Rica","xDC Warsaw","Poland",N42),
WHT!$B$7:$B$18,0),MATCH(CustomerCountry,WHT!$C$5:$W$5,0)),0)</f>
        <v>0</v>
      </c>
      <c r="AK42" s="368">
        <f t="shared" ref="AK42" si="21">(W42+AH42)*AJ42</f>
        <v>0</v>
      </c>
      <c r="AL42" s="7"/>
      <c r="AM42" s="95">
        <f>SUM($AD42,$AH42,$AK42)</f>
        <v>5213.8864000000003</v>
      </c>
      <c r="AN42" s="95">
        <f t="shared" ref="AN42:AN71" si="22">AM42+IFERROR(SUM($AN$31:$AN$36)*AM42/$AM$40,0)</f>
        <v>5213.8864000000003</v>
      </c>
      <c r="AO42" s="95">
        <f>IFERROR($AN42/$T42,0)</f>
        <v>57.22</v>
      </c>
      <c r="AP42" s="7"/>
      <c r="AQ42" s="18"/>
      <c r="AR42" s="290"/>
      <c r="AS42" s="467" t="s">
        <v>133</v>
      </c>
      <c r="AT42" s="501">
        <f>IF(AS42="x",AM42+((SUM($AN$31:$AN$36)+SUMIF($AS$42:$AS$71,"&lt;&gt;x",$AM$42:$AM$71))*IFERROR(AM42/SUMIF($AS$42:$AS$71,"x",$AM$42:$AM$71),0)),0)</f>
        <v>5213.8864000000003</v>
      </c>
      <c r="AU42" s="502"/>
      <c r="AV42" s="95">
        <f>IFERROR(AT42/T42,0)</f>
        <v>57.22</v>
      </c>
      <c r="AW42" s="469" t="str">
        <f t="shared" ref="AW42:AW71" si="23">IFERROR(AV42/BusinessCurrencyTRM,"N/A")</f>
        <v>N/A</v>
      </c>
      <c r="AX42" s="290"/>
      <c r="AY42" s="18"/>
      <c r="AZ42" s="3"/>
      <c r="BA42" s="315"/>
      <c r="BB42" s="3"/>
      <c r="BC42" s="3"/>
      <c r="BD42" s="3"/>
      <c r="BE42" s="3"/>
      <c r="BF42" s="18"/>
      <c r="BG42" s="3"/>
      <c r="BH42" s="315"/>
      <c r="BI42" s="3"/>
      <c r="BJ42" s="3"/>
      <c r="BK42" s="3"/>
      <c r="BL42" s="3"/>
      <c r="BM42" s="18"/>
      <c r="BN42" s="3"/>
      <c r="BO42" s="315"/>
      <c r="BP42" s="3"/>
      <c r="BQ42" s="3"/>
      <c r="BR42" s="3"/>
      <c r="BS42" s="3"/>
      <c r="BT42" s="18"/>
      <c r="BU42" s="3"/>
      <c r="BV42" s="315"/>
      <c r="BW42" s="3"/>
      <c r="BX42" s="3"/>
      <c r="BY42" s="3"/>
      <c r="BZ42" s="3"/>
    </row>
    <row r="43" spans="1:78" ht="16.899999999999999" outlineLevel="1">
      <c r="A43" s="7"/>
      <c r="B43" s="370"/>
      <c r="C43" s="500" t="s">
        <v>134</v>
      </c>
      <c r="D43" s="356"/>
      <c r="E43" s="342"/>
      <c r="F43" s="290"/>
      <c r="G43" s="357"/>
      <c r="H43" s="498">
        <v>0.1</v>
      </c>
      <c r="I43" s="358">
        <v>0</v>
      </c>
      <c r="J43" s="359">
        <f t="shared" ref="J43:J71" si="24">IFERROR(G43/(1-(H43+I43)),0)</f>
        <v>0</v>
      </c>
      <c r="K43" s="360"/>
      <c r="L43" s="349"/>
      <c r="M43" s="7"/>
      <c r="N43" s="12"/>
      <c r="O43" s="12"/>
      <c r="P43" s="12"/>
      <c r="Q43" s="361"/>
      <c r="R43" s="362"/>
      <c r="S43" s="363"/>
      <c r="T43" s="364"/>
      <c r="U43" s="365"/>
      <c r="V43" s="91"/>
      <c r="W43" s="92"/>
      <c r="X43" s="366"/>
      <c r="Y43" s="366"/>
      <c r="Z43" s="7"/>
      <c r="AA43" s="367"/>
      <c r="AB43" s="7"/>
      <c r="AC43" s="93"/>
      <c r="AD43" s="94"/>
      <c r="AE43" s="109"/>
      <c r="AF43" s="7"/>
      <c r="AG43" s="369"/>
      <c r="AH43" s="368"/>
      <c r="AI43" s="7"/>
      <c r="AJ43" s="369"/>
      <c r="AK43" s="368"/>
      <c r="AL43" s="7"/>
      <c r="AM43" s="95"/>
      <c r="AN43" s="95"/>
      <c r="AO43" s="95"/>
      <c r="AP43" s="7"/>
      <c r="AQ43" s="18"/>
      <c r="AR43" s="290"/>
      <c r="AS43" s="467"/>
      <c r="AT43" s="93"/>
      <c r="AU43" s="478"/>
      <c r="AV43" s="95"/>
      <c r="AW43" s="469"/>
      <c r="AX43" s="290"/>
      <c r="AY43" s="18"/>
      <c r="AZ43" s="3"/>
      <c r="BA43" s="315"/>
      <c r="BB43" s="3"/>
      <c r="BC43" s="3"/>
      <c r="BD43" s="3"/>
      <c r="BE43" s="3"/>
      <c r="BF43" s="18"/>
      <c r="BG43" s="3"/>
      <c r="BH43" s="315"/>
      <c r="BI43" s="3"/>
      <c r="BJ43" s="3"/>
      <c r="BK43" s="3"/>
      <c r="BL43" s="3"/>
      <c r="BM43" s="18"/>
      <c r="BN43" s="3"/>
      <c r="BO43" s="315"/>
      <c r="BP43" s="3"/>
      <c r="BQ43" s="3"/>
      <c r="BR43" s="3"/>
      <c r="BS43" s="3"/>
      <c r="BT43" s="18"/>
      <c r="BU43" s="3"/>
      <c r="BV43" s="315"/>
      <c r="BW43" s="3"/>
      <c r="BX43" s="3"/>
      <c r="BY43" s="3"/>
      <c r="BZ43" s="3"/>
    </row>
    <row r="44" spans="1:78" ht="16.899999999999999" outlineLevel="1">
      <c r="A44" s="7"/>
      <c r="B44" s="370"/>
      <c r="C44" s="500" t="s">
        <v>135</v>
      </c>
      <c r="D44" s="356"/>
      <c r="E44" s="342"/>
      <c r="F44" s="290"/>
      <c r="G44" s="357">
        <v>0</v>
      </c>
      <c r="H44" s="498">
        <v>0.1</v>
      </c>
      <c r="I44" s="358">
        <v>0</v>
      </c>
      <c r="J44" s="359">
        <f t="shared" si="24"/>
        <v>0</v>
      </c>
      <c r="K44" s="360"/>
      <c r="L44" s="349"/>
      <c r="M44" s="7"/>
      <c r="N44" s="12"/>
      <c r="O44" s="12"/>
      <c r="P44" s="12"/>
      <c r="Q44" s="361"/>
      <c r="R44" s="362"/>
      <c r="S44" s="363"/>
      <c r="T44" s="364"/>
      <c r="U44" s="365"/>
      <c r="V44" s="91"/>
      <c r="W44" s="92"/>
      <c r="X44" s="366"/>
      <c r="Y44" s="366"/>
      <c r="Z44" s="7"/>
      <c r="AA44" s="367"/>
      <c r="AB44" s="7"/>
      <c r="AC44" s="93"/>
      <c r="AD44" s="94"/>
      <c r="AE44" s="109"/>
      <c r="AF44" s="7"/>
      <c r="AG44" s="369"/>
      <c r="AH44" s="368"/>
      <c r="AI44" s="7"/>
      <c r="AJ44" s="369"/>
      <c r="AK44" s="368"/>
      <c r="AL44" s="7"/>
      <c r="AM44" s="95"/>
      <c r="AN44" s="95"/>
      <c r="AO44" s="95"/>
      <c r="AP44" s="7"/>
      <c r="AQ44" s="18"/>
      <c r="AR44" s="290"/>
      <c r="AS44" s="467"/>
      <c r="AT44" s="93"/>
      <c r="AU44" s="478"/>
      <c r="AV44" s="95"/>
      <c r="AW44" s="469"/>
      <c r="AX44" s="290"/>
      <c r="AY44" s="18"/>
      <c r="AZ44" s="3"/>
      <c r="BA44" s="315"/>
      <c r="BB44" s="3"/>
      <c r="BC44" s="3"/>
      <c r="BD44" s="3"/>
      <c r="BE44" s="3"/>
      <c r="BF44" s="18"/>
      <c r="BG44" s="3"/>
      <c r="BH44" s="315"/>
      <c r="BI44" s="3"/>
      <c r="BJ44" s="3"/>
      <c r="BK44" s="3"/>
      <c r="BL44" s="3"/>
      <c r="BM44" s="18"/>
      <c r="BN44" s="3"/>
      <c r="BO44" s="315"/>
      <c r="BP44" s="3"/>
      <c r="BQ44" s="3"/>
      <c r="BR44" s="3"/>
      <c r="BS44" s="3"/>
      <c r="BT44" s="18"/>
      <c r="BU44" s="3"/>
      <c r="BV44" s="315"/>
      <c r="BW44" s="3"/>
      <c r="BX44" s="3"/>
      <c r="BY44" s="3"/>
      <c r="BZ44" s="3"/>
    </row>
    <row r="45" spans="1:78" ht="16.899999999999999" outlineLevel="1">
      <c r="A45" s="7"/>
      <c r="B45" s="370"/>
      <c r="C45" s="499" t="s">
        <v>136</v>
      </c>
      <c r="D45" s="356"/>
      <c r="E45" s="342"/>
      <c r="F45" s="290"/>
      <c r="G45" s="357">
        <v>0</v>
      </c>
      <c r="H45" s="498"/>
      <c r="I45" s="358">
        <v>0</v>
      </c>
      <c r="J45" s="359">
        <f t="shared" si="24"/>
        <v>0</v>
      </c>
      <c r="K45" s="360"/>
      <c r="L45" s="349"/>
      <c r="M45" s="7"/>
      <c r="N45" s="12"/>
      <c r="O45" s="12"/>
      <c r="P45" s="12"/>
      <c r="Q45" s="361"/>
      <c r="R45" s="362"/>
      <c r="S45" s="363"/>
      <c r="T45" s="364"/>
      <c r="U45" s="365"/>
      <c r="V45" s="91"/>
      <c r="W45" s="92"/>
      <c r="X45" s="366"/>
      <c r="Y45" s="366"/>
      <c r="Z45" s="7"/>
      <c r="AA45" s="367"/>
      <c r="AB45" s="7"/>
      <c r="AC45" s="93"/>
      <c r="AD45" s="94"/>
      <c r="AE45" s="109"/>
      <c r="AF45" s="7"/>
      <c r="AG45" s="369"/>
      <c r="AH45" s="368"/>
      <c r="AI45" s="7"/>
      <c r="AJ45" s="369"/>
      <c r="AK45" s="368"/>
      <c r="AL45" s="7"/>
      <c r="AM45" s="95"/>
      <c r="AN45" s="95"/>
      <c r="AO45" s="95"/>
      <c r="AP45" s="7"/>
      <c r="AQ45" s="18"/>
      <c r="AR45" s="290"/>
      <c r="AS45" s="467"/>
      <c r="AT45" s="93"/>
      <c r="AU45" s="478"/>
      <c r="AV45" s="95"/>
      <c r="AW45" s="469"/>
      <c r="AX45" s="290"/>
      <c r="AY45" s="18"/>
      <c r="AZ45" s="3"/>
      <c r="BA45" s="315"/>
      <c r="BB45" s="3"/>
      <c r="BC45" s="3"/>
      <c r="BD45" s="3"/>
      <c r="BE45" s="3"/>
      <c r="BF45" s="18"/>
      <c r="BG45" s="3"/>
      <c r="BH45" s="315"/>
      <c r="BI45" s="3"/>
      <c r="BJ45" s="3"/>
      <c r="BK45" s="3"/>
      <c r="BL45" s="3"/>
      <c r="BM45" s="18"/>
      <c r="BN45" s="3"/>
      <c r="BO45" s="315"/>
      <c r="BP45" s="3"/>
      <c r="BQ45" s="3"/>
      <c r="BR45" s="3"/>
      <c r="BS45" s="3"/>
      <c r="BT45" s="18"/>
      <c r="BU45" s="3"/>
      <c r="BV45" s="315"/>
      <c r="BW45" s="3"/>
      <c r="BX45" s="3"/>
      <c r="BY45" s="3"/>
      <c r="BZ45" s="3"/>
    </row>
    <row r="46" spans="1:78" ht="16.5" outlineLevel="1">
      <c r="A46" s="7"/>
      <c r="B46" s="370"/>
      <c r="C46" s="601" t="s">
        <v>137</v>
      </c>
      <c r="D46" s="356"/>
      <c r="E46" s="342"/>
      <c r="F46" s="290"/>
      <c r="G46" s="357">
        <v>0</v>
      </c>
      <c r="H46" s="498">
        <v>0.1</v>
      </c>
      <c r="I46" s="358">
        <v>0</v>
      </c>
      <c r="J46" s="359">
        <f t="shared" si="24"/>
        <v>0</v>
      </c>
      <c r="K46" s="360"/>
      <c r="L46" s="349"/>
      <c r="M46" s="7"/>
      <c r="N46" s="12"/>
      <c r="O46" s="12"/>
      <c r="P46" s="12"/>
      <c r="Q46" s="361"/>
      <c r="R46" s="362"/>
      <c r="S46" s="363"/>
      <c r="T46" s="364"/>
      <c r="U46" s="365"/>
      <c r="V46" s="91"/>
      <c r="W46" s="92"/>
      <c r="X46" s="366"/>
      <c r="Y46" s="366"/>
      <c r="Z46" s="7"/>
      <c r="AA46" s="367"/>
      <c r="AB46" s="7"/>
      <c r="AC46" s="93"/>
      <c r="AD46" s="94"/>
      <c r="AE46" s="109"/>
      <c r="AF46" s="7"/>
      <c r="AG46" s="369"/>
      <c r="AH46" s="368"/>
      <c r="AI46" s="7"/>
      <c r="AJ46" s="369"/>
      <c r="AK46" s="368"/>
      <c r="AL46" s="7"/>
      <c r="AM46" s="95"/>
      <c r="AN46" s="95"/>
      <c r="AO46" s="95"/>
      <c r="AP46" s="7"/>
      <c r="AQ46" s="18"/>
      <c r="AR46" s="290"/>
      <c r="AS46" s="467"/>
      <c r="AT46" s="93"/>
      <c r="AU46" s="478"/>
      <c r="AV46" s="95"/>
      <c r="AW46" s="469"/>
      <c r="AX46" s="290"/>
      <c r="AY46" s="18"/>
      <c r="AZ46" s="3"/>
      <c r="BA46" s="315"/>
      <c r="BB46" s="3"/>
      <c r="BC46" s="3"/>
      <c r="BD46" s="3"/>
      <c r="BE46" s="3"/>
      <c r="BF46" s="18"/>
      <c r="BG46" s="3"/>
      <c r="BH46" s="315"/>
      <c r="BI46" s="3"/>
      <c r="BJ46" s="3"/>
      <c r="BK46" s="3"/>
      <c r="BL46" s="3"/>
      <c r="BM46" s="18"/>
      <c r="BN46" s="3"/>
      <c r="BO46" s="315"/>
      <c r="BP46" s="3"/>
      <c r="BQ46" s="3"/>
      <c r="BR46" s="3"/>
      <c r="BS46" s="3"/>
      <c r="BT46" s="18"/>
      <c r="BU46" s="3"/>
      <c r="BV46" s="315"/>
      <c r="BW46" s="3"/>
      <c r="BX46" s="3"/>
      <c r="BY46" s="3"/>
      <c r="BZ46" s="3"/>
    </row>
    <row r="47" spans="1:78" ht="16.899999999999999" outlineLevel="1">
      <c r="A47" s="7"/>
      <c r="B47" s="370"/>
      <c r="C47" s="499" t="s">
        <v>138</v>
      </c>
      <c r="D47" s="356"/>
      <c r="E47" s="342"/>
      <c r="F47" s="290"/>
      <c r="G47" s="357">
        <v>0</v>
      </c>
      <c r="H47" s="498">
        <v>0</v>
      </c>
      <c r="I47" s="358">
        <v>0</v>
      </c>
      <c r="J47" s="359">
        <f t="shared" si="24"/>
        <v>0</v>
      </c>
      <c r="K47" s="360"/>
      <c r="L47" s="349"/>
      <c r="M47" s="7"/>
      <c r="N47" s="12"/>
      <c r="O47" s="12"/>
      <c r="P47" s="12"/>
      <c r="Q47" s="361"/>
      <c r="R47" s="362"/>
      <c r="S47" s="363"/>
      <c r="T47" s="364"/>
      <c r="U47" s="365"/>
      <c r="V47" s="91"/>
      <c r="W47" s="92"/>
      <c r="X47" s="366"/>
      <c r="Y47" s="366"/>
      <c r="Z47" s="7"/>
      <c r="AA47" s="367"/>
      <c r="AB47" s="7"/>
      <c r="AC47" s="93"/>
      <c r="AD47" s="94"/>
      <c r="AE47" s="109"/>
      <c r="AF47" s="7"/>
      <c r="AG47" s="369"/>
      <c r="AH47" s="368"/>
      <c r="AI47" s="7"/>
      <c r="AJ47" s="369"/>
      <c r="AK47" s="368"/>
      <c r="AL47" s="7"/>
      <c r="AM47" s="95"/>
      <c r="AN47" s="95"/>
      <c r="AO47" s="95"/>
      <c r="AP47" s="7"/>
      <c r="AQ47" s="18"/>
      <c r="AR47" s="290"/>
      <c r="AS47" s="467"/>
      <c r="AT47" s="93"/>
      <c r="AU47" s="478"/>
      <c r="AV47" s="95"/>
      <c r="AW47" s="469"/>
      <c r="AX47" s="290"/>
      <c r="AY47" s="18"/>
      <c r="AZ47" s="3"/>
      <c r="BA47" s="315"/>
      <c r="BB47" s="3"/>
      <c r="BC47" s="3"/>
      <c r="BD47" s="3"/>
      <c r="BE47" s="3"/>
      <c r="BF47" s="18"/>
      <c r="BG47" s="3"/>
      <c r="BH47" s="315"/>
      <c r="BI47" s="3"/>
      <c r="BJ47" s="3"/>
      <c r="BK47" s="3"/>
      <c r="BL47" s="3"/>
      <c r="BM47" s="18"/>
      <c r="BN47" s="3"/>
      <c r="BO47" s="315"/>
      <c r="BP47" s="3"/>
      <c r="BQ47" s="3"/>
      <c r="BR47" s="3"/>
      <c r="BS47" s="3"/>
      <c r="BT47" s="18"/>
      <c r="BU47" s="3"/>
      <c r="BV47" s="315"/>
      <c r="BW47" s="3"/>
      <c r="BX47" s="3"/>
      <c r="BY47" s="3"/>
      <c r="BZ47" s="3"/>
    </row>
    <row r="48" spans="1:78" ht="16.899999999999999" outlineLevel="1">
      <c r="A48" s="7"/>
      <c r="B48" s="370"/>
      <c r="C48" s="500" t="s">
        <v>139</v>
      </c>
      <c r="D48" s="356"/>
      <c r="E48" s="342"/>
      <c r="F48" s="290"/>
      <c r="G48" s="357">
        <v>0</v>
      </c>
      <c r="H48" s="498">
        <v>0.1</v>
      </c>
      <c r="I48" s="358">
        <v>0</v>
      </c>
      <c r="J48" s="359">
        <f t="shared" si="24"/>
        <v>0</v>
      </c>
      <c r="K48" s="360"/>
      <c r="L48" s="349"/>
      <c r="M48" s="7"/>
      <c r="N48" s="12"/>
      <c r="O48" s="12"/>
      <c r="P48" s="12"/>
      <c r="Q48" s="361"/>
      <c r="R48" s="362"/>
      <c r="S48" s="363"/>
      <c r="T48" s="364"/>
      <c r="U48" s="365"/>
      <c r="V48" s="91"/>
      <c r="W48" s="92"/>
      <c r="X48" s="366"/>
      <c r="Y48" s="366"/>
      <c r="Z48" s="7"/>
      <c r="AA48" s="367"/>
      <c r="AB48" s="7"/>
      <c r="AC48" s="93"/>
      <c r="AD48" s="94"/>
      <c r="AE48" s="109"/>
      <c r="AF48" s="7"/>
      <c r="AG48" s="369"/>
      <c r="AH48" s="368"/>
      <c r="AI48" s="7"/>
      <c r="AJ48" s="369"/>
      <c r="AK48" s="368"/>
      <c r="AL48" s="7"/>
      <c r="AM48" s="95"/>
      <c r="AN48" s="95"/>
      <c r="AO48" s="95"/>
      <c r="AP48" s="7"/>
      <c r="AQ48" s="18"/>
      <c r="AR48" s="290"/>
      <c r="AS48" s="467"/>
      <c r="AT48" s="93"/>
      <c r="AU48" s="478"/>
      <c r="AV48" s="95"/>
      <c r="AW48" s="469"/>
      <c r="AX48" s="290"/>
      <c r="AY48" s="18"/>
      <c r="AZ48" s="3"/>
      <c r="BA48" s="315"/>
      <c r="BB48" s="3"/>
      <c r="BC48" s="3"/>
      <c r="BD48" s="3"/>
      <c r="BE48" s="3"/>
      <c r="BF48" s="18"/>
      <c r="BG48" s="3"/>
      <c r="BH48" s="315"/>
      <c r="BI48" s="3"/>
      <c r="BJ48" s="3"/>
      <c r="BK48" s="3"/>
      <c r="BL48" s="3"/>
      <c r="BM48" s="18"/>
      <c r="BN48" s="3"/>
      <c r="BO48" s="315"/>
      <c r="BP48" s="3"/>
      <c r="BQ48" s="3"/>
      <c r="BR48" s="3"/>
      <c r="BS48" s="3"/>
      <c r="BT48" s="18"/>
      <c r="BU48" s="3"/>
      <c r="BV48" s="315"/>
      <c r="BW48" s="3"/>
      <c r="BX48" s="3"/>
      <c r="BY48" s="3"/>
      <c r="BZ48" s="3"/>
    </row>
    <row r="49" spans="1:78" ht="16.899999999999999" outlineLevel="1">
      <c r="A49" s="7"/>
      <c r="B49" s="370"/>
      <c r="C49" s="500" t="s">
        <v>140</v>
      </c>
      <c r="D49" s="356"/>
      <c r="E49" s="342"/>
      <c r="F49" s="290"/>
      <c r="G49" s="357">
        <v>0</v>
      </c>
      <c r="H49" s="498">
        <v>0.1</v>
      </c>
      <c r="I49" s="358">
        <v>0</v>
      </c>
      <c r="J49" s="359">
        <f t="shared" si="24"/>
        <v>0</v>
      </c>
      <c r="K49" s="360"/>
      <c r="L49" s="349"/>
      <c r="M49" s="7"/>
      <c r="N49" s="12"/>
      <c r="O49" s="12"/>
      <c r="P49" s="12"/>
      <c r="Q49" s="361"/>
      <c r="R49" s="362"/>
      <c r="S49" s="363"/>
      <c r="T49" s="364"/>
      <c r="U49" s="365"/>
      <c r="V49" s="91"/>
      <c r="W49" s="92"/>
      <c r="X49" s="366"/>
      <c r="Y49" s="366"/>
      <c r="Z49" s="7"/>
      <c r="AA49" s="367"/>
      <c r="AB49" s="7"/>
      <c r="AC49" s="93"/>
      <c r="AD49" s="94"/>
      <c r="AE49" s="109"/>
      <c r="AF49" s="7"/>
      <c r="AG49" s="369"/>
      <c r="AH49" s="368"/>
      <c r="AI49" s="7"/>
      <c r="AJ49" s="369"/>
      <c r="AK49" s="368"/>
      <c r="AL49" s="7"/>
      <c r="AM49" s="95"/>
      <c r="AN49" s="95"/>
      <c r="AO49" s="95"/>
      <c r="AP49" s="7"/>
      <c r="AQ49" s="18"/>
      <c r="AR49" s="290"/>
      <c r="AS49" s="467"/>
      <c r="AT49" s="93"/>
      <c r="AU49" s="478"/>
      <c r="AV49" s="95"/>
      <c r="AW49" s="469"/>
      <c r="AX49" s="290"/>
      <c r="AY49" s="18"/>
      <c r="AZ49" s="3"/>
      <c r="BA49" s="315"/>
      <c r="BB49" s="3"/>
      <c r="BC49" s="3"/>
      <c r="BD49" s="3"/>
      <c r="BE49" s="3"/>
      <c r="BF49" s="18"/>
      <c r="BG49" s="3"/>
      <c r="BH49" s="315"/>
      <c r="BI49" s="3"/>
      <c r="BJ49" s="3"/>
      <c r="BK49" s="3"/>
      <c r="BL49" s="3"/>
      <c r="BM49" s="18"/>
      <c r="BN49" s="3"/>
      <c r="BO49" s="315"/>
      <c r="BP49" s="3"/>
      <c r="BQ49" s="3"/>
      <c r="BR49" s="3"/>
      <c r="BS49" s="3"/>
      <c r="BT49" s="18"/>
      <c r="BU49" s="3"/>
      <c r="BV49" s="315"/>
      <c r="BW49" s="3"/>
      <c r="BX49" s="3"/>
      <c r="BY49" s="3"/>
      <c r="BZ49" s="3"/>
    </row>
    <row r="50" spans="1:78" ht="16.899999999999999" outlineLevel="1">
      <c r="A50" s="7"/>
      <c r="B50" s="370"/>
      <c r="C50" s="500" t="s">
        <v>141</v>
      </c>
      <c r="D50" s="356"/>
      <c r="E50" s="342"/>
      <c r="F50" s="290"/>
      <c r="G50" s="357">
        <v>0</v>
      </c>
      <c r="H50" s="498">
        <v>0.1</v>
      </c>
      <c r="I50" s="358">
        <v>0</v>
      </c>
      <c r="J50" s="359">
        <f t="shared" si="24"/>
        <v>0</v>
      </c>
      <c r="K50" s="360"/>
      <c r="L50" s="349"/>
      <c r="M50" s="7"/>
      <c r="N50" s="12"/>
      <c r="O50" s="12"/>
      <c r="P50" s="12"/>
      <c r="Q50" s="361"/>
      <c r="R50" s="362"/>
      <c r="S50" s="363"/>
      <c r="T50" s="364"/>
      <c r="U50" s="365"/>
      <c r="V50" s="91"/>
      <c r="W50" s="92"/>
      <c r="X50" s="366"/>
      <c r="Y50" s="366"/>
      <c r="Z50" s="7"/>
      <c r="AA50" s="367"/>
      <c r="AB50" s="7"/>
      <c r="AC50" s="93"/>
      <c r="AD50" s="94"/>
      <c r="AE50" s="109"/>
      <c r="AF50" s="7"/>
      <c r="AG50" s="369"/>
      <c r="AH50" s="368"/>
      <c r="AI50" s="7"/>
      <c r="AJ50" s="369"/>
      <c r="AK50" s="368"/>
      <c r="AL50" s="7"/>
      <c r="AM50" s="95"/>
      <c r="AN50" s="95"/>
      <c r="AO50" s="95"/>
      <c r="AP50" s="7"/>
      <c r="AQ50" s="18"/>
      <c r="AR50" s="290"/>
      <c r="AS50" s="467"/>
      <c r="AT50" s="93"/>
      <c r="AU50" s="478"/>
      <c r="AV50" s="95"/>
      <c r="AW50" s="469"/>
      <c r="AX50" s="290"/>
      <c r="AY50" s="18"/>
      <c r="AZ50" s="3"/>
      <c r="BA50" s="315"/>
      <c r="BB50" s="3"/>
      <c r="BC50" s="3"/>
      <c r="BD50" s="3"/>
      <c r="BE50" s="3"/>
      <c r="BF50" s="18"/>
      <c r="BG50" s="3"/>
      <c r="BH50" s="315"/>
      <c r="BI50" s="3"/>
      <c r="BJ50" s="3"/>
      <c r="BK50" s="3"/>
      <c r="BL50" s="3"/>
      <c r="BM50" s="18"/>
      <c r="BN50" s="3"/>
      <c r="BO50" s="315"/>
      <c r="BP50" s="3"/>
      <c r="BQ50" s="3"/>
      <c r="BR50" s="3"/>
      <c r="BS50" s="3"/>
      <c r="BT50" s="18"/>
      <c r="BU50" s="3"/>
      <c r="BV50" s="315"/>
      <c r="BW50" s="3"/>
      <c r="BX50" s="3"/>
      <c r="BY50" s="3"/>
      <c r="BZ50" s="3"/>
    </row>
    <row r="51" spans="1:78" ht="16.899999999999999" outlineLevel="1">
      <c r="A51" s="7"/>
      <c r="B51" s="370"/>
      <c r="C51" s="500" t="s">
        <v>142</v>
      </c>
      <c r="D51" s="356"/>
      <c r="E51" s="342"/>
      <c r="F51" s="290"/>
      <c r="G51" s="357">
        <v>0</v>
      </c>
      <c r="H51" s="498">
        <v>0</v>
      </c>
      <c r="I51" s="358">
        <v>0</v>
      </c>
      <c r="J51" s="359">
        <f t="shared" si="24"/>
        <v>0</v>
      </c>
      <c r="K51" s="360"/>
      <c r="L51" s="349"/>
      <c r="M51" s="7"/>
      <c r="N51" s="12"/>
      <c r="O51" s="12"/>
      <c r="P51" s="12"/>
      <c r="Q51" s="361"/>
      <c r="R51" s="362"/>
      <c r="S51" s="363"/>
      <c r="T51" s="364"/>
      <c r="U51" s="365"/>
      <c r="V51" s="91"/>
      <c r="W51" s="92"/>
      <c r="X51" s="366"/>
      <c r="Y51" s="366"/>
      <c r="Z51" s="7"/>
      <c r="AA51" s="367"/>
      <c r="AB51" s="7"/>
      <c r="AC51" s="93"/>
      <c r="AD51" s="94"/>
      <c r="AE51" s="109"/>
      <c r="AF51" s="7"/>
      <c r="AG51" s="369"/>
      <c r="AH51" s="368"/>
      <c r="AI51" s="7"/>
      <c r="AJ51" s="369"/>
      <c r="AK51" s="368"/>
      <c r="AL51" s="7"/>
      <c r="AM51" s="95"/>
      <c r="AN51" s="95"/>
      <c r="AO51" s="95"/>
      <c r="AP51" s="7"/>
      <c r="AQ51" s="18"/>
      <c r="AR51" s="290"/>
      <c r="AS51" s="467"/>
      <c r="AT51" s="93"/>
      <c r="AU51" s="478"/>
      <c r="AV51" s="95"/>
      <c r="AW51" s="469"/>
      <c r="AX51" s="290"/>
      <c r="AY51" s="18"/>
      <c r="AZ51" s="3"/>
      <c r="BA51" s="315"/>
      <c r="BB51" s="3"/>
      <c r="BC51" s="3"/>
      <c r="BD51" s="3"/>
      <c r="BE51" s="3"/>
      <c r="BF51" s="18"/>
      <c r="BG51" s="3"/>
      <c r="BH51" s="315"/>
      <c r="BI51" s="3"/>
      <c r="BJ51" s="3"/>
      <c r="BK51" s="3"/>
      <c r="BL51" s="3"/>
      <c r="BM51" s="18"/>
      <c r="BN51" s="3"/>
      <c r="BO51" s="315"/>
      <c r="BP51" s="3"/>
      <c r="BQ51" s="3"/>
      <c r="BR51" s="3"/>
      <c r="BS51" s="3"/>
      <c r="BT51" s="18"/>
      <c r="BU51" s="3"/>
      <c r="BV51" s="315"/>
      <c r="BW51" s="3"/>
      <c r="BX51" s="3"/>
      <c r="BY51" s="3"/>
      <c r="BZ51" s="3"/>
    </row>
    <row r="52" spans="1:78" ht="16.899999999999999" outlineLevel="1">
      <c r="A52" s="7"/>
      <c r="B52" s="370"/>
      <c r="C52" s="500" t="s">
        <v>143</v>
      </c>
      <c r="D52" s="356"/>
      <c r="E52" s="342"/>
      <c r="F52" s="290"/>
      <c r="G52" s="357">
        <v>0</v>
      </c>
      <c r="H52" s="498">
        <v>0</v>
      </c>
      <c r="I52" s="358">
        <v>0</v>
      </c>
      <c r="J52" s="359">
        <f t="shared" si="24"/>
        <v>0</v>
      </c>
      <c r="K52" s="360"/>
      <c r="L52" s="349"/>
      <c r="M52" s="7"/>
      <c r="N52" s="12"/>
      <c r="O52" s="12"/>
      <c r="P52" s="12"/>
      <c r="Q52" s="361"/>
      <c r="R52" s="362"/>
      <c r="S52" s="363"/>
      <c r="T52" s="364"/>
      <c r="U52" s="365"/>
      <c r="V52" s="91"/>
      <c r="W52" s="92"/>
      <c r="X52" s="366"/>
      <c r="Y52" s="366"/>
      <c r="Z52" s="7"/>
      <c r="AA52" s="367"/>
      <c r="AB52" s="7"/>
      <c r="AC52" s="93"/>
      <c r="AD52" s="94"/>
      <c r="AE52" s="109"/>
      <c r="AF52" s="7"/>
      <c r="AG52" s="369"/>
      <c r="AH52" s="368"/>
      <c r="AI52" s="7"/>
      <c r="AJ52" s="369"/>
      <c r="AK52" s="368"/>
      <c r="AL52" s="7"/>
      <c r="AM52" s="95"/>
      <c r="AN52" s="95"/>
      <c r="AO52" s="95"/>
      <c r="AP52" s="7"/>
      <c r="AQ52" s="18"/>
      <c r="AR52" s="290"/>
      <c r="AS52" s="467"/>
      <c r="AT52" s="93"/>
      <c r="AU52" s="478"/>
      <c r="AV52" s="95"/>
      <c r="AW52" s="469"/>
      <c r="AX52" s="290"/>
      <c r="AY52" s="18"/>
      <c r="AZ52" s="3"/>
      <c r="BA52" s="315"/>
      <c r="BB52" s="3"/>
      <c r="BC52" s="3"/>
      <c r="BD52" s="3"/>
      <c r="BE52" s="3"/>
      <c r="BF52" s="18"/>
      <c r="BG52" s="3"/>
      <c r="BH52" s="315"/>
      <c r="BI52" s="3"/>
      <c r="BJ52" s="3"/>
      <c r="BK52" s="3"/>
      <c r="BL52" s="3"/>
      <c r="BM52" s="18"/>
      <c r="BN52" s="3"/>
      <c r="BO52" s="315"/>
      <c r="BP52" s="3"/>
      <c r="BQ52" s="3"/>
      <c r="BR52" s="3"/>
      <c r="BS52" s="3"/>
      <c r="BT52" s="18"/>
      <c r="BU52" s="3"/>
      <c r="BV52" s="315"/>
      <c r="BW52" s="3"/>
      <c r="BX52" s="3"/>
      <c r="BY52" s="3"/>
      <c r="BZ52" s="3"/>
    </row>
    <row r="53" spans="1:78" ht="16.899999999999999" outlineLevel="1">
      <c r="A53" s="7"/>
      <c r="B53" s="370"/>
      <c r="C53" s="500" t="s">
        <v>144</v>
      </c>
      <c r="D53" s="356"/>
      <c r="E53" s="342"/>
      <c r="F53" s="290"/>
      <c r="G53" s="357">
        <v>0</v>
      </c>
      <c r="H53" s="498">
        <v>0.1</v>
      </c>
      <c r="I53" s="358">
        <v>0</v>
      </c>
      <c r="J53" s="359">
        <f t="shared" si="24"/>
        <v>0</v>
      </c>
      <c r="K53" s="360"/>
      <c r="L53" s="349"/>
      <c r="M53" s="7"/>
      <c r="N53" s="12"/>
      <c r="O53" s="12"/>
      <c r="P53" s="12"/>
      <c r="Q53" s="361"/>
      <c r="R53" s="362"/>
      <c r="S53" s="363"/>
      <c r="T53" s="364"/>
      <c r="U53" s="365"/>
      <c r="V53" s="91"/>
      <c r="W53" s="92"/>
      <c r="X53" s="366"/>
      <c r="Y53" s="366"/>
      <c r="Z53" s="7"/>
      <c r="AA53" s="367"/>
      <c r="AB53" s="7"/>
      <c r="AC53" s="93"/>
      <c r="AD53" s="94"/>
      <c r="AE53" s="109"/>
      <c r="AF53" s="7"/>
      <c r="AG53" s="369"/>
      <c r="AH53" s="368"/>
      <c r="AI53" s="7"/>
      <c r="AJ53" s="369"/>
      <c r="AK53" s="368"/>
      <c r="AL53" s="7"/>
      <c r="AM53" s="95"/>
      <c r="AN53" s="95"/>
      <c r="AO53" s="95"/>
      <c r="AP53" s="7"/>
      <c r="AQ53" s="18"/>
      <c r="AR53" s="290"/>
      <c r="AS53" s="467"/>
      <c r="AT53" s="93"/>
      <c r="AU53" s="478"/>
      <c r="AV53" s="95"/>
      <c r="AW53" s="469"/>
      <c r="AX53" s="290"/>
      <c r="AY53" s="18"/>
      <c r="AZ53" s="3"/>
      <c r="BA53" s="315"/>
      <c r="BB53" s="3"/>
      <c r="BC53" s="3"/>
      <c r="BD53" s="3"/>
      <c r="BE53" s="3"/>
      <c r="BF53" s="18"/>
      <c r="BG53" s="3"/>
      <c r="BH53" s="315"/>
      <c r="BI53" s="3"/>
      <c r="BJ53" s="3"/>
      <c r="BK53" s="3"/>
      <c r="BL53" s="3"/>
      <c r="BM53" s="18"/>
      <c r="BN53" s="3"/>
      <c r="BO53" s="315"/>
      <c r="BP53" s="3"/>
      <c r="BQ53" s="3"/>
      <c r="BR53" s="3"/>
      <c r="BS53" s="3"/>
      <c r="BT53" s="18"/>
      <c r="BU53" s="3"/>
      <c r="BV53" s="315"/>
      <c r="BW53" s="3"/>
      <c r="BX53" s="3"/>
      <c r="BY53" s="3"/>
      <c r="BZ53" s="3"/>
    </row>
    <row r="54" spans="1:78" ht="16.899999999999999" outlineLevel="1">
      <c r="A54" s="7"/>
      <c r="B54" s="370"/>
      <c r="C54" s="499" t="s">
        <v>145</v>
      </c>
      <c r="D54" s="356"/>
      <c r="E54" s="342"/>
      <c r="F54" s="290"/>
      <c r="G54" s="357">
        <v>0</v>
      </c>
      <c r="H54" s="498">
        <v>0.1</v>
      </c>
      <c r="I54" s="358">
        <v>0</v>
      </c>
      <c r="J54" s="359">
        <f t="shared" si="24"/>
        <v>0</v>
      </c>
      <c r="K54" s="360"/>
      <c r="L54" s="349"/>
      <c r="M54" s="7"/>
      <c r="N54" s="12"/>
      <c r="O54" s="12"/>
      <c r="P54" s="12"/>
      <c r="Q54" s="361"/>
      <c r="R54" s="362"/>
      <c r="S54" s="363"/>
      <c r="T54" s="364"/>
      <c r="U54" s="365"/>
      <c r="V54" s="91"/>
      <c r="W54" s="92"/>
      <c r="X54" s="366"/>
      <c r="Y54" s="366"/>
      <c r="Z54" s="7"/>
      <c r="AA54" s="367"/>
      <c r="AB54" s="7"/>
      <c r="AC54" s="93"/>
      <c r="AD54" s="94"/>
      <c r="AE54" s="109"/>
      <c r="AF54" s="7"/>
      <c r="AG54" s="369"/>
      <c r="AH54" s="368"/>
      <c r="AI54" s="7"/>
      <c r="AJ54" s="369"/>
      <c r="AK54" s="368"/>
      <c r="AL54" s="7"/>
      <c r="AM54" s="95"/>
      <c r="AN54" s="95"/>
      <c r="AO54" s="95"/>
      <c r="AP54" s="7"/>
      <c r="AQ54" s="18"/>
      <c r="AR54" s="290"/>
      <c r="AS54" s="467"/>
      <c r="AT54" s="93"/>
      <c r="AU54" s="478"/>
      <c r="AV54" s="95"/>
      <c r="AW54" s="469"/>
      <c r="AX54" s="290"/>
      <c r="AY54" s="18"/>
      <c r="AZ54" s="3"/>
      <c r="BA54" s="315"/>
      <c r="BB54" s="3"/>
      <c r="BC54" s="3"/>
      <c r="BD54" s="3"/>
      <c r="BE54" s="3"/>
      <c r="BF54" s="18"/>
      <c r="BG54" s="3"/>
      <c r="BH54" s="315"/>
      <c r="BI54" s="3"/>
      <c r="BJ54" s="3"/>
      <c r="BK54" s="3"/>
      <c r="BL54" s="3"/>
      <c r="BM54" s="18"/>
      <c r="BN54" s="3"/>
      <c r="BO54" s="315"/>
      <c r="BP54" s="3"/>
      <c r="BQ54" s="3"/>
      <c r="BR54" s="3"/>
      <c r="BS54" s="3"/>
      <c r="BT54" s="18"/>
      <c r="BU54" s="3"/>
      <c r="BV54" s="315"/>
      <c r="BW54" s="3"/>
      <c r="BX54" s="3"/>
      <c r="BY54" s="3"/>
      <c r="BZ54" s="3"/>
    </row>
    <row r="55" spans="1:78" ht="16.899999999999999" outlineLevel="1">
      <c r="A55" s="7"/>
      <c r="B55" s="370"/>
      <c r="C55" s="500" t="s">
        <v>146</v>
      </c>
      <c r="D55" s="356"/>
      <c r="E55" s="342"/>
      <c r="F55" s="290"/>
      <c r="G55" s="357">
        <v>0</v>
      </c>
      <c r="H55" s="498">
        <v>0.1</v>
      </c>
      <c r="I55" s="358">
        <v>0</v>
      </c>
      <c r="J55" s="359">
        <f t="shared" si="24"/>
        <v>0</v>
      </c>
      <c r="K55" s="360"/>
      <c r="L55" s="349"/>
      <c r="M55" s="7"/>
      <c r="N55" s="12"/>
      <c r="O55" s="12"/>
      <c r="P55" s="12"/>
      <c r="Q55" s="361"/>
      <c r="R55" s="362"/>
      <c r="S55" s="363"/>
      <c r="T55" s="364"/>
      <c r="U55" s="365"/>
      <c r="V55" s="91"/>
      <c r="W55" s="92"/>
      <c r="X55" s="366"/>
      <c r="Y55" s="366"/>
      <c r="Z55" s="7"/>
      <c r="AA55" s="367"/>
      <c r="AB55" s="7"/>
      <c r="AC55" s="93"/>
      <c r="AD55" s="94"/>
      <c r="AE55" s="109"/>
      <c r="AF55" s="7"/>
      <c r="AG55" s="369"/>
      <c r="AH55" s="368"/>
      <c r="AI55" s="7"/>
      <c r="AJ55" s="369"/>
      <c r="AK55" s="368"/>
      <c r="AL55" s="7"/>
      <c r="AM55" s="95"/>
      <c r="AN55" s="95"/>
      <c r="AO55" s="95"/>
      <c r="AP55" s="7"/>
      <c r="AQ55" s="18"/>
      <c r="AR55" s="290"/>
      <c r="AS55" s="467"/>
      <c r="AT55" s="93"/>
      <c r="AU55" s="478"/>
      <c r="AV55" s="95"/>
      <c r="AW55" s="469"/>
      <c r="AX55" s="290"/>
      <c r="AY55" s="18"/>
      <c r="AZ55" s="3"/>
      <c r="BA55" s="315"/>
      <c r="BB55" s="3"/>
      <c r="BC55" s="3"/>
      <c r="BD55" s="3"/>
      <c r="BE55" s="3"/>
      <c r="BF55" s="18"/>
      <c r="BG55" s="3"/>
      <c r="BH55" s="315"/>
      <c r="BI55" s="3"/>
      <c r="BJ55" s="3"/>
      <c r="BK55" s="3"/>
      <c r="BL55" s="3"/>
      <c r="BM55" s="18"/>
      <c r="BN55" s="3"/>
      <c r="BO55" s="315"/>
      <c r="BP55" s="3"/>
      <c r="BQ55" s="3"/>
      <c r="BR55" s="3"/>
      <c r="BS55" s="3"/>
      <c r="BT55" s="18"/>
      <c r="BU55" s="3"/>
      <c r="BV55" s="315"/>
      <c r="BW55" s="3"/>
      <c r="BX55" s="3"/>
      <c r="BY55" s="3"/>
      <c r="BZ55" s="3"/>
    </row>
    <row r="56" spans="1:78" ht="16.899999999999999" outlineLevel="1">
      <c r="A56" s="7"/>
      <c r="B56" s="370"/>
      <c r="C56" s="500" t="s">
        <v>147</v>
      </c>
      <c r="D56" s="356"/>
      <c r="E56" s="342"/>
      <c r="F56" s="290"/>
      <c r="G56" s="357">
        <v>0</v>
      </c>
      <c r="H56" s="498">
        <v>0</v>
      </c>
      <c r="I56" s="358">
        <v>0</v>
      </c>
      <c r="J56" s="359">
        <f t="shared" si="24"/>
        <v>0</v>
      </c>
      <c r="K56" s="360"/>
      <c r="L56" s="349"/>
      <c r="M56" s="7"/>
      <c r="N56" s="12"/>
      <c r="O56" s="12"/>
      <c r="P56" s="12"/>
      <c r="Q56" s="361"/>
      <c r="R56" s="362"/>
      <c r="S56" s="363"/>
      <c r="T56" s="364"/>
      <c r="U56" s="365"/>
      <c r="V56" s="91"/>
      <c r="W56" s="92"/>
      <c r="X56" s="366"/>
      <c r="Y56" s="366"/>
      <c r="Z56" s="7"/>
      <c r="AA56" s="367"/>
      <c r="AB56" s="7"/>
      <c r="AC56" s="93"/>
      <c r="AD56" s="94"/>
      <c r="AE56" s="109"/>
      <c r="AF56" s="7"/>
      <c r="AG56" s="369"/>
      <c r="AH56" s="368"/>
      <c r="AI56" s="7"/>
      <c r="AJ56" s="369"/>
      <c r="AK56" s="368"/>
      <c r="AL56" s="7"/>
      <c r="AM56" s="95"/>
      <c r="AN56" s="95"/>
      <c r="AO56" s="95"/>
      <c r="AP56" s="7"/>
      <c r="AQ56" s="18"/>
      <c r="AR56" s="290"/>
      <c r="AS56" s="467"/>
      <c r="AT56" s="93"/>
      <c r="AU56" s="478"/>
      <c r="AV56" s="95"/>
      <c r="AW56" s="469"/>
      <c r="AX56" s="290"/>
      <c r="AY56" s="18"/>
      <c r="AZ56" s="3"/>
      <c r="BA56" s="315"/>
      <c r="BB56" s="3"/>
      <c r="BC56" s="3"/>
      <c r="BD56" s="3"/>
      <c r="BE56" s="3"/>
      <c r="BF56" s="18"/>
      <c r="BG56" s="3"/>
      <c r="BH56" s="315"/>
      <c r="BI56" s="3"/>
      <c r="BJ56" s="3"/>
      <c r="BK56" s="3"/>
      <c r="BL56" s="3"/>
      <c r="BM56" s="18"/>
      <c r="BN56" s="3"/>
      <c r="BO56" s="315"/>
      <c r="BP56" s="3"/>
      <c r="BQ56" s="3"/>
      <c r="BR56" s="3"/>
      <c r="BS56" s="3"/>
      <c r="BT56" s="18"/>
      <c r="BU56" s="3"/>
      <c r="BV56" s="315"/>
      <c r="BW56" s="3"/>
      <c r="BX56" s="3"/>
      <c r="BY56" s="3"/>
      <c r="BZ56" s="3"/>
    </row>
    <row r="57" spans="1:78" ht="16.899999999999999" outlineLevel="1">
      <c r="A57" s="7"/>
      <c r="B57" s="370"/>
      <c r="C57" s="499" t="s">
        <v>148</v>
      </c>
      <c r="D57" s="356"/>
      <c r="E57" s="342"/>
      <c r="F57" s="290"/>
      <c r="G57" s="357">
        <v>0</v>
      </c>
      <c r="H57" s="498">
        <v>0</v>
      </c>
      <c r="I57" s="358">
        <v>0</v>
      </c>
      <c r="J57" s="359">
        <f t="shared" si="24"/>
        <v>0</v>
      </c>
      <c r="K57" s="360"/>
      <c r="L57" s="349"/>
      <c r="M57" s="7"/>
      <c r="N57" s="12"/>
      <c r="O57" s="12"/>
      <c r="P57" s="12"/>
      <c r="Q57" s="361"/>
      <c r="R57" s="362"/>
      <c r="S57" s="363"/>
      <c r="T57" s="364"/>
      <c r="U57" s="365"/>
      <c r="V57" s="91"/>
      <c r="W57" s="92"/>
      <c r="X57" s="366"/>
      <c r="Y57" s="366"/>
      <c r="Z57" s="7"/>
      <c r="AA57" s="367"/>
      <c r="AB57" s="7"/>
      <c r="AC57" s="93"/>
      <c r="AD57" s="94"/>
      <c r="AE57" s="109"/>
      <c r="AF57" s="7"/>
      <c r="AG57" s="369"/>
      <c r="AH57" s="368"/>
      <c r="AI57" s="7"/>
      <c r="AJ57" s="369"/>
      <c r="AK57" s="368"/>
      <c r="AL57" s="7"/>
      <c r="AM57" s="95"/>
      <c r="AN57" s="95"/>
      <c r="AO57" s="95"/>
      <c r="AP57" s="7"/>
      <c r="AQ57" s="18"/>
      <c r="AR57" s="290"/>
      <c r="AS57" s="467"/>
      <c r="AT57" s="93"/>
      <c r="AU57" s="478"/>
      <c r="AV57" s="95"/>
      <c r="AW57" s="469"/>
      <c r="AX57" s="290"/>
      <c r="AY57" s="18"/>
      <c r="AZ57" s="3"/>
      <c r="BA57" s="315"/>
      <c r="BB57" s="3"/>
      <c r="BC57" s="3"/>
      <c r="BD57" s="3"/>
      <c r="BE57" s="3"/>
      <c r="BF57" s="18"/>
      <c r="BG57" s="3"/>
      <c r="BH57" s="315"/>
      <c r="BI57" s="3"/>
      <c r="BJ57" s="3"/>
      <c r="BK57" s="3"/>
      <c r="BL57" s="3"/>
      <c r="BM57" s="18"/>
      <c r="BN57" s="3"/>
      <c r="BO57" s="315"/>
      <c r="BP57" s="3"/>
      <c r="BQ57" s="3"/>
      <c r="BR57" s="3"/>
      <c r="BS57" s="3"/>
      <c r="BT57" s="18"/>
      <c r="BU57" s="3"/>
      <c r="BV57" s="315"/>
      <c r="BW57" s="3"/>
      <c r="BX57" s="3"/>
      <c r="BY57" s="3"/>
      <c r="BZ57" s="3"/>
    </row>
    <row r="58" spans="1:78" ht="16.899999999999999" outlineLevel="1">
      <c r="A58" s="7"/>
      <c r="B58" s="370"/>
      <c r="C58" s="500" t="s">
        <v>149</v>
      </c>
      <c r="D58" s="356"/>
      <c r="E58" s="342"/>
      <c r="F58" s="290"/>
      <c r="G58" s="357">
        <v>0</v>
      </c>
      <c r="H58" s="498">
        <v>0</v>
      </c>
      <c r="I58" s="358">
        <v>0</v>
      </c>
      <c r="J58" s="359">
        <f t="shared" si="24"/>
        <v>0</v>
      </c>
      <c r="K58" s="360"/>
      <c r="L58" s="349"/>
      <c r="M58" s="7"/>
      <c r="N58" s="12"/>
      <c r="O58" s="12"/>
      <c r="P58" s="12"/>
      <c r="Q58" s="361"/>
      <c r="R58" s="362"/>
      <c r="S58" s="363"/>
      <c r="T58" s="364"/>
      <c r="U58" s="365"/>
      <c r="V58" s="91"/>
      <c r="W58" s="92"/>
      <c r="X58" s="366"/>
      <c r="Y58" s="366"/>
      <c r="Z58" s="7"/>
      <c r="AA58" s="367"/>
      <c r="AB58" s="7"/>
      <c r="AC58" s="93"/>
      <c r="AD58" s="94"/>
      <c r="AE58" s="109"/>
      <c r="AF58" s="7"/>
      <c r="AG58" s="369"/>
      <c r="AH58" s="368"/>
      <c r="AI58" s="7"/>
      <c r="AJ58" s="369"/>
      <c r="AK58" s="368"/>
      <c r="AL58" s="7"/>
      <c r="AM58" s="95"/>
      <c r="AN58" s="95"/>
      <c r="AO58" s="95"/>
      <c r="AP58" s="7"/>
      <c r="AQ58" s="18"/>
      <c r="AR58" s="290"/>
      <c r="AS58" s="467"/>
      <c r="AT58" s="93"/>
      <c r="AU58" s="478"/>
      <c r="AV58" s="95"/>
      <c r="AW58" s="469"/>
      <c r="AX58" s="290"/>
      <c r="AY58" s="18"/>
      <c r="AZ58" s="3"/>
      <c r="BA58" s="315"/>
      <c r="BB58" s="3"/>
      <c r="BC58" s="3"/>
      <c r="BD58" s="3"/>
      <c r="BE58" s="3"/>
      <c r="BF58" s="18"/>
      <c r="BG58" s="3"/>
      <c r="BH58" s="315"/>
      <c r="BI58" s="3"/>
      <c r="BJ58" s="3"/>
      <c r="BK58" s="3"/>
      <c r="BL58" s="3"/>
      <c r="BM58" s="18"/>
      <c r="BN58" s="3"/>
      <c r="BO58" s="315"/>
      <c r="BP58" s="3"/>
      <c r="BQ58" s="3"/>
      <c r="BR58" s="3"/>
      <c r="BS58" s="3"/>
      <c r="BT58" s="18"/>
      <c r="BU58" s="3"/>
      <c r="BV58" s="315"/>
      <c r="BW58" s="3"/>
      <c r="BX58" s="3"/>
      <c r="BY58" s="3"/>
      <c r="BZ58" s="3"/>
    </row>
    <row r="59" spans="1:78" ht="16.899999999999999" outlineLevel="1">
      <c r="A59" s="7"/>
      <c r="B59" s="370"/>
      <c r="C59" s="500" t="s">
        <v>150</v>
      </c>
      <c r="D59" s="356"/>
      <c r="E59" s="342"/>
      <c r="F59" s="290"/>
      <c r="G59" s="357">
        <v>0</v>
      </c>
      <c r="H59" s="498">
        <v>0</v>
      </c>
      <c r="I59" s="358">
        <v>0</v>
      </c>
      <c r="J59" s="359">
        <f t="shared" si="24"/>
        <v>0</v>
      </c>
      <c r="K59" s="360"/>
      <c r="L59" s="349"/>
      <c r="M59" s="7"/>
      <c r="N59" s="12"/>
      <c r="O59" s="12"/>
      <c r="P59" s="12"/>
      <c r="Q59" s="361"/>
      <c r="R59" s="362"/>
      <c r="S59" s="363"/>
      <c r="T59" s="364"/>
      <c r="U59" s="365"/>
      <c r="V59" s="91"/>
      <c r="W59" s="92"/>
      <c r="X59" s="366"/>
      <c r="Y59" s="366"/>
      <c r="Z59" s="7"/>
      <c r="AA59" s="367"/>
      <c r="AB59" s="7"/>
      <c r="AC59" s="93"/>
      <c r="AD59" s="94"/>
      <c r="AE59" s="109"/>
      <c r="AF59" s="7"/>
      <c r="AG59" s="369"/>
      <c r="AH59" s="368"/>
      <c r="AI59" s="7"/>
      <c r="AJ59" s="369"/>
      <c r="AK59" s="368"/>
      <c r="AL59" s="7"/>
      <c r="AM59" s="95"/>
      <c r="AN59" s="95"/>
      <c r="AO59" s="95"/>
      <c r="AP59" s="7"/>
      <c r="AQ59" s="18"/>
      <c r="AR59" s="290"/>
      <c r="AS59" s="467"/>
      <c r="AT59" s="93"/>
      <c r="AU59" s="478"/>
      <c r="AV59" s="95"/>
      <c r="AW59" s="469"/>
      <c r="AX59" s="290"/>
      <c r="AY59" s="18"/>
      <c r="AZ59" s="3"/>
      <c r="BA59" s="315"/>
      <c r="BB59" s="3"/>
      <c r="BC59" s="3"/>
      <c r="BD59" s="3"/>
      <c r="BE59" s="3"/>
      <c r="BF59" s="18"/>
      <c r="BG59" s="3"/>
      <c r="BH59" s="315"/>
      <c r="BI59" s="3"/>
      <c r="BJ59" s="3"/>
      <c r="BK59" s="3"/>
      <c r="BL59" s="3"/>
      <c r="BM59" s="18"/>
      <c r="BN59" s="3"/>
      <c r="BO59" s="315"/>
      <c r="BP59" s="3"/>
      <c r="BQ59" s="3"/>
      <c r="BR59" s="3"/>
      <c r="BS59" s="3"/>
      <c r="BT59" s="18"/>
      <c r="BU59" s="3"/>
      <c r="BV59" s="315"/>
      <c r="BW59" s="3"/>
      <c r="BX59" s="3"/>
      <c r="BY59" s="3"/>
      <c r="BZ59" s="3"/>
    </row>
    <row r="60" spans="1:78" ht="16.899999999999999" outlineLevel="1">
      <c r="A60" s="7"/>
      <c r="B60" s="370"/>
      <c r="C60" s="499" t="s">
        <v>151</v>
      </c>
      <c r="D60" s="356"/>
      <c r="E60" s="342"/>
      <c r="F60" s="290"/>
      <c r="G60" s="357">
        <v>0</v>
      </c>
      <c r="H60" s="498">
        <v>0</v>
      </c>
      <c r="I60" s="358">
        <v>0</v>
      </c>
      <c r="J60" s="359">
        <f t="shared" si="24"/>
        <v>0</v>
      </c>
      <c r="K60" s="360"/>
      <c r="L60" s="349"/>
      <c r="M60" s="7"/>
      <c r="N60" s="12"/>
      <c r="O60" s="12"/>
      <c r="P60" s="12"/>
      <c r="Q60" s="361"/>
      <c r="R60" s="362"/>
      <c r="S60" s="363"/>
      <c r="T60" s="364"/>
      <c r="U60" s="365"/>
      <c r="V60" s="91"/>
      <c r="W60" s="92"/>
      <c r="X60" s="366"/>
      <c r="Y60" s="366"/>
      <c r="Z60" s="7"/>
      <c r="AA60" s="367"/>
      <c r="AB60" s="7"/>
      <c r="AC60" s="93"/>
      <c r="AD60" s="94"/>
      <c r="AE60" s="109"/>
      <c r="AF60" s="7"/>
      <c r="AG60" s="369"/>
      <c r="AH60" s="368"/>
      <c r="AI60" s="7"/>
      <c r="AJ60" s="369"/>
      <c r="AK60" s="368"/>
      <c r="AL60" s="7"/>
      <c r="AM60" s="95"/>
      <c r="AN60" s="95"/>
      <c r="AO60" s="95"/>
      <c r="AP60" s="7"/>
      <c r="AQ60" s="18"/>
      <c r="AR60" s="290"/>
      <c r="AS60" s="467"/>
      <c r="AT60" s="93"/>
      <c r="AU60" s="478"/>
      <c r="AV60" s="95"/>
      <c r="AW60" s="469"/>
      <c r="AX60" s="290"/>
      <c r="AY60" s="18"/>
      <c r="AZ60" s="3"/>
      <c r="BA60" s="315"/>
      <c r="BB60" s="3"/>
      <c r="BC60" s="3"/>
      <c r="BD60" s="3"/>
      <c r="BE60" s="3"/>
      <c r="BF60" s="18"/>
      <c r="BG60" s="3"/>
      <c r="BH60" s="315"/>
      <c r="BI60" s="3"/>
      <c r="BJ60" s="3"/>
      <c r="BK60" s="3"/>
      <c r="BL60" s="3"/>
      <c r="BM60" s="18"/>
      <c r="BN60" s="3"/>
      <c r="BO60" s="315"/>
      <c r="BP60" s="3"/>
      <c r="BQ60" s="3"/>
      <c r="BR60" s="3"/>
      <c r="BS60" s="3"/>
      <c r="BT60" s="18"/>
      <c r="BU60" s="3"/>
      <c r="BV60" s="315"/>
      <c r="BW60" s="3"/>
      <c r="BX60" s="3"/>
      <c r="BY60" s="3"/>
      <c r="BZ60" s="3"/>
    </row>
    <row r="61" spans="1:78" ht="16.899999999999999" outlineLevel="1">
      <c r="A61" s="7"/>
      <c r="B61" s="370"/>
      <c r="C61" s="500" t="s">
        <v>152</v>
      </c>
      <c r="D61" s="356"/>
      <c r="E61" s="342"/>
      <c r="F61" s="290"/>
      <c r="G61" s="357">
        <v>0</v>
      </c>
      <c r="H61" s="498">
        <v>0.1</v>
      </c>
      <c r="I61" s="358">
        <v>0</v>
      </c>
      <c r="J61" s="359">
        <f t="shared" si="24"/>
        <v>0</v>
      </c>
      <c r="K61" s="360"/>
      <c r="L61" s="349"/>
      <c r="M61" s="7"/>
      <c r="N61" s="12"/>
      <c r="O61" s="12"/>
      <c r="P61" s="12"/>
      <c r="Q61" s="361"/>
      <c r="R61" s="362"/>
      <c r="S61" s="363"/>
      <c r="T61" s="364"/>
      <c r="U61" s="365"/>
      <c r="V61" s="91"/>
      <c r="W61" s="92"/>
      <c r="X61" s="366"/>
      <c r="Y61" s="366"/>
      <c r="Z61" s="7"/>
      <c r="AA61" s="367"/>
      <c r="AB61" s="7"/>
      <c r="AC61" s="93"/>
      <c r="AD61" s="94"/>
      <c r="AE61" s="109"/>
      <c r="AF61" s="7"/>
      <c r="AG61" s="369"/>
      <c r="AH61" s="368"/>
      <c r="AI61" s="7"/>
      <c r="AJ61" s="369"/>
      <c r="AK61" s="368"/>
      <c r="AL61" s="7"/>
      <c r="AM61" s="95"/>
      <c r="AN61" s="95"/>
      <c r="AO61" s="95"/>
      <c r="AP61" s="7"/>
      <c r="AQ61" s="18"/>
      <c r="AR61" s="290"/>
      <c r="AS61" s="467"/>
      <c r="AT61" s="93"/>
      <c r="AU61" s="478"/>
      <c r="AV61" s="95"/>
      <c r="AW61" s="469"/>
      <c r="AX61" s="290"/>
      <c r="AY61" s="18"/>
      <c r="AZ61" s="3"/>
      <c r="BA61" s="315"/>
      <c r="BB61" s="3"/>
      <c r="BC61" s="3"/>
      <c r="BD61" s="3"/>
      <c r="BE61" s="3"/>
      <c r="BF61" s="18"/>
      <c r="BG61" s="3"/>
      <c r="BH61" s="315"/>
      <c r="BI61" s="3"/>
      <c r="BJ61" s="3"/>
      <c r="BK61" s="3"/>
      <c r="BL61" s="3"/>
      <c r="BM61" s="18"/>
      <c r="BN61" s="3"/>
      <c r="BO61" s="315"/>
      <c r="BP61" s="3"/>
      <c r="BQ61" s="3"/>
      <c r="BR61" s="3"/>
      <c r="BS61" s="3"/>
      <c r="BT61" s="18"/>
      <c r="BU61" s="3"/>
      <c r="BV61" s="315"/>
      <c r="BW61" s="3"/>
      <c r="BX61" s="3"/>
      <c r="BY61" s="3"/>
      <c r="BZ61" s="3"/>
    </row>
    <row r="62" spans="1:78" ht="16.899999999999999" outlineLevel="1">
      <c r="A62" s="7"/>
      <c r="B62" s="370"/>
      <c r="C62" s="499" t="s">
        <v>153</v>
      </c>
      <c r="D62" s="356"/>
      <c r="E62" s="342"/>
      <c r="F62" s="290"/>
      <c r="G62" s="357">
        <v>0</v>
      </c>
      <c r="H62" s="498">
        <v>0</v>
      </c>
      <c r="I62" s="358">
        <v>0</v>
      </c>
      <c r="J62" s="359">
        <f t="shared" si="24"/>
        <v>0</v>
      </c>
      <c r="K62" s="360"/>
      <c r="L62" s="349"/>
      <c r="M62" s="7"/>
      <c r="N62" s="12"/>
      <c r="O62" s="12"/>
      <c r="P62" s="12"/>
      <c r="Q62" s="361"/>
      <c r="R62" s="362"/>
      <c r="S62" s="363"/>
      <c r="T62" s="364"/>
      <c r="U62" s="365"/>
      <c r="V62" s="91"/>
      <c r="W62" s="92"/>
      <c r="X62" s="366"/>
      <c r="Y62" s="366"/>
      <c r="Z62" s="7"/>
      <c r="AA62" s="367"/>
      <c r="AB62" s="7"/>
      <c r="AC62" s="93"/>
      <c r="AD62" s="94"/>
      <c r="AE62" s="109"/>
      <c r="AF62" s="7"/>
      <c r="AG62" s="369"/>
      <c r="AH62" s="368"/>
      <c r="AI62" s="7"/>
      <c r="AJ62" s="369"/>
      <c r="AK62" s="368"/>
      <c r="AL62" s="7"/>
      <c r="AM62" s="95"/>
      <c r="AN62" s="95"/>
      <c r="AO62" s="95"/>
      <c r="AP62" s="7"/>
      <c r="AQ62" s="18"/>
      <c r="AR62" s="290"/>
      <c r="AS62" s="467"/>
      <c r="AT62" s="93"/>
      <c r="AU62" s="478"/>
      <c r="AV62" s="95"/>
      <c r="AW62" s="469"/>
      <c r="AX62" s="290"/>
      <c r="AY62" s="18"/>
      <c r="AZ62" s="3"/>
      <c r="BA62" s="315"/>
      <c r="BB62" s="3"/>
      <c r="BC62" s="3"/>
      <c r="BD62" s="3"/>
      <c r="BE62" s="3"/>
      <c r="BF62" s="18"/>
      <c r="BG62" s="3"/>
      <c r="BH62" s="315"/>
      <c r="BI62" s="3"/>
      <c r="BJ62" s="3"/>
      <c r="BK62" s="3"/>
      <c r="BL62" s="3"/>
      <c r="BM62" s="18"/>
      <c r="BN62" s="3"/>
      <c r="BO62" s="315"/>
      <c r="BP62" s="3"/>
      <c r="BQ62" s="3"/>
      <c r="BR62" s="3"/>
      <c r="BS62" s="3"/>
      <c r="BT62" s="18"/>
      <c r="BU62" s="3"/>
      <c r="BV62" s="315"/>
      <c r="BW62" s="3"/>
      <c r="BX62" s="3"/>
      <c r="BY62" s="3"/>
      <c r="BZ62" s="3"/>
    </row>
    <row r="63" spans="1:78" ht="15.6" outlineLevel="1">
      <c r="A63" s="7"/>
      <c r="B63" s="370"/>
      <c r="C63" s="496"/>
      <c r="D63" s="356"/>
      <c r="E63" s="342"/>
      <c r="F63" s="290"/>
      <c r="G63" s="497"/>
      <c r="H63" s="498">
        <v>0</v>
      </c>
      <c r="I63" s="358">
        <v>0</v>
      </c>
      <c r="J63" s="359">
        <f t="shared" si="24"/>
        <v>0</v>
      </c>
      <c r="K63" s="360"/>
      <c r="L63" s="349"/>
      <c r="M63" s="7"/>
      <c r="N63" s="12"/>
      <c r="O63" s="12"/>
      <c r="P63" s="12"/>
      <c r="Q63" s="361"/>
      <c r="R63" s="362"/>
      <c r="S63" s="363"/>
      <c r="T63" s="364"/>
      <c r="U63" s="365"/>
      <c r="V63" s="91"/>
      <c r="W63" s="92"/>
      <c r="X63" s="366"/>
      <c r="Y63" s="366"/>
      <c r="Z63" s="7"/>
      <c r="AA63" s="367"/>
      <c r="AB63" s="7"/>
      <c r="AC63" s="93"/>
      <c r="AD63" s="94"/>
      <c r="AE63" s="109"/>
      <c r="AF63" s="7"/>
      <c r="AG63" s="369"/>
      <c r="AH63" s="368"/>
      <c r="AI63" s="7"/>
      <c r="AJ63" s="369"/>
      <c r="AK63" s="368"/>
      <c r="AL63" s="7"/>
      <c r="AM63" s="95"/>
      <c r="AN63" s="95"/>
      <c r="AO63" s="95"/>
      <c r="AP63" s="7"/>
      <c r="AQ63" s="18"/>
      <c r="AR63" s="290"/>
      <c r="AS63" s="467"/>
      <c r="AT63" s="93"/>
      <c r="AU63" s="478"/>
      <c r="AV63" s="95"/>
      <c r="AW63" s="469"/>
      <c r="AX63" s="290"/>
      <c r="AY63" s="18"/>
      <c r="AZ63" s="3"/>
      <c r="BA63" s="315"/>
      <c r="BB63" s="3"/>
      <c r="BC63" s="3"/>
      <c r="BD63" s="3"/>
      <c r="BE63" s="3"/>
      <c r="BF63" s="18"/>
      <c r="BG63" s="3"/>
      <c r="BH63" s="315"/>
      <c r="BI63" s="3"/>
      <c r="BJ63" s="3"/>
      <c r="BK63" s="3"/>
      <c r="BL63" s="3"/>
      <c r="BM63" s="18"/>
      <c r="BN63" s="3"/>
      <c r="BO63" s="315"/>
      <c r="BP63" s="3"/>
      <c r="BQ63" s="3"/>
      <c r="BR63" s="3"/>
      <c r="BS63" s="3"/>
      <c r="BT63" s="18"/>
      <c r="BU63" s="3"/>
      <c r="BV63" s="315"/>
      <c r="BW63" s="3"/>
      <c r="BX63" s="3"/>
      <c r="BY63" s="3"/>
      <c r="BZ63" s="3"/>
    </row>
    <row r="64" spans="1:78" ht="15.6" outlineLevel="1">
      <c r="A64" s="7"/>
      <c r="B64" s="370"/>
      <c r="C64" s="495"/>
      <c r="D64" s="356"/>
      <c r="E64" s="342"/>
      <c r="F64" s="290"/>
      <c r="G64" s="497"/>
      <c r="H64" s="498">
        <v>0</v>
      </c>
      <c r="I64" s="358">
        <v>0</v>
      </c>
      <c r="J64" s="359">
        <f t="shared" si="24"/>
        <v>0</v>
      </c>
      <c r="K64" s="290"/>
      <c r="L64" s="349"/>
      <c r="M64" s="7"/>
      <c r="N64" s="12" t="s">
        <v>130</v>
      </c>
      <c r="O64" s="12" t="s">
        <v>154</v>
      </c>
      <c r="P64" s="12" t="s">
        <v>155</v>
      </c>
      <c r="Q64" s="361"/>
      <c r="R64" s="362"/>
      <c r="S64" s="363">
        <f t="shared" si="17"/>
        <v>0</v>
      </c>
      <c r="T64" s="364">
        <f>J40*20%</f>
        <v>18.224</v>
      </c>
      <c r="U64" s="365">
        <v>0</v>
      </c>
      <c r="V64" s="91">
        <f>ROUNDUP(IFERROR(INDEX(CostRateTbl[Cost Rate],MATCH(_xlfn.CONCAT(N64,O64,P64,"NA"),CostRateTbl[KeyCostRate],0)),0)*BillingCurrencyTRM*(1+U64),2)</f>
        <v>47.4</v>
      </c>
      <c r="W64" s="92">
        <f t="shared" si="18"/>
        <v>863.81759999999997</v>
      </c>
      <c r="X64" s="366" t="str" cm="1">
        <f t="array" ref="X64">_xlfn.LET(
    _xlpm.valor, INDEX(CostRate!H:H, MATCH(1, (CostRate!A:A=N64)*1, 0)),
    _xlpm.posicion, MATCH(_xlpm.valor, FilterSL!$F$1:$Z$1, 0),
    _xlpm.direccionCompleta, ADDRESS(1, _xlpm.posicion + 5, 4),
    _xlpm.letraColumna, SUBSTITUTE(_xlpm.direccionCompleta, "1", ""),
    _xlpm.letraColumna
)</f>
        <v>R</v>
      </c>
      <c r="Y64" s="366" t="str" cm="1">
        <f t="array" ref="Y64">_xlfn.LET(
    _xlpm.valor, INDEX(CostRate!I:I, MATCH(1, (CostRate!A:A=N64)*(CostRate!B:B=O64), 0)),
    _xlpm.posicion, MATCH(_xlpm.valor, FilterJP!$E$1:$FZ$1, 0),
    _xlpm.direccionCompleta, ADDRESS(1, _xlpm.posicion + 4, 4),
    _xlpm.letraColumna, SUBSTITUTE(_xlpm.direccionCompleta, "1", ""),
    _xlpm.letraColumna
)</f>
        <v>BP</v>
      </c>
      <c r="Z64" s="7"/>
      <c r="AA64" s="367"/>
      <c r="AB64" s="7"/>
      <c r="AC64" s="93">
        <f t="shared" si="19"/>
        <v>74.070000000000007</v>
      </c>
      <c r="AD64" s="94">
        <f t="shared" ref="AD64:AD65" si="25">$T64*$AC64</f>
        <v>1349.8516800000002</v>
      </c>
      <c r="AE64" s="109">
        <f t="shared" ref="AE64:AE65" si="26">IFERROR(1-($W64/$AD64),0)</f>
        <v>0.36006480356419612</v>
      </c>
      <c r="AF64" s="7"/>
      <c r="AG64" s="369">
        <f t="shared" si="20"/>
        <v>0</v>
      </c>
      <c r="AH64" s="368">
        <f t="shared" ref="AH64:AH71" si="27">W64*AG64</f>
        <v>0</v>
      </c>
      <c r="AI64" s="7"/>
      <c r="AJ64" s="369" cm="1">
        <f t="array" ref="AJ64">IFERROR(INDEX(WHT!$C$7:$W$18,MATCH(
_xlfn.SWITCH(N64,"xDC Medellin","Colombia","xDC Belo Horizonte","Brazil","xDC Guadalajara","Mexico","xDC Gurugram","India","xDC Leon","Spain","xDC San Jose","Costa Rica","xDC Warsaw","Poland",N64),
WHT!$B$7:$B$18,0),MATCH(CustomerCountry,WHT!$C$5:$W$5,0)),0)</f>
        <v>0</v>
      </c>
      <c r="AK64" s="368">
        <f t="shared" ref="AK64:AK71" si="28">(W64+AH64)*AJ64</f>
        <v>0</v>
      </c>
      <c r="AL64" s="7"/>
      <c r="AM64" s="95">
        <f t="shared" ref="AM64:AM65" si="29">SUM($AD64,$AH64,$AK64)</f>
        <v>1349.8516800000002</v>
      </c>
      <c r="AN64" s="95">
        <f t="shared" si="22"/>
        <v>1349.8516800000002</v>
      </c>
      <c r="AO64" s="95">
        <f t="shared" ref="AO64:AO65" si="30">IFERROR($AN64/$T64,0)</f>
        <v>74.070000000000007</v>
      </c>
      <c r="AP64" s="90"/>
      <c r="AQ64" s="18"/>
      <c r="AR64" s="290"/>
      <c r="AS64" s="467" t="s">
        <v>133</v>
      </c>
      <c r="AT64" s="501">
        <f t="shared" ref="AT64:AT71" si="31">IF(AS64="x",AM64+((SUM($AN$31:$AN$36)+SUMIF($AS$42:$AS$71,"&lt;&gt;x",$AM$42:$AM$71))*IFERROR(AM64/SUMIF($AS$42:$AS$71,"x",$AM$42:$AM$71),0)),0)</f>
        <v>1349.8516800000002</v>
      </c>
      <c r="AU64" s="502"/>
      <c r="AV64" s="95">
        <f t="shared" ref="AV64:AV71" si="32">IFERROR(AT64/T64,0)</f>
        <v>74.070000000000007</v>
      </c>
      <c r="AW64" s="469" t="str">
        <f t="shared" si="23"/>
        <v>N/A</v>
      </c>
      <c r="AX64" s="290"/>
      <c r="AY64" s="18"/>
      <c r="AZ64" s="3"/>
      <c r="BA64" s="315"/>
      <c r="BB64" s="3"/>
      <c r="BC64" s="3"/>
      <c r="BD64" s="3"/>
      <c r="BE64" s="3"/>
      <c r="BF64" s="18"/>
      <c r="BG64" s="3"/>
      <c r="BH64" s="315"/>
      <c r="BI64" s="3"/>
      <c r="BJ64" s="3"/>
      <c r="BK64" s="3"/>
      <c r="BL64" s="3"/>
      <c r="BM64" s="18"/>
      <c r="BN64" s="3"/>
      <c r="BO64" s="315"/>
      <c r="BP64" s="3"/>
      <c r="BQ64" s="3"/>
      <c r="BR64" s="3"/>
      <c r="BS64" s="3"/>
      <c r="BT64" s="18"/>
      <c r="BU64" s="3"/>
      <c r="BV64" s="315"/>
      <c r="BW64" s="3"/>
      <c r="BX64" s="3"/>
      <c r="BY64" s="3"/>
      <c r="BZ64" s="3"/>
    </row>
    <row r="65" spans="1:82" ht="15.6" outlineLevel="1">
      <c r="A65" s="7"/>
      <c r="B65" s="370"/>
      <c r="C65" s="496"/>
      <c r="D65" s="356"/>
      <c r="E65" s="342"/>
      <c r="F65" s="290"/>
      <c r="G65" s="497"/>
      <c r="H65" s="498">
        <v>0</v>
      </c>
      <c r="I65" s="358">
        <v>0</v>
      </c>
      <c r="J65" s="359">
        <f t="shared" si="24"/>
        <v>0</v>
      </c>
      <c r="K65" s="290"/>
      <c r="L65" s="349"/>
      <c r="M65" s="7"/>
      <c r="N65" s="12"/>
      <c r="O65" s="12"/>
      <c r="P65" s="12"/>
      <c r="Q65" s="361"/>
      <c r="R65" s="362"/>
      <c r="S65" s="363">
        <f t="shared" si="17"/>
        <v>0</v>
      </c>
      <c r="T65" s="364">
        <f t="shared" ref="T65" si="33">IF(ISBLANK($P65),0,IF(Approach="Team-Based",$Q65*$R65*$S65*HoursPerDayTeamBased,$J65))</f>
        <v>0</v>
      </c>
      <c r="U65" s="365">
        <v>0</v>
      </c>
      <c r="V65" s="91">
        <f>ROUNDUP(IFERROR(INDEX(CostRateTbl[Cost Rate],MATCH(_xlfn.CONCAT(N65,O65,P65,"NA"),CostRateTbl[KeyCostRate],0)),0)*BillingCurrencyTRM*(1+U65),2)</f>
        <v>0</v>
      </c>
      <c r="W65" s="92">
        <f t="shared" si="18"/>
        <v>0</v>
      </c>
      <c r="X65" s="366" t="e" cm="1">
        <f t="array" ref="X65">_xlfn.LET(
    _xlpm.valor, INDEX(CostRate!H:H, MATCH(1, (CostRate!A:A=N65)*1, 0)),
    _xlpm.posicion, MATCH(_xlpm.valor, FilterSL!$F$1:$Z$1, 0),
    _xlpm.direccionCompleta, ADDRESS(1, _xlpm.posicion + 5, 4),
    _xlpm.letraColumna, SUBSTITUTE(_xlpm.direccionCompleta, "1", ""),
    _xlpm.letraColumna
)</f>
        <v>#N/A</v>
      </c>
      <c r="Y65" s="366" t="e" cm="1">
        <f t="array" ref="Y65">_xlfn.LET(
    _xlpm.valor, INDEX(CostRate!I:I, MATCH(1, (CostRate!A:A=N65)*(CostRate!B:B=O65), 0)),
    _xlpm.posicion, MATCH(_xlpm.valor, FilterJP!$E$1:$FZ$1, 0),
    _xlpm.direccionCompleta, ADDRESS(1, _xlpm.posicion + 4, 4),
    _xlpm.letraColumna, SUBSTITUTE(_xlpm.direccionCompleta, "1", ""),
    _xlpm.letraColumna
)</f>
        <v>#N/A</v>
      </c>
      <c r="Z65" s="7"/>
      <c r="AA65" s="367"/>
      <c r="AB65" s="7"/>
      <c r="AC65" s="93">
        <f t="shared" si="19"/>
        <v>0</v>
      </c>
      <c r="AD65" s="94">
        <f t="shared" si="25"/>
        <v>0</v>
      </c>
      <c r="AE65" s="109">
        <f t="shared" si="26"/>
        <v>0</v>
      </c>
      <c r="AF65" s="7"/>
      <c r="AG65" s="369">
        <f t="shared" si="20"/>
        <v>0</v>
      </c>
      <c r="AH65" s="368">
        <f t="shared" si="27"/>
        <v>0</v>
      </c>
      <c r="AI65" s="7"/>
      <c r="AJ65" s="369" cm="1">
        <f t="array" ref="AJ65">IFERROR(INDEX(WHT!$C$7:$W$18,MATCH(
_xlfn.SWITCH(N65,"xDC Medellin","Colombia","xDC Belo Horizonte","Brazil","xDC Guadalajara","Mexico","xDC Gurugram","India","xDC Leon","Spain","xDC San Jose","Costa Rica","xDC Warsaw","Poland",N65),
WHT!$B$7:$B$18,0),MATCH(CustomerCountry,WHT!$C$5:$W$5,0)),0)</f>
        <v>0</v>
      </c>
      <c r="AK65" s="368">
        <f t="shared" si="28"/>
        <v>0</v>
      </c>
      <c r="AL65" s="7"/>
      <c r="AM65" s="95">
        <f t="shared" si="29"/>
        <v>0</v>
      </c>
      <c r="AN65" s="95">
        <f t="shared" si="22"/>
        <v>0</v>
      </c>
      <c r="AO65" s="95">
        <f t="shared" si="30"/>
        <v>0</v>
      </c>
      <c r="AP65" s="90"/>
      <c r="AQ65" s="18"/>
      <c r="AR65" s="290"/>
      <c r="AS65" s="467" t="s">
        <v>133</v>
      </c>
      <c r="AT65" s="501">
        <f t="shared" si="31"/>
        <v>0</v>
      </c>
      <c r="AU65" s="502"/>
      <c r="AV65" s="95">
        <f t="shared" si="32"/>
        <v>0</v>
      </c>
      <c r="AW65" s="469" t="str">
        <f t="shared" si="23"/>
        <v>N/A</v>
      </c>
      <c r="AX65" s="290"/>
      <c r="AY65" s="18"/>
      <c r="AZ65" s="3"/>
      <c r="BA65" s="315"/>
      <c r="BB65" s="3"/>
      <c r="BC65" s="3"/>
      <c r="BD65" s="3"/>
      <c r="BE65" s="3"/>
      <c r="BF65" s="18"/>
      <c r="BG65" s="3"/>
      <c r="BH65" s="315"/>
      <c r="BI65" s="3"/>
      <c r="BJ65" s="3"/>
      <c r="BK65" s="3"/>
      <c r="BL65" s="3"/>
      <c r="BM65" s="18"/>
      <c r="BN65" s="3"/>
      <c r="BO65" s="315"/>
      <c r="BP65" s="3"/>
      <c r="BQ65" s="3"/>
      <c r="BR65" s="3"/>
      <c r="BS65" s="3"/>
      <c r="BT65" s="18"/>
      <c r="BU65" s="3"/>
      <c r="BV65" s="315"/>
      <c r="BW65" s="3"/>
      <c r="BX65" s="3"/>
      <c r="BY65" s="3"/>
      <c r="BZ65" s="3"/>
    </row>
    <row r="66" spans="1:82" ht="15.6" outlineLevel="1">
      <c r="A66" s="7"/>
      <c r="B66" s="370"/>
      <c r="C66" s="494"/>
      <c r="D66" s="356"/>
      <c r="E66" s="342"/>
      <c r="F66" s="290"/>
      <c r="G66" s="497"/>
      <c r="H66" s="498">
        <v>0</v>
      </c>
      <c r="I66" s="358">
        <v>0</v>
      </c>
      <c r="J66" s="359">
        <f t="shared" si="24"/>
        <v>0</v>
      </c>
      <c r="K66" s="290"/>
      <c r="L66" s="349"/>
      <c r="M66" s="7"/>
      <c r="N66" s="12"/>
      <c r="O66" s="12"/>
      <c r="P66" s="12"/>
      <c r="Q66" s="361"/>
      <c r="R66" s="362"/>
      <c r="S66" s="363">
        <f t="shared" si="17"/>
        <v>0</v>
      </c>
      <c r="T66" s="364">
        <f t="shared" ref="T66:T71" si="34">IF(ISBLANK($P66),0,IF(Approach="Team-Based",$Q66*$R66*$S66*HoursPerDayTeamBased,$J66))</f>
        <v>0</v>
      </c>
      <c r="U66" s="365">
        <v>0</v>
      </c>
      <c r="V66" s="91">
        <f>ROUNDUP(IFERROR(INDEX(CostRateTbl[Cost Rate],MATCH(_xlfn.CONCAT(N66,O66,P66,"NA"),CostRateTbl[KeyCostRate],0)),0)*BillingCurrencyTRM*(1+U66),2)</f>
        <v>0</v>
      </c>
      <c r="W66" s="92">
        <f t="shared" si="18"/>
        <v>0</v>
      </c>
      <c r="X66" s="366" t="e" cm="1">
        <f t="array" ref="X66">_xlfn.LET(
    _xlpm.valor, INDEX(CostRate!H:H, MATCH(1, (CostRate!A:A=N66)*1, 0)),
    _xlpm.posicion, MATCH(_xlpm.valor, FilterSL!$F$1:$Z$1, 0),
    _xlpm.direccionCompleta, ADDRESS(1, _xlpm.posicion + 5, 4),
    _xlpm.letraColumna, SUBSTITUTE(_xlpm.direccionCompleta, "1", ""),
    _xlpm.letraColumna
)</f>
        <v>#N/A</v>
      </c>
      <c r="Y66" s="366" t="e" cm="1">
        <f t="array" ref="Y66">_xlfn.LET(
    _xlpm.valor, INDEX(CostRate!I:I, MATCH(1, (CostRate!A:A=N66)*(CostRate!B:B=O66), 0)),
    _xlpm.posicion, MATCH(_xlpm.valor, FilterJP!$E$1:$FZ$1, 0),
    _xlpm.direccionCompleta, ADDRESS(1, _xlpm.posicion + 4, 4),
    _xlpm.letraColumna, SUBSTITUTE(_xlpm.direccionCompleta, "1", ""),
    _xlpm.letraColumna
)</f>
        <v>#N/A</v>
      </c>
      <c r="Z66" s="7"/>
      <c r="AA66" s="367"/>
      <c r="AB66" s="7"/>
      <c r="AC66" s="93">
        <f t="shared" ref="AC66:AC71" si="35">ROUNDUP($V66/(1-$AV$28),2)</f>
        <v>0</v>
      </c>
      <c r="AD66" s="94">
        <f t="shared" ref="AD66:AD71" si="36">$T66*$AC66</f>
        <v>0</v>
      </c>
      <c r="AE66" s="109">
        <f t="shared" ref="AE66:AE71" si="37">IFERROR(1-($W66/$AD66),0)</f>
        <v>0</v>
      </c>
      <c r="AF66" s="7"/>
      <c r="AG66" s="369">
        <f t="shared" ref="AG66:AG71" si="38">IFERROR(IF(OR(ISBLANK(N66),N66=CustomerCountry,COUNTIF($N66,"*xDC*")),0,10%),0)</f>
        <v>0</v>
      </c>
      <c r="AH66" s="368">
        <f t="shared" si="27"/>
        <v>0</v>
      </c>
      <c r="AI66" s="7"/>
      <c r="AJ66" s="369" cm="1">
        <f t="array" ref="AJ66">IFERROR(INDEX(WHT!$C$7:$W$18,MATCH(
_xlfn.SWITCH(N66,"xDC Medellin","Colombia","xDC Belo Horizonte","Brazil","xDC Guadalajara","Mexico","xDC Gurugram","India","xDC Leon","Spain","xDC San Jose","Costa Rica","xDC Warsaw","Poland",N66),
WHT!$B$7:$B$18,0),MATCH(CustomerCountry,WHT!$C$5:$W$5,0)),0)</f>
        <v>0</v>
      </c>
      <c r="AK66" s="368">
        <f t="shared" si="28"/>
        <v>0</v>
      </c>
      <c r="AL66" s="7"/>
      <c r="AM66" s="95">
        <f t="shared" ref="AM66:AM71" si="39">SUM($AD66,$AH66,$AK66)</f>
        <v>0</v>
      </c>
      <c r="AN66" s="95">
        <f t="shared" si="22"/>
        <v>0</v>
      </c>
      <c r="AO66" s="95">
        <f t="shared" ref="AO66:AO71" si="40">IFERROR($AN66/$T66,0)</f>
        <v>0</v>
      </c>
      <c r="AP66" s="90"/>
      <c r="AQ66" s="18"/>
      <c r="AR66" s="290"/>
      <c r="AS66" s="467" t="s">
        <v>133</v>
      </c>
      <c r="AT66" s="501">
        <f t="shared" si="31"/>
        <v>0</v>
      </c>
      <c r="AU66" s="502"/>
      <c r="AV66" s="95">
        <f t="shared" si="32"/>
        <v>0</v>
      </c>
      <c r="AW66" s="469" t="str">
        <f t="shared" si="23"/>
        <v>N/A</v>
      </c>
      <c r="AX66" s="290"/>
      <c r="AY66" s="18"/>
      <c r="AZ66" s="3"/>
      <c r="BA66" s="315"/>
      <c r="BB66" s="3"/>
      <c r="BC66" s="3"/>
      <c r="BD66" s="3"/>
      <c r="BE66" s="3"/>
      <c r="BF66" s="18"/>
      <c r="BG66" s="3"/>
      <c r="BH66" s="315"/>
      <c r="BI66" s="3"/>
      <c r="BJ66" s="3"/>
      <c r="BK66" s="3"/>
      <c r="BL66" s="3"/>
      <c r="BM66" s="18"/>
      <c r="BN66" s="3"/>
      <c r="BO66" s="315"/>
      <c r="BP66" s="3"/>
      <c r="BQ66" s="3"/>
      <c r="BR66" s="3"/>
      <c r="BS66" s="3"/>
      <c r="BT66" s="18"/>
      <c r="BU66" s="3"/>
      <c r="BV66" s="315"/>
      <c r="BW66" s="3"/>
      <c r="BX66" s="3"/>
      <c r="BY66" s="3"/>
      <c r="BZ66" s="3"/>
    </row>
    <row r="67" spans="1:82" ht="15.6" outlineLevel="1">
      <c r="A67" s="7"/>
      <c r="B67" s="370"/>
      <c r="C67" s="493"/>
      <c r="D67" s="356"/>
      <c r="E67" s="342"/>
      <c r="F67" s="290"/>
      <c r="G67" s="497"/>
      <c r="H67" s="498">
        <v>0</v>
      </c>
      <c r="I67" s="358">
        <v>0</v>
      </c>
      <c r="J67" s="359">
        <f t="shared" si="24"/>
        <v>0</v>
      </c>
      <c r="K67" s="290"/>
      <c r="L67" s="349"/>
      <c r="M67" s="7"/>
      <c r="N67" s="12"/>
      <c r="O67" s="12"/>
      <c r="P67" s="12"/>
      <c r="Q67" s="361"/>
      <c r="R67" s="362"/>
      <c r="S67" s="363">
        <f t="shared" si="17"/>
        <v>0</v>
      </c>
      <c r="T67" s="364">
        <f t="shared" si="34"/>
        <v>0</v>
      </c>
      <c r="U67" s="365">
        <v>0</v>
      </c>
      <c r="V67" s="91">
        <f>ROUNDUP(IFERROR(INDEX(CostRateTbl[Cost Rate],MATCH(_xlfn.CONCAT(N67,O67,P67,"NA"),CostRateTbl[KeyCostRate],0)),0)*BillingCurrencyTRM*(1+U67),2)</f>
        <v>0</v>
      </c>
      <c r="W67" s="92">
        <f t="shared" si="18"/>
        <v>0</v>
      </c>
      <c r="X67" s="366" t="e" cm="1">
        <f t="array" ref="X67">_xlfn.LET(
    _xlpm.valor, INDEX(CostRate!H:H, MATCH(1, (CostRate!A:A=N67)*1, 0)),
    _xlpm.posicion, MATCH(_xlpm.valor, FilterSL!$F$1:$Z$1, 0),
    _xlpm.direccionCompleta, ADDRESS(1, _xlpm.posicion + 5, 4),
    _xlpm.letraColumna, SUBSTITUTE(_xlpm.direccionCompleta, "1", ""),
    _xlpm.letraColumna
)</f>
        <v>#N/A</v>
      </c>
      <c r="Y67" s="366" t="e" cm="1">
        <f t="array" ref="Y67">_xlfn.LET(
    _xlpm.valor, INDEX(CostRate!I:I, MATCH(1, (CostRate!A:A=N67)*(CostRate!B:B=O67), 0)),
    _xlpm.posicion, MATCH(_xlpm.valor, FilterJP!$E$1:$FZ$1, 0),
    _xlpm.direccionCompleta, ADDRESS(1, _xlpm.posicion + 4, 4),
    _xlpm.letraColumna, SUBSTITUTE(_xlpm.direccionCompleta, "1", ""),
    _xlpm.letraColumna
)</f>
        <v>#N/A</v>
      </c>
      <c r="Z67" s="7"/>
      <c r="AA67" s="367"/>
      <c r="AB67" s="7"/>
      <c r="AC67" s="93">
        <f t="shared" si="35"/>
        <v>0</v>
      </c>
      <c r="AD67" s="94">
        <f t="shared" si="36"/>
        <v>0</v>
      </c>
      <c r="AE67" s="109">
        <f t="shared" si="37"/>
        <v>0</v>
      </c>
      <c r="AF67" s="7"/>
      <c r="AG67" s="369">
        <f t="shared" si="38"/>
        <v>0</v>
      </c>
      <c r="AH67" s="368">
        <f t="shared" si="27"/>
        <v>0</v>
      </c>
      <c r="AI67" s="7"/>
      <c r="AJ67" s="369" cm="1">
        <f t="array" ref="AJ67">IFERROR(INDEX(WHT!$C$7:$W$18,MATCH(
_xlfn.SWITCH(N67,"xDC Medellin","Colombia","xDC Belo Horizonte","Brazil","xDC Guadalajara","Mexico","xDC Gurugram","India","xDC Leon","Spain","xDC San Jose","Costa Rica","xDC Warsaw","Poland",N67),
WHT!$B$7:$B$18,0),MATCH(CustomerCountry,WHT!$C$5:$W$5,0)),0)</f>
        <v>0</v>
      </c>
      <c r="AK67" s="368">
        <f t="shared" si="28"/>
        <v>0</v>
      </c>
      <c r="AL67" s="7"/>
      <c r="AM67" s="95">
        <f t="shared" si="39"/>
        <v>0</v>
      </c>
      <c r="AN67" s="95">
        <f t="shared" si="22"/>
        <v>0</v>
      </c>
      <c r="AO67" s="95">
        <f t="shared" si="40"/>
        <v>0</v>
      </c>
      <c r="AP67" s="90"/>
      <c r="AQ67" s="18"/>
      <c r="AR67" s="290"/>
      <c r="AS67" s="467" t="s">
        <v>133</v>
      </c>
      <c r="AT67" s="501">
        <f t="shared" si="31"/>
        <v>0</v>
      </c>
      <c r="AU67" s="502"/>
      <c r="AV67" s="95">
        <f t="shared" si="32"/>
        <v>0</v>
      </c>
      <c r="AW67" s="469" t="str">
        <f t="shared" si="23"/>
        <v>N/A</v>
      </c>
      <c r="AX67" s="290"/>
      <c r="AY67" s="18"/>
      <c r="AZ67" s="3"/>
      <c r="BA67" s="315"/>
      <c r="BB67" s="3"/>
      <c r="BC67" s="3"/>
      <c r="BD67" s="3"/>
      <c r="BE67" s="3"/>
      <c r="BF67" s="18"/>
      <c r="BG67" s="3"/>
      <c r="BH67" s="315"/>
      <c r="BI67" s="3"/>
      <c r="BJ67" s="3"/>
      <c r="BK67" s="3"/>
      <c r="BL67" s="3"/>
      <c r="BM67" s="18"/>
      <c r="BN67" s="3"/>
      <c r="BO67" s="315"/>
      <c r="BP67" s="3"/>
      <c r="BQ67" s="3"/>
      <c r="BR67" s="3"/>
      <c r="BS67" s="3"/>
      <c r="BT67" s="18"/>
      <c r="BU67" s="3"/>
      <c r="BV67" s="315"/>
      <c r="BW67" s="3"/>
      <c r="BX67" s="3"/>
      <c r="BY67" s="3"/>
      <c r="BZ67" s="3"/>
    </row>
    <row r="68" spans="1:82" ht="15.6" outlineLevel="1">
      <c r="A68" s="7"/>
      <c r="B68" s="370"/>
      <c r="C68" s="494"/>
      <c r="D68" s="356"/>
      <c r="E68" s="342"/>
      <c r="F68" s="290"/>
      <c r="G68" s="497"/>
      <c r="H68" s="498">
        <v>0</v>
      </c>
      <c r="I68" s="358">
        <v>0</v>
      </c>
      <c r="J68" s="359">
        <f t="shared" si="24"/>
        <v>0</v>
      </c>
      <c r="K68" s="290"/>
      <c r="L68" s="349"/>
      <c r="M68" s="7"/>
      <c r="N68" s="12"/>
      <c r="O68" s="12"/>
      <c r="P68" s="12"/>
      <c r="Q68" s="361"/>
      <c r="R68" s="362"/>
      <c r="S68" s="363">
        <f t="shared" si="17"/>
        <v>0</v>
      </c>
      <c r="T68" s="364">
        <f t="shared" si="34"/>
        <v>0</v>
      </c>
      <c r="U68" s="365">
        <v>0</v>
      </c>
      <c r="V68" s="91">
        <f>ROUNDUP(IFERROR(INDEX(CostRateTbl[Cost Rate],MATCH(_xlfn.CONCAT(N68,O68,P68,"NA"),CostRateTbl[KeyCostRate],0)),0)*BillingCurrencyTRM*(1+U68),2)</f>
        <v>0</v>
      </c>
      <c r="W68" s="92">
        <f t="shared" si="18"/>
        <v>0</v>
      </c>
      <c r="X68" s="366" t="e" cm="1">
        <f t="array" ref="X68">_xlfn.LET(
    _xlpm.valor, INDEX(CostRate!H:H, MATCH(1, (CostRate!A:A=N68)*1, 0)),
    _xlpm.posicion, MATCH(_xlpm.valor, FilterSL!$F$1:$Z$1, 0),
    _xlpm.direccionCompleta, ADDRESS(1, _xlpm.posicion + 5, 4),
    _xlpm.letraColumna, SUBSTITUTE(_xlpm.direccionCompleta, "1", ""),
    _xlpm.letraColumna
)</f>
        <v>#N/A</v>
      </c>
      <c r="Y68" s="366" t="e" cm="1">
        <f t="array" ref="Y68">_xlfn.LET(
    _xlpm.valor, INDEX(CostRate!I:I, MATCH(1, (CostRate!A:A=N68)*(CostRate!B:B=O68), 0)),
    _xlpm.posicion, MATCH(_xlpm.valor, FilterJP!$E$1:$FZ$1, 0),
    _xlpm.direccionCompleta, ADDRESS(1, _xlpm.posicion + 4, 4),
    _xlpm.letraColumna, SUBSTITUTE(_xlpm.direccionCompleta, "1", ""),
    _xlpm.letraColumna
)</f>
        <v>#N/A</v>
      </c>
      <c r="Z68" s="7"/>
      <c r="AA68" s="367"/>
      <c r="AB68" s="7"/>
      <c r="AC68" s="93">
        <f t="shared" si="35"/>
        <v>0</v>
      </c>
      <c r="AD68" s="94">
        <f t="shared" si="36"/>
        <v>0</v>
      </c>
      <c r="AE68" s="109">
        <f t="shared" si="37"/>
        <v>0</v>
      </c>
      <c r="AF68" s="7"/>
      <c r="AG68" s="369">
        <f t="shared" si="38"/>
        <v>0</v>
      </c>
      <c r="AH68" s="368">
        <f t="shared" si="27"/>
        <v>0</v>
      </c>
      <c r="AI68" s="7"/>
      <c r="AJ68" s="369" cm="1">
        <f t="array" ref="AJ68">IFERROR(INDEX(WHT!$C$7:$W$18,MATCH(
_xlfn.SWITCH(N68,"xDC Medellin","Colombia","xDC Belo Horizonte","Brazil","xDC Guadalajara","Mexico","xDC Gurugram","India","xDC Leon","Spain","xDC San Jose","Costa Rica","xDC Warsaw","Poland",N68),
WHT!$B$7:$B$18,0),MATCH(CustomerCountry,WHT!$C$5:$W$5,0)),0)</f>
        <v>0</v>
      </c>
      <c r="AK68" s="368">
        <f t="shared" si="28"/>
        <v>0</v>
      </c>
      <c r="AL68" s="7"/>
      <c r="AM68" s="95">
        <f t="shared" si="39"/>
        <v>0</v>
      </c>
      <c r="AN68" s="95">
        <f t="shared" si="22"/>
        <v>0</v>
      </c>
      <c r="AO68" s="95">
        <f t="shared" si="40"/>
        <v>0</v>
      </c>
      <c r="AP68" s="90"/>
      <c r="AQ68" s="18"/>
      <c r="AR68" s="290"/>
      <c r="AS68" s="467" t="s">
        <v>133</v>
      </c>
      <c r="AT68" s="501">
        <f t="shared" si="31"/>
        <v>0</v>
      </c>
      <c r="AU68" s="502"/>
      <c r="AV68" s="95">
        <f t="shared" si="32"/>
        <v>0</v>
      </c>
      <c r="AW68" s="469" t="str">
        <f t="shared" si="23"/>
        <v>N/A</v>
      </c>
      <c r="AX68" s="290"/>
      <c r="AY68" s="18"/>
      <c r="AZ68" s="3"/>
      <c r="BA68" s="315"/>
      <c r="BB68" s="3"/>
      <c r="BC68" s="3"/>
      <c r="BD68" s="3"/>
      <c r="BE68" s="3"/>
      <c r="BF68" s="18"/>
      <c r="BG68" s="3"/>
      <c r="BH68" s="315"/>
      <c r="BI68" s="3"/>
      <c r="BJ68" s="3"/>
      <c r="BK68" s="3"/>
      <c r="BL68" s="3"/>
      <c r="BM68" s="18"/>
      <c r="BN68" s="3"/>
      <c r="BO68" s="315"/>
      <c r="BP68" s="3"/>
      <c r="BQ68" s="3"/>
      <c r="BR68" s="3"/>
      <c r="BS68" s="3"/>
      <c r="BT68" s="18"/>
      <c r="BU68" s="3"/>
      <c r="BV68" s="315"/>
      <c r="BW68" s="3"/>
      <c r="BX68" s="3"/>
      <c r="BY68" s="3"/>
      <c r="BZ68" s="3"/>
    </row>
    <row r="69" spans="1:82" ht="15.6" outlineLevel="1">
      <c r="A69" s="7"/>
      <c r="B69" s="370"/>
      <c r="C69" s="493"/>
      <c r="D69" s="356"/>
      <c r="E69" s="342"/>
      <c r="F69" s="290"/>
      <c r="G69" s="497"/>
      <c r="H69" s="498">
        <v>0</v>
      </c>
      <c r="I69" s="358">
        <v>0</v>
      </c>
      <c r="J69" s="359">
        <f t="shared" si="24"/>
        <v>0</v>
      </c>
      <c r="K69" s="290"/>
      <c r="L69" s="349"/>
      <c r="M69" s="7"/>
      <c r="N69" s="12"/>
      <c r="O69" s="12"/>
      <c r="P69" s="12"/>
      <c r="Q69" s="361"/>
      <c r="R69" s="362"/>
      <c r="S69" s="363">
        <f t="shared" si="17"/>
        <v>0</v>
      </c>
      <c r="T69" s="364">
        <f t="shared" si="34"/>
        <v>0</v>
      </c>
      <c r="U69" s="365">
        <v>0</v>
      </c>
      <c r="V69" s="91">
        <f>ROUNDUP(IFERROR(INDEX(CostRateTbl[Cost Rate],MATCH(_xlfn.CONCAT(N69,O69,P69,"NA"),CostRateTbl[KeyCostRate],0)),0)*BillingCurrencyTRM*(1+U69),2)</f>
        <v>0</v>
      </c>
      <c r="W69" s="92">
        <f t="shared" si="18"/>
        <v>0</v>
      </c>
      <c r="X69" s="366" t="e" cm="1">
        <f t="array" ref="X69">_xlfn.LET(
    _xlpm.valor, INDEX(CostRate!H:H, MATCH(1, (CostRate!A:A=N69)*1, 0)),
    _xlpm.posicion, MATCH(_xlpm.valor, FilterSL!$F$1:$Z$1, 0),
    _xlpm.direccionCompleta, ADDRESS(1, _xlpm.posicion + 5, 4),
    _xlpm.letraColumna, SUBSTITUTE(_xlpm.direccionCompleta, "1", ""),
    _xlpm.letraColumna
)</f>
        <v>#N/A</v>
      </c>
      <c r="Y69" s="366" t="e" cm="1">
        <f t="array" ref="Y69">_xlfn.LET(
    _xlpm.valor, INDEX(CostRate!I:I, MATCH(1, (CostRate!A:A=N69)*(CostRate!B:B=O69), 0)),
    _xlpm.posicion, MATCH(_xlpm.valor, FilterJP!$E$1:$FZ$1, 0),
    _xlpm.direccionCompleta, ADDRESS(1, _xlpm.posicion + 4, 4),
    _xlpm.letraColumna, SUBSTITUTE(_xlpm.direccionCompleta, "1", ""),
    _xlpm.letraColumna
)</f>
        <v>#N/A</v>
      </c>
      <c r="Z69" s="7"/>
      <c r="AA69" s="367"/>
      <c r="AB69" s="7"/>
      <c r="AC69" s="93">
        <f t="shared" si="35"/>
        <v>0</v>
      </c>
      <c r="AD69" s="94">
        <f t="shared" si="36"/>
        <v>0</v>
      </c>
      <c r="AE69" s="109">
        <f t="shared" si="37"/>
        <v>0</v>
      </c>
      <c r="AF69" s="7"/>
      <c r="AG69" s="369">
        <f t="shared" si="38"/>
        <v>0</v>
      </c>
      <c r="AH69" s="368">
        <f t="shared" si="27"/>
        <v>0</v>
      </c>
      <c r="AI69" s="7"/>
      <c r="AJ69" s="369" cm="1">
        <f t="array" ref="AJ69">IFERROR(INDEX(WHT!$C$7:$W$18,MATCH(
_xlfn.SWITCH(N69,"xDC Medellin","Colombia","xDC Belo Horizonte","Brazil","xDC Guadalajara","Mexico","xDC Gurugram","India","xDC Leon","Spain","xDC San Jose","Costa Rica","xDC Warsaw","Poland",N69),
WHT!$B$7:$B$18,0),MATCH(CustomerCountry,WHT!$C$5:$W$5,0)),0)</f>
        <v>0</v>
      </c>
      <c r="AK69" s="368">
        <f t="shared" si="28"/>
        <v>0</v>
      </c>
      <c r="AL69" s="7"/>
      <c r="AM69" s="95">
        <f t="shared" si="39"/>
        <v>0</v>
      </c>
      <c r="AN69" s="95">
        <f t="shared" si="22"/>
        <v>0</v>
      </c>
      <c r="AO69" s="95">
        <f t="shared" si="40"/>
        <v>0</v>
      </c>
      <c r="AP69" s="90"/>
      <c r="AQ69" s="18"/>
      <c r="AR69" s="290"/>
      <c r="AS69" s="467" t="s">
        <v>133</v>
      </c>
      <c r="AT69" s="501">
        <f t="shared" si="31"/>
        <v>0</v>
      </c>
      <c r="AU69" s="502"/>
      <c r="AV69" s="95">
        <f t="shared" si="32"/>
        <v>0</v>
      </c>
      <c r="AW69" s="469" t="str">
        <f t="shared" si="23"/>
        <v>N/A</v>
      </c>
      <c r="AX69" s="290"/>
      <c r="AY69" s="18"/>
      <c r="AZ69" s="3"/>
      <c r="BA69" s="315"/>
      <c r="BB69" s="3"/>
      <c r="BC69" s="3"/>
      <c r="BD69" s="3"/>
      <c r="BE69" s="3"/>
      <c r="BF69" s="18"/>
      <c r="BG69" s="3"/>
      <c r="BH69" s="315"/>
      <c r="BI69" s="3"/>
      <c r="BJ69" s="3"/>
      <c r="BK69" s="3"/>
      <c r="BL69" s="3"/>
      <c r="BM69" s="18"/>
      <c r="BN69" s="3"/>
      <c r="BO69" s="315"/>
      <c r="BP69" s="3"/>
      <c r="BQ69" s="3"/>
      <c r="BR69" s="3"/>
      <c r="BS69" s="3"/>
      <c r="BT69" s="18"/>
      <c r="BU69" s="3"/>
      <c r="BV69" s="315"/>
      <c r="BW69" s="3"/>
      <c r="BX69" s="3"/>
      <c r="BY69" s="3"/>
      <c r="BZ69" s="3"/>
    </row>
    <row r="70" spans="1:82" ht="15.6" outlineLevel="1">
      <c r="A70" s="7"/>
      <c r="B70" s="370"/>
      <c r="C70" s="355"/>
      <c r="D70" s="356"/>
      <c r="E70" s="342"/>
      <c r="F70" s="290"/>
      <c r="G70" s="373">
        <v>0</v>
      </c>
      <c r="H70" s="358">
        <v>0</v>
      </c>
      <c r="I70" s="358">
        <v>0</v>
      </c>
      <c r="J70" s="359">
        <f t="shared" si="24"/>
        <v>0</v>
      </c>
      <c r="K70" s="290"/>
      <c r="L70" s="349"/>
      <c r="M70" s="7"/>
      <c r="N70" s="12"/>
      <c r="O70" s="12"/>
      <c r="P70" s="12"/>
      <c r="Q70" s="361"/>
      <c r="R70" s="362"/>
      <c r="S70" s="363">
        <f t="shared" si="17"/>
        <v>0</v>
      </c>
      <c r="T70" s="364">
        <f t="shared" si="34"/>
        <v>0</v>
      </c>
      <c r="U70" s="365">
        <v>0</v>
      </c>
      <c r="V70" s="91">
        <f>ROUNDUP(IFERROR(INDEX(CostRateTbl[Cost Rate],MATCH(_xlfn.CONCAT(N70,O70,P70,"NA"),CostRateTbl[KeyCostRate],0)),0)*BillingCurrencyTRM*(1+U70),2)</f>
        <v>0</v>
      </c>
      <c r="W70" s="92">
        <f t="shared" ref="W70" si="41">T70*V70</f>
        <v>0</v>
      </c>
      <c r="X70" s="366" t="e" cm="1">
        <f t="array" ref="X70">_xlfn.LET(
    _xlpm.valor, INDEX(CostRate!H:H, MATCH(1, (CostRate!A:A=N70)*1, 0)),
    _xlpm.posicion, MATCH(_xlpm.valor, FilterSL!$F$1:$Z$1, 0),
    _xlpm.direccionCompleta, ADDRESS(1, _xlpm.posicion + 5, 4),
    _xlpm.letraColumna, SUBSTITUTE(_xlpm.direccionCompleta, "1", ""),
    _xlpm.letraColumna
)</f>
        <v>#N/A</v>
      </c>
      <c r="Y70" s="366" t="e" cm="1">
        <f t="array" ref="Y70">_xlfn.LET(
    _xlpm.valor, INDEX(CostRate!I:I, MATCH(1, (CostRate!A:A=N70)*(CostRate!B:B=O70), 0)),
    _xlpm.posicion, MATCH(_xlpm.valor, FilterJP!$E$1:$FZ$1, 0),
    _xlpm.direccionCompleta, ADDRESS(1, _xlpm.posicion + 4, 4),
    _xlpm.letraColumna, SUBSTITUTE(_xlpm.direccionCompleta, "1", ""),
    _xlpm.letraColumna
)</f>
        <v>#N/A</v>
      </c>
      <c r="Z70" s="7"/>
      <c r="AA70" s="367"/>
      <c r="AB70" s="7"/>
      <c r="AC70" s="93">
        <f t="shared" si="35"/>
        <v>0</v>
      </c>
      <c r="AD70" s="94">
        <f t="shared" si="36"/>
        <v>0</v>
      </c>
      <c r="AE70" s="109">
        <f t="shared" si="37"/>
        <v>0</v>
      </c>
      <c r="AF70" s="7"/>
      <c r="AG70" s="369">
        <f t="shared" si="38"/>
        <v>0</v>
      </c>
      <c r="AH70" s="368">
        <f t="shared" si="27"/>
        <v>0</v>
      </c>
      <c r="AI70" s="7"/>
      <c r="AJ70" s="369" cm="1">
        <f t="array" ref="AJ70">IFERROR(INDEX(WHT!$C$7:$W$18,MATCH(
_xlfn.SWITCH(N70,"xDC Medellin","Colombia","xDC Belo Horizonte","Brazil","xDC Guadalajara","Mexico","xDC Gurugram","India","xDC Leon","Spain","xDC San Jose","Costa Rica","xDC Warsaw","Poland",N70),
WHT!$B$7:$B$18,0),MATCH(CustomerCountry,WHT!$C$5:$W$5,0)),0)</f>
        <v>0</v>
      </c>
      <c r="AK70" s="368">
        <f t="shared" si="28"/>
        <v>0</v>
      </c>
      <c r="AL70" s="7"/>
      <c r="AM70" s="95">
        <f t="shared" si="39"/>
        <v>0</v>
      </c>
      <c r="AN70" s="95">
        <f t="shared" si="22"/>
        <v>0</v>
      </c>
      <c r="AO70" s="95">
        <f t="shared" si="40"/>
        <v>0</v>
      </c>
      <c r="AP70" s="90"/>
      <c r="AQ70" s="18"/>
      <c r="AR70" s="290"/>
      <c r="AS70" s="467" t="s">
        <v>133</v>
      </c>
      <c r="AT70" s="501">
        <f t="shared" si="31"/>
        <v>0</v>
      </c>
      <c r="AU70" s="502"/>
      <c r="AV70" s="95">
        <f t="shared" si="32"/>
        <v>0</v>
      </c>
      <c r="AW70" s="469" t="str">
        <f t="shared" si="23"/>
        <v>N/A</v>
      </c>
      <c r="AX70" s="290"/>
      <c r="AY70" s="18"/>
      <c r="AZ70" s="3"/>
      <c r="BA70" s="315"/>
      <c r="BB70" s="3"/>
      <c r="BC70" s="3"/>
      <c r="BD70" s="3"/>
      <c r="BE70" s="3"/>
      <c r="BF70" s="18"/>
      <c r="BG70" s="3"/>
      <c r="BH70" s="315"/>
      <c r="BI70" s="3"/>
      <c r="BJ70" s="3"/>
      <c r="BK70" s="3"/>
      <c r="BL70" s="3"/>
      <c r="BM70" s="18"/>
      <c r="BN70" s="3"/>
      <c r="BO70" s="315"/>
      <c r="BP70" s="3"/>
      <c r="BQ70" s="3"/>
      <c r="BR70" s="3"/>
      <c r="BS70" s="3"/>
      <c r="BT70" s="18"/>
      <c r="BU70" s="3"/>
      <c r="BV70" s="315"/>
      <c r="BW70" s="3"/>
      <c r="BX70" s="3"/>
      <c r="BY70" s="3"/>
      <c r="BZ70" s="3"/>
    </row>
    <row r="71" spans="1:82" ht="15.6" outlineLevel="1">
      <c r="A71" s="7"/>
      <c r="B71" s="370"/>
      <c r="C71" s="355"/>
      <c r="D71" s="356"/>
      <c r="E71" s="342"/>
      <c r="F71" s="290"/>
      <c r="G71" s="373">
        <v>0</v>
      </c>
      <c r="H71" s="358">
        <v>0</v>
      </c>
      <c r="I71" s="358">
        <v>0</v>
      </c>
      <c r="J71" s="359">
        <f t="shared" si="24"/>
        <v>0</v>
      </c>
      <c r="K71" s="290"/>
      <c r="L71" s="349"/>
      <c r="M71" s="7"/>
      <c r="N71" s="12"/>
      <c r="O71" s="12"/>
      <c r="P71" s="12"/>
      <c r="Q71" s="361"/>
      <c r="R71" s="362"/>
      <c r="S71" s="363">
        <f t="shared" si="17"/>
        <v>0</v>
      </c>
      <c r="T71" s="364">
        <f t="shared" si="34"/>
        <v>0</v>
      </c>
      <c r="U71" s="365">
        <v>0</v>
      </c>
      <c r="V71" s="91">
        <f>ROUNDUP(IFERROR(INDEX(CostRateTbl[Cost Rate],MATCH(_xlfn.CONCAT(N71,O71,P71,"NA"),CostRateTbl[KeyCostRate],0)),0)*BillingCurrencyTRM*(1+U71),2)</f>
        <v>0</v>
      </c>
      <c r="W71" s="92">
        <f t="shared" si="18"/>
        <v>0</v>
      </c>
      <c r="X71" s="366" t="e" cm="1">
        <f t="array" ref="X71">_xlfn.LET(
    _xlpm.valor, INDEX(CostRate!H:H, MATCH(1, (CostRate!A:A=N71)*1, 0)),
    _xlpm.posicion, MATCH(_xlpm.valor, FilterSL!$F$1:$Z$1, 0),
    _xlpm.direccionCompleta, ADDRESS(1, _xlpm.posicion + 5, 4),
    _xlpm.letraColumna, SUBSTITUTE(_xlpm.direccionCompleta, "1", ""),
    _xlpm.letraColumna
)</f>
        <v>#N/A</v>
      </c>
      <c r="Y71" s="366" t="e" cm="1">
        <f t="array" ref="Y71">_xlfn.LET(
    _xlpm.valor, INDEX(CostRate!I:I, MATCH(1, (CostRate!A:A=N71)*(CostRate!B:B=O71), 0)),
    _xlpm.posicion, MATCH(_xlpm.valor, FilterJP!$E$1:$FZ$1, 0),
    _xlpm.direccionCompleta, ADDRESS(1, _xlpm.posicion + 4, 4),
    _xlpm.letraColumna, SUBSTITUTE(_xlpm.direccionCompleta, "1", ""),
    _xlpm.letraColumna
)</f>
        <v>#N/A</v>
      </c>
      <c r="Z71" s="7"/>
      <c r="AA71" s="367"/>
      <c r="AB71" s="7"/>
      <c r="AC71" s="93">
        <f t="shared" si="35"/>
        <v>0</v>
      </c>
      <c r="AD71" s="94">
        <f t="shared" si="36"/>
        <v>0</v>
      </c>
      <c r="AE71" s="109">
        <f t="shared" si="37"/>
        <v>0</v>
      </c>
      <c r="AF71" s="7"/>
      <c r="AG71" s="369">
        <f t="shared" si="38"/>
        <v>0</v>
      </c>
      <c r="AH71" s="368">
        <f t="shared" si="27"/>
        <v>0</v>
      </c>
      <c r="AI71" s="7"/>
      <c r="AJ71" s="369" cm="1">
        <f t="array" ref="AJ71">IFERROR(INDEX(WHT!$C$7:$W$18,MATCH(
_xlfn.SWITCH(N71,"xDC Medellin","Colombia","xDC Belo Horizonte","Brazil","xDC Guadalajara","Mexico","xDC Gurugram","India","xDC Leon","Spain","xDC San Jose","Costa Rica","xDC Warsaw","Poland",N71),
WHT!$B$7:$B$18,0),MATCH(CustomerCountry,WHT!$C$5:$W$5,0)),0)</f>
        <v>0</v>
      </c>
      <c r="AK71" s="368">
        <f t="shared" si="28"/>
        <v>0</v>
      </c>
      <c r="AL71" s="7"/>
      <c r="AM71" s="95">
        <f t="shared" si="39"/>
        <v>0</v>
      </c>
      <c r="AN71" s="95">
        <f t="shared" si="22"/>
        <v>0</v>
      </c>
      <c r="AO71" s="95">
        <f t="shared" si="40"/>
        <v>0</v>
      </c>
      <c r="AP71" s="90"/>
      <c r="AQ71" s="18"/>
      <c r="AR71" s="290"/>
      <c r="AS71" s="467" t="s">
        <v>133</v>
      </c>
      <c r="AT71" s="501">
        <f t="shared" si="31"/>
        <v>0</v>
      </c>
      <c r="AU71" s="502"/>
      <c r="AV71" s="95">
        <f t="shared" si="32"/>
        <v>0</v>
      </c>
      <c r="AW71" s="469" t="str">
        <f t="shared" si="23"/>
        <v>N/A</v>
      </c>
      <c r="AX71" s="290"/>
      <c r="AY71" s="18"/>
      <c r="AZ71" s="3"/>
      <c r="BA71" s="315"/>
      <c r="BB71" s="3"/>
      <c r="BC71" s="3"/>
      <c r="BD71" s="3"/>
      <c r="BE71" s="3"/>
      <c r="BF71" s="18"/>
      <c r="BG71" s="3"/>
      <c r="BH71" s="315"/>
      <c r="BI71" s="3"/>
      <c r="BJ71" s="3"/>
      <c r="BK71" s="3"/>
      <c r="BL71" s="3"/>
      <c r="BM71" s="18"/>
      <c r="BN71" s="3"/>
      <c r="BO71" s="315"/>
      <c r="BP71" s="3"/>
      <c r="BQ71" s="3"/>
      <c r="BR71" s="3"/>
      <c r="BS71" s="3"/>
      <c r="BT71" s="18"/>
      <c r="BU71" s="3"/>
      <c r="BV71" s="315"/>
      <c r="BW71" s="3"/>
      <c r="BX71" s="3"/>
      <c r="BY71" s="3"/>
      <c r="BZ71" s="3"/>
    </row>
    <row r="72" spans="1:82" ht="15.6" outlineLevel="1">
      <c r="A72" s="7"/>
      <c r="B72" s="376"/>
      <c r="C72" s="376"/>
      <c r="D72" s="376"/>
      <c r="E72" s="342"/>
      <c r="F72" s="290"/>
      <c r="G72" s="290"/>
      <c r="H72" s="290"/>
      <c r="I72" s="290"/>
      <c r="J72" s="290"/>
      <c r="K72" s="290"/>
      <c r="L72" s="18"/>
      <c r="M72" s="7"/>
      <c r="N72" s="7"/>
      <c r="O72" s="7"/>
      <c r="P72" s="7"/>
      <c r="Q72" s="7"/>
      <c r="R72" s="7"/>
      <c r="S72" s="294"/>
      <c r="T72" s="294"/>
      <c r="U72" s="294"/>
      <c r="V72" s="294"/>
      <c r="W72" s="294"/>
      <c r="X72" s="7"/>
      <c r="Y72" s="7"/>
      <c r="Z72" s="294"/>
      <c r="AA72" s="377"/>
      <c r="AB72" s="294"/>
      <c r="AC72" s="294"/>
      <c r="AD72" s="294"/>
      <c r="AE72" s="294"/>
      <c r="AF72" s="7"/>
      <c r="AG72" s="294"/>
      <c r="AH72" s="294"/>
      <c r="AI72" s="7"/>
      <c r="AJ72" s="294"/>
      <c r="AK72" s="294"/>
      <c r="AL72" s="7"/>
      <c r="AM72" s="294"/>
      <c r="AN72" s="294"/>
      <c r="AO72" s="294"/>
      <c r="AP72" s="294"/>
      <c r="AQ72" s="18"/>
      <c r="AR72" s="378"/>
      <c r="AS72" s="378"/>
      <c r="AT72" s="378"/>
      <c r="AU72" s="81"/>
      <c r="AV72" s="378"/>
      <c r="AW72" s="7"/>
      <c r="AX72" s="378"/>
      <c r="AY72" s="18"/>
      <c r="AZ72" s="3"/>
      <c r="BA72" s="315"/>
      <c r="BB72" s="3"/>
      <c r="BC72" s="3"/>
      <c r="BD72" s="3"/>
      <c r="BE72" s="3"/>
      <c r="BF72" s="18"/>
      <c r="BG72" s="3"/>
      <c r="BH72" s="315"/>
      <c r="BI72" s="3"/>
      <c r="BJ72" s="3"/>
      <c r="BK72" s="3"/>
      <c r="BL72" s="3"/>
      <c r="BM72" s="18"/>
      <c r="BN72" s="3"/>
      <c r="BO72" s="315"/>
      <c r="BP72" s="3"/>
      <c r="BQ72" s="3"/>
      <c r="BR72" s="3"/>
      <c r="BS72" s="3"/>
      <c r="BT72" s="18"/>
      <c r="BU72" s="3"/>
      <c r="BV72" s="315"/>
      <c r="BW72" s="3"/>
      <c r="BX72" s="3"/>
      <c r="BY72" s="3"/>
      <c r="BZ72" s="3"/>
    </row>
    <row r="73" spans="1:82" s="389" customFormat="1">
      <c r="A73" s="390"/>
      <c r="B73" s="390"/>
      <c r="C73" s="390"/>
      <c r="D73" s="390"/>
      <c r="E73" s="390"/>
      <c r="F73" s="390"/>
      <c r="G73" s="390"/>
      <c r="H73" s="390"/>
      <c r="I73" s="390"/>
      <c r="J73" s="390"/>
      <c r="K73" s="390"/>
      <c r="L73" s="390"/>
      <c r="M73" s="392"/>
      <c r="N73" s="392"/>
      <c r="O73" s="392"/>
      <c r="P73" s="392"/>
      <c r="Q73" s="392"/>
      <c r="R73" s="392"/>
      <c r="S73" s="392"/>
      <c r="T73" s="392"/>
      <c r="U73" s="392"/>
      <c r="V73" s="392"/>
      <c r="W73" s="392"/>
      <c r="X73" s="392"/>
      <c r="Y73" s="392"/>
      <c r="Z73" s="392"/>
      <c r="AA73" s="320"/>
      <c r="AB73" s="321"/>
      <c r="AC73" s="322"/>
      <c r="AD73" s="322"/>
      <c r="AE73" s="322"/>
      <c r="AF73" s="322"/>
      <c r="AG73" s="322"/>
      <c r="AH73" s="322"/>
      <c r="AI73" s="322"/>
      <c r="AJ73" s="323"/>
      <c r="AK73" s="322"/>
      <c r="AL73" s="322"/>
      <c r="AM73" s="322"/>
      <c r="AN73" s="323"/>
      <c r="AO73" s="323"/>
      <c r="AP73" s="323"/>
      <c r="AR73" s="390"/>
      <c r="AS73" s="390"/>
      <c r="AT73" s="390"/>
      <c r="AU73" s="390"/>
      <c r="AV73" s="390"/>
      <c r="AW73" s="390"/>
      <c r="AX73" s="390"/>
      <c r="AZ73" s="390"/>
      <c r="BA73" s="390"/>
      <c r="BB73" s="390"/>
      <c r="BC73" s="390"/>
      <c r="BD73" s="390"/>
      <c r="BE73" s="390"/>
      <c r="BF73" s="390"/>
      <c r="BG73" s="390"/>
      <c r="BH73" s="390"/>
      <c r="BI73" s="390"/>
      <c r="BJ73" s="390"/>
      <c r="BK73" s="390"/>
      <c r="BL73" s="390"/>
      <c r="BM73" s="390"/>
      <c r="BN73" s="390"/>
      <c r="BO73" s="390"/>
      <c r="BP73" s="390"/>
      <c r="BQ73" s="390"/>
      <c r="BR73" s="390"/>
      <c r="BS73" s="390"/>
      <c r="BT73" s="390"/>
      <c r="BU73" s="390"/>
      <c r="BV73" s="390"/>
      <c r="BW73" s="390"/>
      <c r="BX73" s="390"/>
      <c r="BY73" s="390"/>
      <c r="BZ73" s="390"/>
      <c r="CA73" s="390"/>
      <c r="CB73" s="390"/>
      <c r="CC73" s="390"/>
      <c r="CD73" s="390"/>
    </row>
    <row r="74" spans="1:82" s="325" customFormat="1" ht="15.6">
      <c r="A74" s="480"/>
      <c r="B74" s="507" t="s">
        <v>156</v>
      </c>
      <c r="C74" s="507"/>
      <c r="D74" s="324"/>
      <c r="E74" s="342"/>
      <c r="F74" s="290"/>
      <c r="G74" s="79"/>
      <c r="H74" s="326"/>
      <c r="I74" s="326"/>
      <c r="J74" s="80"/>
      <c r="K74" s="290"/>
      <c r="L74" s="342"/>
      <c r="M74" s="2"/>
      <c r="N74" s="7"/>
      <c r="O74" s="7"/>
      <c r="P74" s="77"/>
      <c r="Q74" s="77"/>
      <c r="R74" s="77"/>
      <c r="S74" s="77"/>
      <c r="T74" s="77"/>
      <c r="U74" s="77"/>
      <c r="V74" s="77"/>
      <c r="W74" s="77"/>
      <c r="X74" s="77"/>
      <c r="Y74" s="77"/>
      <c r="Z74" s="2"/>
      <c r="AA74" s="304"/>
      <c r="AB74" s="7"/>
      <c r="AC74" s="13"/>
      <c r="AD74" s="13"/>
      <c r="AE74" s="13"/>
      <c r="AF74" s="13"/>
      <c r="AG74" s="13"/>
      <c r="AH74" s="13"/>
      <c r="AI74" s="13"/>
      <c r="AJ74" s="70"/>
      <c r="AK74" s="70"/>
      <c r="AL74" s="13"/>
      <c r="AM74" s="13"/>
      <c r="AN74" s="70"/>
      <c r="AO74" s="70"/>
      <c r="AP74" s="7"/>
      <c r="AQ74" s="342"/>
      <c r="AR74" s="290"/>
      <c r="AS74" s="290"/>
      <c r="AT74" s="290"/>
      <c r="AU74" s="290"/>
      <c r="AV74" s="290"/>
      <c r="AW74" s="290"/>
      <c r="AX74" s="290"/>
      <c r="AY74" s="342"/>
      <c r="AZ74" s="3"/>
      <c r="BA74" s="315"/>
      <c r="BB74" s="3"/>
      <c r="BC74" s="3"/>
      <c r="BD74" s="3"/>
      <c r="BE74" s="3"/>
      <c r="BF74" s="342"/>
      <c r="BG74" s="3"/>
      <c r="BH74" s="315"/>
      <c r="BI74" s="3"/>
      <c r="BJ74" s="3"/>
      <c r="BK74" s="3"/>
      <c r="BL74" s="3"/>
      <c r="BM74" s="342"/>
      <c r="BN74" s="3"/>
      <c r="BO74" s="315"/>
      <c r="BP74" s="3"/>
      <c r="BQ74" s="3"/>
      <c r="BR74" s="3"/>
      <c r="BS74" s="3"/>
      <c r="BT74" s="342"/>
      <c r="BU74" s="3"/>
      <c r="BV74" s="315"/>
      <c r="BW74" s="3"/>
      <c r="BX74" s="3"/>
      <c r="BY74" s="3"/>
      <c r="BZ74" s="3"/>
      <c r="CA74" s="342"/>
      <c r="CB74" s="342"/>
      <c r="CC74" s="342"/>
      <c r="CD74" s="342"/>
    </row>
    <row r="75" spans="1:82" s="325" customFormat="1" ht="15.6">
      <c r="A75" s="480"/>
      <c r="B75" s="507"/>
      <c r="C75" s="507"/>
      <c r="D75" s="324"/>
      <c r="E75" s="342"/>
      <c r="F75" s="290"/>
      <c r="G75" s="79"/>
      <c r="H75" s="326"/>
      <c r="I75" s="326"/>
      <c r="J75" s="80"/>
      <c r="K75" s="290"/>
      <c r="L75" s="342"/>
      <c r="M75" s="2"/>
      <c r="N75" s="13" t="s">
        <v>78</v>
      </c>
      <c r="O75" s="395" t="s">
        <v>79</v>
      </c>
      <c r="P75" s="395" t="s">
        <v>80</v>
      </c>
      <c r="Q75" s="77"/>
      <c r="R75" s="77"/>
      <c r="S75" s="77"/>
      <c r="T75" s="77"/>
      <c r="U75" s="13" t="s">
        <v>81</v>
      </c>
      <c r="V75" s="428" t="str">
        <f>_xlfn.CONCAT("DELIVERY COST (",BillingCountryCurrency,")")</f>
        <v>DELIVERY COST (USD)</v>
      </c>
      <c r="W75" s="428" t="str">
        <f>_xlfn.CONCAT("DELIVERY COST (",IF(ISBLANK(BusinessCurrency),"N/A",BusinessCurrency),")")</f>
        <v>DELIVERY COST (N/A)</v>
      </c>
      <c r="X75" s="77"/>
      <c r="Y75" s="77"/>
      <c r="Z75" s="2"/>
      <c r="AA75" s="304"/>
      <c r="AB75" s="7"/>
      <c r="AC75" s="13" t="s">
        <v>82</v>
      </c>
      <c r="AD75" s="428" t="str">
        <f>_xlfn.CONCAT("PRICING (",BillingCountryCurrency,")")</f>
        <v>PRICING (USD)</v>
      </c>
      <c r="AE75" s="428" t="str">
        <f>_xlfn.CONCAT("PRICING (",IF(ISBLANK(BusinessCurrency),"N/A",BusinessCurrency),")")</f>
        <v>PRICING (N/A)</v>
      </c>
      <c r="AF75" s="70" t="s">
        <v>14</v>
      </c>
      <c r="AG75" s="428" t="str">
        <f>_xlfn.CONCAT("Intercompany (",BillingCountryCurrency,")")</f>
        <v>Intercompany (USD)</v>
      </c>
      <c r="AH75" s="428" t="str">
        <f>_xlfn.CONCAT("Intercompany (",IF(ISBLANK(BusinessCurrency),"N/A",BusinessCurrency),")")</f>
        <v>Intercompany (N/A)</v>
      </c>
      <c r="AI75" s="70" t="s">
        <v>14</v>
      </c>
      <c r="AJ75" s="428" t="str">
        <f>_xlfn.CONCAT("WHT (",BillingCountryCurrency,")")</f>
        <v>WHT (USD)</v>
      </c>
      <c r="AK75" s="428" t="str">
        <f>_xlfn.CONCAT("WHT (",IF(ISBLANK(BusinessCurrency),"N/A",BusinessCurrency),")")</f>
        <v>WHT (N/A)</v>
      </c>
      <c r="AL75" s="70"/>
      <c r="AM75" s="70" t="s">
        <v>15</v>
      </c>
      <c r="AN75" s="428" t="str">
        <f>_xlfn.CONCAT("SUBTOTAL PRICE (",BillingCountryCurrency,")")</f>
        <v>SUBTOTAL PRICE (USD)</v>
      </c>
      <c r="AO75" s="428" t="str">
        <f>_xlfn.CONCAT("SUBTOTAL PRICE (",IF(ISBLANK(BusinessCurrency),"N/A",BusinessCurrency),")")</f>
        <v>SUBTOTAL PRICE (N/A)</v>
      </c>
      <c r="AP75" s="7"/>
      <c r="AQ75" s="342"/>
      <c r="AR75" s="290"/>
      <c r="AS75" s="13" t="s">
        <v>83</v>
      </c>
      <c r="AT75" s="290"/>
      <c r="AU75" s="100"/>
      <c r="AV75" s="417"/>
      <c r="AW75" s="417"/>
      <c r="AX75" s="290"/>
      <c r="AY75" s="342"/>
      <c r="AZ75" s="3"/>
      <c r="BA75" s="315"/>
      <c r="BB75" s="3"/>
      <c r="BC75" s="3"/>
      <c r="BD75" s="3"/>
      <c r="BE75" s="3"/>
      <c r="BF75" s="342"/>
      <c r="BG75" s="3"/>
      <c r="BH75" s="315"/>
      <c r="BI75" s="3"/>
      <c r="BJ75" s="3"/>
      <c r="BK75" s="3"/>
      <c r="BL75" s="3"/>
      <c r="BM75" s="342"/>
      <c r="BN75" s="3"/>
      <c r="BO75" s="315"/>
      <c r="BP75" s="3"/>
      <c r="BQ75" s="3"/>
      <c r="BR75" s="3"/>
      <c r="BS75" s="3"/>
      <c r="BT75" s="342"/>
      <c r="BU75" s="3"/>
      <c r="BV75" s="315"/>
      <c r="BW75" s="3"/>
      <c r="BX75" s="3"/>
      <c r="BY75" s="3"/>
      <c r="BZ75" s="3"/>
      <c r="CA75" s="342"/>
      <c r="CB75" s="342"/>
      <c r="CC75" s="342"/>
      <c r="CD75" s="342"/>
    </row>
    <row r="76" spans="1:82" s="325" customFormat="1" ht="15.6">
      <c r="A76" s="480"/>
      <c r="B76" s="507"/>
      <c r="C76" s="507"/>
      <c r="D76" s="324"/>
      <c r="E76" s="342"/>
      <c r="F76" s="290"/>
      <c r="G76" s="79"/>
      <c r="H76" s="326"/>
      <c r="I76" s="326"/>
      <c r="J76" s="80"/>
      <c r="K76" s="290"/>
      <c r="L76" s="342"/>
      <c r="M76" s="2"/>
      <c r="N76" s="79" t="s">
        <v>84</v>
      </c>
      <c r="O76" s="103">
        <f>SUMIF($P90:$P121,"&lt;&gt;*Project Management*",$T90:$T121)</f>
        <v>0</v>
      </c>
      <c r="P76" s="396">
        <f>IFERROR(O76/O79,0)</f>
        <v>0</v>
      </c>
      <c r="Q76" s="82"/>
      <c r="R76" s="77"/>
      <c r="S76" s="77"/>
      <c r="T76" s="77"/>
      <c r="U76" s="4" t="s">
        <v>24</v>
      </c>
      <c r="V76" s="328">
        <f>SUMIF(P90:P121,"&lt;&gt;*Project Management*",W90:W121)</f>
        <v>0</v>
      </c>
      <c r="W76" s="425" t="str">
        <f t="shared" ref="W76:W85" si="42">IFERROR(V76/BusinessCurrencyTRM,"N/A")</f>
        <v>N/A</v>
      </c>
      <c r="X76" s="7"/>
      <c r="Y76" s="7" t="s">
        <v>85</v>
      </c>
      <c r="Z76" s="2"/>
      <c r="AA76" s="304"/>
      <c r="AB76" s="7"/>
      <c r="AC76" s="4" t="s">
        <v>24</v>
      </c>
      <c r="AD76" s="329">
        <f>SUMIF(P90:P121,"&lt;&gt;*Project Management*",AD90:AD121)</f>
        <v>0</v>
      </c>
      <c r="AE76" s="425" t="str">
        <f t="shared" ref="AE76:AE85" si="43">IFERROR(AD76/BusinessCurrencyTRM,"N/A")</f>
        <v>N/A</v>
      </c>
      <c r="AF76" s="330"/>
      <c r="AG76" s="328">
        <f>SUMIF(P90:P121,"&lt;&gt;*Project Management*",AH90:AH121)</f>
        <v>0</v>
      </c>
      <c r="AH76" s="449" t="str">
        <f t="shared" ref="AH76:AH85" si="44">IFERROR(AG76/BusinessCurrencyTRM,"N/A")</f>
        <v>N/A</v>
      </c>
      <c r="AI76" s="330"/>
      <c r="AJ76" s="328">
        <f>SUMIF(P90:P121,"&lt;&gt;*Project Management*",AK90:AK121)</f>
        <v>0</v>
      </c>
      <c r="AK76" s="425" t="str">
        <f t="shared" ref="AK76:AK85" si="45">IFERROR(AJ76/BusinessCurrencyTRM,"N/A")</f>
        <v>N/A</v>
      </c>
      <c r="AL76" s="330"/>
      <c r="AM76" s="330"/>
      <c r="AN76" s="329">
        <f>SUM(AD76,AG76,AJ76)</f>
        <v>0</v>
      </c>
      <c r="AO76" s="425" t="str">
        <f t="shared" ref="AO76:AO85" si="46">IFERROR(AN76/BusinessCurrencyTRM,"N/A")</f>
        <v>N/A</v>
      </c>
      <c r="AP76" s="7"/>
      <c r="AQ76" s="342"/>
      <c r="AR76" s="290"/>
      <c r="AS76" s="402" t="s">
        <v>86</v>
      </c>
      <c r="AT76" s="290"/>
      <c r="AU76" s="81"/>
      <c r="AV76" s="508">
        <v>0.35</v>
      </c>
      <c r="AW76" s="508"/>
      <c r="AX76" s="290"/>
      <c r="AY76" s="342"/>
      <c r="AZ76" s="3"/>
      <c r="BA76" s="315"/>
      <c r="BB76" s="3"/>
      <c r="BC76" s="3"/>
      <c r="BD76" s="3"/>
      <c r="BE76" s="3"/>
      <c r="BF76" s="342"/>
      <c r="BG76" s="3"/>
      <c r="BH76" s="315"/>
      <c r="BI76" s="3"/>
      <c r="BJ76" s="3"/>
      <c r="BK76" s="3"/>
      <c r="BL76" s="3"/>
      <c r="BM76" s="342"/>
      <c r="BN76" s="3"/>
      <c r="BO76" s="315"/>
      <c r="BP76" s="3"/>
      <c r="BQ76" s="3"/>
      <c r="BR76" s="3"/>
      <c r="BS76" s="3"/>
      <c r="BT76" s="342"/>
      <c r="BU76" s="3"/>
      <c r="BV76" s="315"/>
      <c r="BW76" s="3"/>
      <c r="BX76" s="3"/>
      <c r="BY76" s="3"/>
      <c r="BZ76" s="3"/>
      <c r="CA76" s="342"/>
      <c r="CB76" s="342"/>
      <c r="CC76" s="342"/>
      <c r="CD76" s="342"/>
    </row>
    <row r="77" spans="1:82" s="325" customFormat="1" ht="16.149999999999999" thickBot="1">
      <c r="A77" s="480"/>
      <c r="B77" s="507"/>
      <c r="C77" s="507"/>
      <c r="D77" s="324"/>
      <c r="E77" s="342"/>
      <c r="F77" s="290"/>
      <c r="G77" s="79"/>
      <c r="H77" s="326"/>
      <c r="I77" s="326"/>
      <c r="J77" s="80"/>
      <c r="K77" s="290"/>
      <c r="L77" s="342"/>
      <c r="M77" s="2"/>
      <c r="N77" s="79" t="s">
        <v>87</v>
      </c>
      <c r="O77" s="103">
        <f>SUMIF($P90:$P121,"=*Project Management*",$T90:T121)</f>
        <v>0</v>
      </c>
      <c r="P77" s="396">
        <f>IFERROR(O77/O79,0)</f>
        <v>0</v>
      </c>
      <c r="Q77" s="82"/>
      <c r="R77" s="77"/>
      <c r="S77" s="77"/>
      <c r="T77" s="77"/>
      <c r="U77" s="4" t="s">
        <v>30</v>
      </c>
      <c r="V77" s="328">
        <f>SUMIF(P90:P121,"=*Project Management*",W90:W121)</f>
        <v>0</v>
      </c>
      <c r="W77" s="425" t="str">
        <f t="shared" si="42"/>
        <v>N/A</v>
      </c>
      <c r="X77" s="7"/>
      <c r="Y77" s="7" t="s">
        <v>88</v>
      </c>
      <c r="Z77" s="2"/>
      <c r="AA77" s="304"/>
      <c r="AB77" s="7"/>
      <c r="AC77" s="4" t="s">
        <v>30</v>
      </c>
      <c r="AD77" s="329">
        <f>SUMIF(P90:P121,"=*Project Management*",AD90:AD121)</f>
        <v>0</v>
      </c>
      <c r="AE77" s="425" t="str">
        <f t="shared" si="43"/>
        <v>N/A</v>
      </c>
      <c r="AF77" s="330"/>
      <c r="AG77" s="328">
        <f>SUMIF(P90:P121,"=*Project Management*",AH90:AH121)</f>
        <v>0</v>
      </c>
      <c r="AH77" s="447" t="str">
        <f t="shared" si="44"/>
        <v>N/A</v>
      </c>
      <c r="AI77" s="330"/>
      <c r="AJ77" s="448">
        <f>SUMIF(P90:P121,"=*Project Management*",AK90:AK121)</f>
        <v>0</v>
      </c>
      <c r="AK77" s="425" t="str">
        <f t="shared" si="45"/>
        <v>N/A</v>
      </c>
      <c r="AL77" s="330"/>
      <c r="AM77" s="330"/>
      <c r="AN77" s="329">
        <f t="shared" ref="AN77:AN85" si="47">SUM(AD77,AG77,AJ77)</f>
        <v>0</v>
      </c>
      <c r="AO77" s="425" t="str">
        <f t="shared" si="46"/>
        <v>N/A</v>
      </c>
      <c r="AP77" s="7"/>
      <c r="AQ77" s="342"/>
      <c r="AR77" s="290"/>
      <c r="AS77" s="402" t="s">
        <v>89</v>
      </c>
      <c r="AT77" s="290"/>
      <c r="AU77" s="81"/>
      <c r="AV77" s="509">
        <f>IFERROR(1-AV79/AV80,0)</f>
        <v>0</v>
      </c>
      <c r="AW77" s="509"/>
      <c r="AX77" s="290"/>
      <c r="AY77" s="342"/>
      <c r="AZ77" s="3"/>
      <c r="BA77" s="315"/>
      <c r="BB77" s="3"/>
      <c r="BC77" s="3"/>
      <c r="BD77" s="3"/>
      <c r="BE77" s="3"/>
      <c r="BF77" s="342"/>
      <c r="BG77" s="3"/>
      <c r="BH77" s="315"/>
      <c r="BI77" s="3"/>
      <c r="BJ77" s="3"/>
      <c r="BK77" s="3"/>
      <c r="BL77" s="3"/>
      <c r="BM77" s="342"/>
      <c r="BN77" s="3"/>
      <c r="BO77" s="315"/>
      <c r="BP77" s="3"/>
      <c r="BQ77" s="3"/>
      <c r="BR77" s="3"/>
      <c r="BS77" s="3"/>
      <c r="BT77" s="342"/>
      <c r="BU77" s="3"/>
      <c r="BV77" s="315"/>
      <c r="BW77" s="3"/>
      <c r="BX77" s="3"/>
      <c r="BY77" s="3"/>
      <c r="BZ77" s="3"/>
      <c r="CA77" s="342"/>
      <c r="CB77" s="342"/>
      <c r="CC77" s="342"/>
      <c r="CD77" s="342"/>
    </row>
    <row r="78" spans="1:82" s="325" customFormat="1" ht="16.899999999999999" thickTop="1" thickBot="1">
      <c r="A78" s="480"/>
      <c r="B78" s="507"/>
      <c r="C78" s="507"/>
      <c r="D78" s="324"/>
      <c r="E78" s="342"/>
      <c r="F78" s="290"/>
      <c r="G78" s="79"/>
      <c r="H78" s="326"/>
      <c r="I78" s="326"/>
      <c r="J78" s="80"/>
      <c r="K78" s="290"/>
      <c r="L78" s="342"/>
      <c r="M78" s="2"/>
      <c r="N78" s="79" t="s">
        <v>90</v>
      </c>
      <c r="O78" s="103">
        <f>IF(Approach="Team-Based",SUM(O76:O77)*$O81,$J88-$G88)</f>
        <v>0</v>
      </c>
      <c r="P78" s="396">
        <f>IFERROR(O78/O79,0)</f>
        <v>0</v>
      </c>
      <c r="Q78" s="77"/>
      <c r="R78" s="77"/>
      <c r="S78" s="77"/>
      <c r="T78" s="77"/>
      <c r="U78" s="13" t="s">
        <v>35</v>
      </c>
      <c r="V78" s="84">
        <f>SUM(V76:V77)</f>
        <v>0</v>
      </c>
      <c r="W78" s="426" t="str">
        <f t="shared" si="42"/>
        <v>N/A</v>
      </c>
      <c r="X78" s="77"/>
      <c r="Y78" s="77"/>
      <c r="Z78" s="2"/>
      <c r="AA78" s="304"/>
      <c r="AB78" s="7"/>
      <c r="AC78" s="13" t="s">
        <v>35</v>
      </c>
      <c r="AD78" s="84">
        <f>SUM(AD76:AD77)</f>
        <v>0</v>
      </c>
      <c r="AE78" s="426" t="str">
        <f t="shared" si="43"/>
        <v>N/A</v>
      </c>
      <c r="AF78" s="330"/>
      <c r="AG78" s="84">
        <f>SUM(AG76:AG77)</f>
        <v>0</v>
      </c>
      <c r="AH78" s="450" t="str">
        <f t="shared" si="44"/>
        <v>N/A</v>
      </c>
      <c r="AI78" s="330"/>
      <c r="AJ78" s="84">
        <f>SUM(AJ76:AJ77)</f>
        <v>0</v>
      </c>
      <c r="AK78" s="426" t="str">
        <f t="shared" si="45"/>
        <v>N/A</v>
      </c>
      <c r="AL78" s="330"/>
      <c r="AM78" s="330"/>
      <c r="AN78" s="84">
        <f t="shared" si="47"/>
        <v>0</v>
      </c>
      <c r="AO78" s="426" t="str">
        <f t="shared" si="46"/>
        <v>N/A</v>
      </c>
      <c r="AP78" s="7"/>
      <c r="AQ78" s="342"/>
      <c r="AR78" s="290"/>
      <c r="AS78" s="81"/>
      <c r="AT78" s="81"/>
      <c r="AU78" s="81"/>
      <c r="AV78" s="417" t="str">
        <f>BillingCountryCurrency</f>
        <v>USD</v>
      </c>
      <c r="AW78" s="417" t="str">
        <f>IF(ISBLANK(BusinessCurrency),"N/A",BusinessCurrency)</f>
        <v>N/A</v>
      </c>
      <c r="AX78" s="290"/>
      <c r="AY78" s="342"/>
      <c r="AZ78" s="3"/>
      <c r="BA78" s="315"/>
      <c r="BB78" s="3"/>
      <c r="BC78" s="3"/>
      <c r="BD78" s="3"/>
      <c r="BE78" s="3"/>
      <c r="BF78" s="342"/>
      <c r="BG78" s="3"/>
      <c r="BH78" s="315"/>
      <c r="BI78" s="3"/>
      <c r="BJ78" s="3"/>
      <c r="BK78" s="3"/>
      <c r="BL78" s="3"/>
      <c r="BM78" s="342"/>
      <c r="BN78" s="3"/>
      <c r="BO78" s="315"/>
      <c r="BP78" s="3"/>
      <c r="BQ78" s="3"/>
      <c r="BR78" s="3"/>
      <c r="BS78" s="3"/>
      <c r="BT78" s="342"/>
      <c r="BU78" s="3"/>
      <c r="BV78" s="315"/>
      <c r="BW78" s="3"/>
      <c r="BX78" s="3"/>
      <c r="BY78" s="3"/>
      <c r="BZ78" s="3"/>
      <c r="CA78" s="342"/>
      <c r="CB78" s="342"/>
      <c r="CC78" s="342"/>
      <c r="CD78" s="342"/>
    </row>
    <row r="79" spans="1:82" s="325" customFormat="1" ht="16.149999999999999" thickTop="1">
      <c r="A79" s="480"/>
      <c r="B79" s="507"/>
      <c r="C79" s="507"/>
      <c r="D79" s="324"/>
      <c r="E79" s="342"/>
      <c r="F79" s="290"/>
      <c r="G79" s="79"/>
      <c r="H79" s="326"/>
      <c r="I79" s="326"/>
      <c r="J79" s="80"/>
      <c r="K79" s="290"/>
      <c r="L79" s="342"/>
      <c r="M79" s="2"/>
      <c r="N79" s="83" t="s">
        <v>91</v>
      </c>
      <c r="O79" s="102">
        <f>SUM(O76:O78)</f>
        <v>0</v>
      </c>
      <c r="P79" s="397">
        <f>SUM(P76:P78)</f>
        <v>0</v>
      </c>
      <c r="Q79" s="77"/>
      <c r="R79" s="77"/>
      <c r="S79" s="77"/>
      <c r="T79" s="77"/>
      <c r="U79" s="4" t="s">
        <v>47</v>
      </c>
      <c r="V79" s="328">
        <f>ROUNDUP(V78*O81,2)</f>
        <v>0</v>
      </c>
      <c r="W79" s="425" t="str">
        <f t="shared" si="42"/>
        <v>N/A</v>
      </c>
      <c r="X79" s="7"/>
      <c r="Y79" s="7" t="s">
        <v>92</v>
      </c>
      <c r="Z79" s="2"/>
      <c r="AA79" s="304"/>
      <c r="AB79" s="7"/>
      <c r="AC79" s="4" t="s">
        <v>47</v>
      </c>
      <c r="AD79" s="328">
        <f>ROUNDUP(V79/(1-$AV$76),2)</f>
        <v>0</v>
      </c>
      <c r="AE79" s="425" t="str">
        <f t="shared" si="43"/>
        <v>N/A</v>
      </c>
      <c r="AF79" s="330"/>
      <c r="AG79" s="328">
        <f>IFERROR(V79*MAX(AG90:AG121),0)</f>
        <v>0</v>
      </c>
      <c r="AH79" s="449" t="str">
        <f t="shared" si="44"/>
        <v>N/A</v>
      </c>
      <c r="AI79" s="330"/>
      <c r="AJ79" s="328">
        <f>IFERROR(SUM(V79,AG79)*MAX(AJ90:AJ121),0)</f>
        <v>0</v>
      </c>
      <c r="AK79" s="425" t="str">
        <f t="shared" si="45"/>
        <v>N/A</v>
      </c>
      <c r="AL79" s="330"/>
      <c r="AM79" s="330"/>
      <c r="AN79" s="329">
        <f t="shared" si="47"/>
        <v>0</v>
      </c>
      <c r="AO79" s="425" t="str">
        <f t="shared" si="46"/>
        <v>N/A</v>
      </c>
      <c r="AP79" s="7"/>
      <c r="AQ79" s="342"/>
      <c r="AR79" s="290"/>
      <c r="AS79" s="402" t="s">
        <v>93</v>
      </c>
      <c r="AT79" s="290"/>
      <c r="AU79" s="81"/>
      <c r="AV79" s="298">
        <f>SUM(V85,AG85,AJ85)</f>
        <v>0</v>
      </c>
      <c r="AW79" s="418" t="str">
        <f>IFERROR(AV79/BusinessCurrencyTRM,"N/A")</f>
        <v>N/A</v>
      </c>
      <c r="AX79" s="290"/>
      <c r="AY79" s="342"/>
      <c r="AZ79" s="3"/>
      <c r="BA79" s="315"/>
      <c r="BB79" s="3"/>
      <c r="BC79" s="3"/>
      <c r="BD79" s="3"/>
      <c r="BE79" s="3"/>
      <c r="BF79" s="342"/>
      <c r="BG79" s="3"/>
      <c r="BH79" s="315"/>
      <c r="BI79" s="3"/>
      <c r="BJ79" s="3"/>
      <c r="BK79" s="3"/>
      <c r="BL79" s="3"/>
      <c r="BM79" s="342"/>
      <c r="BN79" s="3"/>
      <c r="BO79" s="315"/>
      <c r="BP79" s="3"/>
      <c r="BQ79" s="3"/>
      <c r="BR79" s="3"/>
      <c r="BS79" s="3"/>
      <c r="BT79" s="342"/>
      <c r="BU79" s="3"/>
      <c r="BV79" s="315"/>
      <c r="BW79" s="3"/>
      <c r="BX79" s="3"/>
      <c r="BY79" s="3"/>
      <c r="BZ79" s="3"/>
      <c r="CA79" s="342"/>
      <c r="CB79" s="342"/>
      <c r="CC79" s="342"/>
      <c r="CD79" s="342"/>
    </row>
    <row r="80" spans="1:82" s="325" customFormat="1" ht="15.6">
      <c r="A80" s="480"/>
      <c r="B80" s="507"/>
      <c r="C80" s="507"/>
      <c r="D80" s="324"/>
      <c r="E80" s="342"/>
      <c r="F80" s="290"/>
      <c r="G80" s="79"/>
      <c r="H80" s="326"/>
      <c r="I80" s="326"/>
      <c r="J80" s="80"/>
      <c r="K80" s="290"/>
      <c r="L80" s="342"/>
      <c r="M80" s="2"/>
      <c r="N80" s="2"/>
      <c r="O80" s="2"/>
      <c r="P80" s="32"/>
      <c r="Q80" s="77"/>
      <c r="R80" s="77"/>
      <c r="S80" s="77"/>
      <c r="T80" s="77"/>
      <c r="U80" s="4" t="s">
        <v>50</v>
      </c>
      <c r="V80" s="328">
        <f>IFERROR(SUMIF(PayRise!A:A,B74,PayRise!J:J),0)</f>
        <v>0</v>
      </c>
      <c r="W80" s="425" t="str">
        <f t="shared" si="42"/>
        <v>N/A</v>
      </c>
      <c r="X80" s="7"/>
      <c r="Y80" s="7" t="s">
        <v>94</v>
      </c>
      <c r="Z80" s="2"/>
      <c r="AA80" s="304"/>
      <c r="AB80" s="7"/>
      <c r="AC80" s="4" t="s">
        <v>50</v>
      </c>
      <c r="AD80" s="328">
        <f>IFERROR(SUMIF(PayRise!A:A,B74,PayRise!K:K),0)</f>
        <v>0</v>
      </c>
      <c r="AE80" s="425" t="str">
        <f t="shared" si="43"/>
        <v>N/A</v>
      </c>
      <c r="AF80" s="330"/>
      <c r="AG80" s="328">
        <f>IFERROR(SUMIF(PayRise!A:A,B74,PayRise!L:L),0)</f>
        <v>0</v>
      </c>
      <c r="AH80" s="445" t="str">
        <f t="shared" si="44"/>
        <v>N/A</v>
      </c>
      <c r="AI80" s="330"/>
      <c r="AJ80" s="446">
        <f>IFERROR(SUMIF(PayRise!A:A,B74,PayRise!M:M),0)</f>
        <v>0</v>
      </c>
      <c r="AK80" s="425" t="str">
        <f t="shared" si="45"/>
        <v>N/A</v>
      </c>
      <c r="AL80" s="330"/>
      <c r="AM80" s="330"/>
      <c r="AN80" s="329">
        <f t="shared" si="47"/>
        <v>0</v>
      </c>
      <c r="AO80" s="425" t="str">
        <f t="shared" si="46"/>
        <v>N/A</v>
      </c>
      <c r="AP80" s="7"/>
      <c r="AQ80" s="342"/>
      <c r="AR80" s="290"/>
      <c r="AS80" s="402" t="s">
        <v>95</v>
      </c>
      <c r="AT80" s="290"/>
      <c r="AU80" s="100"/>
      <c r="AV80" s="298">
        <f>AN85</f>
        <v>0</v>
      </c>
      <c r="AW80" s="418" t="str">
        <f>IFERROR(AV80/BusinessCurrencyTRM,"N/A")</f>
        <v>N/A</v>
      </c>
      <c r="AX80" s="290"/>
      <c r="AY80" s="342"/>
      <c r="AZ80" s="3"/>
      <c r="BA80" s="315"/>
      <c r="BB80" s="3"/>
      <c r="BC80" s="3"/>
      <c r="BD80" s="3"/>
      <c r="BE80" s="3"/>
      <c r="BF80" s="342"/>
      <c r="BG80" s="3"/>
      <c r="BH80" s="315"/>
      <c r="BI80" s="3"/>
      <c r="BJ80" s="3"/>
      <c r="BK80" s="3"/>
      <c r="BL80" s="3"/>
      <c r="BM80" s="342"/>
      <c r="BN80" s="3"/>
      <c r="BO80" s="315"/>
      <c r="BP80" s="3"/>
      <c r="BQ80" s="3"/>
      <c r="BR80" s="3"/>
      <c r="BS80" s="3"/>
      <c r="BT80" s="342"/>
      <c r="BU80" s="3"/>
      <c r="BV80" s="315"/>
      <c r="BW80" s="3"/>
      <c r="BX80" s="3"/>
      <c r="BY80" s="3"/>
      <c r="BZ80" s="3"/>
      <c r="CA80" s="342"/>
      <c r="CB80" s="342"/>
      <c r="CC80" s="342"/>
      <c r="CD80" s="342"/>
    </row>
    <row r="81" spans="1:82" s="325" customFormat="1" ht="15.6">
      <c r="A81" s="480"/>
      <c r="B81" s="507"/>
      <c r="C81" s="507"/>
      <c r="D81" s="324"/>
      <c r="E81" s="342"/>
      <c r="F81" s="290"/>
      <c r="G81" s="79"/>
      <c r="H81" s="326"/>
      <c r="I81" s="326"/>
      <c r="J81" s="80"/>
      <c r="K81" s="290"/>
      <c r="L81" s="342"/>
      <c r="M81" s="2"/>
      <c r="N81" s="13" t="str">
        <f>IF(Approach="By Hours", "N/A for ByHours", "% Risks")</f>
        <v>N/A for ByHours</v>
      </c>
      <c r="O81" s="331">
        <v>0</v>
      </c>
      <c r="P81" s="32"/>
      <c r="Q81" s="77"/>
      <c r="R81" s="77"/>
      <c r="S81" s="309"/>
      <c r="T81" s="309"/>
      <c r="U81" s="4" t="s">
        <v>55</v>
      </c>
      <c r="V81" s="328">
        <f>IFERROR(SUMIFS(OtherCosts!Q:Q,OtherCosts!A:A,B74,OtherCosts!B:B,"Hardware/Software"),0)</f>
        <v>0</v>
      </c>
      <c r="W81" s="425" t="str">
        <f t="shared" si="42"/>
        <v>N/A</v>
      </c>
      <c r="X81" s="7"/>
      <c r="Y81" s="7" t="s">
        <v>96</v>
      </c>
      <c r="Z81" s="2"/>
      <c r="AA81" s="304"/>
      <c r="AB81" s="7"/>
      <c r="AC81" s="4" t="s">
        <v>55</v>
      </c>
      <c r="AD81" s="328">
        <f>IFERROR(SUMIFS(OtherCosts!R:R,OtherCosts!A:A,B74,OtherCosts!B:B,"Hardware/Software"),0)</f>
        <v>0</v>
      </c>
      <c r="AE81" s="425" t="str">
        <f t="shared" si="43"/>
        <v>N/A</v>
      </c>
      <c r="AF81" s="330"/>
      <c r="AG81" s="328">
        <f>IFERROR(SUMIFS(OtherCosts!S:S,OtherCosts!A:A,B74,OtherCosts!B:B,"Hardware/Software"),0)</f>
        <v>0</v>
      </c>
      <c r="AH81" s="445" t="str">
        <f t="shared" si="44"/>
        <v>N/A</v>
      </c>
      <c r="AI81" s="330"/>
      <c r="AJ81" s="446">
        <f>IFERROR(SUMIFS(OtherCosts!T:T,OtherCosts!A:A,B74,OtherCosts!B:B,"Hardware/Software"),0)</f>
        <v>0</v>
      </c>
      <c r="AK81" s="425" t="str">
        <f t="shared" si="45"/>
        <v>N/A</v>
      </c>
      <c r="AL81" s="330"/>
      <c r="AM81" s="330"/>
      <c r="AN81" s="329">
        <f t="shared" si="47"/>
        <v>0</v>
      </c>
      <c r="AO81" s="425" t="str">
        <f t="shared" si="46"/>
        <v>N/A</v>
      </c>
      <c r="AP81" s="7"/>
      <c r="AQ81" s="342"/>
      <c r="AR81" s="290"/>
      <c r="AS81" s="402" t="s">
        <v>97</v>
      </c>
      <c r="AT81" s="290"/>
      <c r="AU81" s="100"/>
      <c r="AV81" s="298">
        <f>IFERROR(IF(O82&lt;1,AN85,AN85/O82),0)</f>
        <v>0</v>
      </c>
      <c r="AW81" s="418" t="str">
        <f>IFERROR(AV81/BusinessCurrencyTRM,"N/A")</f>
        <v>N/A</v>
      </c>
      <c r="AX81" s="290"/>
      <c r="AY81" s="342"/>
      <c r="AZ81" s="3"/>
      <c r="BA81" s="315"/>
      <c r="BB81" s="3"/>
      <c r="BC81" s="3"/>
      <c r="BD81" s="3"/>
      <c r="BE81" s="3"/>
      <c r="BF81" s="342"/>
      <c r="BG81" s="3"/>
      <c r="BH81" s="315"/>
      <c r="BI81" s="3"/>
      <c r="BJ81" s="3"/>
      <c r="BK81" s="3"/>
      <c r="BL81" s="3"/>
      <c r="BM81" s="342"/>
      <c r="BN81" s="3"/>
      <c r="BO81" s="315"/>
      <c r="BP81" s="3"/>
      <c r="BQ81" s="3"/>
      <c r="BR81" s="3"/>
      <c r="BS81" s="3"/>
      <c r="BT81" s="342"/>
      <c r="BU81" s="3"/>
      <c r="BV81" s="315"/>
      <c r="BW81" s="3"/>
      <c r="BX81" s="3"/>
      <c r="BY81" s="3"/>
      <c r="BZ81" s="3"/>
      <c r="CA81" s="342"/>
      <c r="CB81" s="342"/>
      <c r="CC81" s="342"/>
      <c r="CD81" s="342"/>
    </row>
    <row r="82" spans="1:82" s="325" customFormat="1" ht="15.6">
      <c r="A82" s="480"/>
      <c r="B82" s="507"/>
      <c r="C82" s="507"/>
      <c r="D82" s="324"/>
      <c r="E82" s="342"/>
      <c r="F82" s="290"/>
      <c r="G82" s="79"/>
      <c r="H82" s="326"/>
      <c r="I82" s="326"/>
      <c r="J82" s="80"/>
      <c r="K82" s="290"/>
      <c r="L82" s="342"/>
      <c r="M82" s="2"/>
      <c r="N82" s="13" t="str">
        <f>IF(Approach="By Hours", "N/A for ByHours", "Duration (Months) *")</f>
        <v>N/A for ByHours</v>
      </c>
      <c r="O82" s="332">
        <v>0</v>
      </c>
      <c r="P82" s="32"/>
      <c r="Q82" s="77"/>
      <c r="R82" s="77"/>
      <c r="S82" s="309"/>
      <c r="T82" s="309"/>
      <c r="U82" s="4" t="s">
        <v>58</v>
      </c>
      <c r="V82" s="328">
        <f>IFERROR(SUMIFS(OtherCosts!Q:Q,OtherCosts!A:A,B74,OtherCosts!B:B,"Vendor"),0)</f>
        <v>0</v>
      </c>
      <c r="W82" s="425" t="str">
        <f t="shared" si="42"/>
        <v>N/A</v>
      </c>
      <c r="X82" s="7"/>
      <c r="Y82" s="7" t="s">
        <v>98</v>
      </c>
      <c r="Z82" s="2"/>
      <c r="AA82" s="304"/>
      <c r="AB82" s="7"/>
      <c r="AC82" s="4" t="s">
        <v>58</v>
      </c>
      <c r="AD82" s="328">
        <f>IFERROR(SUMIFS(OtherCosts!R:R,OtherCosts!A:A,B74,OtherCosts!B:B,"Vendor"),0)</f>
        <v>0</v>
      </c>
      <c r="AE82" s="425" t="str">
        <f t="shared" si="43"/>
        <v>N/A</v>
      </c>
      <c r="AF82" s="330"/>
      <c r="AG82" s="328">
        <f>IFERROR(SUMIFS(OtherCosts!S:S,OtherCosts!A:A,B74,OtherCosts!B:B,"Vendor"),0)</f>
        <v>0</v>
      </c>
      <c r="AH82" s="445" t="str">
        <f t="shared" si="44"/>
        <v>N/A</v>
      </c>
      <c r="AI82" s="330"/>
      <c r="AJ82" s="446">
        <f>IFERROR(SUMIFS(OtherCosts!T:T,OtherCosts!A:A,B74,OtherCosts!B:B,"Vendor"),0)</f>
        <v>0</v>
      </c>
      <c r="AK82" s="425" t="str">
        <f t="shared" si="45"/>
        <v>N/A</v>
      </c>
      <c r="AL82" s="330"/>
      <c r="AM82" s="330"/>
      <c r="AN82" s="329">
        <f t="shared" si="47"/>
        <v>0</v>
      </c>
      <c r="AO82" s="425" t="str">
        <f t="shared" si="46"/>
        <v>N/A</v>
      </c>
      <c r="AP82" s="7"/>
      <c r="AQ82" s="342"/>
      <c r="AR82" s="290"/>
      <c r="AS82" s="402" t="s">
        <v>99</v>
      </c>
      <c r="AT82" s="290"/>
      <c r="AU82" s="100"/>
      <c r="AV82" s="298">
        <f>IFERROR(AN85/T88,0)</f>
        <v>0</v>
      </c>
      <c r="AW82" s="418" t="str">
        <f>IFERROR(AV82/BusinessCurrencyTRM,"N/A")</f>
        <v>N/A</v>
      </c>
      <c r="AX82" s="290"/>
      <c r="AY82" s="342"/>
      <c r="AZ82" s="3"/>
      <c r="BA82" s="315"/>
      <c r="BB82" s="3"/>
      <c r="BC82" s="3"/>
      <c r="BD82" s="3"/>
      <c r="BE82" s="3"/>
      <c r="BF82" s="342"/>
      <c r="BG82" s="3"/>
      <c r="BH82" s="315"/>
      <c r="BI82" s="3"/>
      <c r="BJ82" s="3"/>
      <c r="BK82" s="3"/>
      <c r="BL82" s="3"/>
      <c r="BM82" s="342"/>
      <c r="BN82" s="3"/>
      <c r="BO82" s="315"/>
      <c r="BP82" s="3"/>
      <c r="BQ82" s="3"/>
      <c r="BR82" s="3"/>
      <c r="BS82" s="3"/>
      <c r="BT82" s="342"/>
      <c r="BU82" s="3"/>
      <c r="BV82" s="315"/>
      <c r="BW82" s="3"/>
      <c r="BX82" s="3"/>
      <c r="BY82" s="3"/>
      <c r="BZ82" s="3"/>
      <c r="CA82" s="342"/>
      <c r="CB82" s="342"/>
      <c r="CC82" s="342"/>
      <c r="CD82" s="342"/>
    </row>
    <row r="83" spans="1:82" s="325" customFormat="1" ht="15.6">
      <c r="A83" s="480"/>
      <c r="B83" s="507"/>
      <c r="C83" s="507"/>
      <c r="D83" s="324"/>
      <c r="E83" s="342"/>
      <c r="F83" s="290"/>
      <c r="G83" s="79"/>
      <c r="H83" s="326"/>
      <c r="I83" s="326"/>
      <c r="J83" s="80"/>
      <c r="K83" s="290"/>
      <c r="L83" s="342"/>
      <c r="M83" s="2"/>
      <c r="N83" s="83"/>
      <c r="O83" s="333"/>
      <c r="P83" s="32"/>
      <c r="Q83" s="77"/>
      <c r="R83" s="77"/>
      <c r="S83" s="309"/>
      <c r="T83" s="309"/>
      <c r="U83" s="4" t="s">
        <v>61</v>
      </c>
      <c r="V83" s="328">
        <f>IFERROR(SUMIFS(OtherCosts!Q:Q,OtherCosts!A:A,B74,OtherCosts!B:B,"Insurance"),0)</f>
        <v>0</v>
      </c>
      <c r="W83" s="425" t="str">
        <f t="shared" si="42"/>
        <v>N/A</v>
      </c>
      <c r="X83" s="7"/>
      <c r="Y83" s="7" t="s">
        <v>100</v>
      </c>
      <c r="Z83" s="2"/>
      <c r="AA83" s="304"/>
      <c r="AB83" s="7"/>
      <c r="AC83" s="4" t="s">
        <v>61</v>
      </c>
      <c r="AD83" s="328">
        <f>IFERROR(SUMIFS(OtherCosts!R:R,OtherCosts!A:A,B74,OtherCosts!B:B,"Insurance"),0)</f>
        <v>0</v>
      </c>
      <c r="AE83" s="425" t="str">
        <f t="shared" si="43"/>
        <v>N/A</v>
      </c>
      <c r="AF83" s="330"/>
      <c r="AG83" s="328">
        <f>IFERROR(SUMIFS(OtherCosts!S:S,OtherCosts!A:A,B74,OtherCosts!B:B,"Insurance"),0)</f>
        <v>0</v>
      </c>
      <c r="AH83" s="445" t="str">
        <f t="shared" si="44"/>
        <v>N/A</v>
      </c>
      <c r="AI83" s="330"/>
      <c r="AJ83" s="446">
        <f>IFERROR(SUMIFS(OtherCosts!T:T,OtherCosts!A:A,B74,OtherCosts!B:B,"Insurance"),0)</f>
        <v>0</v>
      </c>
      <c r="AK83" s="425" t="str">
        <f t="shared" si="45"/>
        <v>N/A</v>
      </c>
      <c r="AL83" s="330"/>
      <c r="AM83" s="330"/>
      <c r="AN83" s="329">
        <f t="shared" si="47"/>
        <v>0</v>
      </c>
      <c r="AO83" s="425" t="str">
        <f t="shared" si="46"/>
        <v>N/A</v>
      </c>
      <c r="AP83" s="7"/>
      <c r="AQ83" s="342"/>
      <c r="AR83" s="290"/>
      <c r="AS83" s="290"/>
      <c r="AT83" s="81"/>
      <c r="AU83" s="81"/>
      <c r="AV83" s="81"/>
      <c r="AW83" s="81"/>
      <c r="AX83" s="290"/>
      <c r="AY83" s="342"/>
      <c r="AZ83" s="3"/>
      <c r="BA83" s="315"/>
      <c r="BB83" s="3"/>
      <c r="BC83" s="3"/>
      <c r="BD83" s="3"/>
      <c r="BE83" s="3"/>
      <c r="BF83" s="342"/>
      <c r="BG83" s="3"/>
      <c r="BH83" s="315"/>
      <c r="BI83" s="3"/>
      <c r="BJ83" s="3"/>
      <c r="BK83" s="3"/>
      <c r="BL83" s="3"/>
      <c r="BM83" s="342"/>
      <c r="BN83" s="3"/>
      <c r="BO83" s="315"/>
      <c r="BP83" s="3"/>
      <c r="BQ83" s="3"/>
      <c r="BR83" s="3"/>
      <c r="BS83" s="3"/>
      <c r="BT83" s="342"/>
      <c r="BU83" s="3"/>
      <c r="BV83" s="315"/>
      <c r="BW83" s="3"/>
      <c r="BX83" s="3"/>
      <c r="BY83" s="3"/>
      <c r="BZ83" s="3"/>
      <c r="CA83" s="342"/>
      <c r="CB83" s="342"/>
      <c r="CC83" s="342"/>
      <c r="CD83" s="342"/>
    </row>
    <row r="84" spans="1:82" s="325" customFormat="1" ht="16.149999999999999" thickBot="1">
      <c r="A84" s="480"/>
      <c r="B84" s="507"/>
      <c r="C84" s="507"/>
      <c r="D84" s="324"/>
      <c r="E84" s="342"/>
      <c r="F84" s="290"/>
      <c r="G84" s="79"/>
      <c r="H84" s="326"/>
      <c r="I84" s="326"/>
      <c r="J84" s="80"/>
      <c r="K84" s="290"/>
      <c r="L84" s="342"/>
      <c r="M84" s="7"/>
      <c r="N84" s="83"/>
      <c r="O84" s="333"/>
      <c r="P84" s="32"/>
      <c r="Q84" s="77"/>
      <c r="R84" s="77"/>
      <c r="S84" s="309"/>
      <c r="T84" s="309"/>
      <c r="U84" s="4" t="s">
        <v>64</v>
      </c>
      <c r="V84" s="328">
        <f>IFERROR(SUMIFS(OtherCosts!Q:Q,OtherCosts!A:A,B74,OtherCosts!B:B,"Other"),0)</f>
        <v>0</v>
      </c>
      <c r="W84" s="425" t="str">
        <f t="shared" si="42"/>
        <v>N/A</v>
      </c>
      <c r="X84" s="7"/>
      <c r="Y84" s="7" t="s">
        <v>101</v>
      </c>
      <c r="Z84" s="82"/>
      <c r="AA84" s="334"/>
      <c r="AB84" s="13"/>
      <c r="AC84" s="4" t="s">
        <v>64</v>
      </c>
      <c r="AD84" s="328">
        <f>IFERROR(SUMIFS(OtherCosts!R:R,OtherCosts!A:A,B74,OtherCosts!B:B,"Other"),0)</f>
        <v>0</v>
      </c>
      <c r="AE84" s="425" t="str">
        <f t="shared" si="43"/>
        <v>N/A</v>
      </c>
      <c r="AF84" s="83"/>
      <c r="AG84" s="328">
        <f>IFERROR(SUMIFS(OtherCosts!S:S,OtherCosts!A:A,B74,OtherCosts!B:B,"Other"),0)</f>
        <v>0</v>
      </c>
      <c r="AH84" s="447" t="str">
        <f t="shared" si="44"/>
        <v>N/A</v>
      </c>
      <c r="AI84" s="83"/>
      <c r="AJ84" s="448">
        <f>IFERROR(SUMIFS(OtherCosts!T:T,OtherCosts!A:A,B74,OtherCosts!B:B,"Other"),0)</f>
        <v>0</v>
      </c>
      <c r="AK84" s="425" t="str">
        <f t="shared" si="45"/>
        <v>N/A</v>
      </c>
      <c r="AL84" s="83"/>
      <c r="AM84" s="83"/>
      <c r="AN84" s="329">
        <f t="shared" si="47"/>
        <v>0</v>
      </c>
      <c r="AO84" s="425" t="str">
        <f t="shared" si="46"/>
        <v>N/A</v>
      </c>
      <c r="AP84" s="85"/>
      <c r="AQ84" s="342"/>
      <c r="AR84" s="290"/>
      <c r="AS84" s="290"/>
      <c r="AT84" s="13"/>
      <c r="AU84" s="81"/>
      <c r="AV84" s="81"/>
      <c r="AW84" s="81"/>
      <c r="AX84" s="290"/>
      <c r="AY84" s="342"/>
      <c r="AZ84" s="3"/>
      <c r="BA84" s="315"/>
      <c r="BB84" s="3"/>
      <c r="BC84" s="3"/>
      <c r="BD84" s="3"/>
      <c r="BE84" s="3"/>
      <c r="BF84" s="342"/>
      <c r="BG84" s="3"/>
      <c r="BH84" s="315"/>
      <c r="BI84" s="3"/>
      <c r="BJ84" s="3"/>
      <c r="BK84" s="3"/>
      <c r="BL84" s="3"/>
      <c r="BM84" s="342"/>
      <c r="BN84" s="3"/>
      <c r="BO84" s="315"/>
      <c r="BP84" s="3"/>
      <c r="BQ84" s="3"/>
      <c r="BR84" s="3"/>
      <c r="BS84" s="3"/>
      <c r="BT84" s="342"/>
      <c r="BU84" s="3"/>
      <c r="BV84" s="315"/>
      <c r="BW84" s="3"/>
      <c r="BX84" s="3"/>
      <c r="BY84" s="3"/>
      <c r="BZ84" s="3"/>
      <c r="CA84" s="342"/>
      <c r="CB84" s="342"/>
      <c r="CC84" s="342"/>
      <c r="CD84" s="342"/>
    </row>
    <row r="85" spans="1:82" s="325" customFormat="1" ht="16.149999999999999" thickTop="1">
      <c r="A85" s="480"/>
      <c r="B85" s="507"/>
      <c r="C85" s="507"/>
      <c r="D85" s="324"/>
      <c r="E85" s="342"/>
      <c r="F85" s="290"/>
      <c r="G85" s="79"/>
      <c r="H85" s="326"/>
      <c r="I85" s="326"/>
      <c r="J85" s="80"/>
      <c r="K85" s="290"/>
      <c r="L85" s="342"/>
      <c r="M85" s="7"/>
      <c r="N85" s="83"/>
      <c r="O85" s="333"/>
      <c r="P85" s="32"/>
      <c r="Q85" s="77"/>
      <c r="R85" s="77"/>
      <c r="S85" s="309"/>
      <c r="T85" s="309"/>
      <c r="U85" s="3" t="s">
        <v>35</v>
      </c>
      <c r="V85" s="86">
        <f>SUM(V78:V84)</f>
        <v>0</v>
      </c>
      <c r="W85" s="427" t="str">
        <f t="shared" si="42"/>
        <v>N/A</v>
      </c>
      <c r="X85" s="335"/>
      <c r="Y85" s="335"/>
      <c r="Z85" s="82"/>
      <c r="AA85" s="334"/>
      <c r="AB85" s="13"/>
      <c r="AC85" s="3" t="s">
        <v>35</v>
      </c>
      <c r="AD85" s="86">
        <f>SUM(AD78:AD84)</f>
        <v>0</v>
      </c>
      <c r="AE85" s="427" t="str">
        <f t="shared" si="43"/>
        <v>N/A</v>
      </c>
      <c r="AF85" s="83"/>
      <c r="AG85" s="86">
        <f>SUM(AG78:AG84)</f>
        <v>0</v>
      </c>
      <c r="AH85" s="444" t="str">
        <f t="shared" si="44"/>
        <v>N/A</v>
      </c>
      <c r="AI85" s="83"/>
      <c r="AJ85" s="86">
        <f>SUM(AJ78:AJ84)</f>
        <v>0</v>
      </c>
      <c r="AK85" s="427" t="str">
        <f t="shared" si="45"/>
        <v>N/A</v>
      </c>
      <c r="AL85" s="83"/>
      <c r="AM85" s="83"/>
      <c r="AN85" s="86">
        <f t="shared" si="47"/>
        <v>0</v>
      </c>
      <c r="AO85" s="427" t="str">
        <f t="shared" si="46"/>
        <v>N/A</v>
      </c>
      <c r="AP85" s="85"/>
      <c r="AQ85" s="342"/>
      <c r="AR85" s="290"/>
      <c r="AS85" s="290"/>
      <c r="AT85" s="13"/>
      <c r="AU85" s="81"/>
      <c r="AV85" s="81"/>
      <c r="AW85" s="81"/>
      <c r="AX85" s="290"/>
      <c r="AY85" s="342"/>
      <c r="AZ85" s="3"/>
      <c r="BA85" s="315"/>
      <c r="BB85" s="3"/>
      <c r="BC85" s="3"/>
      <c r="BD85" s="3"/>
      <c r="BE85" s="3"/>
      <c r="BF85" s="342"/>
      <c r="BG85" s="3"/>
      <c r="BH85" s="315"/>
      <c r="BI85" s="3"/>
      <c r="BJ85" s="3"/>
      <c r="BK85" s="3"/>
      <c r="BL85" s="3"/>
      <c r="BM85" s="342"/>
      <c r="BN85" s="3"/>
      <c r="BO85" s="315"/>
      <c r="BP85" s="3"/>
      <c r="BQ85" s="3"/>
      <c r="BR85" s="3"/>
      <c r="BS85" s="3"/>
      <c r="BT85" s="342"/>
      <c r="BU85" s="3"/>
      <c r="BV85" s="315"/>
      <c r="BW85" s="3"/>
      <c r="BX85" s="3"/>
      <c r="BY85" s="3"/>
      <c r="BZ85" s="3"/>
      <c r="CA85" s="342"/>
      <c r="CB85" s="342"/>
      <c r="CC85" s="342"/>
      <c r="CD85" s="342"/>
    </row>
    <row r="86" spans="1:82" s="325" customFormat="1" ht="15.6">
      <c r="A86" s="480"/>
      <c r="B86" s="507"/>
      <c r="C86" s="507"/>
      <c r="D86" s="324"/>
      <c r="E86" s="342"/>
      <c r="F86" s="290"/>
      <c r="G86" s="336"/>
      <c r="H86" s="336"/>
      <c r="I86" s="336"/>
      <c r="J86" s="336"/>
      <c r="K86" s="290"/>
      <c r="L86" s="342"/>
      <c r="M86" s="7"/>
      <c r="N86" s="83"/>
      <c r="O86" s="333"/>
      <c r="P86" s="77"/>
      <c r="Q86" s="77"/>
      <c r="R86" s="77"/>
      <c r="S86" s="77"/>
      <c r="T86" s="77"/>
      <c r="U86" s="3"/>
      <c r="V86" s="77"/>
      <c r="W86" s="77"/>
      <c r="X86" s="77"/>
      <c r="Y86" s="77"/>
      <c r="Z86" s="82"/>
      <c r="AA86" s="334"/>
      <c r="AB86" s="13"/>
      <c r="AC86" s="13"/>
      <c r="AD86" s="13"/>
      <c r="AE86" s="13"/>
      <c r="AF86" s="13"/>
      <c r="AG86" s="13"/>
      <c r="AH86" s="13"/>
      <c r="AI86" s="13"/>
      <c r="AJ86" s="13"/>
      <c r="AK86" s="13"/>
      <c r="AL86" s="13"/>
      <c r="AM86" s="13"/>
      <c r="AN86" s="327"/>
      <c r="AO86" s="327"/>
      <c r="AP86" s="85"/>
      <c r="AQ86" s="342"/>
      <c r="AR86" s="290"/>
      <c r="AS86" s="81"/>
      <c r="AT86" s="81"/>
      <c r="AU86" s="81"/>
      <c r="AV86" s="81"/>
      <c r="AW86" s="81"/>
      <c r="AX86" s="290"/>
      <c r="AY86" s="342"/>
      <c r="AZ86" s="3"/>
      <c r="BA86" s="315"/>
      <c r="BB86" s="3"/>
      <c r="BC86" s="3"/>
      <c r="BD86" s="3"/>
      <c r="BE86" s="3"/>
      <c r="BF86" s="342"/>
      <c r="BG86" s="3"/>
      <c r="BH86" s="315"/>
      <c r="BI86" s="3"/>
      <c r="BJ86" s="3"/>
      <c r="BK86" s="3"/>
      <c r="BL86" s="3"/>
      <c r="BM86" s="342"/>
      <c r="BN86" s="3"/>
      <c r="BO86" s="315"/>
      <c r="BP86" s="3"/>
      <c r="BQ86" s="3"/>
      <c r="BR86" s="3"/>
      <c r="BS86" s="3"/>
      <c r="BT86" s="342"/>
      <c r="BU86" s="3"/>
      <c r="BV86" s="315"/>
      <c r="BW86" s="3"/>
      <c r="BX86" s="3"/>
      <c r="BY86" s="3"/>
      <c r="BZ86" s="3"/>
      <c r="CA86" s="342"/>
      <c r="CB86" s="342"/>
      <c r="CC86" s="342"/>
      <c r="CD86" s="342"/>
    </row>
    <row r="87" spans="1:82" s="304" customFormat="1" outlineLevel="1">
      <c r="B87" s="320"/>
      <c r="C87" s="320"/>
      <c r="D87" s="391"/>
      <c r="F87" s="391"/>
      <c r="G87" s="391"/>
      <c r="H87" s="391"/>
      <c r="I87" s="391"/>
      <c r="J87" s="391"/>
      <c r="K87" s="391"/>
      <c r="N87" s="337"/>
      <c r="O87" s="337"/>
      <c r="S87" s="337"/>
      <c r="T87" s="320"/>
      <c r="U87" s="320"/>
      <c r="V87" s="320"/>
      <c r="W87" s="393"/>
      <c r="Z87" s="338"/>
      <c r="AO87" s="338"/>
      <c r="AP87" s="340"/>
      <c r="AR87" s="391"/>
      <c r="AS87" s="391"/>
      <c r="AT87" s="391"/>
      <c r="AU87" s="391"/>
      <c r="AV87" s="391"/>
      <c r="AW87" s="391"/>
      <c r="AX87" s="391"/>
      <c r="AZ87"/>
      <c r="BA87"/>
      <c r="BB87"/>
      <c r="BC87"/>
      <c r="BD87"/>
      <c r="BE87"/>
      <c r="BG87"/>
      <c r="BH87"/>
      <c r="BI87"/>
      <c r="BJ87"/>
      <c r="BK87"/>
      <c r="BL87"/>
      <c r="BN87"/>
      <c r="BO87"/>
      <c r="BP87"/>
      <c r="BQ87"/>
      <c r="BR87"/>
      <c r="BS87"/>
      <c r="BU87"/>
      <c r="BV87"/>
      <c r="BW87"/>
      <c r="BX87"/>
      <c r="BY87"/>
      <c r="BZ87"/>
    </row>
    <row r="88" spans="1:82" s="325" customFormat="1" ht="15.6" outlineLevel="1">
      <c r="A88" s="480"/>
      <c r="B88" s="341"/>
      <c r="C88" s="341"/>
      <c r="D88" s="290"/>
      <c r="E88" s="342"/>
      <c r="F88" s="290"/>
      <c r="G88" s="343">
        <f>ROUNDUP(SUM(G90:G121),2)</f>
        <v>0</v>
      </c>
      <c r="H88" s="344"/>
      <c r="I88" s="344"/>
      <c r="J88" s="345">
        <f>ROUNDUP(SUM(J90:J121),2)</f>
        <v>0</v>
      </c>
      <c r="K88" s="290"/>
      <c r="L88" s="342"/>
      <c r="M88" s="7"/>
      <c r="N88" s="7"/>
      <c r="O88" s="7"/>
      <c r="P88" s="7"/>
      <c r="Q88" s="7"/>
      <c r="R88" s="7"/>
      <c r="S88" s="7"/>
      <c r="T88" s="398">
        <f>ROUNDUP(SUM(T90:T121),2)</f>
        <v>0</v>
      </c>
      <c r="U88" s="7"/>
      <c r="V88" s="7"/>
      <c r="W88" s="87">
        <f>SUM(W90:W119)</f>
        <v>0</v>
      </c>
      <c r="X88" s="7"/>
      <c r="Y88" s="7" t="s">
        <v>102</v>
      </c>
      <c r="Z88" s="7"/>
      <c r="AA88" s="304"/>
      <c r="AB88" s="7"/>
      <c r="AC88" s="7"/>
      <c r="AD88" s="87">
        <f>SUM(AD90:AD121)</f>
        <v>0</v>
      </c>
      <c r="AE88" s="432">
        <f>IFERROR(1-($W88/$AD88),0)</f>
        <v>0</v>
      </c>
      <c r="AF88" s="7"/>
      <c r="AG88" s="7"/>
      <c r="AH88" s="88">
        <f>SUM(AH90:AH121)</f>
        <v>0</v>
      </c>
      <c r="AI88" s="7"/>
      <c r="AJ88" s="7"/>
      <c r="AK88" s="88">
        <f>ROUNDUP(SUM(AK90:AK121),2)</f>
        <v>0</v>
      </c>
      <c r="AL88" s="7"/>
      <c r="AM88" s="88">
        <f>SUM(AM90:AM121)</f>
        <v>0</v>
      </c>
      <c r="AN88" s="88">
        <f>SUM(AN90:AN121)</f>
        <v>0</v>
      </c>
      <c r="AO88" s="417" t="str">
        <f>BillingCountryCurrency</f>
        <v>USD</v>
      </c>
      <c r="AP88" s="7"/>
      <c r="AQ88" s="18"/>
      <c r="AR88" s="290"/>
      <c r="AS88" s="290"/>
      <c r="AT88" s="503">
        <f>SUM(AT90:AU121)</f>
        <v>0</v>
      </c>
      <c r="AU88" s="504"/>
      <c r="AV88" s="417" t="str">
        <f>BillingCountryCurrency</f>
        <v>USD</v>
      </c>
      <c r="AW88" s="417" t="str">
        <f>IF(ISBLANK(BusinessCurrency),"N/A",BusinessCurrency)</f>
        <v>N/A</v>
      </c>
      <c r="AX88" s="290"/>
      <c r="AY88" s="18"/>
      <c r="AZ88" s="3"/>
      <c r="BA88" s="315"/>
      <c r="BB88" s="3"/>
      <c r="BC88" s="3"/>
      <c r="BD88" s="3"/>
      <c r="BE88" s="3"/>
      <c r="BF88" s="18"/>
      <c r="BG88" s="3"/>
      <c r="BH88" s="315"/>
      <c r="BI88" s="3"/>
      <c r="BJ88" s="3"/>
      <c r="BK88" s="3"/>
      <c r="BL88" s="3"/>
      <c r="BM88" s="18"/>
      <c r="BN88" s="3"/>
      <c r="BO88" s="315"/>
      <c r="BP88" s="3"/>
      <c r="BQ88" s="3"/>
      <c r="BR88" s="3"/>
      <c r="BS88" s="3"/>
      <c r="BT88" s="18"/>
      <c r="BU88" s="3"/>
      <c r="BV88" s="315"/>
      <c r="BW88" s="3"/>
      <c r="BX88" s="3"/>
      <c r="BY88" s="3"/>
      <c r="BZ88" s="3"/>
      <c r="CA88" s="342"/>
      <c r="CB88" s="342"/>
      <c r="CC88" s="342"/>
      <c r="CD88" s="342"/>
    </row>
    <row r="89" spans="1:82" ht="15.6" outlineLevel="1">
      <c r="A89" s="7"/>
      <c r="B89" s="346"/>
      <c r="C89" s="346"/>
      <c r="D89" s="346"/>
      <c r="E89" s="342"/>
      <c r="F89" s="290"/>
      <c r="G89" s="347" t="s">
        <v>79</v>
      </c>
      <c r="H89" s="347" t="s">
        <v>103</v>
      </c>
      <c r="I89" s="347" t="s">
        <v>104</v>
      </c>
      <c r="J89" s="348" t="s">
        <v>91</v>
      </c>
      <c r="K89" s="290"/>
      <c r="L89" s="349"/>
      <c r="M89" s="7"/>
      <c r="N89" s="16" t="s">
        <v>105</v>
      </c>
      <c r="O89" s="16" t="s">
        <v>106</v>
      </c>
      <c r="P89" s="16" t="s">
        <v>107</v>
      </c>
      <c r="Q89" s="16" t="s">
        <v>108</v>
      </c>
      <c r="R89" s="16" t="s">
        <v>109</v>
      </c>
      <c r="S89" s="16" t="s">
        <v>110</v>
      </c>
      <c r="T89" s="16" t="s">
        <v>111</v>
      </c>
      <c r="U89" s="16" t="s">
        <v>112</v>
      </c>
      <c r="V89" s="350" t="s">
        <v>113</v>
      </c>
      <c r="W89" s="16" t="s">
        <v>114</v>
      </c>
      <c r="X89" s="16" t="s">
        <v>115</v>
      </c>
      <c r="Y89" s="16" t="s">
        <v>116</v>
      </c>
      <c r="Z89" s="6"/>
      <c r="AA89" s="304"/>
      <c r="AB89" s="7"/>
      <c r="AC89" s="351" t="s">
        <v>117</v>
      </c>
      <c r="AD89" s="352" t="s">
        <v>118</v>
      </c>
      <c r="AE89" s="89" t="s">
        <v>119</v>
      </c>
      <c r="AF89" s="7"/>
      <c r="AG89" s="89" t="s">
        <v>120</v>
      </c>
      <c r="AH89" s="353" t="s">
        <v>121</v>
      </c>
      <c r="AI89" s="7"/>
      <c r="AJ89" s="89" t="s">
        <v>122</v>
      </c>
      <c r="AK89" s="353" t="s">
        <v>123</v>
      </c>
      <c r="AL89" s="7"/>
      <c r="AM89" s="16" t="s">
        <v>118</v>
      </c>
      <c r="AN89" s="16" t="s">
        <v>124</v>
      </c>
      <c r="AO89" s="8" t="s">
        <v>125</v>
      </c>
      <c r="AP89" s="7"/>
      <c r="AQ89" s="18"/>
      <c r="AR89" s="290"/>
      <c r="AS89" s="8" t="s">
        <v>126</v>
      </c>
      <c r="AT89" s="505" t="s">
        <v>124</v>
      </c>
      <c r="AU89" s="506"/>
      <c r="AV89" s="8" t="s">
        <v>127</v>
      </c>
      <c r="AW89" s="8" t="s">
        <v>127</v>
      </c>
      <c r="AX89" s="290"/>
      <c r="AY89" s="18"/>
      <c r="AZ89" s="3"/>
      <c r="BA89" s="315"/>
      <c r="BB89" s="3"/>
      <c r="BC89" s="3"/>
      <c r="BD89" s="3"/>
      <c r="BE89" s="3"/>
      <c r="BF89" s="18"/>
      <c r="BG89" s="3"/>
      <c r="BH89" s="315"/>
      <c r="BI89" s="3"/>
      <c r="BJ89" s="3"/>
      <c r="BK89" s="3"/>
      <c r="BL89" s="3"/>
      <c r="BM89" s="18"/>
      <c r="BN89" s="3"/>
      <c r="BO89" s="315"/>
      <c r="BP89" s="3"/>
      <c r="BQ89" s="3"/>
      <c r="BR89" s="3"/>
      <c r="BS89" s="3"/>
      <c r="BT89" s="18"/>
      <c r="BU89" s="3"/>
      <c r="BV89" s="315"/>
      <c r="BW89" s="3"/>
      <c r="BX89" s="3"/>
      <c r="BY89" s="3"/>
      <c r="BZ89" s="3"/>
    </row>
    <row r="90" spans="1:82" ht="28.9" outlineLevel="1">
      <c r="A90" s="7"/>
      <c r="B90" s="354" t="s">
        <v>128</v>
      </c>
      <c r="C90" s="355"/>
      <c r="D90" s="356"/>
      <c r="E90" s="342"/>
      <c r="F90" s="290"/>
      <c r="G90" s="486"/>
      <c r="H90" s="358">
        <v>0</v>
      </c>
      <c r="I90" s="358">
        <v>0</v>
      </c>
      <c r="J90" s="359">
        <f>IFERROR(G90/(1-(H90+I90)),0)</f>
        <v>0</v>
      </c>
      <c r="K90" s="360"/>
      <c r="L90" s="349"/>
      <c r="M90" s="7"/>
      <c r="N90" s="12"/>
      <c r="O90" s="12"/>
      <c r="P90" s="12"/>
      <c r="Q90" s="361"/>
      <c r="R90" s="362"/>
      <c r="S90" s="363">
        <f t="shared" ref="S90:S121" si="48">IF(ISBLANK(P90),0,$O$82*20)</f>
        <v>0</v>
      </c>
      <c r="T90" s="364">
        <f>J88</f>
        <v>0</v>
      </c>
      <c r="U90" s="365">
        <v>0</v>
      </c>
      <c r="V90" s="91">
        <f>ROUNDUP(IFERROR(INDEX(CostRateTbl[Cost Rate],MATCH(_xlfn.CONCAT(N90,O90,P90,"NA"),CostRateTbl[KeyCostRate],0)),0)*BillingCurrencyTRM*(1+U90),2)</f>
        <v>0</v>
      </c>
      <c r="W90" s="92">
        <f t="shared" ref="W90:W121" si="49">T90*V90</f>
        <v>0</v>
      </c>
      <c r="X90" s="366" t="e" cm="1">
        <f t="array" ref="X90">_xlfn.LET(
    _xlpm.valor, INDEX(CostRate!H:H, MATCH(1, (CostRate!A:A=N90)*1, 0)),
    _xlpm.posicion, MATCH(_xlpm.valor, FilterSL!$F$1:$Z$1, 0),
    _xlpm.direccionCompleta, ADDRESS(1, _xlpm.posicion + 5, 4),
    _xlpm.letraColumna, SUBSTITUTE(_xlpm.direccionCompleta, "1", ""),
    _xlpm.letraColumna
)</f>
        <v>#N/A</v>
      </c>
      <c r="Y90" s="366" t="e" cm="1">
        <f t="array" ref="Y90">_xlfn.LET(
    _xlpm.valor, INDEX(CostRate!I:I, MATCH(1, (CostRate!A:A=N90)*(CostRate!B:B=O90), 0)),
    _xlpm.posicion, MATCH(_xlpm.valor, FilterJP!$E$1:$FZ$1, 0),
    _xlpm.direccionCompleta, ADDRESS(1, _xlpm.posicion + 4, 4),
    _xlpm.letraColumna, SUBSTITUTE(_xlpm.direccionCompleta, "1", ""),
    _xlpm.letraColumna
)</f>
        <v>#N/A</v>
      </c>
      <c r="Z90" s="7"/>
      <c r="AA90" s="367"/>
      <c r="AB90" s="7"/>
      <c r="AC90" s="93">
        <f t="shared" ref="AC90:AC121" si="50">ROUNDUP($V90/(1-$AV$76),2)</f>
        <v>0</v>
      </c>
      <c r="AD90" s="94">
        <f t="shared" ref="AD90:AD102" si="51">$T90*$AC90</f>
        <v>0</v>
      </c>
      <c r="AE90" s="109">
        <f t="shared" ref="AE90:AE102" si="52">IFERROR(1-($W90/$AD90),0)</f>
        <v>0</v>
      </c>
      <c r="AF90" s="7"/>
      <c r="AG90" s="369">
        <f t="shared" ref="AG90:AG102" si="53">IFERROR(IF(OR(ISBLANK(N90),N90=CustomerCountry,COUNTIF($N90,"*xDC*")),0,10%),0)</f>
        <v>0</v>
      </c>
      <c r="AH90" s="368">
        <f t="shared" ref="AH90:AH121" si="54">W90*AG90</f>
        <v>0</v>
      </c>
      <c r="AI90" s="7"/>
      <c r="AJ90" s="369" cm="1">
        <f t="array" ref="AJ90">IFERROR(INDEX(WHT!$C$7:$W$18,MATCH(
_xlfn.SWITCH(N90,"xDC Medellin","Colombia","xDC Belo Horizonte","Brazil","xDC Guadalajara","Mexico","xDC Gurugram","India","xDC Leon","Spain","xDC San Jose","Costa Rica","xDC Warsaw","Poland",N90),
WHT!$B$7:$B$18,0),MATCH(CustomerCountry,WHT!$C$5:$W$5,0)),0)</f>
        <v>0</v>
      </c>
      <c r="AK90" s="368">
        <f t="shared" ref="AK90:AK121" si="55">(W90+AH90)*AJ90</f>
        <v>0</v>
      </c>
      <c r="AL90" s="7"/>
      <c r="AM90" s="95">
        <f t="shared" ref="AM90:AM102" si="56">SUM($AD90,$AH90,$AK90)</f>
        <v>0</v>
      </c>
      <c r="AN90" s="95">
        <f t="shared" ref="AN90:AN121" si="57">AM90+IFERROR(SUM($AN$79:$AN$84)*AM90/$AM$88,0)</f>
        <v>0</v>
      </c>
      <c r="AO90" s="95">
        <f t="shared" ref="AO90:AO102" si="58">IFERROR($AN90/$T90,0)</f>
        <v>0</v>
      </c>
      <c r="AP90" s="7"/>
      <c r="AQ90" s="18"/>
      <c r="AR90" s="290"/>
      <c r="AS90" s="467" t="s">
        <v>133</v>
      </c>
      <c r="AT90" s="501">
        <f t="shared" ref="AT90:AT111" si="59">IF(AS90="x",AM90+((SUM($AN$79:$AN$84)+SUMIF($AS$90:$AS$121,"&lt;&gt;x",$AM$90:$AM$121))*IFERROR(AM90/SUMIF($AS$90:$AS$121,"x",$AM$90:$AM$121),0)),0)</f>
        <v>0</v>
      </c>
      <c r="AU90" s="502"/>
      <c r="AV90" s="95">
        <f>IFERROR(AT90/T90,0)</f>
        <v>0</v>
      </c>
      <c r="AW90" s="469" t="str">
        <f t="shared" ref="AW90:AW121" si="60">IFERROR(AV90/BusinessCurrencyTRM,"N/A")</f>
        <v>N/A</v>
      </c>
      <c r="AX90" s="290"/>
      <c r="AY90" s="18"/>
      <c r="AZ90" s="3"/>
      <c r="BA90" s="315"/>
      <c r="BB90" s="3"/>
      <c r="BC90" s="3"/>
      <c r="BD90" s="3"/>
      <c r="BE90" s="3"/>
      <c r="BF90" s="18"/>
      <c r="BG90" s="3"/>
      <c r="BH90" s="315"/>
      <c r="BI90" s="3"/>
      <c r="BJ90" s="3"/>
      <c r="BK90" s="3"/>
      <c r="BL90" s="3"/>
      <c r="BM90" s="18"/>
      <c r="BN90" s="3"/>
      <c r="BO90" s="315"/>
      <c r="BP90" s="3"/>
      <c r="BQ90" s="3"/>
      <c r="BR90" s="3"/>
      <c r="BS90" s="3"/>
      <c r="BT90" s="18"/>
      <c r="BU90" s="3"/>
      <c r="BV90" s="315"/>
      <c r="BW90" s="3"/>
      <c r="BX90" s="3"/>
      <c r="BY90" s="3"/>
      <c r="BZ90" s="3"/>
    </row>
    <row r="91" spans="1:82" ht="15.6" outlineLevel="1">
      <c r="A91" s="7"/>
      <c r="B91" s="370"/>
      <c r="C91" s="479"/>
      <c r="D91" s="356"/>
      <c r="E91" s="342"/>
      <c r="F91" s="290"/>
      <c r="G91" s="487"/>
      <c r="H91" s="358">
        <v>0</v>
      </c>
      <c r="I91" s="358">
        <v>0</v>
      </c>
      <c r="J91" s="359">
        <f t="shared" ref="J91:J121" si="61">IFERROR(G91/(1-(H91+I91)),0)</f>
        <v>0</v>
      </c>
      <c r="K91" s="290"/>
      <c r="L91" s="349"/>
      <c r="M91" s="7"/>
      <c r="N91" s="12"/>
      <c r="O91" s="12"/>
      <c r="P91" s="12"/>
      <c r="Q91" s="361"/>
      <c r="R91" s="362"/>
      <c r="S91" s="363">
        <f t="shared" si="48"/>
        <v>0</v>
      </c>
      <c r="T91" s="364">
        <f t="shared" ref="T91:T102" si="62">IF(ISBLANK($P91),0,IF(Approach="Team-Based",$Q91*$R91*$S91*HoursPerDayTeamBased,$J91))</f>
        <v>0</v>
      </c>
      <c r="U91" s="365">
        <v>0</v>
      </c>
      <c r="V91" s="91">
        <f>ROUNDUP(IFERROR(INDEX(CostRateTbl[Cost Rate],MATCH(_xlfn.CONCAT(N91,O91,P91,"NA"),CostRateTbl[KeyCostRate],0)),0)*BillingCurrencyTRM*(1+U91),2)</f>
        <v>0</v>
      </c>
      <c r="W91" s="92">
        <f t="shared" si="49"/>
        <v>0</v>
      </c>
      <c r="X91" s="366" t="e" cm="1">
        <f t="array" ref="X91">_xlfn.LET(
    _xlpm.valor, INDEX(CostRate!H:H, MATCH(1, (CostRate!A:A=N91)*1, 0)),
    _xlpm.posicion, MATCH(_xlpm.valor, FilterSL!$F$1:$Z$1, 0),
    _xlpm.direccionCompleta, ADDRESS(1, _xlpm.posicion + 5, 4),
    _xlpm.letraColumna, SUBSTITUTE(_xlpm.direccionCompleta, "1", ""),
    _xlpm.letraColumna
)</f>
        <v>#N/A</v>
      </c>
      <c r="Y91" s="366" t="e" cm="1">
        <f t="array" ref="Y91">_xlfn.LET(
    _xlpm.valor, INDEX(CostRate!I:I, MATCH(1, (CostRate!A:A=N91)*(CostRate!B:B=O91), 0)),
    _xlpm.posicion, MATCH(_xlpm.valor, FilterJP!$E$1:$FZ$1, 0),
    _xlpm.direccionCompleta, ADDRESS(1, _xlpm.posicion + 4, 4),
    _xlpm.letraColumna, SUBSTITUTE(_xlpm.direccionCompleta, "1", ""),
    _xlpm.letraColumna
)</f>
        <v>#N/A</v>
      </c>
      <c r="Z91" s="7"/>
      <c r="AA91" s="367"/>
      <c r="AB91" s="7"/>
      <c r="AC91" s="93">
        <f t="shared" si="50"/>
        <v>0</v>
      </c>
      <c r="AD91" s="94">
        <f t="shared" si="51"/>
        <v>0</v>
      </c>
      <c r="AE91" s="109">
        <f t="shared" si="52"/>
        <v>0</v>
      </c>
      <c r="AF91" s="7"/>
      <c r="AG91" s="369">
        <f t="shared" si="53"/>
        <v>0</v>
      </c>
      <c r="AH91" s="368">
        <f t="shared" si="54"/>
        <v>0</v>
      </c>
      <c r="AI91" s="7"/>
      <c r="AJ91" s="369" cm="1">
        <f t="array" ref="AJ91">IFERROR(INDEX(WHT!$C$7:$W$18,MATCH(
_xlfn.SWITCH(N91,"xDC Medellin","Colombia","xDC Belo Horizonte","Brazil","xDC Guadalajara","Mexico","xDC Gurugram","India","xDC Leon","Spain","xDC San Jose","Costa Rica","xDC Warsaw","Poland",N91),
WHT!$B$7:$B$18,0),MATCH(CustomerCountry,WHT!$C$5:$W$5,0)),0)</f>
        <v>0</v>
      </c>
      <c r="AK91" s="368">
        <f t="shared" si="55"/>
        <v>0</v>
      </c>
      <c r="AL91" s="7"/>
      <c r="AM91" s="95">
        <f t="shared" si="56"/>
        <v>0</v>
      </c>
      <c r="AN91" s="95">
        <f t="shared" si="57"/>
        <v>0</v>
      </c>
      <c r="AO91" s="95">
        <f t="shared" si="58"/>
        <v>0</v>
      </c>
      <c r="AP91" s="90"/>
      <c r="AQ91" s="18"/>
      <c r="AR91" s="290"/>
      <c r="AS91" s="467" t="s">
        <v>133</v>
      </c>
      <c r="AT91" s="501">
        <f t="shared" si="59"/>
        <v>0</v>
      </c>
      <c r="AU91" s="502"/>
      <c r="AV91" s="95">
        <f t="shared" ref="AV91:AV121" si="63">IFERROR(AT91/T91,0)</f>
        <v>0</v>
      </c>
      <c r="AW91" s="469" t="str">
        <f t="shared" si="60"/>
        <v>N/A</v>
      </c>
      <c r="AX91" s="290"/>
      <c r="AY91" s="18"/>
      <c r="AZ91" s="3"/>
      <c r="BA91" s="315"/>
      <c r="BB91" s="3"/>
      <c r="BC91" s="3"/>
      <c r="BD91" s="3"/>
      <c r="BE91" s="3"/>
      <c r="BF91" s="18"/>
      <c r="BG91" s="3"/>
      <c r="BH91" s="315"/>
      <c r="BI91" s="3"/>
      <c r="BJ91" s="3"/>
      <c r="BK91" s="3"/>
      <c r="BL91" s="3"/>
      <c r="BM91" s="18"/>
      <c r="BN91" s="3"/>
      <c r="BO91" s="315"/>
      <c r="BP91" s="3"/>
      <c r="BQ91" s="3"/>
      <c r="BR91" s="3"/>
      <c r="BS91" s="3"/>
      <c r="BT91" s="18"/>
      <c r="BU91" s="3"/>
      <c r="BV91" s="315"/>
      <c r="BW91" s="3"/>
      <c r="BX91" s="3"/>
      <c r="BY91" s="3"/>
      <c r="BZ91" s="3"/>
      <c r="CA91" s="371"/>
    </row>
    <row r="92" spans="1:82" ht="15.6" outlineLevel="1">
      <c r="A92" s="7"/>
      <c r="B92" s="370"/>
      <c r="C92" s="479"/>
      <c r="D92" s="356"/>
      <c r="E92" s="342"/>
      <c r="F92" s="290"/>
      <c r="G92" s="487"/>
      <c r="H92" s="358">
        <v>0</v>
      </c>
      <c r="I92" s="358">
        <v>0</v>
      </c>
      <c r="J92" s="359">
        <f t="shared" si="61"/>
        <v>0</v>
      </c>
      <c r="K92" s="290"/>
      <c r="L92" s="349"/>
      <c r="M92" s="7"/>
      <c r="N92" s="12"/>
      <c r="O92" s="12"/>
      <c r="P92" s="12"/>
      <c r="Q92" s="361"/>
      <c r="R92" s="362"/>
      <c r="S92" s="363">
        <f t="shared" si="48"/>
        <v>0</v>
      </c>
      <c r="T92" s="364">
        <f t="shared" si="62"/>
        <v>0</v>
      </c>
      <c r="U92" s="365">
        <v>0</v>
      </c>
      <c r="V92" s="91">
        <f>ROUNDUP(IFERROR(INDEX(CostRateTbl[Cost Rate],MATCH(_xlfn.CONCAT(N92,O92,P92,"NA"),CostRateTbl[KeyCostRate],0)),0)*BillingCurrencyTRM*(1+U92),2)</f>
        <v>0</v>
      </c>
      <c r="W92" s="92">
        <f t="shared" si="49"/>
        <v>0</v>
      </c>
      <c r="X92" s="366" t="e" cm="1">
        <f t="array" ref="X92">_xlfn.LET(
    _xlpm.valor, INDEX(CostRate!H:H, MATCH(1, (CostRate!A:A=N92)*1, 0)),
    _xlpm.posicion, MATCH(_xlpm.valor, FilterSL!$F$1:$Z$1, 0),
    _xlpm.direccionCompleta, ADDRESS(1, _xlpm.posicion + 5, 4),
    _xlpm.letraColumna, SUBSTITUTE(_xlpm.direccionCompleta, "1", ""),
    _xlpm.letraColumna
)</f>
        <v>#N/A</v>
      </c>
      <c r="Y92" s="366" t="e" cm="1">
        <f t="array" ref="Y92">_xlfn.LET(
    _xlpm.valor, INDEX(CostRate!I:I, MATCH(1, (CostRate!A:A=N92)*(CostRate!B:B=O92), 0)),
    _xlpm.posicion, MATCH(_xlpm.valor, FilterJP!$E$1:$FZ$1, 0),
    _xlpm.direccionCompleta, ADDRESS(1, _xlpm.posicion + 4, 4),
    _xlpm.letraColumna, SUBSTITUTE(_xlpm.direccionCompleta, "1", ""),
    _xlpm.letraColumna
)</f>
        <v>#N/A</v>
      </c>
      <c r="Z92" s="7"/>
      <c r="AA92" s="367"/>
      <c r="AB92" s="7"/>
      <c r="AC92" s="93">
        <f t="shared" si="50"/>
        <v>0</v>
      </c>
      <c r="AD92" s="94">
        <f t="shared" si="51"/>
        <v>0</v>
      </c>
      <c r="AE92" s="109">
        <f t="shared" si="52"/>
        <v>0</v>
      </c>
      <c r="AF92" s="7"/>
      <c r="AG92" s="369">
        <f t="shared" si="53"/>
        <v>0</v>
      </c>
      <c r="AH92" s="368">
        <f t="shared" si="54"/>
        <v>0</v>
      </c>
      <c r="AI92" s="7"/>
      <c r="AJ92" s="369" cm="1">
        <f t="array" ref="AJ92">IFERROR(INDEX(WHT!$C$7:$W$18,MATCH(
_xlfn.SWITCH(N92,"xDC Medellin","Colombia","xDC Belo Horizonte","Brazil","xDC Guadalajara","Mexico","xDC Gurugram","India","xDC Leon","Spain","xDC San Jose","Costa Rica","xDC Warsaw","Poland",N92),
WHT!$B$7:$B$18,0),MATCH(CustomerCountry,WHT!$C$5:$W$5,0)),0)</f>
        <v>0</v>
      </c>
      <c r="AK92" s="368">
        <f t="shared" si="55"/>
        <v>0</v>
      </c>
      <c r="AL92" s="7"/>
      <c r="AM92" s="95">
        <f t="shared" si="56"/>
        <v>0</v>
      </c>
      <c r="AN92" s="95">
        <f t="shared" si="57"/>
        <v>0</v>
      </c>
      <c r="AO92" s="95">
        <f t="shared" si="58"/>
        <v>0</v>
      </c>
      <c r="AP92" s="90"/>
      <c r="AQ92" s="18"/>
      <c r="AR92" s="290"/>
      <c r="AS92" s="467" t="s">
        <v>133</v>
      </c>
      <c r="AT92" s="501">
        <f t="shared" si="59"/>
        <v>0</v>
      </c>
      <c r="AU92" s="502"/>
      <c r="AV92" s="95">
        <f t="shared" si="63"/>
        <v>0</v>
      </c>
      <c r="AW92" s="469" t="str">
        <f t="shared" si="60"/>
        <v>N/A</v>
      </c>
      <c r="AX92" s="290"/>
      <c r="AY92" s="18"/>
      <c r="AZ92" s="3"/>
      <c r="BA92" s="315"/>
      <c r="BB92" s="3"/>
      <c r="BC92" s="3"/>
      <c r="BD92" s="3"/>
      <c r="BE92" s="3"/>
      <c r="BF92" s="18"/>
      <c r="BG92" s="3"/>
      <c r="BH92" s="315"/>
      <c r="BI92" s="3"/>
      <c r="BJ92" s="3"/>
      <c r="BK92" s="3"/>
      <c r="BL92" s="3"/>
      <c r="BM92" s="18"/>
      <c r="BN92" s="3"/>
      <c r="BO92" s="315"/>
      <c r="BP92" s="3"/>
      <c r="BQ92" s="3"/>
      <c r="BR92" s="3"/>
      <c r="BS92" s="3"/>
      <c r="BT92" s="18"/>
      <c r="BU92" s="3"/>
      <c r="BV92" s="315"/>
      <c r="BW92" s="3"/>
      <c r="BX92" s="3"/>
      <c r="BY92" s="3"/>
      <c r="BZ92" s="3"/>
    </row>
    <row r="93" spans="1:82" ht="15.6" outlineLevel="1">
      <c r="A93" s="7"/>
      <c r="B93" s="370"/>
      <c r="C93" s="355"/>
      <c r="D93" s="356"/>
      <c r="E93" s="342"/>
      <c r="F93" s="290"/>
      <c r="G93" s="487"/>
      <c r="H93" s="358">
        <v>0</v>
      </c>
      <c r="I93" s="358">
        <v>0</v>
      </c>
      <c r="J93" s="359">
        <f t="shared" si="61"/>
        <v>0</v>
      </c>
      <c r="K93" s="290"/>
      <c r="L93" s="349"/>
      <c r="M93" s="7"/>
      <c r="N93" s="12"/>
      <c r="O93" s="12"/>
      <c r="P93" s="12"/>
      <c r="Q93" s="361"/>
      <c r="R93" s="362"/>
      <c r="S93" s="363">
        <f t="shared" si="48"/>
        <v>0</v>
      </c>
      <c r="T93" s="364">
        <f t="shared" si="62"/>
        <v>0</v>
      </c>
      <c r="U93" s="365">
        <v>0</v>
      </c>
      <c r="V93" s="91">
        <f>ROUNDUP(IFERROR(INDEX(CostRateTbl[Cost Rate],MATCH(_xlfn.CONCAT(N93,O93,P93,"NA"),CostRateTbl[KeyCostRate],0)),0)*BillingCurrencyTRM*(1+U93),2)</f>
        <v>0</v>
      </c>
      <c r="W93" s="92">
        <f t="shared" si="49"/>
        <v>0</v>
      </c>
      <c r="X93" s="366" t="e" cm="1">
        <f t="array" ref="X93">_xlfn.LET(
    _xlpm.valor, INDEX(CostRate!H:H, MATCH(1, (CostRate!A:A=N93)*1, 0)),
    _xlpm.posicion, MATCH(_xlpm.valor, FilterSL!$F$1:$Z$1, 0),
    _xlpm.direccionCompleta, ADDRESS(1, _xlpm.posicion + 5, 4),
    _xlpm.letraColumna, SUBSTITUTE(_xlpm.direccionCompleta, "1", ""),
    _xlpm.letraColumna
)</f>
        <v>#N/A</v>
      </c>
      <c r="Y93" s="366" t="e" cm="1">
        <f t="array" ref="Y93">_xlfn.LET(
    _xlpm.valor, INDEX(CostRate!I:I, MATCH(1, (CostRate!A:A=N93)*(CostRate!B:B=O93), 0)),
    _xlpm.posicion, MATCH(_xlpm.valor, FilterJP!$E$1:$FZ$1, 0),
    _xlpm.direccionCompleta, ADDRESS(1, _xlpm.posicion + 4, 4),
    _xlpm.letraColumna, SUBSTITUTE(_xlpm.direccionCompleta, "1", ""),
    _xlpm.letraColumna
)</f>
        <v>#N/A</v>
      </c>
      <c r="Z93" s="7"/>
      <c r="AA93" s="367"/>
      <c r="AB93" s="7"/>
      <c r="AC93" s="93">
        <f t="shared" si="50"/>
        <v>0</v>
      </c>
      <c r="AD93" s="94">
        <f t="shared" si="51"/>
        <v>0</v>
      </c>
      <c r="AE93" s="109">
        <f t="shared" si="52"/>
        <v>0</v>
      </c>
      <c r="AF93" s="7"/>
      <c r="AG93" s="369">
        <f t="shared" si="53"/>
        <v>0</v>
      </c>
      <c r="AH93" s="368">
        <f t="shared" si="54"/>
        <v>0</v>
      </c>
      <c r="AI93" s="7"/>
      <c r="AJ93" s="369" cm="1">
        <f t="array" ref="AJ93">IFERROR(INDEX(WHT!$C$7:$W$18,MATCH(
_xlfn.SWITCH(N93,"xDC Medellin","Colombia","xDC Belo Horizonte","Brazil","xDC Guadalajara","Mexico","xDC Gurugram","India","xDC Leon","Spain","xDC San Jose","Costa Rica","xDC Warsaw","Poland",N93),
WHT!$B$7:$B$18,0),MATCH(CustomerCountry,WHT!$C$5:$W$5,0)),0)</f>
        <v>0</v>
      </c>
      <c r="AK93" s="368">
        <f t="shared" si="55"/>
        <v>0</v>
      </c>
      <c r="AL93" s="7"/>
      <c r="AM93" s="95">
        <f t="shared" si="56"/>
        <v>0</v>
      </c>
      <c r="AN93" s="95">
        <f t="shared" si="57"/>
        <v>0</v>
      </c>
      <c r="AO93" s="95">
        <f t="shared" si="58"/>
        <v>0</v>
      </c>
      <c r="AP93" s="90"/>
      <c r="AQ93" s="18"/>
      <c r="AR93" s="290"/>
      <c r="AS93" s="467" t="s">
        <v>133</v>
      </c>
      <c r="AT93" s="501">
        <f t="shared" si="59"/>
        <v>0</v>
      </c>
      <c r="AU93" s="502"/>
      <c r="AV93" s="95">
        <f t="shared" si="63"/>
        <v>0</v>
      </c>
      <c r="AW93" s="469" t="str">
        <f t="shared" si="60"/>
        <v>N/A</v>
      </c>
      <c r="AX93" s="290"/>
      <c r="AY93" s="18"/>
      <c r="AZ93" s="3"/>
      <c r="BA93" s="315"/>
      <c r="BB93" s="3"/>
      <c r="BC93" s="3"/>
      <c r="BD93" s="3"/>
      <c r="BE93" s="3"/>
      <c r="BF93" s="18"/>
      <c r="BG93" s="3"/>
      <c r="BH93" s="315"/>
      <c r="BI93" s="3"/>
      <c r="BJ93" s="3"/>
      <c r="BK93" s="3"/>
      <c r="BL93" s="3"/>
      <c r="BM93" s="18"/>
      <c r="BN93" s="3"/>
      <c r="BO93" s="315"/>
      <c r="BP93" s="3"/>
      <c r="BQ93" s="3"/>
      <c r="BR93" s="3"/>
      <c r="BS93" s="3"/>
      <c r="BT93" s="18"/>
      <c r="BU93" s="3"/>
      <c r="BV93" s="315"/>
      <c r="BW93" s="3"/>
      <c r="BX93" s="3"/>
      <c r="BY93" s="3"/>
      <c r="BZ93" s="3"/>
    </row>
    <row r="94" spans="1:82" ht="15.6" outlineLevel="1">
      <c r="A94" s="7"/>
      <c r="B94" s="370"/>
      <c r="C94" s="484"/>
      <c r="D94" s="356"/>
      <c r="E94" s="342"/>
      <c r="F94" s="290"/>
      <c r="G94" s="487"/>
      <c r="H94" s="358">
        <v>0</v>
      </c>
      <c r="I94" s="358">
        <v>0</v>
      </c>
      <c r="J94" s="359">
        <f t="shared" si="61"/>
        <v>0</v>
      </c>
      <c r="K94" s="290"/>
      <c r="L94" s="349"/>
      <c r="M94" s="7"/>
      <c r="N94" s="12"/>
      <c r="O94" s="12"/>
      <c r="P94" s="12"/>
      <c r="Q94" s="361"/>
      <c r="R94" s="362"/>
      <c r="S94" s="363">
        <f t="shared" si="48"/>
        <v>0</v>
      </c>
      <c r="T94" s="364">
        <f t="shared" si="62"/>
        <v>0</v>
      </c>
      <c r="U94" s="365">
        <v>0</v>
      </c>
      <c r="V94" s="91">
        <f>ROUNDUP(IFERROR(INDEX(CostRateTbl[Cost Rate],MATCH(_xlfn.CONCAT(N94,O94,P94,"NA"),CostRateTbl[KeyCostRate],0)),0)*BillingCurrencyTRM*(1+U94),2)</f>
        <v>0</v>
      </c>
      <c r="W94" s="92">
        <f t="shared" si="49"/>
        <v>0</v>
      </c>
      <c r="X94" s="366" t="e" cm="1">
        <f t="array" ref="X94">_xlfn.LET(
    _xlpm.valor, INDEX(CostRate!H:H, MATCH(1, (CostRate!A:A=N94)*1, 0)),
    _xlpm.posicion, MATCH(_xlpm.valor, FilterSL!$F$1:$Z$1, 0),
    _xlpm.direccionCompleta, ADDRESS(1, _xlpm.posicion + 5, 4),
    _xlpm.letraColumna, SUBSTITUTE(_xlpm.direccionCompleta, "1", ""),
    _xlpm.letraColumna
)</f>
        <v>#N/A</v>
      </c>
      <c r="Y94" s="366" t="e" cm="1">
        <f t="array" ref="Y94">_xlfn.LET(
    _xlpm.valor, INDEX(CostRate!I:I, MATCH(1, (CostRate!A:A=N94)*(CostRate!B:B=O94), 0)),
    _xlpm.posicion, MATCH(_xlpm.valor, FilterJP!$E$1:$FZ$1, 0),
    _xlpm.direccionCompleta, ADDRESS(1, _xlpm.posicion + 4, 4),
    _xlpm.letraColumna, SUBSTITUTE(_xlpm.direccionCompleta, "1", ""),
    _xlpm.letraColumna
)</f>
        <v>#N/A</v>
      </c>
      <c r="Z94" s="7"/>
      <c r="AA94" s="367"/>
      <c r="AB94" s="7"/>
      <c r="AC94" s="93">
        <f t="shared" si="50"/>
        <v>0</v>
      </c>
      <c r="AD94" s="94">
        <f t="shared" si="51"/>
        <v>0</v>
      </c>
      <c r="AE94" s="109">
        <f t="shared" si="52"/>
        <v>0</v>
      </c>
      <c r="AF94" s="7"/>
      <c r="AG94" s="369">
        <f t="shared" si="53"/>
        <v>0</v>
      </c>
      <c r="AH94" s="368">
        <f t="shared" si="54"/>
        <v>0</v>
      </c>
      <c r="AI94" s="7"/>
      <c r="AJ94" s="369" cm="1">
        <f t="array" ref="AJ94">IFERROR(INDEX(WHT!$C$7:$W$18,MATCH(
_xlfn.SWITCH(N94,"xDC Medellin","Colombia","xDC Belo Horizonte","Brazil","xDC Guadalajara","Mexico","xDC Gurugram","India","xDC Leon","Spain","xDC San Jose","Costa Rica","xDC Warsaw","Poland",N94),
WHT!$B$7:$B$18,0),MATCH(CustomerCountry,WHT!$C$5:$W$5,0)),0)</f>
        <v>0</v>
      </c>
      <c r="AK94" s="368">
        <f t="shared" si="55"/>
        <v>0</v>
      </c>
      <c r="AL94" s="7"/>
      <c r="AM94" s="95">
        <f t="shared" si="56"/>
        <v>0</v>
      </c>
      <c r="AN94" s="95">
        <f t="shared" si="57"/>
        <v>0</v>
      </c>
      <c r="AO94" s="95">
        <f t="shared" si="58"/>
        <v>0</v>
      </c>
      <c r="AP94" s="90"/>
      <c r="AQ94" s="18"/>
      <c r="AR94" s="290"/>
      <c r="AS94" s="467" t="s">
        <v>133</v>
      </c>
      <c r="AT94" s="501">
        <f t="shared" si="59"/>
        <v>0</v>
      </c>
      <c r="AU94" s="502"/>
      <c r="AV94" s="95">
        <f t="shared" si="63"/>
        <v>0</v>
      </c>
      <c r="AW94" s="469" t="str">
        <f t="shared" si="60"/>
        <v>N/A</v>
      </c>
      <c r="AX94" s="290"/>
      <c r="AY94" s="18"/>
      <c r="AZ94" s="3"/>
      <c r="BA94" s="315"/>
      <c r="BB94" s="3"/>
      <c r="BC94" s="3"/>
      <c r="BD94" s="3"/>
      <c r="BE94" s="3"/>
      <c r="BF94" s="18"/>
      <c r="BG94" s="3"/>
      <c r="BH94" s="315"/>
      <c r="BI94" s="3"/>
      <c r="BJ94" s="3"/>
      <c r="BK94" s="3"/>
      <c r="BL94" s="3"/>
      <c r="BM94" s="18"/>
      <c r="BN94" s="3"/>
      <c r="BO94" s="315"/>
      <c r="BP94" s="3"/>
      <c r="BQ94" s="3"/>
      <c r="BR94" s="3"/>
      <c r="BS94" s="3"/>
      <c r="BT94" s="18"/>
      <c r="BU94" s="3"/>
      <c r="BV94" s="315"/>
      <c r="BW94" s="3"/>
      <c r="BX94" s="3"/>
      <c r="BY94" s="3"/>
      <c r="BZ94" s="3"/>
    </row>
    <row r="95" spans="1:82" ht="15.6" outlineLevel="1">
      <c r="A95" s="7"/>
      <c r="B95" s="370"/>
      <c r="C95" s="483"/>
      <c r="D95" s="356"/>
      <c r="E95" s="342"/>
      <c r="F95" s="290"/>
      <c r="G95" s="487"/>
      <c r="H95" s="358">
        <v>0</v>
      </c>
      <c r="I95" s="358">
        <v>0</v>
      </c>
      <c r="J95" s="359">
        <f t="shared" si="61"/>
        <v>0</v>
      </c>
      <c r="K95" s="290"/>
      <c r="L95" s="349"/>
      <c r="M95" s="7"/>
      <c r="N95" s="12"/>
      <c r="O95" s="12"/>
      <c r="P95" s="12"/>
      <c r="Q95" s="361"/>
      <c r="R95" s="362"/>
      <c r="S95" s="363">
        <f t="shared" si="48"/>
        <v>0</v>
      </c>
      <c r="T95" s="364">
        <f t="shared" si="62"/>
        <v>0</v>
      </c>
      <c r="U95" s="365">
        <v>0</v>
      </c>
      <c r="V95" s="91">
        <f>ROUNDUP(IFERROR(INDEX(CostRateTbl[Cost Rate],MATCH(_xlfn.CONCAT(N95,O95,P95,"NA"),CostRateTbl[KeyCostRate],0)),0)*BillingCurrencyTRM*(1+U95),2)</f>
        <v>0</v>
      </c>
      <c r="W95" s="92">
        <f t="shared" si="49"/>
        <v>0</v>
      </c>
      <c r="X95" s="366" t="e" cm="1">
        <f t="array" ref="X95">_xlfn.LET(
    _xlpm.valor, INDEX(CostRate!H:H, MATCH(1, (CostRate!A:A=N95)*1, 0)),
    _xlpm.posicion, MATCH(_xlpm.valor, FilterSL!$F$1:$Z$1, 0),
    _xlpm.direccionCompleta, ADDRESS(1, _xlpm.posicion + 5, 4),
    _xlpm.letraColumna, SUBSTITUTE(_xlpm.direccionCompleta, "1", ""),
    _xlpm.letraColumna
)</f>
        <v>#N/A</v>
      </c>
      <c r="Y95" s="366" t="e" cm="1">
        <f t="array" ref="Y95">_xlfn.LET(
    _xlpm.valor, INDEX(CostRate!I:I, MATCH(1, (CostRate!A:A=N95)*(CostRate!B:B=O95), 0)),
    _xlpm.posicion, MATCH(_xlpm.valor, FilterJP!$E$1:$FZ$1, 0),
    _xlpm.direccionCompleta, ADDRESS(1, _xlpm.posicion + 4, 4),
    _xlpm.letraColumna, SUBSTITUTE(_xlpm.direccionCompleta, "1", ""),
    _xlpm.letraColumna
)</f>
        <v>#N/A</v>
      </c>
      <c r="Z95" s="7"/>
      <c r="AA95" s="367"/>
      <c r="AB95" s="7"/>
      <c r="AC95" s="93">
        <f t="shared" si="50"/>
        <v>0</v>
      </c>
      <c r="AD95" s="94">
        <f t="shared" si="51"/>
        <v>0</v>
      </c>
      <c r="AE95" s="109">
        <f t="shared" si="52"/>
        <v>0</v>
      </c>
      <c r="AF95" s="7"/>
      <c r="AG95" s="369">
        <f t="shared" si="53"/>
        <v>0</v>
      </c>
      <c r="AH95" s="368">
        <f t="shared" si="54"/>
        <v>0</v>
      </c>
      <c r="AI95" s="7"/>
      <c r="AJ95" s="369" cm="1">
        <f t="array" ref="AJ95">IFERROR(INDEX(WHT!$C$7:$W$18,MATCH(
_xlfn.SWITCH(N95,"xDC Medellin","Colombia","xDC Belo Horizonte","Brazil","xDC Guadalajara","Mexico","xDC Gurugram","India","xDC Leon","Spain","xDC San Jose","Costa Rica","xDC Warsaw","Poland",N95),
WHT!$B$7:$B$18,0),MATCH(CustomerCountry,WHT!$C$5:$W$5,0)),0)</f>
        <v>0</v>
      </c>
      <c r="AK95" s="368">
        <f t="shared" si="55"/>
        <v>0</v>
      </c>
      <c r="AL95" s="7"/>
      <c r="AM95" s="95">
        <f t="shared" si="56"/>
        <v>0</v>
      </c>
      <c r="AN95" s="95">
        <f t="shared" si="57"/>
        <v>0</v>
      </c>
      <c r="AO95" s="95">
        <f t="shared" si="58"/>
        <v>0</v>
      </c>
      <c r="AP95" s="90"/>
      <c r="AQ95" s="18"/>
      <c r="AR95" s="290"/>
      <c r="AS95" s="467" t="s">
        <v>133</v>
      </c>
      <c r="AT95" s="501">
        <f t="shared" si="59"/>
        <v>0</v>
      </c>
      <c r="AU95" s="502"/>
      <c r="AV95" s="95">
        <f t="shared" si="63"/>
        <v>0</v>
      </c>
      <c r="AW95" s="469" t="str">
        <f t="shared" si="60"/>
        <v>N/A</v>
      </c>
      <c r="AX95" s="290"/>
      <c r="AY95" s="18"/>
      <c r="AZ95" s="3"/>
      <c r="BA95" s="315"/>
      <c r="BB95" s="3"/>
      <c r="BC95" s="3"/>
      <c r="BD95" s="3"/>
      <c r="BE95" s="3"/>
      <c r="BF95" s="18"/>
      <c r="BG95" s="3"/>
      <c r="BH95" s="315"/>
      <c r="BI95" s="3"/>
      <c r="BJ95" s="3"/>
      <c r="BK95" s="3"/>
      <c r="BL95" s="3"/>
      <c r="BM95" s="18"/>
      <c r="BN95" s="3"/>
      <c r="BO95" s="315"/>
      <c r="BP95" s="3"/>
      <c r="BQ95" s="3"/>
      <c r="BR95" s="3"/>
      <c r="BS95" s="3"/>
      <c r="BT95" s="18"/>
      <c r="BU95" s="3"/>
      <c r="BV95" s="315"/>
      <c r="BW95" s="3"/>
      <c r="BX95" s="3"/>
      <c r="BY95" s="3"/>
      <c r="BZ95" s="3"/>
    </row>
    <row r="96" spans="1:82" ht="15.6" outlineLevel="1">
      <c r="A96" s="7"/>
      <c r="B96" s="370"/>
      <c r="C96" s="483"/>
      <c r="D96" s="356"/>
      <c r="E96" s="342"/>
      <c r="F96" s="290"/>
      <c r="G96" s="487"/>
      <c r="H96" s="358">
        <v>0</v>
      </c>
      <c r="I96" s="358">
        <v>0</v>
      </c>
      <c r="J96" s="359">
        <f t="shared" si="61"/>
        <v>0</v>
      </c>
      <c r="K96" s="290"/>
      <c r="L96" s="349"/>
      <c r="M96" s="7"/>
      <c r="N96" s="12"/>
      <c r="O96" s="12"/>
      <c r="P96" s="12"/>
      <c r="Q96" s="361"/>
      <c r="R96" s="362"/>
      <c r="S96" s="363">
        <f t="shared" si="48"/>
        <v>0</v>
      </c>
      <c r="T96" s="364">
        <f>J88*20%</f>
        <v>0</v>
      </c>
      <c r="U96" s="365">
        <v>0</v>
      </c>
      <c r="V96" s="91">
        <f>ROUNDUP(IFERROR(INDEX(CostRateTbl[Cost Rate],MATCH(_xlfn.CONCAT(N96,O96,P96,"NA"),CostRateTbl[KeyCostRate],0)),0)*BillingCurrencyTRM*(1+U96),2)</f>
        <v>0</v>
      </c>
      <c r="W96" s="92">
        <f t="shared" si="49"/>
        <v>0</v>
      </c>
      <c r="X96" s="366" t="e" cm="1">
        <f t="array" ref="X96">_xlfn.LET(
    _xlpm.valor, INDEX(CostRate!H:H, MATCH(1, (CostRate!A:A=N96)*1, 0)),
    _xlpm.posicion, MATCH(_xlpm.valor, FilterSL!$F$1:$Z$1, 0),
    _xlpm.direccionCompleta, ADDRESS(1, _xlpm.posicion + 5, 4),
    _xlpm.letraColumna, SUBSTITUTE(_xlpm.direccionCompleta, "1", ""),
    _xlpm.letraColumna
)</f>
        <v>#N/A</v>
      </c>
      <c r="Y96" s="366" t="e" cm="1">
        <f t="array" ref="Y96">_xlfn.LET(
    _xlpm.valor, INDEX(CostRate!I:I, MATCH(1, (CostRate!A:A=N96)*(CostRate!B:B=O96), 0)),
    _xlpm.posicion, MATCH(_xlpm.valor, FilterJP!$E$1:$FZ$1, 0),
    _xlpm.direccionCompleta, ADDRESS(1, _xlpm.posicion + 4, 4),
    _xlpm.letraColumna, SUBSTITUTE(_xlpm.direccionCompleta, "1", ""),
    _xlpm.letraColumna
)</f>
        <v>#N/A</v>
      </c>
      <c r="Z96" s="7"/>
      <c r="AA96" s="367"/>
      <c r="AB96" s="7"/>
      <c r="AC96" s="93">
        <f t="shared" si="50"/>
        <v>0</v>
      </c>
      <c r="AD96" s="94">
        <f t="shared" si="51"/>
        <v>0</v>
      </c>
      <c r="AE96" s="109">
        <f t="shared" si="52"/>
        <v>0</v>
      </c>
      <c r="AF96" s="7"/>
      <c r="AG96" s="369">
        <f t="shared" si="53"/>
        <v>0</v>
      </c>
      <c r="AH96" s="368">
        <f t="shared" si="54"/>
        <v>0</v>
      </c>
      <c r="AI96" s="7"/>
      <c r="AJ96" s="369" cm="1">
        <f t="array" ref="AJ96">IFERROR(INDEX(WHT!$C$7:$W$18,MATCH(
_xlfn.SWITCH(N96,"xDC Medellin","Colombia","xDC Belo Horizonte","Brazil","xDC Guadalajara","Mexico","xDC Gurugram","India","xDC Leon","Spain","xDC San Jose","Costa Rica","xDC Warsaw","Poland",N96),
WHT!$B$7:$B$18,0),MATCH(CustomerCountry,WHT!$C$5:$W$5,0)),0)</f>
        <v>0</v>
      </c>
      <c r="AK96" s="368">
        <f t="shared" si="55"/>
        <v>0</v>
      </c>
      <c r="AL96" s="7"/>
      <c r="AM96" s="95">
        <f t="shared" si="56"/>
        <v>0</v>
      </c>
      <c r="AN96" s="95">
        <f t="shared" si="57"/>
        <v>0</v>
      </c>
      <c r="AO96" s="95">
        <f t="shared" si="58"/>
        <v>0</v>
      </c>
      <c r="AP96" s="90"/>
      <c r="AQ96" s="18"/>
      <c r="AR96" s="290"/>
      <c r="AS96" s="467" t="s">
        <v>133</v>
      </c>
      <c r="AT96" s="501">
        <f t="shared" si="59"/>
        <v>0</v>
      </c>
      <c r="AU96" s="502"/>
      <c r="AV96" s="95">
        <f t="shared" si="63"/>
        <v>0</v>
      </c>
      <c r="AW96" s="469" t="str">
        <f t="shared" si="60"/>
        <v>N/A</v>
      </c>
      <c r="AX96" s="290"/>
      <c r="AY96" s="18"/>
      <c r="AZ96" s="3"/>
      <c r="BA96" s="315"/>
      <c r="BB96" s="3"/>
      <c r="BC96" s="3"/>
      <c r="BD96" s="3"/>
      <c r="BE96" s="3"/>
      <c r="BF96" s="18"/>
      <c r="BG96" s="3"/>
      <c r="BH96" s="315"/>
      <c r="BI96" s="3"/>
      <c r="BJ96" s="3"/>
      <c r="BK96" s="3"/>
      <c r="BL96" s="3"/>
      <c r="BM96" s="18"/>
      <c r="BN96" s="3"/>
      <c r="BO96" s="315"/>
      <c r="BP96" s="3"/>
      <c r="BQ96" s="3"/>
      <c r="BR96" s="3"/>
      <c r="BS96" s="3"/>
      <c r="BT96" s="18"/>
      <c r="BU96" s="3"/>
      <c r="BV96" s="315"/>
      <c r="BW96" s="3"/>
      <c r="BX96" s="3"/>
      <c r="BY96" s="3"/>
      <c r="BZ96" s="3"/>
    </row>
    <row r="97" spans="1:78" ht="15.6" outlineLevel="1">
      <c r="A97" s="7"/>
      <c r="B97" s="370"/>
      <c r="C97" s="484"/>
      <c r="D97" s="356"/>
      <c r="E97" s="342"/>
      <c r="F97" s="290"/>
      <c r="G97" s="487"/>
      <c r="H97" s="358">
        <v>0</v>
      </c>
      <c r="I97" s="358">
        <v>0</v>
      </c>
      <c r="J97" s="359">
        <f t="shared" si="61"/>
        <v>0</v>
      </c>
      <c r="K97" s="290"/>
      <c r="L97" s="349"/>
      <c r="M97" s="7"/>
      <c r="N97" s="12"/>
      <c r="O97" s="12"/>
      <c r="P97" s="12"/>
      <c r="Q97" s="361"/>
      <c r="R97" s="362"/>
      <c r="S97" s="363">
        <f t="shared" si="48"/>
        <v>0</v>
      </c>
      <c r="T97" s="364">
        <f t="shared" si="62"/>
        <v>0</v>
      </c>
      <c r="U97" s="365">
        <v>0</v>
      </c>
      <c r="V97" s="91">
        <f>ROUNDUP(IFERROR(INDEX(CostRateTbl[Cost Rate],MATCH(_xlfn.CONCAT(N97,O97,P97,"NA"),CostRateTbl[KeyCostRate],0)),0)*BillingCurrencyTRM*(1+U97),2)</f>
        <v>0</v>
      </c>
      <c r="W97" s="92">
        <f t="shared" si="49"/>
        <v>0</v>
      </c>
      <c r="X97" s="366" t="e" cm="1">
        <f t="array" ref="X97">_xlfn.LET(
    _xlpm.valor, INDEX(CostRate!H:H, MATCH(1, (CostRate!A:A=N97)*1, 0)),
    _xlpm.posicion, MATCH(_xlpm.valor, FilterSL!$F$1:$Z$1, 0),
    _xlpm.direccionCompleta, ADDRESS(1, _xlpm.posicion + 5, 4),
    _xlpm.letraColumna, SUBSTITUTE(_xlpm.direccionCompleta, "1", ""),
    _xlpm.letraColumna
)</f>
        <v>#N/A</v>
      </c>
      <c r="Y97" s="366" t="e" cm="1">
        <f t="array" ref="Y97">_xlfn.LET(
    _xlpm.valor, INDEX(CostRate!I:I, MATCH(1, (CostRate!A:A=N97)*(CostRate!B:B=O97), 0)),
    _xlpm.posicion, MATCH(_xlpm.valor, FilterJP!$E$1:$FZ$1, 0),
    _xlpm.direccionCompleta, ADDRESS(1, _xlpm.posicion + 4, 4),
    _xlpm.letraColumna, SUBSTITUTE(_xlpm.direccionCompleta, "1", ""),
    _xlpm.letraColumna
)</f>
        <v>#N/A</v>
      </c>
      <c r="Z97" s="7"/>
      <c r="AA97" s="367"/>
      <c r="AB97" s="7"/>
      <c r="AC97" s="93">
        <f t="shared" si="50"/>
        <v>0</v>
      </c>
      <c r="AD97" s="94">
        <f t="shared" si="51"/>
        <v>0</v>
      </c>
      <c r="AE97" s="109">
        <f t="shared" si="52"/>
        <v>0</v>
      </c>
      <c r="AF97" s="7"/>
      <c r="AG97" s="369">
        <f t="shared" si="53"/>
        <v>0</v>
      </c>
      <c r="AH97" s="368">
        <f t="shared" si="54"/>
        <v>0</v>
      </c>
      <c r="AI97" s="7"/>
      <c r="AJ97" s="369" cm="1">
        <f t="array" ref="AJ97">IFERROR(INDEX(WHT!$C$7:$W$18,MATCH(
_xlfn.SWITCH(N97,"xDC Medellin","Colombia","xDC Belo Horizonte","Brazil","xDC Guadalajara","Mexico","xDC Gurugram","India","xDC Leon","Spain","xDC San Jose","Costa Rica","xDC Warsaw","Poland",N97),
WHT!$B$7:$B$18,0),MATCH(CustomerCountry,WHT!$C$5:$W$5,0)),0)</f>
        <v>0</v>
      </c>
      <c r="AK97" s="368">
        <f t="shared" si="55"/>
        <v>0</v>
      </c>
      <c r="AL97" s="7"/>
      <c r="AM97" s="95">
        <f t="shared" si="56"/>
        <v>0</v>
      </c>
      <c r="AN97" s="95">
        <f t="shared" si="57"/>
        <v>0</v>
      </c>
      <c r="AO97" s="95">
        <f t="shared" si="58"/>
        <v>0</v>
      </c>
      <c r="AP97" s="90"/>
      <c r="AQ97" s="18"/>
      <c r="AR97" s="290"/>
      <c r="AS97" s="467" t="s">
        <v>133</v>
      </c>
      <c r="AT97" s="501">
        <f t="shared" si="59"/>
        <v>0</v>
      </c>
      <c r="AU97" s="502"/>
      <c r="AV97" s="95">
        <f t="shared" si="63"/>
        <v>0</v>
      </c>
      <c r="AW97" s="469" t="str">
        <f t="shared" si="60"/>
        <v>N/A</v>
      </c>
      <c r="AX97" s="290"/>
      <c r="AY97" s="18"/>
      <c r="AZ97" s="3"/>
      <c r="BA97" s="315"/>
      <c r="BB97" s="3"/>
      <c r="BC97" s="3"/>
      <c r="BD97" s="3"/>
      <c r="BE97" s="3"/>
      <c r="BF97" s="18"/>
      <c r="BG97" s="3"/>
      <c r="BH97" s="315"/>
      <c r="BI97" s="3"/>
      <c r="BJ97" s="3"/>
      <c r="BK97" s="3"/>
      <c r="BL97" s="3"/>
      <c r="BM97" s="18"/>
      <c r="BN97" s="3"/>
      <c r="BO97" s="315"/>
      <c r="BP97" s="3"/>
      <c r="BQ97" s="3"/>
      <c r="BR97" s="3"/>
      <c r="BS97" s="3"/>
      <c r="BT97" s="18"/>
      <c r="BU97" s="3"/>
      <c r="BV97" s="315"/>
      <c r="BW97" s="3"/>
      <c r="BX97" s="3"/>
      <c r="BY97" s="3"/>
      <c r="BZ97" s="3"/>
    </row>
    <row r="98" spans="1:78" ht="15.6" outlineLevel="1">
      <c r="A98" s="7"/>
      <c r="B98" s="370"/>
      <c r="C98" s="483"/>
      <c r="D98" s="356"/>
      <c r="E98" s="342"/>
      <c r="F98" s="290"/>
      <c r="G98" s="487"/>
      <c r="H98" s="358">
        <v>0</v>
      </c>
      <c r="I98" s="358">
        <v>0</v>
      </c>
      <c r="J98" s="359">
        <f t="shared" si="61"/>
        <v>0</v>
      </c>
      <c r="K98" s="290"/>
      <c r="L98" s="349"/>
      <c r="M98" s="7"/>
      <c r="N98" s="12"/>
      <c r="O98" s="12"/>
      <c r="P98" s="12"/>
      <c r="Q98" s="361"/>
      <c r="R98" s="362"/>
      <c r="S98" s="363">
        <f t="shared" si="48"/>
        <v>0</v>
      </c>
      <c r="T98" s="364">
        <f t="shared" si="62"/>
        <v>0</v>
      </c>
      <c r="U98" s="365">
        <v>0</v>
      </c>
      <c r="V98" s="91">
        <f>ROUNDUP(IFERROR(INDEX(CostRateTbl[Cost Rate],MATCH(_xlfn.CONCAT(N98,O98,P98,"NA"),CostRateTbl[KeyCostRate],0)),0)*BillingCurrencyTRM*(1+U98),2)</f>
        <v>0</v>
      </c>
      <c r="W98" s="92">
        <f t="shared" si="49"/>
        <v>0</v>
      </c>
      <c r="X98" s="366" t="e" cm="1">
        <f t="array" ref="X98">_xlfn.LET(
    _xlpm.valor, INDEX(CostRate!H:H, MATCH(1, (CostRate!A:A=N98)*1, 0)),
    _xlpm.posicion, MATCH(_xlpm.valor, FilterSL!$F$1:$Z$1, 0),
    _xlpm.direccionCompleta, ADDRESS(1, _xlpm.posicion + 5, 4),
    _xlpm.letraColumna, SUBSTITUTE(_xlpm.direccionCompleta, "1", ""),
    _xlpm.letraColumna
)</f>
        <v>#N/A</v>
      </c>
      <c r="Y98" s="366" t="e" cm="1">
        <f t="array" ref="Y98">_xlfn.LET(
    _xlpm.valor, INDEX(CostRate!I:I, MATCH(1, (CostRate!A:A=N98)*(CostRate!B:B=O98), 0)),
    _xlpm.posicion, MATCH(_xlpm.valor, FilterJP!$E$1:$FZ$1, 0),
    _xlpm.direccionCompleta, ADDRESS(1, _xlpm.posicion + 4, 4),
    _xlpm.letraColumna, SUBSTITUTE(_xlpm.direccionCompleta, "1", ""),
    _xlpm.letraColumna
)</f>
        <v>#N/A</v>
      </c>
      <c r="Z98" s="7"/>
      <c r="AA98" s="367"/>
      <c r="AB98" s="7"/>
      <c r="AC98" s="93">
        <f t="shared" si="50"/>
        <v>0</v>
      </c>
      <c r="AD98" s="94">
        <f t="shared" si="51"/>
        <v>0</v>
      </c>
      <c r="AE98" s="109">
        <f t="shared" si="52"/>
        <v>0</v>
      </c>
      <c r="AF98" s="7"/>
      <c r="AG98" s="369">
        <f t="shared" si="53"/>
        <v>0</v>
      </c>
      <c r="AH98" s="368">
        <f t="shared" si="54"/>
        <v>0</v>
      </c>
      <c r="AI98" s="7"/>
      <c r="AJ98" s="369" cm="1">
        <f t="array" ref="AJ98">IFERROR(INDEX(WHT!$C$7:$W$18,MATCH(
_xlfn.SWITCH(N98,"xDC Medellin","Colombia","xDC Belo Horizonte","Brazil","xDC Guadalajara","Mexico","xDC Gurugram","India","xDC Leon","Spain","xDC San Jose","Costa Rica","xDC Warsaw","Poland",N98),
WHT!$B$7:$B$18,0),MATCH(CustomerCountry,WHT!$C$5:$W$5,0)),0)</f>
        <v>0</v>
      </c>
      <c r="AK98" s="368">
        <f t="shared" si="55"/>
        <v>0</v>
      </c>
      <c r="AL98" s="7"/>
      <c r="AM98" s="95">
        <f t="shared" si="56"/>
        <v>0</v>
      </c>
      <c r="AN98" s="95">
        <f t="shared" si="57"/>
        <v>0</v>
      </c>
      <c r="AO98" s="95">
        <f t="shared" si="58"/>
        <v>0</v>
      </c>
      <c r="AP98" s="90"/>
      <c r="AQ98" s="18"/>
      <c r="AR98" s="290"/>
      <c r="AS98" s="467" t="s">
        <v>133</v>
      </c>
      <c r="AT98" s="501">
        <f t="shared" si="59"/>
        <v>0</v>
      </c>
      <c r="AU98" s="502"/>
      <c r="AV98" s="95">
        <f t="shared" si="63"/>
        <v>0</v>
      </c>
      <c r="AW98" s="469" t="str">
        <f t="shared" si="60"/>
        <v>N/A</v>
      </c>
      <c r="AX98" s="290"/>
      <c r="AY98" s="18"/>
      <c r="AZ98" s="3"/>
      <c r="BA98" s="315"/>
      <c r="BB98" s="3"/>
      <c r="BC98" s="3"/>
      <c r="BD98" s="3"/>
      <c r="BE98" s="3"/>
      <c r="BF98" s="18"/>
      <c r="BG98" s="3"/>
      <c r="BH98" s="315"/>
      <c r="BI98" s="3"/>
      <c r="BJ98" s="3"/>
      <c r="BK98" s="3"/>
      <c r="BL98" s="3"/>
      <c r="BM98" s="18"/>
      <c r="BN98" s="3"/>
      <c r="BO98" s="315"/>
      <c r="BP98" s="3"/>
      <c r="BQ98" s="3"/>
      <c r="BR98" s="3"/>
      <c r="BS98" s="3"/>
      <c r="BT98" s="18"/>
      <c r="BU98" s="3"/>
      <c r="BV98" s="315"/>
      <c r="BW98" s="3"/>
      <c r="BX98" s="3"/>
      <c r="BY98" s="3"/>
      <c r="BZ98" s="3"/>
    </row>
    <row r="99" spans="1:78" ht="15.6" outlineLevel="1">
      <c r="A99" s="7"/>
      <c r="B99" s="370"/>
      <c r="C99" s="483"/>
      <c r="D99" s="356"/>
      <c r="E99" s="342"/>
      <c r="F99" s="290"/>
      <c r="G99" s="487"/>
      <c r="H99" s="358">
        <v>0</v>
      </c>
      <c r="I99" s="358">
        <v>0</v>
      </c>
      <c r="J99" s="359">
        <f t="shared" si="61"/>
        <v>0</v>
      </c>
      <c r="K99" s="290"/>
      <c r="L99" s="349"/>
      <c r="M99" s="7"/>
      <c r="N99" s="12"/>
      <c r="O99" s="12"/>
      <c r="P99" s="12"/>
      <c r="Q99" s="361"/>
      <c r="R99" s="362"/>
      <c r="S99" s="363">
        <f t="shared" si="48"/>
        <v>0</v>
      </c>
      <c r="T99" s="364">
        <f t="shared" si="62"/>
        <v>0</v>
      </c>
      <c r="U99" s="365">
        <v>0</v>
      </c>
      <c r="V99" s="91">
        <f>ROUNDUP(IFERROR(INDEX(CostRateTbl[Cost Rate],MATCH(_xlfn.CONCAT(N99,O99,P99,"NA"),CostRateTbl[KeyCostRate],0)),0)*BillingCurrencyTRM*(1+U99),2)</f>
        <v>0</v>
      </c>
      <c r="W99" s="92">
        <f t="shared" si="49"/>
        <v>0</v>
      </c>
      <c r="X99" s="366" t="e" cm="1">
        <f t="array" ref="X99">_xlfn.LET(
    _xlpm.valor, INDEX(CostRate!H:H, MATCH(1, (CostRate!A:A=N99)*1, 0)),
    _xlpm.posicion, MATCH(_xlpm.valor, FilterSL!$F$1:$Z$1, 0),
    _xlpm.direccionCompleta, ADDRESS(1, _xlpm.posicion + 5, 4),
    _xlpm.letraColumna, SUBSTITUTE(_xlpm.direccionCompleta, "1", ""),
    _xlpm.letraColumna
)</f>
        <v>#N/A</v>
      </c>
      <c r="Y99" s="366" t="e" cm="1">
        <f t="array" ref="Y99">_xlfn.LET(
    _xlpm.valor, INDEX(CostRate!I:I, MATCH(1, (CostRate!A:A=N99)*(CostRate!B:B=O99), 0)),
    _xlpm.posicion, MATCH(_xlpm.valor, FilterJP!$E$1:$FZ$1, 0),
    _xlpm.direccionCompleta, ADDRESS(1, _xlpm.posicion + 4, 4),
    _xlpm.letraColumna, SUBSTITUTE(_xlpm.direccionCompleta, "1", ""),
    _xlpm.letraColumna
)</f>
        <v>#N/A</v>
      </c>
      <c r="Z99" s="7"/>
      <c r="AA99" s="367"/>
      <c r="AB99" s="7"/>
      <c r="AC99" s="93">
        <f t="shared" si="50"/>
        <v>0</v>
      </c>
      <c r="AD99" s="94">
        <f t="shared" si="51"/>
        <v>0</v>
      </c>
      <c r="AE99" s="109">
        <f t="shared" si="52"/>
        <v>0</v>
      </c>
      <c r="AF99" s="7"/>
      <c r="AG99" s="369">
        <f t="shared" si="53"/>
        <v>0</v>
      </c>
      <c r="AH99" s="368">
        <f t="shared" si="54"/>
        <v>0</v>
      </c>
      <c r="AI99" s="7"/>
      <c r="AJ99" s="369" cm="1">
        <f t="array" ref="AJ99">IFERROR(INDEX(WHT!$C$7:$W$18,MATCH(
_xlfn.SWITCH(N99,"xDC Medellin","Colombia","xDC Belo Horizonte","Brazil","xDC Guadalajara","Mexico","xDC Gurugram","India","xDC Leon","Spain","xDC San Jose","Costa Rica","xDC Warsaw","Poland",N99),
WHT!$B$7:$B$18,0),MATCH(CustomerCountry,WHT!$C$5:$W$5,0)),0)</f>
        <v>0</v>
      </c>
      <c r="AK99" s="368">
        <f t="shared" si="55"/>
        <v>0</v>
      </c>
      <c r="AL99" s="7"/>
      <c r="AM99" s="95">
        <f t="shared" si="56"/>
        <v>0</v>
      </c>
      <c r="AN99" s="95">
        <f t="shared" si="57"/>
        <v>0</v>
      </c>
      <c r="AO99" s="95">
        <f t="shared" si="58"/>
        <v>0</v>
      </c>
      <c r="AP99" s="90"/>
      <c r="AQ99" s="18"/>
      <c r="AR99" s="290"/>
      <c r="AS99" s="467" t="s">
        <v>133</v>
      </c>
      <c r="AT99" s="501">
        <f t="shared" si="59"/>
        <v>0</v>
      </c>
      <c r="AU99" s="502"/>
      <c r="AV99" s="95">
        <f t="shared" si="63"/>
        <v>0</v>
      </c>
      <c r="AW99" s="469" t="str">
        <f t="shared" si="60"/>
        <v>N/A</v>
      </c>
      <c r="AX99" s="290"/>
      <c r="AY99" s="18"/>
      <c r="AZ99" s="3"/>
      <c r="BA99" s="315"/>
      <c r="BB99" s="3"/>
      <c r="BC99" s="3"/>
      <c r="BD99" s="3"/>
      <c r="BE99" s="3"/>
      <c r="BF99" s="18"/>
      <c r="BG99" s="3"/>
      <c r="BH99" s="315"/>
      <c r="BI99" s="3"/>
      <c r="BJ99" s="3"/>
      <c r="BK99" s="3"/>
      <c r="BL99" s="3"/>
      <c r="BM99" s="18"/>
      <c r="BN99" s="3"/>
      <c r="BO99" s="315"/>
      <c r="BP99" s="3"/>
      <c r="BQ99" s="3"/>
      <c r="BR99" s="3"/>
      <c r="BS99" s="3"/>
      <c r="BT99" s="18"/>
      <c r="BU99" s="3"/>
      <c r="BV99" s="315"/>
      <c r="BW99" s="3"/>
      <c r="BX99" s="3"/>
      <c r="BY99" s="3"/>
      <c r="BZ99" s="3"/>
    </row>
    <row r="100" spans="1:78" ht="15.6" outlineLevel="1">
      <c r="A100" s="7"/>
      <c r="B100" s="370"/>
      <c r="C100" s="483"/>
      <c r="D100" s="356"/>
      <c r="E100" s="342"/>
      <c r="F100" s="290"/>
      <c r="G100" s="487"/>
      <c r="H100" s="358">
        <v>0</v>
      </c>
      <c r="I100" s="358">
        <v>0</v>
      </c>
      <c r="J100" s="359">
        <f t="shared" si="61"/>
        <v>0</v>
      </c>
      <c r="K100" s="290"/>
      <c r="L100" s="349"/>
      <c r="M100" s="7"/>
      <c r="N100" s="12"/>
      <c r="O100" s="12"/>
      <c r="P100" s="12"/>
      <c r="Q100" s="361"/>
      <c r="R100" s="362"/>
      <c r="S100" s="363">
        <f t="shared" si="48"/>
        <v>0</v>
      </c>
      <c r="T100" s="364">
        <f t="shared" si="62"/>
        <v>0</v>
      </c>
      <c r="U100" s="365">
        <v>0</v>
      </c>
      <c r="V100" s="91">
        <f>ROUNDUP(IFERROR(INDEX(CostRateTbl[Cost Rate],MATCH(_xlfn.CONCAT(N100,O100,P100,"NA"),CostRateTbl[KeyCostRate],0)),0)*BillingCurrencyTRM*(1+U100),2)</f>
        <v>0</v>
      </c>
      <c r="W100" s="92">
        <f t="shared" si="49"/>
        <v>0</v>
      </c>
      <c r="X100" s="366" t="e" cm="1">
        <f t="array" ref="X100">_xlfn.LET(
    _xlpm.valor, INDEX(CostRate!H:H, MATCH(1, (CostRate!A:A=N100)*1, 0)),
    _xlpm.posicion, MATCH(_xlpm.valor, FilterSL!$F$1:$Z$1, 0),
    _xlpm.direccionCompleta, ADDRESS(1, _xlpm.posicion + 5, 4),
    _xlpm.letraColumna, SUBSTITUTE(_xlpm.direccionCompleta, "1", ""),
    _xlpm.letraColumna
)</f>
        <v>#N/A</v>
      </c>
      <c r="Y100" s="366" t="e" cm="1">
        <f t="array" ref="Y100">_xlfn.LET(
    _xlpm.valor, INDEX(CostRate!I:I, MATCH(1, (CostRate!A:A=N100)*(CostRate!B:B=O100), 0)),
    _xlpm.posicion, MATCH(_xlpm.valor, FilterJP!$E$1:$FZ$1, 0),
    _xlpm.direccionCompleta, ADDRESS(1, _xlpm.posicion + 4, 4),
    _xlpm.letraColumna, SUBSTITUTE(_xlpm.direccionCompleta, "1", ""),
    _xlpm.letraColumna
)</f>
        <v>#N/A</v>
      </c>
      <c r="Z100" s="7"/>
      <c r="AA100" s="367"/>
      <c r="AB100" s="7"/>
      <c r="AC100" s="93">
        <f t="shared" si="50"/>
        <v>0</v>
      </c>
      <c r="AD100" s="94">
        <f t="shared" si="51"/>
        <v>0</v>
      </c>
      <c r="AE100" s="109">
        <f t="shared" si="52"/>
        <v>0</v>
      </c>
      <c r="AF100" s="7"/>
      <c r="AG100" s="369">
        <f t="shared" si="53"/>
        <v>0</v>
      </c>
      <c r="AH100" s="368">
        <f t="shared" si="54"/>
        <v>0</v>
      </c>
      <c r="AI100" s="7"/>
      <c r="AJ100" s="369" cm="1">
        <f t="array" ref="AJ100">IFERROR(INDEX(WHT!$C$7:$W$18,MATCH(
_xlfn.SWITCH(N100,"xDC Medellin","Colombia","xDC Belo Horizonte","Brazil","xDC Guadalajara","Mexico","xDC Gurugram","India","xDC Leon","Spain","xDC San Jose","Costa Rica","xDC Warsaw","Poland",N100),
WHT!$B$7:$B$18,0),MATCH(CustomerCountry,WHT!$C$5:$W$5,0)),0)</f>
        <v>0</v>
      </c>
      <c r="AK100" s="368">
        <f t="shared" si="55"/>
        <v>0</v>
      </c>
      <c r="AL100" s="7"/>
      <c r="AM100" s="95">
        <f t="shared" si="56"/>
        <v>0</v>
      </c>
      <c r="AN100" s="95">
        <f t="shared" si="57"/>
        <v>0</v>
      </c>
      <c r="AO100" s="95">
        <f t="shared" si="58"/>
        <v>0</v>
      </c>
      <c r="AP100" s="90"/>
      <c r="AQ100" s="18"/>
      <c r="AR100" s="290"/>
      <c r="AS100" s="467" t="s">
        <v>133</v>
      </c>
      <c r="AT100" s="501">
        <f t="shared" si="59"/>
        <v>0</v>
      </c>
      <c r="AU100" s="502"/>
      <c r="AV100" s="95">
        <f t="shared" si="63"/>
        <v>0</v>
      </c>
      <c r="AW100" s="469" t="str">
        <f t="shared" si="60"/>
        <v>N/A</v>
      </c>
      <c r="AX100" s="290"/>
      <c r="AY100" s="18"/>
      <c r="AZ100" s="3"/>
      <c r="BA100" s="315"/>
      <c r="BB100" s="3"/>
      <c r="BC100" s="3"/>
      <c r="BD100" s="3"/>
      <c r="BE100" s="3"/>
      <c r="BF100" s="18"/>
      <c r="BG100" s="3"/>
      <c r="BH100" s="315"/>
      <c r="BI100" s="3"/>
      <c r="BJ100" s="3"/>
      <c r="BK100" s="3"/>
      <c r="BL100" s="3"/>
      <c r="BM100" s="18"/>
      <c r="BN100" s="3"/>
      <c r="BO100" s="315"/>
      <c r="BP100" s="3"/>
      <c r="BQ100" s="3"/>
      <c r="BR100" s="3"/>
      <c r="BS100" s="3"/>
      <c r="BT100" s="18"/>
      <c r="BU100" s="3"/>
      <c r="BV100" s="315"/>
      <c r="BW100" s="3"/>
      <c r="BX100" s="3"/>
      <c r="BY100" s="3"/>
      <c r="BZ100" s="3"/>
    </row>
    <row r="101" spans="1:78" ht="15.6" outlineLevel="1">
      <c r="A101" s="7"/>
      <c r="B101" s="370"/>
      <c r="C101" s="483"/>
      <c r="D101" s="356"/>
      <c r="E101" s="342"/>
      <c r="F101" s="290"/>
      <c r="G101" s="487"/>
      <c r="H101" s="358">
        <v>0</v>
      </c>
      <c r="I101" s="358">
        <v>0</v>
      </c>
      <c r="J101" s="359">
        <f t="shared" si="61"/>
        <v>0</v>
      </c>
      <c r="K101" s="290"/>
      <c r="L101" s="349"/>
      <c r="M101" s="7"/>
      <c r="N101" s="12"/>
      <c r="O101" s="12"/>
      <c r="P101" s="12"/>
      <c r="Q101" s="361"/>
      <c r="R101" s="362"/>
      <c r="S101" s="363">
        <f t="shared" si="48"/>
        <v>0</v>
      </c>
      <c r="T101" s="364">
        <f t="shared" si="62"/>
        <v>0</v>
      </c>
      <c r="U101" s="365">
        <v>0</v>
      </c>
      <c r="V101" s="91">
        <f>ROUNDUP(IFERROR(INDEX(CostRateTbl[Cost Rate],MATCH(_xlfn.CONCAT(N101,O101,P101,"NA"),CostRateTbl[KeyCostRate],0)),0)*BillingCurrencyTRM*(1+U101),2)</f>
        <v>0</v>
      </c>
      <c r="W101" s="92">
        <f t="shared" si="49"/>
        <v>0</v>
      </c>
      <c r="X101" s="366" t="e" cm="1">
        <f t="array" ref="X101">_xlfn.LET(
    _xlpm.valor, INDEX(CostRate!H:H, MATCH(1, (CostRate!A:A=N101)*1, 0)),
    _xlpm.posicion, MATCH(_xlpm.valor, FilterSL!$F$1:$Z$1, 0),
    _xlpm.direccionCompleta, ADDRESS(1, _xlpm.posicion + 5, 4),
    _xlpm.letraColumna, SUBSTITUTE(_xlpm.direccionCompleta, "1", ""),
    _xlpm.letraColumna
)</f>
        <v>#N/A</v>
      </c>
      <c r="Y101" s="366" t="e" cm="1">
        <f t="array" ref="Y101">_xlfn.LET(
    _xlpm.valor, INDEX(CostRate!I:I, MATCH(1, (CostRate!A:A=N101)*(CostRate!B:B=O101), 0)),
    _xlpm.posicion, MATCH(_xlpm.valor, FilterJP!$E$1:$FZ$1, 0),
    _xlpm.direccionCompleta, ADDRESS(1, _xlpm.posicion + 4, 4),
    _xlpm.letraColumna, SUBSTITUTE(_xlpm.direccionCompleta, "1", ""),
    _xlpm.letraColumna
)</f>
        <v>#N/A</v>
      </c>
      <c r="Z101" s="7"/>
      <c r="AA101" s="367"/>
      <c r="AB101" s="7"/>
      <c r="AC101" s="93">
        <f t="shared" si="50"/>
        <v>0</v>
      </c>
      <c r="AD101" s="94">
        <f t="shared" si="51"/>
        <v>0</v>
      </c>
      <c r="AE101" s="109">
        <f t="shared" si="52"/>
        <v>0</v>
      </c>
      <c r="AF101" s="7"/>
      <c r="AG101" s="369">
        <f t="shared" si="53"/>
        <v>0</v>
      </c>
      <c r="AH101" s="368">
        <f t="shared" si="54"/>
        <v>0</v>
      </c>
      <c r="AI101" s="7"/>
      <c r="AJ101" s="369" cm="1">
        <f t="array" ref="AJ101">IFERROR(INDEX(WHT!$C$7:$W$18,MATCH(
_xlfn.SWITCH(N101,"xDC Medellin","Colombia","xDC Belo Horizonte","Brazil","xDC Guadalajara","Mexico","xDC Gurugram","India","xDC Leon","Spain","xDC San Jose","Costa Rica","xDC Warsaw","Poland",N101),
WHT!$B$7:$B$18,0),MATCH(CustomerCountry,WHT!$C$5:$W$5,0)),0)</f>
        <v>0</v>
      </c>
      <c r="AK101" s="368">
        <f t="shared" si="55"/>
        <v>0</v>
      </c>
      <c r="AL101" s="7"/>
      <c r="AM101" s="95">
        <f t="shared" si="56"/>
        <v>0</v>
      </c>
      <c r="AN101" s="95">
        <f t="shared" si="57"/>
        <v>0</v>
      </c>
      <c r="AO101" s="95">
        <f t="shared" si="58"/>
        <v>0</v>
      </c>
      <c r="AP101" s="90"/>
      <c r="AQ101" s="18"/>
      <c r="AR101" s="290"/>
      <c r="AS101" s="467" t="s">
        <v>133</v>
      </c>
      <c r="AT101" s="501">
        <f t="shared" si="59"/>
        <v>0</v>
      </c>
      <c r="AU101" s="502"/>
      <c r="AV101" s="95">
        <f t="shared" si="63"/>
        <v>0</v>
      </c>
      <c r="AW101" s="469" t="str">
        <f t="shared" si="60"/>
        <v>N/A</v>
      </c>
      <c r="AX101" s="290"/>
      <c r="AY101" s="18"/>
      <c r="AZ101" s="3"/>
      <c r="BA101" s="315"/>
      <c r="BB101" s="3"/>
      <c r="BC101" s="3"/>
      <c r="BD101" s="3"/>
      <c r="BE101" s="3"/>
      <c r="BF101" s="18"/>
      <c r="BG101" s="3"/>
      <c r="BH101" s="315"/>
      <c r="BI101" s="3"/>
      <c r="BJ101" s="3"/>
      <c r="BK101" s="3"/>
      <c r="BL101" s="3"/>
      <c r="BM101" s="18"/>
      <c r="BN101" s="3"/>
      <c r="BO101" s="315"/>
      <c r="BP101" s="3"/>
      <c r="BQ101" s="3"/>
      <c r="BR101" s="3"/>
      <c r="BS101" s="3"/>
      <c r="BT101" s="18"/>
      <c r="BU101" s="3"/>
      <c r="BV101" s="315"/>
      <c r="BW101" s="3"/>
      <c r="BX101" s="3"/>
      <c r="BY101" s="3"/>
      <c r="BZ101" s="3"/>
    </row>
    <row r="102" spans="1:78" ht="15.6" outlineLevel="1">
      <c r="A102" s="7"/>
      <c r="B102" s="370"/>
      <c r="C102" s="484"/>
      <c r="D102" s="356"/>
      <c r="E102" s="342"/>
      <c r="F102" s="290"/>
      <c r="G102" s="487"/>
      <c r="H102" s="358">
        <v>0</v>
      </c>
      <c r="I102" s="358">
        <v>0</v>
      </c>
      <c r="J102" s="359">
        <f t="shared" si="61"/>
        <v>0</v>
      </c>
      <c r="K102" s="290"/>
      <c r="L102" s="349"/>
      <c r="M102" s="7"/>
      <c r="N102" s="12"/>
      <c r="O102" s="12"/>
      <c r="P102" s="12"/>
      <c r="Q102" s="361"/>
      <c r="R102" s="362"/>
      <c r="S102" s="363">
        <f t="shared" si="48"/>
        <v>0</v>
      </c>
      <c r="T102" s="364">
        <f t="shared" si="62"/>
        <v>0</v>
      </c>
      <c r="U102" s="365">
        <v>0</v>
      </c>
      <c r="V102" s="91">
        <f>ROUNDUP(IFERROR(INDEX(CostRateTbl[Cost Rate],MATCH(_xlfn.CONCAT(N102,O102,P102,"NA"),CostRateTbl[KeyCostRate],0)),0)*BillingCurrencyTRM*(1+U102),2)</f>
        <v>0</v>
      </c>
      <c r="W102" s="92">
        <f t="shared" si="49"/>
        <v>0</v>
      </c>
      <c r="X102" s="366" t="e" cm="1">
        <f t="array" ref="X102">_xlfn.LET(
    _xlpm.valor, INDEX(CostRate!H:H, MATCH(1, (CostRate!A:A=N102)*1, 0)),
    _xlpm.posicion, MATCH(_xlpm.valor, FilterSL!$F$1:$Z$1, 0),
    _xlpm.direccionCompleta, ADDRESS(1, _xlpm.posicion + 5, 4),
    _xlpm.letraColumna, SUBSTITUTE(_xlpm.direccionCompleta, "1", ""),
    _xlpm.letraColumna
)</f>
        <v>#N/A</v>
      </c>
      <c r="Y102" s="366" t="e" cm="1">
        <f t="array" ref="Y102">_xlfn.LET(
    _xlpm.valor, INDEX(CostRate!I:I, MATCH(1, (CostRate!A:A=N102)*(CostRate!B:B=O102), 0)),
    _xlpm.posicion, MATCH(_xlpm.valor, FilterJP!$E$1:$FZ$1, 0),
    _xlpm.direccionCompleta, ADDRESS(1, _xlpm.posicion + 4, 4),
    _xlpm.letraColumna, SUBSTITUTE(_xlpm.direccionCompleta, "1", ""),
    _xlpm.letraColumna
)</f>
        <v>#N/A</v>
      </c>
      <c r="Z102" s="7"/>
      <c r="AA102" s="367"/>
      <c r="AB102" s="7"/>
      <c r="AC102" s="93">
        <f t="shared" si="50"/>
        <v>0</v>
      </c>
      <c r="AD102" s="94">
        <f t="shared" si="51"/>
        <v>0</v>
      </c>
      <c r="AE102" s="109">
        <f t="shared" si="52"/>
        <v>0</v>
      </c>
      <c r="AF102" s="7"/>
      <c r="AG102" s="369">
        <f t="shared" si="53"/>
        <v>0</v>
      </c>
      <c r="AH102" s="368">
        <f t="shared" si="54"/>
        <v>0</v>
      </c>
      <c r="AI102" s="7"/>
      <c r="AJ102" s="369" cm="1">
        <f t="array" ref="AJ102">IFERROR(INDEX(WHT!$C$7:$W$18,MATCH(
_xlfn.SWITCH(N102,"xDC Medellin","Colombia","xDC Belo Horizonte","Brazil","xDC Guadalajara","Mexico","xDC Gurugram","India","xDC Leon","Spain","xDC San Jose","Costa Rica","xDC Warsaw","Poland",N102),
WHT!$B$7:$B$18,0),MATCH(CustomerCountry,WHT!$C$5:$W$5,0)),0)</f>
        <v>0</v>
      </c>
      <c r="AK102" s="368">
        <f t="shared" si="55"/>
        <v>0</v>
      </c>
      <c r="AL102" s="7"/>
      <c r="AM102" s="95">
        <f t="shared" si="56"/>
        <v>0</v>
      </c>
      <c r="AN102" s="95">
        <f t="shared" si="57"/>
        <v>0</v>
      </c>
      <c r="AO102" s="95">
        <f t="shared" si="58"/>
        <v>0</v>
      </c>
      <c r="AP102" s="90"/>
      <c r="AQ102" s="18"/>
      <c r="AR102" s="290"/>
      <c r="AS102" s="467" t="s">
        <v>133</v>
      </c>
      <c r="AT102" s="501">
        <f t="shared" si="59"/>
        <v>0</v>
      </c>
      <c r="AU102" s="502"/>
      <c r="AV102" s="95">
        <f t="shared" si="63"/>
        <v>0</v>
      </c>
      <c r="AW102" s="469" t="str">
        <f t="shared" si="60"/>
        <v>N/A</v>
      </c>
      <c r="AX102" s="290"/>
      <c r="AY102" s="18"/>
      <c r="AZ102" s="3"/>
      <c r="BA102" s="315"/>
      <c r="BB102" s="3"/>
      <c r="BC102" s="3"/>
      <c r="BD102" s="3"/>
      <c r="BE102" s="3"/>
      <c r="BF102" s="18"/>
      <c r="BG102" s="3"/>
      <c r="BH102" s="315"/>
      <c r="BI102" s="3"/>
      <c r="BJ102" s="3"/>
      <c r="BK102" s="3"/>
      <c r="BL102" s="3"/>
      <c r="BM102" s="18"/>
      <c r="BN102" s="3"/>
      <c r="BO102" s="315"/>
      <c r="BP102" s="3"/>
      <c r="BQ102" s="3"/>
      <c r="BR102" s="3"/>
      <c r="BS102" s="3"/>
      <c r="BT102" s="18"/>
      <c r="BU102" s="3"/>
      <c r="BV102" s="315"/>
      <c r="BW102" s="3"/>
      <c r="BX102" s="3"/>
      <c r="BY102" s="3"/>
      <c r="BZ102" s="3"/>
    </row>
    <row r="103" spans="1:78" ht="15.6" outlineLevel="1">
      <c r="A103" s="7"/>
      <c r="B103" s="370"/>
      <c r="C103" s="482"/>
      <c r="D103" s="356"/>
      <c r="E103" s="342"/>
      <c r="F103" s="290"/>
      <c r="G103" s="487"/>
      <c r="H103" s="358">
        <v>0</v>
      </c>
      <c r="I103" s="358">
        <v>0</v>
      </c>
      <c r="J103" s="359">
        <f t="shared" si="61"/>
        <v>0</v>
      </c>
      <c r="K103" s="290"/>
      <c r="L103" s="349"/>
      <c r="M103" s="7"/>
      <c r="N103" s="12"/>
      <c r="O103" s="12"/>
      <c r="P103" s="12"/>
      <c r="Q103" s="361"/>
      <c r="R103" s="362"/>
      <c r="S103" s="363">
        <f t="shared" si="48"/>
        <v>0</v>
      </c>
      <c r="T103" s="364">
        <f t="shared" ref="T103:T121" si="64">IF(ISBLANK($P103),0,IF(Approach="Team-Based",$Q103*$R103*$S103*HoursPerDayTeamBased,$J103))</f>
        <v>0</v>
      </c>
      <c r="U103" s="365">
        <v>0</v>
      </c>
      <c r="V103" s="91">
        <f>ROUNDUP(IFERROR(INDEX(CostRateTbl[Cost Rate],MATCH(_xlfn.CONCAT(N103,O103,P103,"NA"),CostRateTbl[KeyCostRate],0)),0)*BillingCurrencyTRM*(1+U103),2)</f>
        <v>0</v>
      </c>
      <c r="W103" s="92">
        <f t="shared" si="49"/>
        <v>0</v>
      </c>
      <c r="X103" s="366" t="e" cm="1">
        <f t="array" ref="X103">_xlfn.LET(
    _xlpm.valor, INDEX(CostRate!H:H, MATCH(1, (CostRate!A:A=N103)*1, 0)),
    _xlpm.posicion, MATCH(_xlpm.valor, FilterSL!$F$1:$Z$1, 0),
    _xlpm.direccionCompleta, ADDRESS(1, _xlpm.posicion + 5, 4),
    _xlpm.letraColumna, SUBSTITUTE(_xlpm.direccionCompleta, "1", ""),
    _xlpm.letraColumna
)</f>
        <v>#N/A</v>
      </c>
      <c r="Y103" s="366" t="e" cm="1">
        <f t="array" ref="Y103">_xlfn.LET(
    _xlpm.valor, INDEX(CostRate!I:I, MATCH(1, (CostRate!A:A=N103)*(CostRate!B:B=O103), 0)),
    _xlpm.posicion, MATCH(_xlpm.valor, FilterJP!$E$1:$FZ$1, 0),
    _xlpm.direccionCompleta, ADDRESS(1, _xlpm.posicion + 4, 4),
    _xlpm.letraColumna, SUBSTITUTE(_xlpm.direccionCompleta, "1", ""),
    _xlpm.letraColumna
)</f>
        <v>#N/A</v>
      </c>
      <c r="Z103" s="7"/>
      <c r="AA103" s="367"/>
      <c r="AB103" s="7"/>
      <c r="AC103" s="93">
        <f t="shared" si="50"/>
        <v>0</v>
      </c>
      <c r="AD103" s="94">
        <f t="shared" ref="AD103:AD121" si="65">$T103*$AC103</f>
        <v>0</v>
      </c>
      <c r="AE103" s="109">
        <f t="shared" ref="AE103:AE121" si="66">IFERROR(1-($W103/$AD103),0)</f>
        <v>0</v>
      </c>
      <c r="AF103" s="7"/>
      <c r="AG103" s="369">
        <f t="shared" ref="AG103:AG121" si="67">IFERROR(IF(OR(ISBLANK(N103),N103=CustomerCountry,COUNTIF($N103,"*xDC*")),0,10%),0)</f>
        <v>0</v>
      </c>
      <c r="AH103" s="368">
        <f t="shared" si="54"/>
        <v>0</v>
      </c>
      <c r="AI103" s="7"/>
      <c r="AJ103" s="369" cm="1">
        <f t="array" ref="AJ103">IFERROR(INDEX(WHT!$C$7:$W$18,MATCH(
_xlfn.SWITCH(N103,"xDC Medellin","Colombia","xDC Belo Horizonte","Brazil","xDC Guadalajara","Mexico","xDC Gurugram","India","xDC Leon","Spain","xDC San Jose","Costa Rica","xDC Warsaw","Poland",N103),
WHT!$B$7:$B$18,0),MATCH(CustomerCountry,WHT!$C$5:$W$5,0)),0)</f>
        <v>0</v>
      </c>
      <c r="AK103" s="368">
        <f t="shared" si="55"/>
        <v>0</v>
      </c>
      <c r="AL103" s="7"/>
      <c r="AM103" s="95">
        <f t="shared" ref="AM103:AM121" si="68">SUM($AD103,$AH103,$AK103)</f>
        <v>0</v>
      </c>
      <c r="AN103" s="95">
        <f t="shared" si="57"/>
        <v>0</v>
      </c>
      <c r="AO103" s="95">
        <f t="shared" ref="AO103:AO121" si="69">IFERROR($AN103/$T103,0)</f>
        <v>0</v>
      </c>
      <c r="AP103" s="90"/>
      <c r="AQ103" s="18"/>
      <c r="AR103" s="290"/>
      <c r="AS103" s="467" t="s">
        <v>133</v>
      </c>
      <c r="AT103" s="501">
        <f t="shared" si="59"/>
        <v>0</v>
      </c>
      <c r="AU103" s="502"/>
      <c r="AV103" s="95">
        <f t="shared" si="63"/>
        <v>0</v>
      </c>
      <c r="AW103" s="469" t="str">
        <f t="shared" si="60"/>
        <v>N/A</v>
      </c>
      <c r="AX103" s="290"/>
      <c r="AY103" s="18"/>
      <c r="AZ103" s="3"/>
      <c r="BA103" s="315"/>
      <c r="BB103" s="3"/>
      <c r="BC103" s="3"/>
      <c r="BD103" s="3"/>
      <c r="BE103" s="3"/>
      <c r="BF103" s="18"/>
      <c r="BG103" s="3"/>
      <c r="BH103" s="315"/>
      <c r="BI103" s="3"/>
      <c r="BJ103" s="3"/>
      <c r="BK103" s="3"/>
      <c r="BL103" s="3"/>
      <c r="BM103" s="18"/>
      <c r="BN103" s="3"/>
      <c r="BO103" s="315"/>
      <c r="BP103" s="3"/>
      <c r="BQ103" s="3"/>
      <c r="BR103" s="3"/>
      <c r="BS103" s="3"/>
      <c r="BT103" s="18"/>
      <c r="BU103" s="3"/>
      <c r="BV103" s="315"/>
      <c r="BW103" s="3"/>
      <c r="BX103" s="3"/>
      <c r="BY103" s="3"/>
      <c r="BZ103" s="3"/>
    </row>
    <row r="104" spans="1:78" ht="15.6" outlineLevel="1">
      <c r="A104" s="7"/>
      <c r="B104" s="370"/>
      <c r="C104" s="482"/>
      <c r="D104" s="356"/>
      <c r="E104" s="342"/>
      <c r="F104" s="290"/>
      <c r="G104" s="487"/>
      <c r="H104" s="358">
        <v>0</v>
      </c>
      <c r="I104" s="358">
        <v>0</v>
      </c>
      <c r="J104" s="359">
        <f t="shared" si="61"/>
        <v>0</v>
      </c>
      <c r="K104" s="290"/>
      <c r="L104" s="349"/>
      <c r="M104" s="7"/>
      <c r="N104" s="12"/>
      <c r="O104" s="12"/>
      <c r="P104" s="12"/>
      <c r="Q104" s="361"/>
      <c r="R104" s="362"/>
      <c r="S104" s="363">
        <f t="shared" si="48"/>
        <v>0</v>
      </c>
      <c r="T104" s="364">
        <f t="shared" si="64"/>
        <v>0</v>
      </c>
      <c r="U104" s="365">
        <v>0</v>
      </c>
      <c r="V104" s="91">
        <f>ROUNDUP(IFERROR(INDEX(CostRateTbl[Cost Rate],MATCH(_xlfn.CONCAT(N104,O104,P104,"NA"),CostRateTbl[KeyCostRate],0)),0)*BillingCurrencyTRM*(1+U104),2)</f>
        <v>0</v>
      </c>
      <c r="W104" s="92">
        <f t="shared" si="49"/>
        <v>0</v>
      </c>
      <c r="X104" s="366" t="e" cm="1">
        <f t="array" ref="X104">_xlfn.LET(
    _xlpm.valor, INDEX(CostRate!H:H, MATCH(1, (CostRate!A:A=N104)*1, 0)),
    _xlpm.posicion, MATCH(_xlpm.valor, FilterSL!$F$1:$Z$1, 0),
    _xlpm.direccionCompleta, ADDRESS(1, _xlpm.posicion + 5, 4),
    _xlpm.letraColumna, SUBSTITUTE(_xlpm.direccionCompleta, "1", ""),
    _xlpm.letraColumna
)</f>
        <v>#N/A</v>
      </c>
      <c r="Y104" s="366" t="e" cm="1">
        <f t="array" ref="Y104">_xlfn.LET(
    _xlpm.valor, INDEX(CostRate!I:I, MATCH(1, (CostRate!A:A=N104)*(CostRate!B:B=O104), 0)),
    _xlpm.posicion, MATCH(_xlpm.valor, FilterJP!$E$1:$FZ$1, 0),
    _xlpm.direccionCompleta, ADDRESS(1, _xlpm.posicion + 4, 4),
    _xlpm.letraColumna, SUBSTITUTE(_xlpm.direccionCompleta, "1", ""),
    _xlpm.letraColumna
)</f>
        <v>#N/A</v>
      </c>
      <c r="Z104" s="7"/>
      <c r="AA104" s="367"/>
      <c r="AB104" s="7"/>
      <c r="AC104" s="93">
        <f t="shared" si="50"/>
        <v>0</v>
      </c>
      <c r="AD104" s="94">
        <f t="shared" si="65"/>
        <v>0</v>
      </c>
      <c r="AE104" s="109">
        <f t="shared" si="66"/>
        <v>0</v>
      </c>
      <c r="AF104" s="7"/>
      <c r="AG104" s="369">
        <f t="shared" si="67"/>
        <v>0</v>
      </c>
      <c r="AH104" s="368">
        <f t="shared" si="54"/>
        <v>0</v>
      </c>
      <c r="AI104" s="7"/>
      <c r="AJ104" s="369" cm="1">
        <f t="array" ref="AJ104">IFERROR(INDEX(WHT!$C$7:$W$18,MATCH(
_xlfn.SWITCH(N104,"xDC Medellin","Colombia","xDC Belo Horizonte","Brazil","xDC Guadalajara","Mexico","xDC Gurugram","India","xDC Leon","Spain","xDC San Jose","Costa Rica","xDC Warsaw","Poland",N104),
WHT!$B$7:$B$18,0),MATCH(CustomerCountry,WHT!$C$5:$W$5,0)),0)</f>
        <v>0</v>
      </c>
      <c r="AK104" s="368">
        <f t="shared" si="55"/>
        <v>0</v>
      </c>
      <c r="AL104" s="7"/>
      <c r="AM104" s="95">
        <f t="shared" si="68"/>
        <v>0</v>
      </c>
      <c r="AN104" s="95">
        <f t="shared" si="57"/>
        <v>0</v>
      </c>
      <c r="AO104" s="95">
        <f t="shared" si="69"/>
        <v>0</v>
      </c>
      <c r="AP104" s="90"/>
      <c r="AQ104" s="18"/>
      <c r="AR104" s="290"/>
      <c r="AS104" s="467" t="s">
        <v>133</v>
      </c>
      <c r="AT104" s="501">
        <f t="shared" si="59"/>
        <v>0</v>
      </c>
      <c r="AU104" s="502"/>
      <c r="AV104" s="95">
        <f t="shared" si="63"/>
        <v>0</v>
      </c>
      <c r="AW104" s="469" t="str">
        <f t="shared" si="60"/>
        <v>N/A</v>
      </c>
      <c r="AX104" s="290"/>
      <c r="AY104" s="18"/>
      <c r="AZ104" s="3"/>
      <c r="BA104" s="315"/>
      <c r="BB104" s="3"/>
      <c r="BC104" s="3"/>
      <c r="BD104" s="3"/>
      <c r="BE104" s="3"/>
      <c r="BF104" s="18"/>
      <c r="BG104" s="3"/>
      <c r="BH104" s="315"/>
      <c r="BI104" s="3"/>
      <c r="BJ104" s="3"/>
      <c r="BK104" s="3"/>
      <c r="BL104" s="3"/>
      <c r="BM104" s="18"/>
      <c r="BN104" s="3"/>
      <c r="BO104" s="315"/>
      <c r="BP104" s="3"/>
      <c r="BQ104" s="3"/>
      <c r="BR104" s="3"/>
      <c r="BS104" s="3"/>
      <c r="BT104" s="18"/>
      <c r="BU104" s="3"/>
      <c r="BV104" s="315"/>
      <c r="BW104" s="3"/>
      <c r="BX104" s="3"/>
      <c r="BY104" s="3"/>
      <c r="BZ104" s="3"/>
    </row>
    <row r="105" spans="1:78" ht="15.6" outlineLevel="1">
      <c r="A105" s="7"/>
      <c r="B105" s="370"/>
      <c r="C105" s="482"/>
      <c r="D105" s="356"/>
      <c r="E105" s="342"/>
      <c r="F105" s="290"/>
      <c r="G105" s="487"/>
      <c r="H105" s="358">
        <v>0</v>
      </c>
      <c r="I105" s="358">
        <v>0</v>
      </c>
      <c r="J105" s="359">
        <f t="shared" si="61"/>
        <v>0</v>
      </c>
      <c r="K105" s="290"/>
      <c r="L105" s="349"/>
      <c r="M105" s="7"/>
      <c r="N105" s="12"/>
      <c r="O105" s="12"/>
      <c r="P105" s="12"/>
      <c r="Q105" s="361"/>
      <c r="R105" s="362"/>
      <c r="S105" s="363">
        <f t="shared" si="48"/>
        <v>0</v>
      </c>
      <c r="T105" s="364">
        <f t="shared" si="64"/>
        <v>0</v>
      </c>
      <c r="U105" s="365">
        <v>0</v>
      </c>
      <c r="V105" s="91">
        <f>ROUNDUP(IFERROR(INDEX(CostRateTbl[Cost Rate],MATCH(_xlfn.CONCAT(N105,O105,P105,"NA"),CostRateTbl[KeyCostRate],0)),0)*BillingCurrencyTRM*(1+U105),2)</f>
        <v>0</v>
      </c>
      <c r="W105" s="92">
        <f t="shared" si="49"/>
        <v>0</v>
      </c>
      <c r="X105" s="366" t="e" cm="1">
        <f t="array" ref="X105">_xlfn.LET(
    _xlpm.valor, INDEX(CostRate!H:H, MATCH(1, (CostRate!A:A=N105)*1, 0)),
    _xlpm.posicion, MATCH(_xlpm.valor, FilterSL!$F$1:$Z$1, 0),
    _xlpm.direccionCompleta, ADDRESS(1, _xlpm.posicion + 5, 4),
    _xlpm.letraColumna, SUBSTITUTE(_xlpm.direccionCompleta, "1", ""),
    _xlpm.letraColumna
)</f>
        <v>#N/A</v>
      </c>
      <c r="Y105" s="366" t="e" cm="1">
        <f t="array" ref="Y105">_xlfn.LET(
    _xlpm.valor, INDEX(CostRate!I:I, MATCH(1, (CostRate!A:A=N105)*(CostRate!B:B=O105), 0)),
    _xlpm.posicion, MATCH(_xlpm.valor, FilterJP!$E$1:$FZ$1, 0),
    _xlpm.direccionCompleta, ADDRESS(1, _xlpm.posicion + 4, 4),
    _xlpm.letraColumna, SUBSTITUTE(_xlpm.direccionCompleta, "1", ""),
    _xlpm.letraColumna
)</f>
        <v>#N/A</v>
      </c>
      <c r="Z105" s="7"/>
      <c r="AA105" s="367"/>
      <c r="AB105" s="7"/>
      <c r="AC105" s="93">
        <f t="shared" si="50"/>
        <v>0</v>
      </c>
      <c r="AD105" s="94">
        <f t="shared" si="65"/>
        <v>0</v>
      </c>
      <c r="AE105" s="109">
        <f t="shared" si="66"/>
        <v>0</v>
      </c>
      <c r="AF105" s="7"/>
      <c r="AG105" s="369">
        <f t="shared" si="67"/>
        <v>0</v>
      </c>
      <c r="AH105" s="368">
        <f t="shared" si="54"/>
        <v>0</v>
      </c>
      <c r="AI105" s="7"/>
      <c r="AJ105" s="369" cm="1">
        <f t="array" ref="AJ105">IFERROR(INDEX(WHT!$C$7:$W$18,MATCH(
_xlfn.SWITCH(N105,"xDC Medellin","Colombia","xDC Belo Horizonte","Brazil","xDC Guadalajara","Mexico","xDC Gurugram","India","xDC Leon","Spain","xDC San Jose","Costa Rica","xDC Warsaw","Poland",N105),
WHT!$B$7:$B$18,0),MATCH(CustomerCountry,WHT!$C$5:$W$5,0)),0)</f>
        <v>0</v>
      </c>
      <c r="AK105" s="368">
        <f t="shared" si="55"/>
        <v>0</v>
      </c>
      <c r="AL105" s="7"/>
      <c r="AM105" s="95">
        <f t="shared" si="68"/>
        <v>0</v>
      </c>
      <c r="AN105" s="95">
        <f t="shared" si="57"/>
        <v>0</v>
      </c>
      <c r="AO105" s="95">
        <f t="shared" si="69"/>
        <v>0</v>
      </c>
      <c r="AP105" s="90"/>
      <c r="AQ105" s="18"/>
      <c r="AR105" s="290"/>
      <c r="AS105" s="467" t="s">
        <v>133</v>
      </c>
      <c r="AT105" s="501">
        <f t="shared" si="59"/>
        <v>0</v>
      </c>
      <c r="AU105" s="502"/>
      <c r="AV105" s="95">
        <f t="shared" si="63"/>
        <v>0</v>
      </c>
      <c r="AW105" s="469" t="str">
        <f t="shared" si="60"/>
        <v>N/A</v>
      </c>
      <c r="AX105" s="290"/>
      <c r="AY105" s="18"/>
      <c r="AZ105" s="3"/>
      <c r="BA105" s="315"/>
      <c r="BB105" s="3"/>
      <c r="BC105" s="3"/>
      <c r="BD105" s="3"/>
      <c r="BE105" s="3"/>
      <c r="BF105" s="18"/>
      <c r="BG105" s="3"/>
      <c r="BH105" s="315"/>
      <c r="BI105" s="3"/>
      <c r="BJ105" s="3"/>
      <c r="BK105" s="3"/>
      <c r="BL105" s="3"/>
      <c r="BM105" s="18"/>
      <c r="BN105" s="3"/>
      <c r="BO105" s="315"/>
      <c r="BP105" s="3"/>
      <c r="BQ105" s="3"/>
      <c r="BR105" s="3"/>
      <c r="BS105" s="3"/>
      <c r="BT105" s="18"/>
      <c r="BU105" s="3"/>
      <c r="BV105" s="315"/>
      <c r="BW105" s="3"/>
      <c r="BX105" s="3"/>
      <c r="BY105" s="3"/>
      <c r="BZ105" s="3"/>
    </row>
    <row r="106" spans="1:78" ht="15.6" outlineLevel="1">
      <c r="A106" s="7"/>
      <c r="B106" s="370"/>
      <c r="C106" s="482"/>
      <c r="D106" s="356"/>
      <c r="E106" s="342"/>
      <c r="F106" s="290"/>
      <c r="G106" s="487"/>
      <c r="H106" s="358">
        <v>0</v>
      </c>
      <c r="I106" s="358">
        <v>0</v>
      </c>
      <c r="J106" s="359">
        <f t="shared" si="61"/>
        <v>0</v>
      </c>
      <c r="K106" s="290"/>
      <c r="L106" s="349"/>
      <c r="M106" s="7"/>
      <c r="N106" s="12"/>
      <c r="O106" s="12"/>
      <c r="P106" s="12"/>
      <c r="Q106" s="361"/>
      <c r="R106" s="362"/>
      <c r="S106" s="363">
        <f t="shared" si="48"/>
        <v>0</v>
      </c>
      <c r="T106" s="364">
        <f t="shared" si="64"/>
        <v>0</v>
      </c>
      <c r="U106" s="365">
        <v>0</v>
      </c>
      <c r="V106" s="91">
        <f>ROUNDUP(IFERROR(INDEX(CostRateTbl[Cost Rate],MATCH(_xlfn.CONCAT(N106,O106,P106,"NA"),CostRateTbl[KeyCostRate],0)),0)*BillingCurrencyTRM*(1+U106),2)</f>
        <v>0</v>
      </c>
      <c r="W106" s="92">
        <f t="shared" si="49"/>
        <v>0</v>
      </c>
      <c r="X106" s="366" t="e" cm="1">
        <f t="array" ref="X106">_xlfn.LET(
    _xlpm.valor, INDEX(CostRate!H:H, MATCH(1, (CostRate!A:A=N106)*1, 0)),
    _xlpm.posicion, MATCH(_xlpm.valor, FilterSL!$F$1:$Z$1, 0),
    _xlpm.direccionCompleta, ADDRESS(1, _xlpm.posicion + 5, 4),
    _xlpm.letraColumna, SUBSTITUTE(_xlpm.direccionCompleta, "1", ""),
    _xlpm.letraColumna
)</f>
        <v>#N/A</v>
      </c>
      <c r="Y106" s="366" t="e" cm="1">
        <f t="array" ref="Y106">_xlfn.LET(
    _xlpm.valor, INDEX(CostRate!I:I, MATCH(1, (CostRate!A:A=N106)*(CostRate!B:B=O106), 0)),
    _xlpm.posicion, MATCH(_xlpm.valor, FilterJP!$E$1:$FZ$1, 0),
    _xlpm.direccionCompleta, ADDRESS(1, _xlpm.posicion + 4, 4),
    _xlpm.letraColumna, SUBSTITUTE(_xlpm.direccionCompleta, "1", ""),
    _xlpm.letraColumna
)</f>
        <v>#N/A</v>
      </c>
      <c r="Z106" s="7"/>
      <c r="AA106" s="367"/>
      <c r="AB106" s="7"/>
      <c r="AC106" s="93">
        <f t="shared" si="50"/>
        <v>0</v>
      </c>
      <c r="AD106" s="94">
        <f t="shared" si="65"/>
        <v>0</v>
      </c>
      <c r="AE106" s="109">
        <f t="shared" si="66"/>
        <v>0</v>
      </c>
      <c r="AF106" s="7"/>
      <c r="AG106" s="369">
        <f t="shared" si="67"/>
        <v>0</v>
      </c>
      <c r="AH106" s="368">
        <f t="shared" si="54"/>
        <v>0</v>
      </c>
      <c r="AI106" s="7"/>
      <c r="AJ106" s="369" cm="1">
        <f t="array" ref="AJ106">IFERROR(INDEX(WHT!$C$7:$W$18,MATCH(
_xlfn.SWITCH(N106,"xDC Medellin","Colombia","xDC Belo Horizonte","Brazil","xDC Guadalajara","Mexico","xDC Gurugram","India","xDC Leon","Spain","xDC San Jose","Costa Rica","xDC Warsaw","Poland",N106),
WHT!$B$7:$B$18,0),MATCH(CustomerCountry,WHT!$C$5:$W$5,0)),0)</f>
        <v>0</v>
      </c>
      <c r="AK106" s="368">
        <f t="shared" si="55"/>
        <v>0</v>
      </c>
      <c r="AL106" s="7"/>
      <c r="AM106" s="95">
        <f t="shared" si="68"/>
        <v>0</v>
      </c>
      <c r="AN106" s="95">
        <f t="shared" si="57"/>
        <v>0</v>
      </c>
      <c r="AO106" s="95">
        <f t="shared" si="69"/>
        <v>0</v>
      </c>
      <c r="AP106" s="90"/>
      <c r="AQ106" s="18"/>
      <c r="AR106" s="290"/>
      <c r="AS106" s="467" t="s">
        <v>133</v>
      </c>
      <c r="AT106" s="501">
        <f t="shared" si="59"/>
        <v>0</v>
      </c>
      <c r="AU106" s="502"/>
      <c r="AV106" s="95">
        <f t="shared" si="63"/>
        <v>0</v>
      </c>
      <c r="AW106" s="469" t="str">
        <f t="shared" si="60"/>
        <v>N/A</v>
      </c>
      <c r="AX106" s="290"/>
      <c r="AY106" s="18"/>
      <c r="AZ106" s="3"/>
      <c r="BA106" s="315"/>
      <c r="BB106" s="3"/>
      <c r="BC106" s="3"/>
      <c r="BD106" s="3"/>
      <c r="BE106" s="3"/>
      <c r="BF106" s="18"/>
      <c r="BG106" s="3"/>
      <c r="BH106" s="315"/>
      <c r="BI106" s="3"/>
      <c r="BJ106" s="3"/>
      <c r="BK106" s="3"/>
      <c r="BL106" s="3"/>
      <c r="BM106" s="18"/>
      <c r="BN106" s="3"/>
      <c r="BO106" s="315"/>
      <c r="BP106" s="3"/>
      <c r="BQ106" s="3"/>
      <c r="BR106" s="3"/>
      <c r="BS106" s="3"/>
      <c r="BT106" s="18"/>
      <c r="BU106" s="3"/>
      <c r="BV106" s="315"/>
      <c r="BW106" s="3"/>
      <c r="BX106" s="3"/>
      <c r="BY106" s="3"/>
      <c r="BZ106" s="3"/>
    </row>
    <row r="107" spans="1:78" ht="15.6" outlineLevel="1">
      <c r="A107" s="7"/>
      <c r="B107" s="370"/>
      <c r="C107" s="484"/>
      <c r="D107" s="356"/>
      <c r="E107" s="342"/>
      <c r="F107" s="290"/>
      <c r="G107" s="487"/>
      <c r="H107" s="358">
        <v>0</v>
      </c>
      <c r="I107" s="358">
        <v>0</v>
      </c>
      <c r="J107" s="359">
        <f t="shared" si="61"/>
        <v>0</v>
      </c>
      <c r="K107" s="290"/>
      <c r="L107" s="349"/>
      <c r="M107" s="7"/>
      <c r="N107" s="12"/>
      <c r="O107" s="12"/>
      <c r="P107" s="12"/>
      <c r="Q107" s="361"/>
      <c r="R107" s="362"/>
      <c r="S107" s="363">
        <f t="shared" si="48"/>
        <v>0</v>
      </c>
      <c r="T107" s="364">
        <f t="shared" si="64"/>
        <v>0</v>
      </c>
      <c r="U107" s="365">
        <v>0</v>
      </c>
      <c r="V107" s="91">
        <f>ROUNDUP(IFERROR(INDEX(CostRateTbl[Cost Rate],MATCH(_xlfn.CONCAT(N107,O107,P107,"NA"),CostRateTbl[KeyCostRate],0)),0)*BillingCurrencyTRM*(1+U107),2)</f>
        <v>0</v>
      </c>
      <c r="W107" s="92">
        <f t="shared" si="49"/>
        <v>0</v>
      </c>
      <c r="X107" s="366" t="e" cm="1">
        <f t="array" ref="X107">_xlfn.LET(
    _xlpm.valor, INDEX(CostRate!H:H, MATCH(1, (CostRate!A:A=N107)*1, 0)),
    _xlpm.posicion, MATCH(_xlpm.valor, FilterSL!$F$1:$Z$1, 0),
    _xlpm.direccionCompleta, ADDRESS(1, _xlpm.posicion + 5, 4),
    _xlpm.letraColumna, SUBSTITUTE(_xlpm.direccionCompleta, "1", ""),
    _xlpm.letraColumna
)</f>
        <v>#N/A</v>
      </c>
      <c r="Y107" s="366" t="e" cm="1">
        <f t="array" ref="Y107">_xlfn.LET(
    _xlpm.valor, INDEX(CostRate!I:I, MATCH(1, (CostRate!A:A=N107)*(CostRate!B:B=O107), 0)),
    _xlpm.posicion, MATCH(_xlpm.valor, FilterJP!$E$1:$FZ$1, 0),
    _xlpm.direccionCompleta, ADDRESS(1, _xlpm.posicion + 4, 4),
    _xlpm.letraColumna, SUBSTITUTE(_xlpm.direccionCompleta, "1", ""),
    _xlpm.letraColumna
)</f>
        <v>#N/A</v>
      </c>
      <c r="Z107" s="7"/>
      <c r="AA107" s="367"/>
      <c r="AB107" s="7"/>
      <c r="AC107" s="93">
        <f t="shared" si="50"/>
        <v>0</v>
      </c>
      <c r="AD107" s="94">
        <f t="shared" si="65"/>
        <v>0</v>
      </c>
      <c r="AE107" s="109">
        <f t="shared" si="66"/>
        <v>0</v>
      </c>
      <c r="AF107" s="7"/>
      <c r="AG107" s="369">
        <f t="shared" si="67"/>
        <v>0</v>
      </c>
      <c r="AH107" s="368">
        <f t="shared" si="54"/>
        <v>0</v>
      </c>
      <c r="AI107" s="7"/>
      <c r="AJ107" s="369" cm="1">
        <f t="array" ref="AJ107">IFERROR(INDEX(WHT!$C$7:$W$18,MATCH(
_xlfn.SWITCH(N107,"xDC Medellin","Colombia","xDC Belo Horizonte","Brazil","xDC Guadalajara","Mexico","xDC Gurugram","India","xDC Leon","Spain","xDC San Jose","Costa Rica","xDC Warsaw","Poland",N107),
WHT!$B$7:$B$18,0),MATCH(CustomerCountry,WHT!$C$5:$W$5,0)),0)</f>
        <v>0</v>
      </c>
      <c r="AK107" s="368">
        <f t="shared" si="55"/>
        <v>0</v>
      </c>
      <c r="AL107" s="7"/>
      <c r="AM107" s="95">
        <f t="shared" si="68"/>
        <v>0</v>
      </c>
      <c r="AN107" s="95">
        <f t="shared" si="57"/>
        <v>0</v>
      </c>
      <c r="AO107" s="95">
        <f t="shared" si="69"/>
        <v>0</v>
      </c>
      <c r="AP107" s="90"/>
      <c r="AQ107" s="18"/>
      <c r="AR107" s="290"/>
      <c r="AS107" s="467" t="s">
        <v>133</v>
      </c>
      <c r="AT107" s="501">
        <f t="shared" si="59"/>
        <v>0</v>
      </c>
      <c r="AU107" s="502"/>
      <c r="AV107" s="95">
        <f t="shared" si="63"/>
        <v>0</v>
      </c>
      <c r="AW107" s="469" t="str">
        <f t="shared" si="60"/>
        <v>N/A</v>
      </c>
      <c r="AX107" s="290"/>
      <c r="AY107" s="18"/>
      <c r="AZ107" s="3"/>
      <c r="BA107" s="315"/>
      <c r="BB107" s="3"/>
      <c r="BC107" s="3"/>
      <c r="BD107" s="3"/>
      <c r="BE107" s="3"/>
      <c r="BF107" s="18"/>
      <c r="BG107" s="3"/>
      <c r="BH107" s="315"/>
      <c r="BI107" s="3"/>
      <c r="BJ107" s="3"/>
      <c r="BK107" s="3"/>
      <c r="BL107" s="3"/>
      <c r="BM107" s="18"/>
      <c r="BN107" s="3"/>
      <c r="BO107" s="315"/>
      <c r="BP107" s="3"/>
      <c r="BQ107" s="3"/>
      <c r="BR107" s="3"/>
      <c r="BS107" s="3"/>
      <c r="BT107" s="18"/>
      <c r="BU107" s="3"/>
      <c r="BV107" s="315"/>
      <c r="BW107" s="3"/>
      <c r="BX107" s="3"/>
      <c r="BY107" s="3"/>
      <c r="BZ107" s="3"/>
    </row>
    <row r="108" spans="1:78" ht="15.6" outlineLevel="1">
      <c r="A108" s="7"/>
      <c r="B108" s="370"/>
      <c r="C108" s="483"/>
      <c r="D108" s="356"/>
      <c r="E108" s="342"/>
      <c r="F108" s="290"/>
      <c r="G108" s="487"/>
      <c r="H108" s="358">
        <v>0</v>
      </c>
      <c r="I108" s="358">
        <v>0</v>
      </c>
      <c r="J108" s="359">
        <f t="shared" si="61"/>
        <v>0</v>
      </c>
      <c r="K108" s="290"/>
      <c r="L108" s="349"/>
      <c r="M108" s="7"/>
      <c r="N108" s="12"/>
      <c r="O108" s="12"/>
      <c r="P108" s="12"/>
      <c r="Q108" s="361"/>
      <c r="R108" s="362"/>
      <c r="S108" s="363">
        <f t="shared" si="48"/>
        <v>0</v>
      </c>
      <c r="T108" s="364">
        <f t="shared" si="64"/>
        <v>0</v>
      </c>
      <c r="U108" s="365">
        <v>0</v>
      </c>
      <c r="V108" s="91">
        <f>ROUNDUP(IFERROR(INDEX(CostRateTbl[Cost Rate],MATCH(_xlfn.CONCAT(N108,O108,P108,"NA"),CostRateTbl[KeyCostRate],0)),0)*BillingCurrencyTRM*(1+U108),2)</f>
        <v>0</v>
      </c>
      <c r="W108" s="92">
        <f t="shared" si="49"/>
        <v>0</v>
      </c>
      <c r="X108" s="366" t="e" cm="1">
        <f t="array" ref="X108">_xlfn.LET(
    _xlpm.valor, INDEX(CostRate!H:H, MATCH(1, (CostRate!A:A=N108)*1, 0)),
    _xlpm.posicion, MATCH(_xlpm.valor, FilterSL!$F$1:$Z$1, 0),
    _xlpm.direccionCompleta, ADDRESS(1, _xlpm.posicion + 5, 4),
    _xlpm.letraColumna, SUBSTITUTE(_xlpm.direccionCompleta, "1", ""),
    _xlpm.letraColumna
)</f>
        <v>#N/A</v>
      </c>
      <c r="Y108" s="366" t="e" cm="1">
        <f t="array" ref="Y108">_xlfn.LET(
    _xlpm.valor, INDEX(CostRate!I:I, MATCH(1, (CostRate!A:A=N108)*(CostRate!B:B=O108), 0)),
    _xlpm.posicion, MATCH(_xlpm.valor, FilterJP!$E$1:$FZ$1, 0),
    _xlpm.direccionCompleta, ADDRESS(1, _xlpm.posicion + 4, 4),
    _xlpm.letraColumna, SUBSTITUTE(_xlpm.direccionCompleta, "1", ""),
    _xlpm.letraColumna
)</f>
        <v>#N/A</v>
      </c>
      <c r="Z108" s="7"/>
      <c r="AA108" s="367"/>
      <c r="AB108" s="7"/>
      <c r="AC108" s="93">
        <f t="shared" si="50"/>
        <v>0</v>
      </c>
      <c r="AD108" s="94">
        <f t="shared" si="65"/>
        <v>0</v>
      </c>
      <c r="AE108" s="109">
        <f t="shared" si="66"/>
        <v>0</v>
      </c>
      <c r="AF108" s="7"/>
      <c r="AG108" s="369">
        <f t="shared" si="67"/>
        <v>0</v>
      </c>
      <c r="AH108" s="368">
        <f t="shared" si="54"/>
        <v>0</v>
      </c>
      <c r="AI108" s="7"/>
      <c r="AJ108" s="369" cm="1">
        <f t="array" ref="AJ108">IFERROR(INDEX(WHT!$C$7:$W$18,MATCH(
_xlfn.SWITCH(N108,"xDC Medellin","Colombia","xDC Belo Horizonte","Brazil","xDC Guadalajara","Mexico","xDC Gurugram","India","xDC Leon","Spain","xDC San Jose","Costa Rica","xDC Warsaw","Poland",N108),
WHT!$B$7:$B$18,0),MATCH(CustomerCountry,WHT!$C$5:$W$5,0)),0)</f>
        <v>0</v>
      </c>
      <c r="AK108" s="368">
        <f t="shared" si="55"/>
        <v>0</v>
      </c>
      <c r="AL108" s="7"/>
      <c r="AM108" s="95">
        <f t="shared" si="68"/>
        <v>0</v>
      </c>
      <c r="AN108" s="95">
        <f t="shared" si="57"/>
        <v>0</v>
      </c>
      <c r="AO108" s="95">
        <f t="shared" si="69"/>
        <v>0</v>
      </c>
      <c r="AP108" s="90"/>
      <c r="AQ108" s="18"/>
      <c r="AR108" s="290"/>
      <c r="AS108" s="467" t="s">
        <v>133</v>
      </c>
      <c r="AT108" s="501">
        <f t="shared" si="59"/>
        <v>0</v>
      </c>
      <c r="AU108" s="502"/>
      <c r="AV108" s="95">
        <f t="shared" si="63"/>
        <v>0</v>
      </c>
      <c r="AW108" s="469" t="str">
        <f t="shared" si="60"/>
        <v>N/A</v>
      </c>
      <c r="AX108" s="290"/>
      <c r="AY108" s="18"/>
      <c r="AZ108" s="3"/>
      <c r="BA108" s="315"/>
      <c r="BB108" s="3"/>
      <c r="BC108" s="3"/>
      <c r="BD108" s="3"/>
      <c r="BE108" s="3"/>
      <c r="BF108" s="18"/>
      <c r="BG108" s="3"/>
      <c r="BH108" s="315"/>
      <c r="BI108" s="3"/>
      <c r="BJ108" s="3"/>
      <c r="BK108" s="3"/>
      <c r="BL108" s="3"/>
      <c r="BM108" s="18"/>
      <c r="BN108" s="3"/>
      <c r="BO108" s="315"/>
      <c r="BP108" s="3"/>
      <c r="BQ108" s="3"/>
      <c r="BR108" s="3"/>
      <c r="BS108" s="3"/>
      <c r="BT108" s="18"/>
      <c r="BU108" s="3"/>
      <c r="BV108" s="315"/>
      <c r="BW108" s="3"/>
      <c r="BX108" s="3"/>
      <c r="BY108" s="3"/>
      <c r="BZ108" s="3"/>
    </row>
    <row r="109" spans="1:78" ht="15" customHeight="1" outlineLevel="1">
      <c r="A109" s="7"/>
      <c r="B109" s="370"/>
      <c r="C109" s="483"/>
      <c r="D109" s="356"/>
      <c r="E109" s="342"/>
      <c r="F109" s="290"/>
      <c r="G109" s="487"/>
      <c r="H109" s="358">
        <v>0</v>
      </c>
      <c r="I109" s="358">
        <v>0</v>
      </c>
      <c r="J109" s="359">
        <f t="shared" si="61"/>
        <v>0</v>
      </c>
      <c r="K109" s="290"/>
      <c r="L109" s="349"/>
      <c r="M109" s="7"/>
      <c r="N109" s="12"/>
      <c r="O109" s="12"/>
      <c r="P109" s="12"/>
      <c r="Q109" s="361"/>
      <c r="R109" s="362"/>
      <c r="S109" s="363">
        <f t="shared" si="48"/>
        <v>0</v>
      </c>
      <c r="T109" s="364">
        <f t="shared" si="64"/>
        <v>0</v>
      </c>
      <c r="U109" s="365">
        <v>0</v>
      </c>
      <c r="V109" s="91">
        <f>ROUNDUP(IFERROR(INDEX(CostRateTbl[Cost Rate],MATCH(_xlfn.CONCAT(N109,O109,P109,"NA"),CostRateTbl[KeyCostRate],0)),0)*BillingCurrencyTRM*(1+U109),2)</f>
        <v>0</v>
      </c>
      <c r="W109" s="92">
        <f t="shared" si="49"/>
        <v>0</v>
      </c>
      <c r="X109" s="366" t="e" cm="1">
        <f t="array" ref="X109">_xlfn.LET(
    _xlpm.valor, INDEX(CostRate!H:H, MATCH(1, (CostRate!A:A=N109)*1, 0)),
    _xlpm.posicion, MATCH(_xlpm.valor, FilterSL!$F$1:$Z$1, 0),
    _xlpm.direccionCompleta, ADDRESS(1, _xlpm.posicion + 5, 4),
    _xlpm.letraColumna, SUBSTITUTE(_xlpm.direccionCompleta, "1", ""),
    _xlpm.letraColumna
)</f>
        <v>#N/A</v>
      </c>
      <c r="Y109" s="366" t="e" cm="1">
        <f t="array" ref="Y109">_xlfn.LET(
    _xlpm.valor, INDEX(CostRate!I:I, MATCH(1, (CostRate!A:A=N109)*(CostRate!B:B=O109), 0)),
    _xlpm.posicion, MATCH(_xlpm.valor, FilterJP!$E$1:$FZ$1, 0),
    _xlpm.direccionCompleta, ADDRESS(1, _xlpm.posicion + 4, 4),
    _xlpm.letraColumna, SUBSTITUTE(_xlpm.direccionCompleta, "1", ""),
    _xlpm.letraColumna
)</f>
        <v>#N/A</v>
      </c>
      <c r="Z109" s="7"/>
      <c r="AA109" s="367"/>
      <c r="AB109" s="7"/>
      <c r="AC109" s="93">
        <f t="shared" si="50"/>
        <v>0</v>
      </c>
      <c r="AD109" s="94">
        <f t="shared" si="65"/>
        <v>0</v>
      </c>
      <c r="AE109" s="109">
        <f t="shared" si="66"/>
        <v>0</v>
      </c>
      <c r="AF109" s="7"/>
      <c r="AG109" s="369">
        <f t="shared" si="67"/>
        <v>0</v>
      </c>
      <c r="AH109" s="368">
        <f t="shared" si="54"/>
        <v>0</v>
      </c>
      <c r="AI109" s="7"/>
      <c r="AJ109" s="369" cm="1">
        <f t="array" ref="AJ109">IFERROR(INDEX(WHT!$C$7:$W$18,MATCH(
_xlfn.SWITCH(N109,"xDC Medellin","Colombia","xDC Belo Horizonte","Brazil","xDC Guadalajara","Mexico","xDC Gurugram","India","xDC Leon","Spain","xDC San Jose","Costa Rica","xDC Warsaw","Poland",N109),
WHT!$B$7:$B$18,0),MATCH(CustomerCountry,WHT!$C$5:$W$5,0)),0)</f>
        <v>0</v>
      </c>
      <c r="AK109" s="368">
        <f t="shared" si="55"/>
        <v>0</v>
      </c>
      <c r="AL109" s="7"/>
      <c r="AM109" s="95">
        <f t="shared" si="68"/>
        <v>0</v>
      </c>
      <c r="AN109" s="95">
        <f t="shared" si="57"/>
        <v>0</v>
      </c>
      <c r="AO109" s="95">
        <f t="shared" si="69"/>
        <v>0</v>
      </c>
      <c r="AP109" s="90"/>
      <c r="AQ109" s="18"/>
      <c r="AR109" s="290"/>
      <c r="AS109" s="467" t="s">
        <v>133</v>
      </c>
      <c r="AT109" s="501">
        <f t="shared" si="59"/>
        <v>0</v>
      </c>
      <c r="AU109" s="502"/>
      <c r="AV109" s="95">
        <f t="shared" si="63"/>
        <v>0</v>
      </c>
      <c r="AW109" s="469" t="str">
        <f t="shared" si="60"/>
        <v>N/A</v>
      </c>
      <c r="AX109" s="290"/>
      <c r="AY109" s="18"/>
      <c r="AZ109" s="3"/>
      <c r="BA109" s="315"/>
      <c r="BB109" s="3"/>
      <c r="BC109" s="3"/>
      <c r="BD109" s="3"/>
      <c r="BE109" s="3"/>
      <c r="BF109" s="18"/>
      <c r="BG109" s="3"/>
      <c r="BH109" s="315"/>
      <c r="BI109" s="3"/>
      <c r="BJ109" s="3"/>
      <c r="BK109" s="3"/>
      <c r="BL109" s="3"/>
      <c r="BM109" s="18"/>
      <c r="BN109" s="3"/>
      <c r="BO109" s="315"/>
      <c r="BP109" s="3"/>
      <c r="BQ109" s="3"/>
      <c r="BR109" s="3"/>
      <c r="BS109" s="3"/>
      <c r="BT109" s="18"/>
      <c r="BU109" s="3"/>
      <c r="BV109" s="315"/>
      <c r="BW109" s="3"/>
      <c r="BX109" s="3"/>
      <c r="BY109" s="3"/>
      <c r="BZ109" s="3"/>
    </row>
    <row r="110" spans="1:78" ht="15.6" outlineLevel="1">
      <c r="A110" s="7"/>
      <c r="B110" s="370"/>
      <c r="C110" s="484"/>
      <c r="D110" s="356"/>
      <c r="E110" s="342"/>
      <c r="F110" s="290"/>
      <c r="G110" s="487"/>
      <c r="H110" s="358">
        <v>0</v>
      </c>
      <c r="I110" s="358">
        <v>0</v>
      </c>
      <c r="J110" s="359">
        <f t="shared" si="61"/>
        <v>0</v>
      </c>
      <c r="K110" s="290"/>
      <c r="L110" s="349"/>
      <c r="M110" s="7"/>
      <c r="N110" s="12"/>
      <c r="O110" s="12"/>
      <c r="P110" s="12"/>
      <c r="Q110" s="361"/>
      <c r="R110" s="362"/>
      <c r="S110" s="363">
        <f t="shared" si="48"/>
        <v>0</v>
      </c>
      <c r="T110" s="364">
        <f t="shared" si="64"/>
        <v>0</v>
      </c>
      <c r="U110" s="365">
        <v>0</v>
      </c>
      <c r="V110" s="91">
        <f>ROUNDUP(IFERROR(INDEX(CostRateTbl[Cost Rate],MATCH(_xlfn.CONCAT(N110,O110,P110,"NA"),CostRateTbl[KeyCostRate],0)),0)*BillingCurrencyTRM*(1+U110),2)</f>
        <v>0</v>
      </c>
      <c r="W110" s="92">
        <f t="shared" si="49"/>
        <v>0</v>
      </c>
      <c r="X110" s="366" t="e" cm="1">
        <f t="array" ref="X110">_xlfn.LET(
    _xlpm.valor, INDEX(CostRate!H:H, MATCH(1, (CostRate!A:A=N110)*1, 0)),
    _xlpm.posicion, MATCH(_xlpm.valor, FilterSL!$F$1:$Z$1, 0),
    _xlpm.direccionCompleta, ADDRESS(1, _xlpm.posicion + 5, 4),
    _xlpm.letraColumna, SUBSTITUTE(_xlpm.direccionCompleta, "1", ""),
    _xlpm.letraColumna
)</f>
        <v>#N/A</v>
      </c>
      <c r="Y110" s="366" t="e" cm="1">
        <f t="array" ref="Y110">_xlfn.LET(
    _xlpm.valor, INDEX(CostRate!I:I, MATCH(1, (CostRate!A:A=N110)*(CostRate!B:B=O110), 0)),
    _xlpm.posicion, MATCH(_xlpm.valor, FilterJP!$E$1:$FZ$1, 0),
    _xlpm.direccionCompleta, ADDRESS(1, _xlpm.posicion + 4, 4),
    _xlpm.letraColumna, SUBSTITUTE(_xlpm.direccionCompleta, "1", ""),
    _xlpm.letraColumna
)</f>
        <v>#N/A</v>
      </c>
      <c r="Z110" s="7"/>
      <c r="AA110" s="367"/>
      <c r="AB110" s="7"/>
      <c r="AC110" s="93">
        <f t="shared" si="50"/>
        <v>0</v>
      </c>
      <c r="AD110" s="94">
        <f t="shared" si="65"/>
        <v>0</v>
      </c>
      <c r="AE110" s="109">
        <f t="shared" si="66"/>
        <v>0</v>
      </c>
      <c r="AF110" s="7"/>
      <c r="AG110" s="369">
        <f t="shared" si="67"/>
        <v>0</v>
      </c>
      <c r="AH110" s="368">
        <f t="shared" si="54"/>
        <v>0</v>
      </c>
      <c r="AI110" s="7"/>
      <c r="AJ110" s="369" cm="1">
        <f t="array" ref="AJ110">IFERROR(INDEX(WHT!$C$7:$W$18,MATCH(
_xlfn.SWITCH(N110,"xDC Medellin","Colombia","xDC Belo Horizonte","Brazil","xDC Guadalajara","Mexico","xDC Gurugram","India","xDC Leon","Spain","xDC San Jose","Costa Rica","xDC Warsaw","Poland",N110),
WHT!$B$7:$B$18,0),MATCH(CustomerCountry,WHT!$C$5:$W$5,0)),0)</f>
        <v>0</v>
      </c>
      <c r="AK110" s="368">
        <f t="shared" si="55"/>
        <v>0</v>
      </c>
      <c r="AL110" s="7"/>
      <c r="AM110" s="95">
        <f t="shared" si="68"/>
        <v>0</v>
      </c>
      <c r="AN110" s="95">
        <f t="shared" si="57"/>
        <v>0</v>
      </c>
      <c r="AO110" s="95">
        <f t="shared" si="69"/>
        <v>0</v>
      </c>
      <c r="AP110" s="90"/>
      <c r="AQ110" s="18"/>
      <c r="AR110" s="290"/>
      <c r="AS110" s="467" t="s">
        <v>133</v>
      </c>
      <c r="AT110" s="501">
        <f t="shared" si="59"/>
        <v>0</v>
      </c>
      <c r="AU110" s="502"/>
      <c r="AV110" s="95">
        <f t="shared" si="63"/>
        <v>0</v>
      </c>
      <c r="AW110" s="469" t="str">
        <f t="shared" si="60"/>
        <v>N/A</v>
      </c>
      <c r="AX110" s="290"/>
      <c r="AY110" s="18"/>
      <c r="AZ110" s="3"/>
      <c r="BA110" s="315"/>
      <c r="BB110" s="3"/>
      <c r="BC110" s="3"/>
      <c r="BD110" s="3"/>
      <c r="BE110" s="3"/>
      <c r="BF110" s="18"/>
      <c r="BG110" s="3"/>
      <c r="BH110" s="315"/>
      <c r="BI110" s="3"/>
      <c r="BJ110" s="3"/>
      <c r="BK110" s="3"/>
      <c r="BL110" s="3"/>
      <c r="BM110" s="18"/>
      <c r="BN110" s="3"/>
      <c r="BO110" s="315"/>
      <c r="BP110" s="3"/>
      <c r="BQ110" s="3"/>
      <c r="BR110" s="3"/>
      <c r="BS110" s="3"/>
      <c r="BT110" s="18"/>
      <c r="BU110" s="3"/>
      <c r="BV110" s="315"/>
      <c r="BW110" s="3"/>
      <c r="BX110" s="3"/>
      <c r="BY110" s="3"/>
      <c r="BZ110" s="3"/>
    </row>
    <row r="111" spans="1:78" ht="15.6" outlineLevel="1">
      <c r="A111" s="7"/>
      <c r="B111" s="370"/>
      <c r="C111" s="483"/>
      <c r="D111" s="356"/>
      <c r="E111" s="342"/>
      <c r="F111" s="290"/>
      <c r="G111" s="487"/>
      <c r="H111" s="358">
        <v>0</v>
      </c>
      <c r="I111" s="358">
        <v>0</v>
      </c>
      <c r="J111" s="359">
        <f t="shared" si="61"/>
        <v>0</v>
      </c>
      <c r="K111" s="290"/>
      <c r="L111" s="349"/>
      <c r="M111" s="7"/>
      <c r="N111" s="12"/>
      <c r="O111" s="12"/>
      <c r="P111" s="12"/>
      <c r="Q111" s="361"/>
      <c r="R111" s="362"/>
      <c r="S111" s="363">
        <f t="shared" si="48"/>
        <v>0</v>
      </c>
      <c r="T111" s="364">
        <f t="shared" si="64"/>
        <v>0</v>
      </c>
      <c r="U111" s="365">
        <v>0</v>
      </c>
      <c r="V111" s="91">
        <f>ROUNDUP(IFERROR(INDEX(CostRateTbl[Cost Rate],MATCH(_xlfn.CONCAT(N111,O111,P111,"NA"),CostRateTbl[KeyCostRate],0)),0)*BillingCurrencyTRM*(1+U111),2)</f>
        <v>0</v>
      </c>
      <c r="W111" s="92">
        <f t="shared" si="49"/>
        <v>0</v>
      </c>
      <c r="X111" s="366" t="e" cm="1">
        <f t="array" ref="X111">_xlfn.LET(
    _xlpm.valor, INDEX(CostRate!H:H, MATCH(1, (CostRate!A:A=N111)*1, 0)),
    _xlpm.posicion, MATCH(_xlpm.valor, FilterSL!$F$1:$Z$1, 0),
    _xlpm.direccionCompleta, ADDRESS(1, _xlpm.posicion + 5, 4),
    _xlpm.letraColumna, SUBSTITUTE(_xlpm.direccionCompleta, "1", ""),
    _xlpm.letraColumna
)</f>
        <v>#N/A</v>
      </c>
      <c r="Y111" s="366" t="e" cm="1">
        <f t="array" ref="Y111">_xlfn.LET(
    _xlpm.valor, INDEX(CostRate!I:I, MATCH(1, (CostRate!A:A=N111)*(CostRate!B:B=O111), 0)),
    _xlpm.posicion, MATCH(_xlpm.valor, FilterJP!$E$1:$FZ$1, 0),
    _xlpm.direccionCompleta, ADDRESS(1, _xlpm.posicion + 4, 4),
    _xlpm.letraColumna, SUBSTITUTE(_xlpm.direccionCompleta, "1", ""),
    _xlpm.letraColumna
)</f>
        <v>#N/A</v>
      </c>
      <c r="Z111" s="7"/>
      <c r="AA111" s="367"/>
      <c r="AB111" s="7"/>
      <c r="AC111" s="93">
        <f t="shared" si="50"/>
        <v>0</v>
      </c>
      <c r="AD111" s="94">
        <f t="shared" si="65"/>
        <v>0</v>
      </c>
      <c r="AE111" s="109">
        <f t="shared" si="66"/>
        <v>0</v>
      </c>
      <c r="AF111" s="7"/>
      <c r="AG111" s="369">
        <f t="shared" si="67"/>
        <v>0</v>
      </c>
      <c r="AH111" s="368">
        <f t="shared" si="54"/>
        <v>0</v>
      </c>
      <c r="AI111" s="7"/>
      <c r="AJ111" s="369" cm="1">
        <f t="array" ref="AJ111">IFERROR(INDEX(WHT!$C$7:$W$18,MATCH(
_xlfn.SWITCH(N111,"xDC Medellin","Colombia","xDC Belo Horizonte","Brazil","xDC Guadalajara","Mexico","xDC Gurugram","India","xDC Leon","Spain","xDC San Jose","Costa Rica","xDC Warsaw","Poland",N111),
WHT!$B$7:$B$18,0),MATCH(CustomerCountry,WHT!$C$5:$W$5,0)),0)</f>
        <v>0</v>
      </c>
      <c r="AK111" s="368">
        <f t="shared" si="55"/>
        <v>0</v>
      </c>
      <c r="AL111" s="7"/>
      <c r="AM111" s="95">
        <f t="shared" si="68"/>
        <v>0</v>
      </c>
      <c r="AN111" s="95">
        <f t="shared" si="57"/>
        <v>0</v>
      </c>
      <c r="AO111" s="95">
        <f t="shared" si="69"/>
        <v>0</v>
      </c>
      <c r="AP111" s="90"/>
      <c r="AQ111" s="18"/>
      <c r="AR111" s="290"/>
      <c r="AS111" s="467" t="s">
        <v>133</v>
      </c>
      <c r="AT111" s="501">
        <f t="shared" si="59"/>
        <v>0</v>
      </c>
      <c r="AU111" s="502"/>
      <c r="AV111" s="95">
        <f t="shared" si="63"/>
        <v>0</v>
      </c>
      <c r="AW111" s="469" t="str">
        <f t="shared" si="60"/>
        <v>N/A</v>
      </c>
      <c r="AX111" s="290"/>
      <c r="AY111" s="18"/>
      <c r="AZ111" s="3"/>
      <c r="BA111" s="315"/>
      <c r="BB111" s="3"/>
      <c r="BC111" s="3"/>
      <c r="BD111" s="3"/>
      <c r="BE111" s="3"/>
      <c r="BF111" s="18"/>
      <c r="BG111" s="3"/>
      <c r="BH111" s="315"/>
      <c r="BI111" s="3"/>
      <c r="BJ111" s="3"/>
      <c r="BK111" s="3"/>
      <c r="BL111" s="3"/>
      <c r="BM111" s="18"/>
      <c r="BN111" s="3"/>
      <c r="BO111" s="315"/>
      <c r="BP111" s="3"/>
      <c r="BQ111" s="3"/>
      <c r="BR111" s="3"/>
      <c r="BS111" s="3"/>
      <c r="BT111" s="18"/>
      <c r="BU111" s="3"/>
      <c r="BV111" s="315"/>
      <c r="BW111" s="3"/>
      <c r="BX111" s="3"/>
      <c r="BY111" s="3"/>
      <c r="BZ111" s="3"/>
    </row>
    <row r="112" spans="1:78" ht="15.6" outlineLevel="1">
      <c r="A112" s="7"/>
      <c r="B112" s="370"/>
      <c r="C112" s="489"/>
      <c r="D112" s="356"/>
      <c r="E112" s="342"/>
      <c r="F112" s="290"/>
      <c r="G112" s="491"/>
      <c r="H112" s="358">
        <v>0</v>
      </c>
      <c r="I112" s="358">
        <v>0</v>
      </c>
      <c r="J112" s="359">
        <f t="shared" si="61"/>
        <v>0</v>
      </c>
      <c r="K112" s="290"/>
      <c r="L112" s="349"/>
      <c r="M112" s="7"/>
      <c r="N112" s="12"/>
      <c r="O112" s="12"/>
      <c r="P112" s="12"/>
      <c r="Q112" s="361"/>
      <c r="R112" s="362"/>
      <c r="S112" s="363"/>
      <c r="T112" s="364"/>
      <c r="U112" s="365"/>
      <c r="V112" s="91"/>
      <c r="W112" s="92"/>
      <c r="X112" s="366"/>
      <c r="Y112" s="366"/>
      <c r="Z112" s="7"/>
      <c r="AA112" s="367"/>
      <c r="AB112" s="7"/>
      <c r="AC112" s="93"/>
      <c r="AD112" s="94"/>
      <c r="AE112" s="109"/>
      <c r="AF112" s="7"/>
      <c r="AG112" s="369"/>
      <c r="AH112" s="368"/>
      <c r="AI112" s="7"/>
      <c r="AJ112" s="369"/>
      <c r="AK112" s="368"/>
      <c r="AL112" s="7"/>
      <c r="AM112" s="95"/>
      <c r="AN112" s="95"/>
      <c r="AO112" s="95"/>
      <c r="AP112" s="90"/>
      <c r="AQ112" s="18"/>
      <c r="AR112" s="290"/>
      <c r="AS112" s="467"/>
      <c r="AT112" s="93"/>
      <c r="AU112" s="478"/>
      <c r="AV112" s="95"/>
      <c r="AW112" s="469"/>
      <c r="AX112" s="290"/>
      <c r="AY112" s="18"/>
      <c r="AZ112" s="3"/>
      <c r="BA112" s="315"/>
      <c r="BB112" s="3"/>
      <c r="BC112" s="3"/>
      <c r="BD112" s="3"/>
      <c r="BE112" s="3"/>
      <c r="BF112" s="18"/>
      <c r="BG112" s="3"/>
      <c r="BH112" s="315"/>
      <c r="BI112" s="3"/>
      <c r="BJ112" s="3"/>
      <c r="BK112" s="3"/>
      <c r="BL112" s="3"/>
      <c r="BM112" s="18"/>
      <c r="BN112" s="3"/>
      <c r="BO112" s="315"/>
      <c r="BP112" s="3"/>
      <c r="BQ112" s="3"/>
      <c r="BR112" s="3"/>
      <c r="BS112" s="3"/>
      <c r="BT112" s="18"/>
      <c r="BU112" s="3"/>
      <c r="BV112" s="315"/>
      <c r="BW112" s="3"/>
      <c r="BX112" s="3"/>
      <c r="BY112" s="3"/>
      <c r="BZ112" s="3"/>
    </row>
    <row r="113" spans="1:82" ht="15.6" outlineLevel="1">
      <c r="A113" s="7"/>
      <c r="B113" s="370"/>
      <c r="C113" s="492"/>
      <c r="D113" s="356"/>
      <c r="E113" s="342"/>
      <c r="F113" s="290"/>
      <c r="G113" s="491"/>
      <c r="H113" s="358">
        <v>0</v>
      </c>
      <c r="I113" s="358">
        <v>0</v>
      </c>
      <c r="J113" s="359">
        <f t="shared" si="61"/>
        <v>0</v>
      </c>
      <c r="K113" s="290"/>
      <c r="L113" s="349"/>
      <c r="M113" s="7"/>
      <c r="N113" s="12"/>
      <c r="O113" s="12"/>
      <c r="P113" s="12"/>
      <c r="Q113" s="361"/>
      <c r="R113" s="362"/>
      <c r="S113" s="363"/>
      <c r="T113" s="364"/>
      <c r="U113" s="365"/>
      <c r="V113" s="91"/>
      <c r="W113" s="92"/>
      <c r="X113" s="366"/>
      <c r="Y113" s="366"/>
      <c r="Z113" s="7"/>
      <c r="AA113" s="367"/>
      <c r="AB113" s="7"/>
      <c r="AC113" s="93"/>
      <c r="AD113" s="94"/>
      <c r="AE113" s="109"/>
      <c r="AF113" s="7"/>
      <c r="AG113" s="369"/>
      <c r="AH113" s="368"/>
      <c r="AI113" s="7"/>
      <c r="AJ113" s="369"/>
      <c r="AK113" s="368"/>
      <c r="AL113" s="7"/>
      <c r="AM113" s="95"/>
      <c r="AN113" s="95"/>
      <c r="AO113" s="95"/>
      <c r="AP113" s="90"/>
      <c r="AQ113" s="18"/>
      <c r="AR113" s="290"/>
      <c r="AS113" s="467"/>
      <c r="AT113" s="93"/>
      <c r="AU113" s="478"/>
      <c r="AV113" s="95"/>
      <c r="AW113" s="469"/>
      <c r="AX113" s="290"/>
      <c r="AY113" s="18"/>
      <c r="AZ113" s="3"/>
      <c r="BA113" s="315"/>
      <c r="BB113" s="3"/>
      <c r="BC113" s="3"/>
      <c r="BD113" s="3"/>
      <c r="BE113" s="3"/>
      <c r="BF113" s="18"/>
      <c r="BG113" s="3"/>
      <c r="BH113" s="315"/>
      <c r="BI113" s="3"/>
      <c r="BJ113" s="3"/>
      <c r="BK113" s="3"/>
      <c r="BL113" s="3"/>
      <c r="BM113" s="18"/>
      <c r="BN113" s="3"/>
      <c r="BO113" s="315"/>
      <c r="BP113" s="3"/>
      <c r="BQ113" s="3"/>
      <c r="BR113" s="3"/>
      <c r="BS113" s="3"/>
      <c r="BT113" s="18"/>
      <c r="BU113" s="3"/>
      <c r="BV113" s="315"/>
      <c r="BW113" s="3"/>
      <c r="BX113" s="3"/>
      <c r="BY113" s="3"/>
      <c r="BZ113" s="3"/>
    </row>
    <row r="114" spans="1:82" ht="15.6" outlineLevel="1">
      <c r="A114" s="7"/>
      <c r="B114" s="370"/>
      <c r="C114" s="355"/>
      <c r="D114" s="356"/>
      <c r="E114" s="342"/>
      <c r="F114" s="290"/>
      <c r="G114" s="490"/>
      <c r="H114" s="358">
        <v>0</v>
      </c>
      <c r="I114" s="358">
        <v>0</v>
      </c>
      <c r="J114" s="359">
        <f t="shared" si="61"/>
        <v>0</v>
      </c>
      <c r="K114" s="290"/>
      <c r="L114" s="349"/>
      <c r="M114" s="7"/>
      <c r="N114" s="12"/>
      <c r="O114" s="12"/>
      <c r="P114" s="12"/>
      <c r="Q114" s="361"/>
      <c r="R114" s="362"/>
      <c r="S114" s="363"/>
      <c r="T114" s="364"/>
      <c r="U114" s="365"/>
      <c r="V114" s="91"/>
      <c r="W114" s="92"/>
      <c r="X114" s="366"/>
      <c r="Y114" s="366"/>
      <c r="Z114" s="7"/>
      <c r="AA114" s="367"/>
      <c r="AB114" s="7"/>
      <c r="AC114" s="93"/>
      <c r="AD114" s="94"/>
      <c r="AE114" s="109"/>
      <c r="AF114" s="7"/>
      <c r="AG114" s="369"/>
      <c r="AH114" s="368"/>
      <c r="AI114" s="7"/>
      <c r="AJ114" s="369"/>
      <c r="AK114" s="368"/>
      <c r="AL114" s="7"/>
      <c r="AM114" s="95"/>
      <c r="AN114" s="95"/>
      <c r="AO114" s="95"/>
      <c r="AP114" s="90"/>
      <c r="AQ114" s="18"/>
      <c r="AR114" s="290"/>
      <c r="AS114" s="467"/>
      <c r="AT114" s="93"/>
      <c r="AU114" s="478"/>
      <c r="AV114" s="95"/>
      <c r="AW114" s="469"/>
      <c r="AX114" s="290"/>
      <c r="AY114" s="18"/>
      <c r="AZ114" s="3"/>
      <c r="BA114" s="315"/>
      <c r="BB114" s="3"/>
      <c r="BC114" s="3"/>
      <c r="BD114" s="3"/>
      <c r="BE114" s="3"/>
      <c r="BF114" s="18"/>
      <c r="BG114" s="3"/>
      <c r="BH114" s="315"/>
      <c r="BI114" s="3"/>
      <c r="BJ114" s="3"/>
      <c r="BK114" s="3"/>
      <c r="BL114" s="3"/>
      <c r="BM114" s="18"/>
      <c r="BN114" s="3"/>
      <c r="BO114" s="315"/>
      <c r="BP114" s="3"/>
      <c r="BQ114" s="3"/>
      <c r="BR114" s="3"/>
      <c r="BS114" s="3"/>
      <c r="BT114" s="18"/>
      <c r="BU114" s="3"/>
      <c r="BV114" s="315"/>
      <c r="BW114" s="3"/>
      <c r="BX114" s="3"/>
      <c r="BY114" s="3"/>
      <c r="BZ114" s="3"/>
    </row>
    <row r="115" spans="1:82" ht="15.6" outlineLevel="1">
      <c r="A115" s="7"/>
      <c r="B115" s="370"/>
      <c r="C115" s="355"/>
      <c r="D115" s="356"/>
      <c r="E115" s="342"/>
      <c r="F115" s="290"/>
      <c r="G115" s="490"/>
      <c r="H115" s="358">
        <v>0</v>
      </c>
      <c r="I115" s="358">
        <v>0</v>
      </c>
      <c r="J115" s="359">
        <f t="shared" si="61"/>
        <v>0</v>
      </c>
      <c r="K115" s="290"/>
      <c r="L115" s="349"/>
      <c r="M115" s="7"/>
      <c r="N115" s="12"/>
      <c r="O115" s="12"/>
      <c r="P115" s="12"/>
      <c r="Q115" s="361"/>
      <c r="R115" s="362"/>
      <c r="S115" s="363"/>
      <c r="T115" s="364"/>
      <c r="U115" s="365"/>
      <c r="V115" s="91"/>
      <c r="W115" s="92"/>
      <c r="X115" s="366"/>
      <c r="Y115" s="366"/>
      <c r="Z115" s="7"/>
      <c r="AA115" s="367"/>
      <c r="AB115" s="7"/>
      <c r="AC115" s="93"/>
      <c r="AD115" s="94"/>
      <c r="AE115" s="109"/>
      <c r="AF115" s="7"/>
      <c r="AG115" s="369"/>
      <c r="AH115" s="368"/>
      <c r="AI115" s="7"/>
      <c r="AJ115" s="369"/>
      <c r="AK115" s="368"/>
      <c r="AL115" s="7"/>
      <c r="AM115" s="95"/>
      <c r="AN115" s="95"/>
      <c r="AO115" s="95"/>
      <c r="AP115" s="90"/>
      <c r="AQ115" s="18"/>
      <c r="AR115" s="290"/>
      <c r="AS115" s="467"/>
      <c r="AT115" s="93"/>
      <c r="AU115" s="478"/>
      <c r="AV115" s="95"/>
      <c r="AW115" s="469"/>
      <c r="AX115" s="290"/>
      <c r="AY115" s="18"/>
      <c r="AZ115" s="3"/>
      <c r="BA115" s="315"/>
      <c r="BB115" s="3"/>
      <c r="BC115" s="3"/>
      <c r="BD115" s="3"/>
      <c r="BE115" s="3"/>
      <c r="BF115" s="18"/>
      <c r="BG115" s="3"/>
      <c r="BH115" s="315"/>
      <c r="BI115" s="3"/>
      <c r="BJ115" s="3"/>
      <c r="BK115" s="3"/>
      <c r="BL115" s="3"/>
      <c r="BM115" s="18"/>
      <c r="BN115" s="3"/>
      <c r="BO115" s="315"/>
      <c r="BP115" s="3"/>
      <c r="BQ115" s="3"/>
      <c r="BR115" s="3"/>
      <c r="BS115" s="3"/>
      <c r="BT115" s="18"/>
      <c r="BU115" s="3"/>
      <c r="BV115" s="315"/>
      <c r="BW115" s="3"/>
      <c r="BX115" s="3"/>
      <c r="BY115" s="3"/>
      <c r="BZ115" s="3"/>
    </row>
    <row r="116" spans="1:82" ht="15.6" outlineLevel="1">
      <c r="A116" s="7"/>
      <c r="B116" s="370"/>
      <c r="C116" s="355"/>
      <c r="D116" s="356"/>
      <c r="E116" s="342"/>
      <c r="F116" s="290"/>
      <c r="G116" s="357"/>
      <c r="H116" s="358">
        <v>0</v>
      </c>
      <c r="I116" s="358">
        <v>0</v>
      </c>
      <c r="J116" s="359">
        <f t="shared" si="61"/>
        <v>0</v>
      </c>
      <c r="K116" s="290"/>
      <c r="L116" s="349"/>
      <c r="M116" s="7"/>
      <c r="N116" s="12"/>
      <c r="O116" s="12"/>
      <c r="P116" s="12"/>
      <c r="Q116" s="361"/>
      <c r="R116" s="362"/>
      <c r="S116" s="363">
        <f t="shared" si="48"/>
        <v>0</v>
      </c>
      <c r="T116" s="364">
        <f t="shared" si="64"/>
        <v>0</v>
      </c>
      <c r="U116" s="365">
        <v>0</v>
      </c>
      <c r="V116" s="91">
        <f>ROUNDUP(IFERROR(INDEX(CostRateTbl[Cost Rate],MATCH(_xlfn.CONCAT(N116,O116,P116,"NA"),CostRateTbl[KeyCostRate],0)),0)*BillingCurrencyTRM*(1+U116),2)</f>
        <v>0</v>
      </c>
      <c r="W116" s="92">
        <f t="shared" si="49"/>
        <v>0</v>
      </c>
      <c r="X116" s="366" t="e" cm="1">
        <f t="array" ref="X116">_xlfn.LET(
    _xlpm.valor, INDEX(CostRate!H:H, MATCH(1, (CostRate!A:A=N116)*1, 0)),
    _xlpm.posicion, MATCH(_xlpm.valor, FilterSL!$F$1:$Z$1, 0),
    _xlpm.direccionCompleta, ADDRESS(1, _xlpm.posicion + 5, 4),
    _xlpm.letraColumna, SUBSTITUTE(_xlpm.direccionCompleta, "1", ""),
    _xlpm.letraColumna
)</f>
        <v>#N/A</v>
      </c>
      <c r="Y116" s="366" t="e" cm="1">
        <f t="array" ref="Y116">_xlfn.LET(
    _xlpm.valor, INDEX(CostRate!I:I, MATCH(1, (CostRate!A:A=N116)*(CostRate!B:B=O116), 0)),
    _xlpm.posicion, MATCH(_xlpm.valor, FilterJP!$E$1:$FZ$1, 0),
    _xlpm.direccionCompleta, ADDRESS(1, _xlpm.posicion + 4, 4),
    _xlpm.letraColumna, SUBSTITUTE(_xlpm.direccionCompleta, "1", ""),
    _xlpm.letraColumna
)</f>
        <v>#N/A</v>
      </c>
      <c r="Z116" s="7"/>
      <c r="AA116" s="367"/>
      <c r="AB116" s="7"/>
      <c r="AC116" s="93">
        <f t="shared" si="50"/>
        <v>0</v>
      </c>
      <c r="AD116" s="94">
        <f t="shared" si="65"/>
        <v>0</v>
      </c>
      <c r="AE116" s="109">
        <f t="shared" si="66"/>
        <v>0</v>
      </c>
      <c r="AF116" s="7"/>
      <c r="AG116" s="369">
        <f t="shared" si="67"/>
        <v>0</v>
      </c>
      <c r="AH116" s="368">
        <f t="shared" si="54"/>
        <v>0</v>
      </c>
      <c r="AI116" s="7"/>
      <c r="AJ116" s="369" cm="1">
        <f t="array" ref="AJ116">IFERROR(INDEX(WHT!$C$7:$W$18,MATCH(
_xlfn.SWITCH(N116,"xDC Medellin","Colombia","xDC Belo Horizonte","Brazil","xDC Guadalajara","Mexico","xDC Gurugram","India","xDC Leon","Spain","xDC San Jose","Costa Rica","xDC Warsaw","Poland",N116),
WHT!$B$7:$B$18,0),MATCH(CustomerCountry,WHT!$C$5:$W$5,0)),0)</f>
        <v>0</v>
      </c>
      <c r="AK116" s="368">
        <f t="shared" si="55"/>
        <v>0</v>
      </c>
      <c r="AL116" s="7"/>
      <c r="AM116" s="95">
        <f t="shared" si="68"/>
        <v>0</v>
      </c>
      <c r="AN116" s="95">
        <f t="shared" si="57"/>
        <v>0</v>
      </c>
      <c r="AO116" s="95">
        <f t="shared" si="69"/>
        <v>0</v>
      </c>
      <c r="AP116" s="90"/>
      <c r="AQ116" s="18"/>
      <c r="AR116" s="290"/>
      <c r="AS116" s="467" t="s">
        <v>133</v>
      </c>
      <c r="AT116" s="501">
        <f t="shared" ref="AT116:AT121" si="70">IF(AS116="x",AM116+((SUM($AN$79:$AN$84)+SUMIF($AS$90:$AS$121,"&lt;&gt;x",$AM$90:$AM$121))*IFERROR(AM116/SUMIF($AS$90:$AS$121,"x",$AM$90:$AM$121),0)),0)</f>
        <v>0</v>
      </c>
      <c r="AU116" s="502"/>
      <c r="AV116" s="95">
        <f t="shared" si="63"/>
        <v>0</v>
      </c>
      <c r="AW116" s="469" t="str">
        <f t="shared" si="60"/>
        <v>N/A</v>
      </c>
      <c r="AX116" s="290"/>
      <c r="AY116" s="18"/>
      <c r="AZ116" s="3"/>
      <c r="BA116" s="315"/>
      <c r="BB116" s="3"/>
      <c r="BC116" s="3"/>
      <c r="BD116" s="3"/>
      <c r="BE116" s="3"/>
      <c r="BF116" s="18"/>
      <c r="BG116" s="3"/>
      <c r="BH116" s="315"/>
      <c r="BI116" s="3"/>
      <c r="BJ116" s="3"/>
      <c r="BK116" s="3"/>
      <c r="BL116" s="3"/>
      <c r="BM116" s="18"/>
      <c r="BN116" s="3"/>
      <c r="BO116" s="315"/>
      <c r="BP116" s="3"/>
      <c r="BQ116" s="3"/>
      <c r="BR116" s="3"/>
      <c r="BS116" s="3"/>
      <c r="BT116" s="18"/>
      <c r="BU116" s="3"/>
      <c r="BV116" s="315"/>
      <c r="BW116" s="3"/>
      <c r="BX116" s="3"/>
      <c r="BY116" s="3"/>
      <c r="BZ116" s="3"/>
    </row>
    <row r="117" spans="1:82" ht="15.6" outlineLevel="1">
      <c r="A117" s="7"/>
      <c r="B117" s="488" t="s">
        <v>157</v>
      </c>
      <c r="C117" s="355"/>
      <c r="D117" s="356"/>
      <c r="E117" s="342"/>
      <c r="F117" s="290"/>
      <c r="G117" s="357"/>
      <c r="H117" s="358">
        <v>0</v>
      </c>
      <c r="I117" s="358">
        <v>0</v>
      </c>
      <c r="J117" s="359">
        <f t="shared" si="61"/>
        <v>0</v>
      </c>
      <c r="K117" s="290"/>
      <c r="L117" s="349"/>
      <c r="M117" s="7"/>
      <c r="N117" s="12"/>
      <c r="O117" s="12"/>
      <c r="P117" s="12"/>
      <c r="Q117" s="361"/>
      <c r="R117" s="362"/>
      <c r="S117" s="363">
        <f t="shared" si="48"/>
        <v>0</v>
      </c>
      <c r="T117" s="364">
        <f t="shared" si="64"/>
        <v>0</v>
      </c>
      <c r="U117" s="365">
        <v>0</v>
      </c>
      <c r="V117" s="91">
        <f>ROUNDUP(IFERROR(INDEX(CostRateTbl[Cost Rate],MATCH(_xlfn.CONCAT(N117,O117,P117,"NA"),CostRateTbl[KeyCostRate],0)),0)*BillingCurrencyTRM*(1+U117),2)</f>
        <v>0</v>
      </c>
      <c r="W117" s="92">
        <f t="shared" si="49"/>
        <v>0</v>
      </c>
      <c r="X117" s="366" t="e" cm="1">
        <f t="array" ref="X117">_xlfn.LET(
    _xlpm.valor, INDEX(CostRate!H:H, MATCH(1, (CostRate!A:A=N117)*1, 0)),
    _xlpm.posicion, MATCH(_xlpm.valor, FilterSL!$F$1:$Z$1, 0),
    _xlpm.direccionCompleta, ADDRESS(1, _xlpm.posicion + 5, 4),
    _xlpm.letraColumna, SUBSTITUTE(_xlpm.direccionCompleta, "1", ""),
    _xlpm.letraColumna
)</f>
        <v>#N/A</v>
      </c>
      <c r="Y117" s="366" t="e" cm="1">
        <f t="array" ref="Y117">_xlfn.LET(
    _xlpm.valor, INDEX(CostRate!I:I, MATCH(1, (CostRate!A:A=N117)*(CostRate!B:B=O117), 0)),
    _xlpm.posicion, MATCH(_xlpm.valor, FilterJP!$E$1:$FZ$1, 0),
    _xlpm.direccionCompleta, ADDRESS(1, _xlpm.posicion + 4, 4),
    _xlpm.letraColumna, SUBSTITUTE(_xlpm.direccionCompleta, "1", ""),
    _xlpm.letraColumna
)</f>
        <v>#N/A</v>
      </c>
      <c r="Z117" s="7"/>
      <c r="AA117" s="367"/>
      <c r="AB117" s="7"/>
      <c r="AC117" s="93">
        <f t="shared" si="50"/>
        <v>0</v>
      </c>
      <c r="AD117" s="94">
        <f t="shared" si="65"/>
        <v>0</v>
      </c>
      <c r="AE117" s="109">
        <f t="shared" si="66"/>
        <v>0</v>
      </c>
      <c r="AF117" s="7"/>
      <c r="AG117" s="369">
        <f t="shared" si="67"/>
        <v>0</v>
      </c>
      <c r="AH117" s="368">
        <f t="shared" si="54"/>
        <v>0</v>
      </c>
      <c r="AI117" s="7"/>
      <c r="AJ117" s="369" cm="1">
        <f t="array" ref="AJ117">IFERROR(INDEX(WHT!$C$7:$W$18,MATCH(
_xlfn.SWITCH(N117,"xDC Medellin","Colombia","xDC Belo Horizonte","Brazil","xDC Guadalajara","Mexico","xDC Gurugram","India","xDC Leon","Spain","xDC San Jose","Costa Rica","xDC Warsaw","Poland",N117),
WHT!$B$7:$B$18,0),MATCH(CustomerCountry,WHT!$C$5:$W$5,0)),0)</f>
        <v>0</v>
      </c>
      <c r="AK117" s="368">
        <f t="shared" si="55"/>
        <v>0</v>
      </c>
      <c r="AL117" s="7"/>
      <c r="AM117" s="95">
        <f t="shared" si="68"/>
        <v>0</v>
      </c>
      <c r="AN117" s="95">
        <f t="shared" si="57"/>
        <v>0</v>
      </c>
      <c r="AO117" s="95">
        <f t="shared" si="69"/>
        <v>0</v>
      </c>
      <c r="AP117" s="90"/>
      <c r="AQ117" s="18"/>
      <c r="AR117" s="290"/>
      <c r="AS117" s="467" t="s">
        <v>133</v>
      </c>
      <c r="AT117" s="501">
        <f t="shared" si="70"/>
        <v>0</v>
      </c>
      <c r="AU117" s="502"/>
      <c r="AV117" s="95">
        <f t="shared" si="63"/>
        <v>0</v>
      </c>
      <c r="AW117" s="469" t="str">
        <f t="shared" si="60"/>
        <v>N/A</v>
      </c>
      <c r="AX117" s="290"/>
      <c r="AY117" s="18"/>
      <c r="AZ117" s="3"/>
      <c r="BA117" s="315"/>
      <c r="BB117" s="3"/>
      <c r="BC117" s="3"/>
      <c r="BD117" s="3"/>
      <c r="BE117" s="3"/>
      <c r="BF117" s="18"/>
      <c r="BG117" s="3"/>
      <c r="BH117" s="315"/>
      <c r="BI117" s="3"/>
      <c r="BJ117" s="3"/>
      <c r="BK117" s="3"/>
      <c r="BL117" s="3"/>
      <c r="BM117" s="18"/>
      <c r="BN117" s="3"/>
      <c r="BO117" s="315"/>
      <c r="BP117" s="3"/>
      <c r="BQ117" s="3"/>
      <c r="BR117" s="3"/>
      <c r="BS117" s="3"/>
      <c r="BT117" s="18"/>
      <c r="BU117" s="3"/>
      <c r="BV117" s="315"/>
      <c r="BW117" s="3"/>
      <c r="BX117" s="3"/>
      <c r="BY117" s="3"/>
      <c r="BZ117" s="3"/>
    </row>
    <row r="118" spans="1:82" ht="15.6" outlineLevel="1">
      <c r="A118" s="7"/>
      <c r="B118" s="488" t="s">
        <v>158</v>
      </c>
      <c r="C118" s="355"/>
      <c r="D118" s="356"/>
      <c r="E118" s="342"/>
      <c r="F118" s="290"/>
      <c r="G118" s="357"/>
      <c r="H118" s="358">
        <v>0</v>
      </c>
      <c r="I118" s="358">
        <v>0</v>
      </c>
      <c r="J118" s="359">
        <f t="shared" si="61"/>
        <v>0</v>
      </c>
      <c r="K118" s="290"/>
      <c r="L118" s="349"/>
      <c r="M118" s="7"/>
      <c r="N118" s="12"/>
      <c r="O118" s="12"/>
      <c r="P118" s="12"/>
      <c r="Q118" s="361"/>
      <c r="R118" s="362"/>
      <c r="S118" s="363">
        <f t="shared" si="48"/>
        <v>0</v>
      </c>
      <c r="T118" s="364">
        <f t="shared" si="64"/>
        <v>0</v>
      </c>
      <c r="U118" s="365">
        <v>0</v>
      </c>
      <c r="V118" s="91">
        <f>ROUNDUP(IFERROR(INDEX(CostRateTbl[Cost Rate],MATCH(_xlfn.CONCAT(N118,O118,P118,"NA"),CostRateTbl[KeyCostRate],0)),0)*BillingCurrencyTRM*(1+U118),2)</f>
        <v>0</v>
      </c>
      <c r="W118" s="92">
        <f t="shared" si="49"/>
        <v>0</v>
      </c>
      <c r="X118" s="366" t="e" cm="1">
        <f t="array" ref="X118">_xlfn.LET(
    _xlpm.valor, INDEX(CostRate!H:H, MATCH(1, (CostRate!A:A=N118)*1, 0)),
    _xlpm.posicion, MATCH(_xlpm.valor, FilterSL!$F$1:$Z$1, 0),
    _xlpm.direccionCompleta, ADDRESS(1, _xlpm.posicion + 5, 4),
    _xlpm.letraColumna, SUBSTITUTE(_xlpm.direccionCompleta, "1", ""),
    _xlpm.letraColumna
)</f>
        <v>#N/A</v>
      </c>
      <c r="Y118" s="366" t="e" cm="1">
        <f t="array" ref="Y118">_xlfn.LET(
    _xlpm.valor, INDEX(CostRate!I:I, MATCH(1, (CostRate!A:A=N118)*(CostRate!B:B=O118), 0)),
    _xlpm.posicion, MATCH(_xlpm.valor, FilterJP!$E$1:$FZ$1, 0),
    _xlpm.direccionCompleta, ADDRESS(1, _xlpm.posicion + 4, 4),
    _xlpm.letraColumna, SUBSTITUTE(_xlpm.direccionCompleta, "1", ""),
    _xlpm.letraColumna
)</f>
        <v>#N/A</v>
      </c>
      <c r="Z118" s="7"/>
      <c r="AA118" s="367"/>
      <c r="AB118" s="7"/>
      <c r="AC118" s="93">
        <f t="shared" si="50"/>
        <v>0</v>
      </c>
      <c r="AD118" s="94">
        <f t="shared" si="65"/>
        <v>0</v>
      </c>
      <c r="AE118" s="109">
        <f t="shared" si="66"/>
        <v>0</v>
      </c>
      <c r="AF118" s="7"/>
      <c r="AG118" s="369">
        <f t="shared" si="67"/>
        <v>0</v>
      </c>
      <c r="AH118" s="368">
        <f t="shared" si="54"/>
        <v>0</v>
      </c>
      <c r="AI118" s="7"/>
      <c r="AJ118" s="369" cm="1">
        <f t="array" ref="AJ118">IFERROR(INDEX(WHT!$C$7:$W$18,MATCH(
_xlfn.SWITCH(N118,"xDC Medellin","Colombia","xDC Belo Horizonte","Brazil","xDC Guadalajara","Mexico","xDC Gurugram","India","xDC Leon","Spain","xDC San Jose","Costa Rica","xDC Warsaw","Poland",N118),
WHT!$B$7:$B$18,0),MATCH(CustomerCountry,WHT!$C$5:$W$5,0)),0)</f>
        <v>0</v>
      </c>
      <c r="AK118" s="368">
        <f t="shared" si="55"/>
        <v>0</v>
      </c>
      <c r="AL118" s="7"/>
      <c r="AM118" s="95">
        <f t="shared" si="68"/>
        <v>0</v>
      </c>
      <c r="AN118" s="95">
        <f t="shared" si="57"/>
        <v>0</v>
      </c>
      <c r="AO118" s="95">
        <f t="shared" si="69"/>
        <v>0</v>
      </c>
      <c r="AP118" s="90"/>
      <c r="AQ118" s="18"/>
      <c r="AR118" s="290"/>
      <c r="AS118" s="467" t="s">
        <v>133</v>
      </c>
      <c r="AT118" s="501">
        <f t="shared" si="70"/>
        <v>0</v>
      </c>
      <c r="AU118" s="502"/>
      <c r="AV118" s="95">
        <f t="shared" si="63"/>
        <v>0</v>
      </c>
      <c r="AW118" s="469" t="str">
        <f t="shared" si="60"/>
        <v>N/A</v>
      </c>
      <c r="AX118" s="290"/>
      <c r="AY118" s="18"/>
      <c r="AZ118" s="3"/>
      <c r="BA118" s="315"/>
      <c r="BB118" s="3"/>
      <c r="BC118" s="3"/>
      <c r="BD118" s="3"/>
      <c r="BE118" s="3"/>
      <c r="BF118" s="18"/>
      <c r="BG118" s="3"/>
      <c r="BH118" s="315"/>
      <c r="BI118" s="3"/>
      <c r="BJ118" s="3"/>
      <c r="BK118" s="3"/>
      <c r="BL118" s="3"/>
      <c r="BM118" s="18"/>
      <c r="BN118" s="3"/>
      <c r="BO118" s="315"/>
      <c r="BP118" s="3"/>
      <c r="BQ118" s="3"/>
      <c r="BR118" s="3"/>
      <c r="BS118" s="3"/>
      <c r="BT118" s="18"/>
      <c r="BU118" s="3"/>
      <c r="BV118" s="315"/>
      <c r="BW118" s="3"/>
      <c r="BX118" s="3"/>
      <c r="BY118" s="3"/>
      <c r="BZ118" s="3"/>
    </row>
    <row r="119" spans="1:82" ht="15.6" outlineLevel="1">
      <c r="A119" s="7"/>
      <c r="B119" s="488" t="s">
        <v>159</v>
      </c>
      <c r="C119" s="485"/>
      <c r="D119" s="356"/>
      <c r="E119" s="342"/>
      <c r="F119" s="290"/>
      <c r="G119" s="357"/>
      <c r="H119" s="358">
        <v>0</v>
      </c>
      <c r="I119" s="358">
        <v>0</v>
      </c>
      <c r="J119" s="359">
        <f t="shared" si="61"/>
        <v>0</v>
      </c>
      <c r="K119" s="290"/>
      <c r="L119" s="349"/>
      <c r="M119" s="7"/>
      <c r="N119" s="12"/>
      <c r="O119" s="12"/>
      <c r="P119" s="12"/>
      <c r="Q119" s="361"/>
      <c r="R119" s="362"/>
      <c r="S119" s="363">
        <f t="shared" si="48"/>
        <v>0</v>
      </c>
      <c r="T119" s="364">
        <f t="shared" si="64"/>
        <v>0</v>
      </c>
      <c r="U119" s="365">
        <v>0</v>
      </c>
      <c r="V119" s="91">
        <f>ROUNDUP(IFERROR(INDEX(CostRateTbl[Cost Rate],MATCH(_xlfn.CONCAT(N119,O119,P119,"NA"),CostRateTbl[KeyCostRate],0)),0)*BillingCurrencyTRM*(1+U119),2)</f>
        <v>0</v>
      </c>
      <c r="W119" s="92">
        <f t="shared" si="49"/>
        <v>0</v>
      </c>
      <c r="X119" s="366" t="e" cm="1">
        <f t="array" ref="X119">_xlfn.LET(
    _xlpm.valor, INDEX(CostRate!H:H, MATCH(1, (CostRate!A:A=N119)*1, 0)),
    _xlpm.posicion, MATCH(_xlpm.valor, FilterSL!$F$1:$Z$1, 0),
    _xlpm.direccionCompleta, ADDRESS(1, _xlpm.posicion + 5, 4),
    _xlpm.letraColumna, SUBSTITUTE(_xlpm.direccionCompleta, "1", ""),
    _xlpm.letraColumna
)</f>
        <v>#N/A</v>
      </c>
      <c r="Y119" s="366" t="e" cm="1">
        <f t="array" ref="Y119">_xlfn.LET(
    _xlpm.valor, INDEX(CostRate!I:I, MATCH(1, (CostRate!A:A=N119)*(CostRate!B:B=O119), 0)),
    _xlpm.posicion, MATCH(_xlpm.valor, FilterJP!$E$1:$FZ$1, 0),
    _xlpm.direccionCompleta, ADDRESS(1, _xlpm.posicion + 4, 4),
    _xlpm.letraColumna, SUBSTITUTE(_xlpm.direccionCompleta, "1", ""),
    _xlpm.letraColumna
)</f>
        <v>#N/A</v>
      </c>
      <c r="Z119" s="7"/>
      <c r="AA119" s="367"/>
      <c r="AB119" s="7"/>
      <c r="AC119" s="93">
        <f t="shared" si="50"/>
        <v>0</v>
      </c>
      <c r="AD119" s="94">
        <f t="shared" si="65"/>
        <v>0</v>
      </c>
      <c r="AE119" s="109">
        <f t="shared" si="66"/>
        <v>0</v>
      </c>
      <c r="AF119" s="7"/>
      <c r="AG119" s="369">
        <f t="shared" si="67"/>
        <v>0</v>
      </c>
      <c r="AH119" s="368">
        <f t="shared" si="54"/>
        <v>0</v>
      </c>
      <c r="AI119" s="7"/>
      <c r="AJ119" s="369" cm="1">
        <f t="array" ref="AJ119">IFERROR(INDEX(WHT!$C$7:$W$18,MATCH(
_xlfn.SWITCH(N119,"xDC Medellin","Colombia","xDC Belo Horizonte","Brazil","xDC Guadalajara","Mexico","xDC Gurugram","India","xDC Leon","Spain","xDC San Jose","Costa Rica","xDC Warsaw","Poland",N119),
WHT!$B$7:$B$18,0),MATCH(CustomerCountry,WHT!$C$5:$W$5,0)),0)</f>
        <v>0</v>
      </c>
      <c r="AK119" s="368">
        <f t="shared" si="55"/>
        <v>0</v>
      </c>
      <c r="AL119" s="7"/>
      <c r="AM119" s="95">
        <f t="shared" si="68"/>
        <v>0</v>
      </c>
      <c r="AN119" s="95">
        <f t="shared" si="57"/>
        <v>0</v>
      </c>
      <c r="AO119" s="95">
        <f t="shared" si="69"/>
        <v>0</v>
      </c>
      <c r="AP119" s="90"/>
      <c r="AQ119" s="18"/>
      <c r="AR119" s="290"/>
      <c r="AS119" s="467" t="s">
        <v>133</v>
      </c>
      <c r="AT119" s="501">
        <f t="shared" si="70"/>
        <v>0</v>
      </c>
      <c r="AU119" s="502"/>
      <c r="AV119" s="95">
        <f t="shared" si="63"/>
        <v>0</v>
      </c>
      <c r="AW119" s="469" t="str">
        <f t="shared" si="60"/>
        <v>N/A</v>
      </c>
      <c r="AX119" s="290"/>
      <c r="AY119" s="18"/>
      <c r="AZ119" s="3"/>
      <c r="BA119" s="315"/>
      <c r="BB119" s="3"/>
      <c r="BC119" s="3"/>
      <c r="BD119" s="3"/>
      <c r="BE119" s="3"/>
      <c r="BF119" s="18"/>
      <c r="BG119" s="3"/>
      <c r="BH119" s="315"/>
      <c r="BI119" s="3"/>
      <c r="BJ119" s="3"/>
      <c r="BK119" s="3"/>
      <c r="BL119" s="3"/>
      <c r="BM119" s="18"/>
      <c r="BN119" s="3"/>
      <c r="BO119" s="315"/>
      <c r="BP119" s="3"/>
      <c r="BQ119" s="3"/>
      <c r="BR119" s="3"/>
      <c r="BS119" s="3"/>
      <c r="BT119" s="18"/>
      <c r="BU119" s="3"/>
      <c r="BV119" s="315"/>
      <c r="BW119" s="3"/>
      <c r="BX119" s="3"/>
      <c r="BY119" s="3"/>
      <c r="BZ119" s="3"/>
    </row>
    <row r="120" spans="1:82" ht="28.9" outlineLevel="1">
      <c r="A120" s="7"/>
      <c r="B120" s="488" t="s">
        <v>160</v>
      </c>
      <c r="C120" s="355"/>
      <c r="D120" s="356"/>
      <c r="E120" s="342"/>
      <c r="F120" s="290"/>
      <c r="G120" s="373"/>
      <c r="H120" s="358">
        <v>0</v>
      </c>
      <c r="I120" s="358">
        <v>0</v>
      </c>
      <c r="J120" s="359">
        <f t="shared" si="61"/>
        <v>0</v>
      </c>
      <c r="K120" s="290"/>
      <c r="L120" s="349"/>
      <c r="M120" s="7"/>
      <c r="N120" s="12"/>
      <c r="O120" s="12"/>
      <c r="P120" s="12"/>
      <c r="Q120" s="361"/>
      <c r="R120" s="362"/>
      <c r="S120" s="363">
        <f t="shared" si="48"/>
        <v>0</v>
      </c>
      <c r="T120" s="364">
        <f t="shared" si="64"/>
        <v>0</v>
      </c>
      <c r="U120" s="365">
        <v>0</v>
      </c>
      <c r="V120" s="91">
        <f>ROUNDUP(IFERROR(INDEX(CostRateTbl[Cost Rate],MATCH(_xlfn.CONCAT(N120,O120,P120,"NA"),CostRateTbl[KeyCostRate],0)),0)*BillingCurrencyTRM*(1+U120),2)</f>
        <v>0</v>
      </c>
      <c r="W120" s="92">
        <f t="shared" si="49"/>
        <v>0</v>
      </c>
      <c r="X120" s="366" t="e" cm="1">
        <f t="array" ref="X120">_xlfn.LET(
    _xlpm.valor, INDEX(CostRate!H:H, MATCH(1, (CostRate!A:A=N120)*1, 0)),
    _xlpm.posicion, MATCH(_xlpm.valor, FilterSL!$F$1:$Z$1, 0),
    _xlpm.direccionCompleta, ADDRESS(1, _xlpm.posicion + 5, 4),
    _xlpm.letraColumna, SUBSTITUTE(_xlpm.direccionCompleta, "1", ""),
    _xlpm.letraColumna
)</f>
        <v>#N/A</v>
      </c>
      <c r="Y120" s="366" t="e" cm="1">
        <f t="array" ref="Y120">_xlfn.LET(
    _xlpm.valor, INDEX(CostRate!I:I, MATCH(1, (CostRate!A:A=N120)*(CostRate!B:B=O120), 0)),
    _xlpm.posicion, MATCH(_xlpm.valor, FilterJP!$E$1:$FZ$1, 0),
    _xlpm.direccionCompleta, ADDRESS(1, _xlpm.posicion + 4, 4),
    _xlpm.letraColumna, SUBSTITUTE(_xlpm.direccionCompleta, "1", ""),
    _xlpm.letraColumna
)</f>
        <v>#N/A</v>
      </c>
      <c r="Z120" s="7"/>
      <c r="AA120" s="367"/>
      <c r="AB120" s="7"/>
      <c r="AC120" s="93">
        <f t="shared" si="50"/>
        <v>0</v>
      </c>
      <c r="AD120" s="94">
        <f t="shared" si="65"/>
        <v>0</v>
      </c>
      <c r="AE120" s="109">
        <f t="shared" si="66"/>
        <v>0</v>
      </c>
      <c r="AF120" s="7"/>
      <c r="AG120" s="369">
        <f t="shared" si="67"/>
        <v>0</v>
      </c>
      <c r="AH120" s="368">
        <f t="shared" si="54"/>
        <v>0</v>
      </c>
      <c r="AI120" s="7"/>
      <c r="AJ120" s="369" cm="1">
        <f t="array" ref="AJ120">IFERROR(INDEX(WHT!$C$7:$W$18,MATCH(
_xlfn.SWITCH(N120,"xDC Medellin","Colombia","xDC Belo Horizonte","Brazil","xDC Guadalajara","Mexico","xDC Gurugram","India","xDC Leon","Spain","xDC San Jose","Costa Rica","xDC Warsaw","Poland",N120),
WHT!$B$7:$B$18,0),MATCH(CustomerCountry,WHT!$C$5:$W$5,0)),0)</f>
        <v>0</v>
      </c>
      <c r="AK120" s="368">
        <f t="shared" si="55"/>
        <v>0</v>
      </c>
      <c r="AL120" s="7"/>
      <c r="AM120" s="95">
        <f t="shared" si="68"/>
        <v>0</v>
      </c>
      <c r="AN120" s="95">
        <f t="shared" si="57"/>
        <v>0</v>
      </c>
      <c r="AO120" s="95">
        <f t="shared" si="69"/>
        <v>0</v>
      </c>
      <c r="AP120" s="90"/>
      <c r="AQ120" s="18"/>
      <c r="AR120" s="290"/>
      <c r="AS120" s="467" t="s">
        <v>133</v>
      </c>
      <c r="AT120" s="501">
        <f t="shared" si="70"/>
        <v>0</v>
      </c>
      <c r="AU120" s="502"/>
      <c r="AV120" s="95">
        <f t="shared" si="63"/>
        <v>0</v>
      </c>
      <c r="AW120" s="469" t="str">
        <f t="shared" si="60"/>
        <v>N/A</v>
      </c>
      <c r="AX120" s="290"/>
      <c r="AY120" s="18"/>
      <c r="AZ120" s="3"/>
      <c r="BA120" s="315"/>
      <c r="BB120" s="3"/>
      <c r="BC120" s="3"/>
      <c r="BD120" s="3"/>
      <c r="BE120" s="3"/>
      <c r="BF120" s="18"/>
      <c r="BG120" s="3"/>
      <c r="BH120" s="315"/>
      <c r="BI120" s="3"/>
      <c r="BJ120" s="3"/>
      <c r="BK120" s="3"/>
      <c r="BL120" s="3"/>
      <c r="BM120" s="18"/>
      <c r="BN120" s="3"/>
      <c r="BO120" s="315"/>
      <c r="BP120" s="3"/>
      <c r="BQ120" s="3"/>
      <c r="BR120" s="3"/>
      <c r="BS120" s="3"/>
      <c r="BT120" s="18"/>
      <c r="BU120" s="3"/>
      <c r="BV120" s="315"/>
      <c r="BW120" s="3"/>
      <c r="BX120" s="3"/>
      <c r="BY120" s="3"/>
      <c r="BZ120" s="3"/>
    </row>
    <row r="121" spans="1:82" ht="15.6" outlineLevel="1">
      <c r="A121" s="7"/>
      <c r="B121" s="488" t="s">
        <v>161</v>
      </c>
      <c r="C121" s="355"/>
      <c r="D121" s="356"/>
      <c r="E121" s="342"/>
      <c r="F121" s="290"/>
      <c r="G121" s="373"/>
      <c r="H121" s="358">
        <v>0</v>
      </c>
      <c r="I121" s="358">
        <v>0</v>
      </c>
      <c r="J121" s="359">
        <f t="shared" si="61"/>
        <v>0</v>
      </c>
      <c r="K121" s="290"/>
      <c r="L121" s="349"/>
      <c r="M121" s="7"/>
      <c r="N121" s="12"/>
      <c r="O121" s="12"/>
      <c r="P121" s="12"/>
      <c r="Q121" s="361"/>
      <c r="R121" s="362"/>
      <c r="S121" s="363">
        <f t="shared" si="48"/>
        <v>0</v>
      </c>
      <c r="T121" s="364">
        <f t="shared" si="64"/>
        <v>0</v>
      </c>
      <c r="U121" s="365">
        <v>0</v>
      </c>
      <c r="V121" s="91">
        <f>ROUNDUP(IFERROR(INDEX(CostRateTbl[Cost Rate],MATCH(_xlfn.CONCAT(N121,O121,P121,"NA"),CostRateTbl[KeyCostRate],0)),0)*BillingCurrencyTRM*(1+U121),2)</f>
        <v>0</v>
      </c>
      <c r="W121" s="92">
        <f t="shared" si="49"/>
        <v>0</v>
      </c>
      <c r="X121" s="366" t="e" cm="1">
        <f t="array" ref="X121">_xlfn.LET(
    _xlpm.valor, INDEX(CostRate!H:H, MATCH(1, (CostRate!A:A=N121)*1, 0)),
    _xlpm.posicion, MATCH(_xlpm.valor, FilterSL!$F$1:$Z$1, 0),
    _xlpm.direccionCompleta, ADDRESS(1, _xlpm.posicion + 5, 4),
    _xlpm.letraColumna, SUBSTITUTE(_xlpm.direccionCompleta, "1", ""),
    _xlpm.letraColumna
)</f>
        <v>#N/A</v>
      </c>
      <c r="Y121" s="366" t="e" cm="1">
        <f t="array" ref="Y121">_xlfn.LET(
    _xlpm.valor, INDEX(CostRate!I:I, MATCH(1, (CostRate!A:A=N121)*(CostRate!B:B=O121), 0)),
    _xlpm.posicion, MATCH(_xlpm.valor, FilterJP!$E$1:$FZ$1, 0),
    _xlpm.direccionCompleta, ADDRESS(1, _xlpm.posicion + 4, 4),
    _xlpm.letraColumna, SUBSTITUTE(_xlpm.direccionCompleta, "1", ""),
    _xlpm.letraColumna
)</f>
        <v>#N/A</v>
      </c>
      <c r="Z121" s="7"/>
      <c r="AA121" s="367"/>
      <c r="AB121" s="7"/>
      <c r="AC121" s="93">
        <f t="shared" si="50"/>
        <v>0</v>
      </c>
      <c r="AD121" s="94">
        <f t="shared" si="65"/>
        <v>0</v>
      </c>
      <c r="AE121" s="109">
        <f t="shared" si="66"/>
        <v>0</v>
      </c>
      <c r="AF121" s="7"/>
      <c r="AG121" s="369">
        <f t="shared" si="67"/>
        <v>0</v>
      </c>
      <c r="AH121" s="368">
        <f t="shared" si="54"/>
        <v>0</v>
      </c>
      <c r="AI121" s="7"/>
      <c r="AJ121" s="369" cm="1">
        <f t="array" ref="AJ121">IFERROR(INDEX(WHT!$C$7:$W$18,MATCH(
_xlfn.SWITCH(N121,"xDC Medellin","Colombia","xDC Belo Horizonte","Brazil","xDC Guadalajara","Mexico","xDC Gurugram","India","xDC Leon","Spain","xDC San Jose","Costa Rica","xDC Warsaw","Poland",N121),
WHT!$B$7:$B$18,0),MATCH(CustomerCountry,WHT!$C$5:$W$5,0)),0)</f>
        <v>0</v>
      </c>
      <c r="AK121" s="368">
        <f t="shared" si="55"/>
        <v>0</v>
      </c>
      <c r="AL121" s="7"/>
      <c r="AM121" s="95">
        <f t="shared" si="68"/>
        <v>0</v>
      </c>
      <c r="AN121" s="95">
        <f t="shared" si="57"/>
        <v>0</v>
      </c>
      <c r="AO121" s="95">
        <f t="shared" si="69"/>
        <v>0</v>
      </c>
      <c r="AP121" s="90"/>
      <c r="AQ121" s="18"/>
      <c r="AR121" s="290"/>
      <c r="AS121" s="467" t="s">
        <v>133</v>
      </c>
      <c r="AT121" s="501">
        <f t="shared" si="70"/>
        <v>0</v>
      </c>
      <c r="AU121" s="502"/>
      <c r="AV121" s="95">
        <f t="shared" si="63"/>
        <v>0</v>
      </c>
      <c r="AW121" s="469" t="str">
        <f t="shared" si="60"/>
        <v>N/A</v>
      </c>
      <c r="AX121" s="290"/>
      <c r="AY121" s="18"/>
      <c r="AZ121" s="3"/>
      <c r="BA121" s="315"/>
      <c r="BB121" s="3"/>
      <c r="BC121" s="3"/>
      <c r="BD121" s="3"/>
      <c r="BE121" s="3"/>
      <c r="BF121" s="18"/>
      <c r="BG121" s="3"/>
      <c r="BH121" s="315"/>
      <c r="BI121" s="3"/>
      <c r="BJ121" s="3"/>
      <c r="BK121" s="3"/>
      <c r="BL121" s="3"/>
      <c r="BM121" s="18"/>
      <c r="BN121" s="3"/>
      <c r="BO121" s="315"/>
      <c r="BP121" s="3"/>
      <c r="BQ121" s="3"/>
      <c r="BR121" s="3"/>
      <c r="BS121" s="3"/>
      <c r="BT121" s="18"/>
      <c r="BU121" s="3"/>
      <c r="BV121" s="315"/>
      <c r="BW121" s="3"/>
      <c r="BX121" s="3"/>
      <c r="BY121" s="3"/>
      <c r="BZ121" s="3"/>
    </row>
    <row r="122" spans="1:82" ht="15.6" outlineLevel="1">
      <c r="A122" s="7"/>
      <c r="B122" s="376"/>
      <c r="C122" s="376"/>
      <c r="D122" s="376"/>
      <c r="E122" s="342"/>
      <c r="F122" s="290"/>
      <c r="G122" s="290"/>
      <c r="H122" s="290"/>
      <c r="I122" s="290"/>
      <c r="J122" s="290"/>
      <c r="K122" s="290"/>
      <c r="L122" s="18"/>
      <c r="M122" s="7"/>
      <c r="N122" s="7"/>
      <c r="O122" s="7"/>
      <c r="P122" s="7"/>
      <c r="Q122" s="7"/>
      <c r="R122" s="7"/>
      <c r="S122" s="294"/>
      <c r="T122" s="294"/>
      <c r="U122" s="294"/>
      <c r="V122" s="294"/>
      <c r="W122" s="294"/>
      <c r="X122" s="7"/>
      <c r="Y122" s="7"/>
      <c r="Z122" s="294"/>
      <c r="AA122" s="377"/>
      <c r="AB122" s="294"/>
      <c r="AC122" s="294"/>
      <c r="AD122" s="294"/>
      <c r="AE122" s="294"/>
      <c r="AF122" s="7"/>
      <c r="AG122" s="294"/>
      <c r="AH122" s="294"/>
      <c r="AI122" s="7"/>
      <c r="AJ122" s="294"/>
      <c r="AK122" s="294"/>
      <c r="AL122" s="7"/>
      <c r="AM122" s="294"/>
      <c r="AN122" s="294"/>
      <c r="AO122" s="294"/>
      <c r="AP122" s="294"/>
      <c r="AQ122" s="18"/>
      <c r="AR122" s="378"/>
      <c r="AS122" s="378"/>
      <c r="AT122" s="378"/>
      <c r="AU122" s="81"/>
      <c r="AV122" s="378"/>
      <c r="AW122" s="7"/>
      <c r="AX122" s="378"/>
      <c r="AY122" s="18"/>
      <c r="AZ122" s="3"/>
      <c r="BA122" s="315"/>
      <c r="BB122" s="3"/>
      <c r="BC122" s="3"/>
      <c r="BD122" s="3"/>
      <c r="BE122" s="3"/>
      <c r="BF122" s="18"/>
      <c r="BG122" s="3"/>
      <c r="BH122" s="315"/>
      <c r="BI122" s="3"/>
      <c r="BJ122" s="3"/>
      <c r="BK122" s="3"/>
      <c r="BL122" s="3"/>
      <c r="BM122" s="18"/>
      <c r="BN122" s="3"/>
      <c r="BO122" s="315"/>
      <c r="BP122" s="3"/>
      <c r="BQ122" s="3"/>
      <c r="BR122" s="3"/>
      <c r="BS122" s="3"/>
      <c r="BT122" s="18"/>
      <c r="BU122" s="3"/>
      <c r="BV122" s="315"/>
      <c r="BW122" s="3"/>
      <c r="BX122" s="3"/>
      <c r="BY122" s="3"/>
      <c r="BZ122" s="3"/>
    </row>
    <row r="123" spans="1:82" s="389" customFormat="1">
      <c r="A123" s="390"/>
      <c r="B123" s="390"/>
      <c r="C123" s="390"/>
      <c r="D123" s="390"/>
      <c r="E123" s="390"/>
      <c r="F123" s="390"/>
      <c r="G123" s="390"/>
      <c r="H123" s="390"/>
      <c r="I123" s="390"/>
      <c r="J123" s="390"/>
      <c r="K123" s="390"/>
      <c r="L123" s="390"/>
      <c r="M123" s="392"/>
      <c r="N123" s="392"/>
      <c r="O123" s="392"/>
      <c r="P123" s="392"/>
      <c r="Q123" s="392"/>
      <c r="R123" s="392"/>
      <c r="S123" s="392"/>
      <c r="T123" s="392"/>
      <c r="U123" s="392"/>
      <c r="V123" s="392"/>
      <c r="W123" s="392"/>
      <c r="X123" s="392"/>
      <c r="Y123" s="392"/>
      <c r="Z123" s="392"/>
      <c r="AA123" s="320"/>
      <c r="AB123" s="321"/>
      <c r="AC123" s="322"/>
      <c r="AD123" s="322"/>
      <c r="AE123" s="322"/>
      <c r="AF123" s="322"/>
      <c r="AG123" s="322"/>
      <c r="AH123" s="322"/>
      <c r="AI123" s="322"/>
      <c r="AJ123" s="323"/>
      <c r="AK123" s="322"/>
      <c r="AL123" s="322"/>
      <c r="AM123" s="322"/>
      <c r="AN123" s="323"/>
      <c r="AO123" s="323"/>
      <c r="AP123" s="323"/>
      <c r="AR123" s="390"/>
      <c r="AS123" s="390"/>
      <c r="AT123" s="390"/>
      <c r="AU123" s="390"/>
      <c r="AV123" s="390"/>
      <c r="AW123" s="390"/>
      <c r="AX123" s="390"/>
      <c r="AZ123" s="390"/>
      <c r="BA123" s="390"/>
      <c r="BB123" s="390"/>
      <c r="BC123" s="390"/>
      <c r="BD123" s="390"/>
      <c r="BE123" s="390"/>
      <c r="BF123" s="390"/>
      <c r="BG123" s="390"/>
      <c r="BH123" s="390"/>
      <c r="BI123" s="390"/>
      <c r="BJ123" s="390"/>
      <c r="BK123" s="390"/>
      <c r="BL123" s="390"/>
      <c r="BM123" s="390"/>
      <c r="BN123" s="390"/>
      <c r="BO123" s="390"/>
      <c r="BP123" s="390"/>
      <c r="BQ123" s="390"/>
      <c r="BR123" s="390"/>
      <c r="BS123" s="390"/>
      <c r="BT123" s="390"/>
      <c r="BU123" s="390"/>
      <c r="BV123" s="390"/>
      <c r="BW123" s="390"/>
      <c r="BX123" s="390"/>
      <c r="BY123" s="390"/>
      <c r="BZ123" s="390"/>
      <c r="CA123" s="390"/>
      <c r="CB123" s="390"/>
      <c r="CC123" s="390"/>
      <c r="CD123" s="390"/>
    </row>
    <row r="124" spans="1:82" s="325" customFormat="1" ht="15.6">
      <c r="A124" s="480"/>
      <c r="B124" s="507" t="s">
        <v>162</v>
      </c>
      <c r="C124" s="507"/>
      <c r="D124" s="324"/>
      <c r="E124" s="342"/>
      <c r="F124" s="290"/>
      <c r="G124" s="79"/>
      <c r="H124" s="326"/>
      <c r="I124" s="326"/>
      <c r="J124" s="80"/>
      <c r="K124" s="290"/>
      <c r="L124" s="342"/>
      <c r="M124" s="2"/>
      <c r="N124" s="7"/>
      <c r="O124" s="7"/>
      <c r="P124" s="77"/>
      <c r="Q124" s="77"/>
      <c r="R124" s="77"/>
      <c r="S124" s="77"/>
      <c r="T124" s="77"/>
      <c r="U124" s="77"/>
      <c r="V124" s="77"/>
      <c r="W124" s="77"/>
      <c r="X124" s="77"/>
      <c r="Y124" s="77"/>
      <c r="Z124" s="2"/>
      <c r="AA124" s="304"/>
      <c r="AB124" s="7"/>
      <c r="AC124" s="13"/>
      <c r="AD124" s="13"/>
      <c r="AE124" s="13"/>
      <c r="AF124" s="13"/>
      <c r="AG124" s="13"/>
      <c r="AH124" s="13"/>
      <c r="AI124" s="13"/>
      <c r="AJ124" s="70"/>
      <c r="AK124" s="70"/>
      <c r="AL124" s="13"/>
      <c r="AM124" s="13"/>
      <c r="AN124" s="70"/>
      <c r="AO124" s="70"/>
      <c r="AP124" s="7"/>
      <c r="AQ124" s="342"/>
      <c r="AR124" s="290"/>
      <c r="AS124" s="290"/>
      <c r="AT124" s="290"/>
      <c r="AU124" s="290"/>
      <c r="AV124" s="290"/>
      <c r="AW124" s="290"/>
      <c r="AX124" s="290"/>
      <c r="AY124" s="342"/>
      <c r="AZ124" s="3"/>
      <c r="BA124" s="315"/>
      <c r="BB124" s="3"/>
      <c r="BC124" s="3"/>
      <c r="BD124" s="3"/>
      <c r="BE124" s="3"/>
      <c r="BF124" s="342"/>
      <c r="BG124" s="3"/>
      <c r="BH124" s="315"/>
      <c r="BI124" s="3"/>
      <c r="BJ124" s="3"/>
      <c r="BK124" s="3"/>
      <c r="BL124" s="3"/>
      <c r="BM124" s="342"/>
      <c r="BN124" s="3"/>
      <c r="BO124" s="315"/>
      <c r="BP124" s="3"/>
      <c r="BQ124" s="3"/>
      <c r="BR124" s="3"/>
      <c r="BS124" s="3"/>
      <c r="BT124" s="342"/>
      <c r="BU124" s="3"/>
      <c r="BV124" s="315"/>
      <c r="BW124" s="3"/>
      <c r="BX124" s="3"/>
      <c r="BY124" s="3"/>
      <c r="BZ124" s="3"/>
      <c r="CA124" s="342"/>
      <c r="CB124" s="342"/>
      <c r="CC124" s="342"/>
      <c r="CD124" s="342"/>
    </row>
    <row r="125" spans="1:82" s="325" customFormat="1" ht="15.6">
      <c r="A125" s="480"/>
      <c r="B125" s="507"/>
      <c r="C125" s="507"/>
      <c r="D125" s="324"/>
      <c r="E125" s="342"/>
      <c r="F125" s="290"/>
      <c r="G125" s="79"/>
      <c r="H125" s="326"/>
      <c r="I125" s="326"/>
      <c r="J125" s="80"/>
      <c r="K125" s="290"/>
      <c r="L125" s="342"/>
      <c r="M125" s="2"/>
      <c r="N125" s="13" t="s">
        <v>78</v>
      </c>
      <c r="O125" s="395" t="s">
        <v>79</v>
      </c>
      <c r="P125" s="395" t="s">
        <v>80</v>
      </c>
      <c r="Q125" s="77"/>
      <c r="R125" s="77"/>
      <c r="S125" s="77"/>
      <c r="T125" s="77"/>
      <c r="U125" s="13" t="s">
        <v>81</v>
      </c>
      <c r="V125" s="428" t="str">
        <f>_xlfn.CONCAT("DELIVERY COST (",BillingCountryCurrency,")")</f>
        <v>DELIVERY COST (USD)</v>
      </c>
      <c r="W125" s="428" t="str">
        <f>_xlfn.CONCAT("DELIVERY COST (",IF(ISBLANK(BusinessCurrency),"N/A",BusinessCurrency),")")</f>
        <v>DELIVERY COST (N/A)</v>
      </c>
      <c r="X125" s="77"/>
      <c r="Y125" s="77"/>
      <c r="Z125" s="2"/>
      <c r="AA125" s="304"/>
      <c r="AB125" s="7"/>
      <c r="AC125" s="13" t="s">
        <v>82</v>
      </c>
      <c r="AD125" s="428" t="str">
        <f>_xlfn.CONCAT("PRICING (",BillingCountryCurrency,")")</f>
        <v>PRICING (USD)</v>
      </c>
      <c r="AE125" s="428" t="str">
        <f>_xlfn.CONCAT("PRICING (",IF(ISBLANK(BusinessCurrency),"N/A",BusinessCurrency),")")</f>
        <v>PRICING (N/A)</v>
      </c>
      <c r="AF125" s="70" t="s">
        <v>14</v>
      </c>
      <c r="AG125" s="428" t="str">
        <f>_xlfn.CONCAT("Intercompany (",BillingCountryCurrency,")")</f>
        <v>Intercompany (USD)</v>
      </c>
      <c r="AH125" s="428" t="str">
        <f>_xlfn.CONCAT("Intercompany (",IF(ISBLANK(BusinessCurrency),"N/A",BusinessCurrency),")")</f>
        <v>Intercompany (N/A)</v>
      </c>
      <c r="AI125" s="70" t="s">
        <v>14</v>
      </c>
      <c r="AJ125" s="428" t="str">
        <f>_xlfn.CONCAT("WHT (",BillingCountryCurrency,")")</f>
        <v>WHT (USD)</v>
      </c>
      <c r="AK125" s="428" t="str">
        <f>_xlfn.CONCAT("WHT (",IF(ISBLANK(BusinessCurrency),"N/A",BusinessCurrency),")")</f>
        <v>WHT (N/A)</v>
      </c>
      <c r="AL125" s="70"/>
      <c r="AM125" s="70" t="s">
        <v>15</v>
      </c>
      <c r="AN125" s="428" t="str">
        <f>_xlfn.CONCAT("SUBTOTAL PRICE (",BillingCountryCurrency,")")</f>
        <v>SUBTOTAL PRICE (USD)</v>
      </c>
      <c r="AO125" s="428" t="str">
        <f>_xlfn.CONCAT("SUBTOTAL PRICE (",IF(ISBLANK(BusinessCurrency),"N/A",BusinessCurrency),")")</f>
        <v>SUBTOTAL PRICE (N/A)</v>
      </c>
      <c r="AP125" s="7"/>
      <c r="AQ125" s="342"/>
      <c r="AR125" s="290"/>
      <c r="AS125" s="13" t="s">
        <v>83</v>
      </c>
      <c r="AT125" s="290"/>
      <c r="AU125" s="100"/>
      <c r="AV125" s="417"/>
      <c r="AW125" s="417"/>
      <c r="AX125" s="290"/>
      <c r="AY125" s="342"/>
      <c r="AZ125" s="3"/>
      <c r="BA125" s="315"/>
      <c r="BB125" s="3"/>
      <c r="BC125" s="3"/>
      <c r="BD125" s="3"/>
      <c r="BE125" s="3"/>
      <c r="BF125" s="342"/>
      <c r="BG125" s="3"/>
      <c r="BH125" s="315"/>
      <c r="BI125" s="3"/>
      <c r="BJ125" s="3"/>
      <c r="BK125" s="3"/>
      <c r="BL125" s="3"/>
      <c r="BM125" s="342"/>
      <c r="BN125" s="3"/>
      <c r="BO125" s="315"/>
      <c r="BP125" s="3"/>
      <c r="BQ125" s="3"/>
      <c r="BR125" s="3"/>
      <c r="BS125" s="3"/>
      <c r="BT125" s="342"/>
      <c r="BU125" s="3"/>
      <c r="BV125" s="315"/>
      <c r="BW125" s="3"/>
      <c r="BX125" s="3"/>
      <c r="BY125" s="3"/>
      <c r="BZ125" s="3"/>
      <c r="CA125" s="342"/>
      <c r="CB125" s="342"/>
      <c r="CC125" s="342"/>
      <c r="CD125" s="342"/>
    </row>
    <row r="126" spans="1:82" s="325" customFormat="1" ht="15.6">
      <c r="A126" s="480"/>
      <c r="B126" s="507"/>
      <c r="C126" s="507"/>
      <c r="D126" s="324"/>
      <c r="E126" s="342"/>
      <c r="F126" s="290"/>
      <c r="G126" s="79"/>
      <c r="H126" s="326"/>
      <c r="I126" s="326"/>
      <c r="J126" s="80"/>
      <c r="K126" s="290"/>
      <c r="L126" s="342"/>
      <c r="M126" s="2"/>
      <c r="N126" s="79" t="s">
        <v>84</v>
      </c>
      <c r="O126" s="103">
        <f>SUMIF($P140:$P169,"&lt;&gt;*Project Management*",$T140:$T169)</f>
        <v>0</v>
      </c>
      <c r="P126" s="396">
        <f>IFERROR(O126/O129,0)</f>
        <v>0</v>
      </c>
      <c r="Q126" s="82"/>
      <c r="R126" s="77"/>
      <c r="S126" s="77"/>
      <c r="T126" s="77"/>
      <c r="U126" s="4" t="s">
        <v>24</v>
      </c>
      <c r="V126" s="328">
        <f>SUMIF(P140:P169,"&lt;&gt;*Project Management*",W140:W169)</f>
        <v>0</v>
      </c>
      <c r="W126" s="425" t="str">
        <f t="shared" ref="W126:W135" si="71">IFERROR(V126/BusinessCurrencyTRM,"N/A")</f>
        <v>N/A</v>
      </c>
      <c r="X126" s="7"/>
      <c r="Y126" s="7" t="s">
        <v>85</v>
      </c>
      <c r="Z126" s="2"/>
      <c r="AA126" s="304"/>
      <c r="AB126" s="7"/>
      <c r="AC126" s="4" t="s">
        <v>24</v>
      </c>
      <c r="AD126" s="329">
        <f>SUMIF(P140:P169,"&lt;&gt;*Project Management*",AD140:AD169)</f>
        <v>0</v>
      </c>
      <c r="AE126" s="425" t="str">
        <f t="shared" ref="AE126:AE135" si="72">IFERROR(AD126/BusinessCurrencyTRM,"N/A")</f>
        <v>N/A</v>
      </c>
      <c r="AF126" s="330"/>
      <c r="AG126" s="328">
        <f>SUMIF(P140:P169,"&lt;&gt;*Project Management*",AH140:AH169)</f>
        <v>0</v>
      </c>
      <c r="AH126" s="449" t="str">
        <f t="shared" ref="AH126:AH135" si="73">IFERROR(AG126/BusinessCurrencyTRM,"N/A")</f>
        <v>N/A</v>
      </c>
      <c r="AI126" s="330"/>
      <c r="AJ126" s="328">
        <f>SUMIF(P140:P169,"&lt;&gt;*Project Management*",AK140:AK169)</f>
        <v>0</v>
      </c>
      <c r="AK126" s="425" t="str">
        <f t="shared" ref="AK126:AK135" si="74">IFERROR(AJ126/BusinessCurrencyTRM,"N/A")</f>
        <v>N/A</v>
      </c>
      <c r="AL126" s="330"/>
      <c r="AM126" s="330"/>
      <c r="AN126" s="329">
        <f>SUM(AD126,AG126,AJ126)</f>
        <v>0</v>
      </c>
      <c r="AO126" s="425" t="str">
        <f t="shared" ref="AO126:AO135" si="75">IFERROR(AN126/BusinessCurrencyTRM,"N/A")</f>
        <v>N/A</v>
      </c>
      <c r="AP126" s="7"/>
      <c r="AQ126" s="342"/>
      <c r="AR126" s="290"/>
      <c r="AS126" s="402" t="s">
        <v>86</v>
      </c>
      <c r="AT126" s="290"/>
      <c r="AU126" s="81"/>
      <c r="AV126" s="508">
        <v>0.35</v>
      </c>
      <c r="AW126" s="508"/>
      <c r="AX126" s="290"/>
      <c r="AY126" s="342"/>
      <c r="AZ126" s="3"/>
      <c r="BA126" s="315"/>
      <c r="BB126" s="3"/>
      <c r="BC126" s="3"/>
      <c r="BD126" s="3"/>
      <c r="BE126" s="3"/>
      <c r="BF126" s="342"/>
      <c r="BG126" s="3"/>
      <c r="BH126" s="315"/>
      <c r="BI126" s="3"/>
      <c r="BJ126" s="3"/>
      <c r="BK126" s="3"/>
      <c r="BL126" s="3"/>
      <c r="BM126" s="342"/>
      <c r="BN126" s="3"/>
      <c r="BO126" s="315"/>
      <c r="BP126" s="3"/>
      <c r="BQ126" s="3"/>
      <c r="BR126" s="3"/>
      <c r="BS126" s="3"/>
      <c r="BT126" s="342"/>
      <c r="BU126" s="3"/>
      <c r="BV126" s="315"/>
      <c r="BW126" s="3"/>
      <c r="BX126" s="3"/>
      <c r="BY126" s="3"/>
      <c r="BZ126" s="3"/>
      <c r="CA126" s="342"/>
      <c r="CB126" s="342"/>
      <c r="CC126" s="342"/>
      <c r="CD126" s="342"/>
    </row>
    <row r="127" spans="1:82" s="325" customFormat="1" ht="16.149999999999999" thickBot="1">
      <c r="A127" s="480"/>
      <c r="B127" s="507"/>
      <c r="C127" s="507"/>
      <c r="D127" s="324"/>
      <c r="E127" s="342"/>
      <c r="F127" s="290"/>
      <c r="G127" s="79"/>
      <c r="H127" s="326"/>
      <c r="I127" s="326"/>
      <c r="J127" s="80"/>
      <c r="K127" s="290"/>
      <c r="L127" s="342"/>
      <c r="M127" s="2"/>
      <c r="N127" s="79" t="s">
        <v>87</v>
      </c>
      <c r="O127" s="103">
        <f>SUMIF($P140:$P169,"=*Project Management*",$T140:T169)</f>
        <v>0</v>
      </c>
      <c r="P127" s="396">
        <f>IFERROR(O127/O129,0)</f>
        <v>0</v>
      </c>
      <c r="Q127" s="82"/>
      <c r="R127" s="77"/>
      <c r="S127" s="77"/>
      <c r="T127" s="77"/>
      <c r="U127" s="4" t="s">
        <v>30</v>
      </c>
      <c r="V127" s="328">
        <f>SUMIF(P140:P169,"=*Project Management*",W140:W169)</f>
        <v>0</v>
      </c>
      <c r="W127" s="425" t="str">
        <f t="shared" si="71"/>
        <v>N/A</v>
      </c>
      <c r="X127" s="7"/>
      <c r="Y127" s="7" t="s">
        <v>88</v>
      </c>
      <c r="Z127" s="2"/>
      <c r="AA127" s="304"/>
      <c r="AB127" s="7"/>
      <c r="AC127" s="4" t="s">
        <v>30</v>
      </c>
      <c r="AD127" s="329">
        <f>SUMIF(P140:P169,"=*Project Management*",AD140:AD169)</f>
        <v>0</v>
      </c>
      <c r="AE127" s="425" t="str">
        <f t="shared" si="72"/>
        <v>N/A</v>
      </c>
      <c r="AF127" s="330"/>
      <c r="AG127" s="328">
        <f>SUMIF(P140:P169,"=*Project Management*",AH140:AH169)</f>
        <v>0</v>
      </c>
      <c r="AH127" s="447" t="str">
        <f t="shared" si="73"/>
        <v>N/A</v>
      </c>
      <c r="AI127" s="330"/>
      <c r="AJ127" s="448">
        <f>SUMIF(P140:P169,"=*Project Management*",AK140:AK169)</f>
        <v>0</v>
      </c>
      <c r="AK127" s="425" t="str">
        <f t="shared" si="74"/>
        <v>N/A</v>
      </c>
      <c r="AL127" s="330"/>
      <c r="AM127" s="330"/>
      <c r="AN127" s="329">
        <f t="shared" ref="AN127:AN135" si="76">SUM(AD127,AG127,AJ127)</f>
        <v>0</v>
      </c>
      <c r="AO127" s="425" t="str">
        <f t="shared" si="75"/>
        <v>N/A</v>
      </c>
      <c r="AP127" s="7"/>
      <c r="AQ127" s="342"/>
      <c r="AR127" s="290"/>
      <c r="AS127" s="402" t="s">
        <v>89</v>
      </c>
      <c r="AT127" s="290"/>
      <c r="AU127" s="81"/>
      <c r="AV127" s="509">
        <f>IFERROR(1-AV129/AV130,0)</f>
        <v>0</v>
      </c>
      <c r="AW127" s="509"/>
      <c r="AX127" s="290"/>
      <c r="AY127" s="342"/>
      <c r="AZ127" s="3"/>
      <c r="BA127" s="315"/>
      <c r="BB127" s="3"/>
      <c r="BC127" s="3"/>
      <c r="BD127" s="3"/>
      <c r="BE127" s="3"/>
      <c r="BF127" s="342"/>
      <c r="BG127" s="3"/>
      <c r="BH127" s="315"/>
      <c r="BI127" s="3"/>
      <c r="BJ127" s="3"/>
      <c r="BK127" s="3"/>
      <c r="BL127" s="3"/>
      <c r="BM127" s="342"/>
      <c r="BN127" s="3"/>
      <c r="BO127" s="315"/>
      <c r="BP127" s="3"/>
      <c r="BQ127" s="3"/>
      <c r="BR127" s="3"/>
      <c r="BS127" s="3"/>
      <c r="BT127" s="342"/>
      <c r="BU127" s="3"/>
      <c r="BV127" s="315"/>
      <c r="BW127" s="3"/>
      <c r="BX127" s="3"/>
      <c r="BY127" s="3"/>
      <c r="BZ127" s="3"/>
      <c r="CA127" s="342"/>
      <c r="CB127" s="342"/>
      <c r="CC127" s="342"/>
      <c r="CD127" s="342"/>
    </row>
    <row r="128" spans="1:82" s="325" customFormat="1" ht="16.899999999999999" thickTop="1" thickBot="1">
      <c r="A128" s="480"/>
      <c r="B128" s="507"/>
      <c r="C128" s="507"/>
      <c r="D128" s="324"/>
      <c r="E128" s="342"/>
      <c r="F128" s="290"/>
      <c r="G128" s="79"/>
      <c r="H128" s="326"/>
      <c r="I128" s="326"/>
      <c r="J128" s="80"/>
      <c r="K128" s="290"/>
      <c r="L128" s="342"/>
      <c r="M128" s="2"/>
      <c r="N128" s="79" t="s">
        <v>90</v>
      </c>
      <c r="O128" s="103">
        <f>IF(Approach="Team-Based",SUM(O126:O127)*$O131,$J138-$G138)</f>
        <v>0</v>
      </c>
      <c r="P128" s="396">
        <f>IFERROR(O128/O129,0)</f>
        <v>0</v>
      </c>
      <c r="Q128" s="77"/>
      <c r="R128" s="77"/>
      <c r="S128" s="77"/>
      <c r="T128" s="77"/>
      <c r="U128" s="13" t="s">
        <v>35</v>
      </c>
      <c r="V128" s="84">
        <f>SUM(V126:V127)</f>
        <v>0</v>
      </c>
      <c r="W128" s="426" t="str">
        <f t="shared" si="71"/>
        <v>N/A</v>
      </c>
      <c r="X128" s="77"/>
      <c r="Y128" s="77"/>
      <c r="Z128" s="2"/>
      <c r="AA128" s="304"/>
      <c r="AB128" s="7"/>
      <c r="AC128" s="13" t="s">
        <v>35</v>
      </c>
      <c r="AD128" s="84">
        <f>SUM(AD126:AD127)</f>
        <v>0</v>
      </c>
      <c r="AE128" s="426" t="str">
        <f t="shared" si="72"/>
        <v>N/A</v>
      </c>
      <c r="AF128" s="330"/>
      <c r="AG128" s="84">
        <f>SUM(AG126:AG127)</f>
        <v>0</v>
      </c>
      <c r="AH128" s="450" t="str">
        <f t="shared" si="73"/>
        <v>N/A</v>
      </c>
      <c r="AI128" s="330"/>
      <c r="AJ128" s="84">
        <f>SUM(AJ126:AJ127)</f>
        <v>0</v>
      </c>
      <c r="AK128" s="426" t="str">
        <f t="shared" si="74"/>
        <v>N/A</v>
      </c>
      <c r="AL128" s="330"/>
      <c r="AM128" s="330"/>
      <c r="AN128" s="84">
        <f t="shared" si="76"/>
        <v>0</v>
      </c>
      <c r="AO128" s="426" t="str">
        <f t="shared" si="75"/>
        <v>N/A</v>
      </c>
      <c r="AP128" s="7"/>
      <c r="AQ128" s="342"/>
      <c r="AR128" s="290"/>
      <c r="AS128" s="81"/>
      <c r="AT128" s="81"/>
      <c r="AU128" s="81"/>
      <c r="AV128" s="417" t="str">
        <f>BillingCountryCurrency</f>
        <v>USD</v>
      </c>
      <c r="AW128" s="417" t="str">
        <f>IF(ISBLANK(BusinessCurrency),"N/A",BusinessCurrency)</f>
        <v>N/A</v>
      </c>
      <c r="AX128" s="290"/>
      <c r="AY128" s="342"/>
      <c r="AZ128" s="3"/>
      <c r="BA128" s="315"/>
      <c r="BB128" s="3"/>
      <c r="BC128" s="3"/>
      <c r="BD128" s="3"/>
      <c r="BE128" s="3"/>
      <c r="BF128" s="342"/>
      <c r="BG128" s="3"/>
      <c r="BH128" s="315"/>
      <c r="BI128" s="3"/>
      <c r="BJ128" s="3"/>
      <c r="BK128" s="3"/>
      <c r="BL128" s="3"/>
      <c r="BM128" s="342"/>
      <c r="BN128" s="3"/>
      <c r="BO128" s="315"/>
      <c r="BP128" s="3"/>
      <c r="BQ128" s="3"/>
      <c r="BR128" s="3"/>
      <c r="BS128" s="3"/>
      <c r="BT128" s="342"/>
      <c r="BU128" s="3"/>
      <c r="BV128" s="315"/>
      <c r="BW128" s="3"/>
      <c r="BX128" s="3"/>
      <c r="BY128" s="3"/>
      <c r="BZ128" s="3"/>
      <c r="CA128" s="342"/>
      <c r="CB128" s="342"/>
      <c r="CC128" s="342"/>
      <c r="CD128" s="342"/>
    </row>
    <row r="129" spans="1:82" s="325" customFormat="1" ht="16.149999999999999" thickTop="1">
      <c r="A129" s="480"/>
      <c r="B129" s="507"/>
      <c r="C129" s="507"/>
      <c r="D129" s="324"/>
      <c r="E129" s="342"/>
      <c r="F129" s="290"/>
      <c r="G129" s="79"/>
      <c r="H129" s="326"/>
      <c r="I129" s="326"/>
      <c r="J129" s="80"/>
      <c r="K129" s="290"/>
      <c r="L129" s="342"/>
      <c r="M129" s="2"/>
      <c r="N129" s="83" t="s">
        <v>91</v>
      </c>
      <c r="O129" s="102">
        <f>SUM(O126:O128)</f>
        <v>0</v>
      </c>
      <c r="P129" s="397">
        <f>SUM(P126:P128)</f>
        <v>0</v>
      </c>
      <c r="Q129" s="77"/>
      <c r="R129" s="77"/>
      <c r="S129" s="77"/>
      <c r="T129" s="77"/>
      <c r="U129" s="4" t="s">
        <v>47</v>
      </c>
      <c r="V129" s="328">
        <f>ROUNDUP(V128*O131,2)</f>
        <v>0</v>
      </c>
      <c r="W129" s="425" t="str">
        <f t="shared" si="71"/>
        <v>N/A</v>
      </c>
      <c r="X129" s="7"/>
      <c r="Y129" s="7" t="s">
        <v>92</v>
      </c>
      <c r="Z129" s="2"/>
      <c r="AA129" s="304"/>
      <c r="AB129" s="7"/>
      <c r="AC129" s="4" t="s">
        <v>47</v>
      </c>
      <c r="AD129" s="328">
        <f>ROUNDUP(V129/(1-$AV$126),2)</f>
        <v>0</v>
      </c>
      <c r="AE129" s="425" t="str">
        <f t="shared" si="72"/>
        <v>N/A</v>
      </c>
      <c r="AF129" s="330"/>
      <c r="AG129" s="328">
        <f>IFERROR(V129*MAX(AG140:AG169),0)</f>
        <v>0</v>
      </c>
      <c r="AH129" s="449" t="str">
        <f t="shared" si="73"/>
        <v>N/A</v>
      </c>
      <c r="AI129" s="330"/>
      <c r="AJ129" s="328">
        <f>IFERROR(SUM(V129,AG129)*MAX(AJ140:AJ169),0)</f>
        <v>0</v>
      </c>
      <c r="AK129" s="425" t="str">
        <f t="shared" si="74"/>
        <v>N/A</v>
      </c>
      <c r="AL129" s="330"/>
      <c r="AM129" s="330"/>
      <c r="AN129" s="329">
        <f t="shared" si="76"/>
        <v>0</v>
      </c>
      <c r="AO129" s="425" t="str">
        <f t="shared" si="75"/>
        <v>N/A</v>
      </c>
      <c r="AP129" s="7"/>
      <c r="AQ129" s="342"/>
      <c r="AR129" s="290"/>
      <c r="AS129" s="402" t="s">
        <v>93</v>
      </c>
      <c r="AT129" s="290"/>
      <c r="AU129" s="81"/>
      <c r="AV129" s="298">
        <f>SUM(V135,AG135,AJ135)</f>
        <v>0</v>
      </c>
      <c r="AW129" s="418" t="str">
        <f>IFERROR(AV129/BusinessCurrencyTRM,"N/A")</f>
        <v>N/A</v>
      </c>
      <c r="AX129" s="290"/>
      <c r="AY129" s="342"/>
      <c r="AZ129" s="3"/>
      <c r="BA129" s="315"/>
      <c r="BB129" s="3"/>
      <c r="BC129" s="3"/>
      <c r="BD129" s="3"/>
      <c r="BE129" s="3"/>
      <c r="BF129" s="342"/>
      <c r="BG129" s="3"/>
      <c r="BH129" s="315"/>
      <c r="BI129" s="3"/>
      <c r="BJ129" s="3"/>
      <c r="BK129" s="3"/>
      <c r="BL129" s="3"/>
      <c r="BM129" s="342"/>
      <c r="BN129" s="3"/>
      <c r="BO129" s="315"/>
      <c r="BP129" s="3"/>
      <c r="BQ129" s="3"/>
      <c r="BR129" s="3"/>
      <c r="BS129" s="3"/>
      <c r="BT129" s="342"/>
      <c r="BU129" s="3"/>
      <c r="BV129" s="315"/>
      <c r="BW129" s="3"/>
      <c r="BX129" s="3"/>
      <c r="BY129" s="3"/>
      <c r="BZ129" s="3"/>
      <c r="CA129" s="342"/>
      <c r="CB129" s="342"/>
      <c r="CC129" s="342"/>
      <c r="CD129" s="342"/>
    </row>
    <row r="130" spans="1:82" s="325" customFormat="1" ht="15.6">
      <c r="A130" s="480"/>
      <c r="B130" s="507"/>
      <c r="C130" s="507"/>
      <c r="D130" s="324"/>
      <c r="E130" s="342"/>
      <c r="F130" s="290"/>
      <c r="G130" s="79"/>
      <c r="H130" s="326"/>
      <c r="I130" s="326"/>
      <c r="J130" s="80"/>
      <c r="K130" s="290"/>
      <c r="L130" s="342"/>
      <c r="M130" s="2"/>
      <c r="N130" s="2"/>
      <c r="O130" s="2"/>
      <c r="P130" s="32"/>
      <c r="Q130" s="77"/>
      <c r="R130" s="77"/>
      <c r="S130" s="77"/>
      <c r="T130" s="77"/>
      <c r="U130" s="4" t="s">
        <v>50</v>
      </c>
      <c r="V130" s="328">
        <f>IFERROR(SUMIF(PayRise!A:A,B124,PayRise!J:J),0)</f>
        <v>0</v>
      </c>
      <c r="W130" s="425" t="str">
        <f t="shared" si="71"/>
        <v>N/A</v>
      </c>
      <c r="X130" s="7"/>
      <c r="Y130" s="7" t="s">
        <v>94</v>
      </c>
      <c r="Z130" s="2"/>
      <c r="AA130" s="304"/>
      <c r="AB130" s="7"/>
      <c r="AC130" s="4" t="s">
        <v>50</v>
      </c>
      <c r="AD130" s="328">
        <f>IFERROR(SUMIF(PayRise!A:A,B124,PayRise!K:K),0)</f>
        <v>0</v>
      </c>
      <c r="AE130" s="425" t="str">
        <f t="shared" si="72"/>
        <v>N/A</v>
      </c>
      <c r="AF130" s="330"/>
      <c r="AG130" s="328">
        <f>IFERROR(SUMIF(PayRise!A:A,B124,PayRise!L:L),0)</f>
        <v>0</v>
      </c>
      <c r="AH130" s="445" t="str">
        <f t="shared" si="73"/>
        <v>N/A</v>
      </c>
      <c r="AI130" s="330"/>
      <c r="AJ130" s="446">
        <f>IFERROR(SUMIF(PayRise!A:A,B124,PayRise!M:M),0)</f>
        <v>0</v>
      </c>
      <c r="AK130" s="425" t="str">
        <f t="shared" si="74"/>
        <v>N/A</v>
      </c>
      <c r="AL130" s="330"/>
      <c r="AM130" s="330"/>
      <c r="AN130" s="329">
        <f t="shared" si="76"/>
        <v>0</v>
      </c>
      <c r="AO130" s="425" t="str">
        <f t="shared" si="75"/>
        <v>N/A</v>
      </c>
      <c r="AP130" s="7"/>
      <c r="AQ130" s="342"/>
      <c r="AR130" s="290"/>
      <c r="AS130" s="402" t="s">
        <v>95</v>
      </c>
      <c r="AT130" s="290"/>
      <c r="AU130" s="100"/>
      <c r="AV130" s="298">
        <f>AN135</f>
        <v>0</v>
      </c>
      <c r="AW130" s="418" t="str">
        <f>IFERROR(AV130/BusinessCurrencyTRM,"N/A")</f>
        <v>N/A</v>
      </c>
      <c r="AX130" s="290"/>
      <c r="AY130" s="342"/>
      <c r="AZ130" s="3"/>
      <c r="BA130" s="315"/>
      <c r="BB130" s="3"/>
      <c r="BC130" s="3"/>
      <c r="BD130" s="3"/>
      <c r="BE130" s="3"/>
      <c r="BF130" s="342"/>
      <c r="BG130" s="3"/>
      <c r="BH130" s="315"/>
      <c r="BI130" s="3"/>
      <c r="BJ130" s="3"/>
      <c r="BK130" s="3"/>
      <c r="BL130" s="3"/>
      <c r="BM130" s="342"/>
      <c r="BN130" s="3"/>
      <c r="BO130" s="315"/>
      <c r="BP130" s="3"/>
      <c r="BQ130" s="3"/>
      <c r="BR130" s="3"/>
      <c r="BS130" s="3"/>
      <c r="BT130" s="342"/>
      <c r="BU130" s="3"/>
      <c r="BV130" s="315"/>
      <c r="BW130" s="3"/>
      <c r="BX130" s="3"/>
      <c r="BY130" s="3"/>
      <c r="BZ130" s="3"/>
      <c r="CA130" s="342"/>
      <c r="CB130" s="342"/>
      <c r="CC130" s="342"/>
      <c r="CD130" s="342"/>
    </row>
    <row r="131" spans="1:82" s="325" customFormat="1" ht="15.6">
      <c r="A131" s="480"/>
      <c r="B131" s="507"/>
      <c r="C131" s="507"/>
      <c r="D131" s="324"/>
      <c r="E131" s="342"/>
      <c r="F131" s="290"/>
      <c r="G131" s="79"/>
      <c r="H131" s="326"/>
      <c r="I131" s="326"/>
      <c r="J131" s="80"/>
      <c r="K131" s="290"/>
      <c r="L131" s="342"/>
      <c r="M131" s="2"/>
      <c r="N131" s="13" t="str">
        <f>IF(Approach="By Hours", "N/A for ByHours", "% Risks")</f>
        <v>N/A for ByHours</v>
      </c>
      <c r="O131" s="331">
        <v>0</v>
      </c>
      <c r="P131" s="32"/>
      <c r="Q131" s="77"/>
      <c r="R131" s="77"/>
      <c r="S131" s="309"/>
      <c r="T131" s="309"/>
      <c r="U131" s="4" t="s">
        <v>55</v>
      </c>
      <c r="V131" s="328">
        <f>IFERROR(SUMIFS(OtherCosts!Q:Q,OtherCosts!A:A,B124,OtherCosts!B:B,"Hardware/Software"),0)</f>
        <v>0</v>
      </c>
      <c r="W131" s="425" t="str">
        <f t="shared" si="71"/>
        <v>N/A</v>
      </c>
      <c r="X131" s="7"/>
      <c r="Y131" s="7" t="s">
        <v>96</v>
      </c>
      <c r="Z131" s="2"/>
      <c r="AA131" s="304"/>
      <c r="AB131" s="7"/>
      <c r="AC131" s="4" t="s">
        <v>55</v>
      </c>
      <c r="AD131" s="328">
        <f>IFERROR(SUMIFS(OtherCosts!R:R,OtherCosts!A:A,B124,OtherCosts!B:B,"Hardware/Software"),0)</f>
        <v>0</v>
      </c>
      <c r="AE131" s="425" t="str">
        <f t="shared" si="72"/>
        <v>N/A</v>
      </c>
      <c r="AF131" s="330"/>
      <c r="AG131" s="328">
        <f>IFERROR(SUMIFS(OtherCosts!S:S,OtherCosts!A:A,B124,OtherCosts!B:B,"Hardware/Software"),0)</f>
        <v>0</v>
      </c>
      <c r="AH131" s="445" t="str">
        <f t="shared" si="73"/>
        <v>N/A</v>
      </c>
      <c r="AI131" s="330"/>
      <c r="AJ131" s="446">
        <f>IFERROR(SUMIFS(OtherCosts!T:T,OtherCosts!A:A,B124,OtherCosts!B:B,"Hardware/Software"),0)</f>
        <v>0</v>
      </c>
      <c r="AK131" s="425" t="str">
        <f t="shared" si="74"/>
        <v>N/A</v>
      </c>
      <c r="AL131" s="330"/>
      <c r="AM131" s="330"/>
      <c r="AN131" s="329">
        <f t="shared" si="76"/>
        <v>0</v>
      </c>
      <c r="AO131" s="425" t="str">
        <f t="shared" si="75"/>
        <v>N/A</v>
      </c>
      <c r="AP131" s="7"/>
      <c r="AQ131" s="342"/>
      <c r="AR131" s="290"/>
      <c r="AS131" s="402" t="s">
        <v>97</v>
      </c>
      <c r="AT131" s="290"/>
      <c r="AU131" s="100"/>
      <c r="AV131" s="298">
        <f>IFERROR(IF(O132&lt;1,AN135,AN135/O132),0)</f>
        <v>0</v>
      </c>
      <c r="AW131" s="418" t="str">
        <f>IFERROR(AV131/BusinessCurrencyTRM,"N/A")</f>
        <v>N/A</v>
      </c>
      <c r="AX131" s="290"/>
      <c r="AY131" s="342"/>
      <c r="AZ131" s="3"/>
      <c r="BA131" s="315"/>
      <c r="BB131" s="3"/>
      <c r="BC131" s="3"/>
      <c r="BD131" s="3"/>
      <c r="BE131" s="3"/>
      <c r="BF131" s="342"/>
      <c r="BG131" s="3"/>
      <c r="BH131" s="315"/>
      <c r="BI131" s="3"/>
      <c r="BJ131" s="3"/>
      <c r="BK131" s="3"/>
      <c r="BL131" s="3"/>
      <c r="BM131" s="342"/>
      <c r="BN131" s="3"/>
      <c r="BO131" s="315"/>
      <c r="BP131" s="3"/>
      <c r="BQ131" s="3"/>
      <c r="BR131" s="3"/>
      <c r="BS131" s="3"/>
      <c r="BT131" s="342"/>
      <c r="BU131" s="3"/>
      <c r="BV131" s="315"/>
      <c r="BW131" s="3"/>
      <c r="BX131" s="3"/>
      <c r="BY131" s="3"/>
      <c r="BZ131" s="3"/>
      <c r="CA131" s="342"/>
      <c r="CB131" s="342"/>
      <c r="CC131" s="342"/>
      <c r="CD131" s="342"/>
    </row>
    <row r="132" spans="1:82" s="325" customFormat="1" ht="15.6">
      <c r="A132" s="480"/>
      <c r="B132" s="507"/>
      <c r="C132" s="507"/>
      <c r="D132" s="324"/>
      <c r="E132" s="342"/>
      <c r="F132" s="290"/>
      <c r="G132" s="79"/>
      <c r="H132" s="326"/>
      <c r="I132" s="326"/>
      <c r="J132" s="80"/>
      <c r="K132" s="290"/>
      <c r="L132" s="342"/>
      <c r="M132" s="2"/>
      <c r="N132" s="13" t="str">
        <f>IF(Approach="By Hours", "N/A for ByHours", "Duration (Months) *")</f>
        <v>N/A for ByHours</v>
      </c>
      <c r="O132" s="332">
        <v>0</v>
      </c>
      <c r="P132" s="32"/>
      <c r="Q132" s="77"/>
      <c r="R132" s="77"/>
      <c r="S132" s="309"/>
      <c r="T132" s="309"/>
      <c r="U132" s="4" t="s">
        <v>58</v>
      </c>
      <c r="V132" s="328">
        <f>IFERROR(SUMIFS(OtherCosts!Q:Q,OtherCosts!A:A,B124,OtherCosts!B:B,"Vendor"),0)</f>
        <v>0</v>
      </c>
      <c r="W132" s="425" t="str">
        <f t="shared" si="71"/>
        <v>N/A</v>
      </c>
      <c r="X132" s="7"/>
      <c r="Y132" s="7" t="s">
        <v>98</v>
      </c>
      <c r="Z132" s="2"/>
      <c r="AA132" s="304"/>
      <c r="AB132" s="7"/>
      <c r="AC132" s="4" t="s">
        <v>58</v>
      </c>
      <c r="AD132" s="328">
        <f>IFERROR(SUMIFS(OtherCosts!R:R,OtherCosts!A:A,B124,OtherCosts!B:B,"Vendor"),0)</f>
        <v>0</v>
      </c>
      <c r="AE132" s="425" t="str">
        <f t="shared" si="72"/>
        <v>N/A</v>
      </c>
      <c r="AF132" s="330"/>
      <c r="AG132" s="328">
        <f>IFERROR(SUMIFS(OtherCosts!S:S,OtherCosts!A:A,B124,OtherCosts!B:B,"Vendor"),0)</f>
        <v>0</v>
      </c>
      <c r="AH132" s="445" t="str">
        <f t="shared" si="73"/>
        <v>N/A</v>
      </c>
      <c r="AI132" s="330"/>
      <c r="AJ132" s="446">
        <f>IFERROR(SUMIFS(OtherCosts!T:T,OtherCosts!A:A,B124,OtherCosts!B:B,"Vendor"),0)</f>
        <v>0</v>
      </c>
      <c r="AK132" s="425" t="str">
        <f t="shared" si="74"/>
        <v>N/A</v>
      </c>
      <c r="AL132" s="330"/>
      <c r="AM132" s="330"/>
      <c r="AN132" s="329">
        <f t="shared" si="76"/>
        <v>0</v>
      </c>
      <c r="AO132" s="425" t="str">
        <f t="shared" si="75"/>
        <v>N/A</v>
      </c>
      <c r="AP132" s="7"/>
      <c r="AQ132" s="342"/>
      <c r="AR132" s="290"/>
      <c r="AS132" s="402" t="s">
        <v>99</v>
      </c>
      <c r="AT132" s="290"/>
      <c r="AU132" s="100"/>
      <c r="AV132" s="298">
        <f>IFERROR(AN135/T138,0)</f>
        <v>0</v>
      </c>
      <c r="AW132" s="418" t="str">
        <f>IFERROR(AV132/BusinessCurrencyTRM,"N/A")</f>
        <v>N/A</v>
      </c>
      <c r="AX132" s="290"/>
      <c r="AY132" s="342"/>
      <c r="AZ132" s="3"/>
      <c r="BA132" s="315"/>
      <c r="BB132" s="3"/>
      <c r="BC132" s="3"/>
      <c r="BD132" s="3"/>
      <c r="BE132" s="3"/>
      <c r="BF132" s="342"/>
      <c r="BG132" s="3"/>
      <c r="BH132" s="315"/>
      <c r="BI132" s="3"/>
      <c r="BJ132" s="3"/>
      <c r="BK132" s="3"/>
      <c r="BL132" s="3"/>
      <c r="BM132" s="342"/>
      <c r="BN132" s="3"/>
      <c r="BO132" s="315"/>
      <c r="BP132" s="3"/>
      <c r="BQ132" s="3"/>
      <c r="BR132" s="3"/>
      <c r="BS132" s="3"/>
      <c r="BT132" s="342"/>
      <c r="BU132" s="3"/>
      <c r="BV132" s="315"/>
      <c r="BW132" s="3"/>
      <c r="BX132" s="3"/>
      <c r="BY132" s="3"/>
      <c r="BZ132" s="3"/>
      <c r="CA132" s="342"/>
      <c r="CB132" s="342"/>
      <c r="CC132" s="342"/>
      <c r="CD132" s="342"/>
    </row>
    <row r="133" spans="1:82" s="325" customFormat="1" ht="15.6">
      <c r="A133" s="480"/>
      <c r="B133" s="507"/>
      <c r="C133" s="507"/>
      <c r="D133" s="324"/>
      <c r="E133" s="342"/>
      <c r="F133" s="290"/>
      <c r="G133" s="79"/>
      <c r="H133" s="326"/>
      <c r="I133" s="326"/>
      <c r="J133" s="80"/>
      <c r="K133" s="290"/>
      <c r="L133" s="342"/>
      <c r="M133" s="2"/>
      <c r="N133" s="83"/>
      <c r="O133" s="333"/>
      <c r="P133" s="32"/>
      <c r="Q133" s="77"/>
      <c r="R133" s="77"/>
      <c r="S133" s="309"/>
      <c r="T133" s="309"/>
      <c r="U133" s="4" t="s">
        <v>61</v>
      </c>
      <c r="V133" s="328">
        <f>IFERROR(SUMIFS(OtherCosts!Q:Q,OtherCosts!A:A,B124,OtherCosts!B:B,"Insurance"),0)</f>
        <v>0</v>
      </c>
      <c r="W133" s="425" t="str">
        <f t="shared" si="71"/>
        <v>N/A</v>
      </c>
      <c r="X133" s="7"/>
      <c r="Y133" s="7" t="s">
        <v>100</v>
      </c>
      <c r="Z133" s="2"/>
      <c r="AA133" s="304"/>
      <c r="AB133" s="7"/>
      <c r="AC133" s="4" t="s">
        <v>61</v>
      </c>
      <c r="AD133" s="328">
        <f>IFERROR(SUMIFS(OtherCosts!R:R,OtherCosts!A:A,B124,OtherCosts!B:B,"Insurance"),0)</f>
        <v>0</v>
      </c>
      <c r="AE133" s="425" t="str">
        <f t="shared" si="72"/>
        <v>N/A</v>
      </c>
      <c r="AF133" s="330"/>
      <c r="AG133" s="328">
        <f>IFERROR(SUMIFS(OtherCosts!S:S,OtherCosts!A:A,B124,OtherCosts!B:B,"Insurance"),0)</f>
        <v>0</v>
      </c>
      <c r="AH133" s="445" t="str">
        <f t="shared" si="73"/>
        <v>N/A</v>
      </c>
      <c r="AI133" s="330"/>
      <c r="AJ133" s="446">
        <f>IFERROR(SUMIFS(OtherCosts!T:T,OtherCosts!A:A,B124,OtherCosts!B:B,"Insurance"),0)</f>
        <v>0</v>
      </c>
      <c r="AK133" s="425" t="str">
        <f t="shared" si="74"/>
        <v>N/A</v>
      </c>
      <c r="AL133" s="330"/>
      <c r="AM133" s="330"/>
      <c r="AN133" s="329">
        <f t="shared" si="76"/>
        <v>0</v>
      </c>
      <c r="AO133" s="425" t="str">
        <f t="shared" si="75"/>
        <v>N/A</v>
      </c>
      <c r="AP133" s="7"/>
      <c r="AQ133" s="342"/>
      <c r="AR133" s="290"/>
      <c r="AS133" s="290"/>
      <c r="AT133" s="81"/>
      <c r="AU133" s="81"/>
      <c r="AV133" s="81"/>
      <c r="AW133" s="81"/>
      <c r="AX133" s="290"/>
      <c r="AY133" s="342"/>
      <c r="AZ133" s="3"/>
      <c r="BA133" s="315"/>
      <c r="BB133" s="3"/>
      <c r="BC133" s="3"/>
      <c r="BD133" s="3"/>
      <c r="BE133" s="3"/>
      <c r="BF133" s="342"/>
      <c r="BG133" s="3"/>
      <c r="BH133" s="315"/>
      <c r="BI133" s="3"/>
      <c r="BJ133" s="3"/>
      <c r="BK133" s="3"/>
      <c r="BL133" s="3"/>
      <c r="BM133" s="342"/>
      <c r="BN133" s="3"/>
      <c r="BO133" s="315"/>
      <c r="BP133" s="3"/>
      <c r="BQ133" s="3"/>
      <c r="BR133" s="3"/>
      <c r="BS133" s="3"/>
      <c r="BT133" s="342"/>
      <c r="BU133" s="3"/>
      <c r="BV133" s="315"/>
      <c r="BW133" s="3"/>
      <c r="BX133" s="3"/>
      <c r="BY133" s="3"/>
      <c r="BZ133" s="3"/>
      <c r="CA133" s="342"/>
      <c r="CB133" s="342"/>
      <c r="CC133" s="342"/>
      <c r="CD133" s="342"/>
    </row>
    <row r="134" spans="1:82" s="325" customFormat="1" ht="16.149999999999999" thickBot="1">
      <c r="A134" s="480"/>
      <c r="B134" s="507"/>
      <c r="C134" s="507"/>
      <c r="D134" s="324"/>
      <c r="E134" s="342"/>
      <c r="F134" s="290"/>
      <c r="G134" s="79"/>
      <c r="H134" s="326"/>
      <c r="I134" s="326"/>
      <c r="J134" s="80"/>
      <c r="K134" s="290"/>
      <c r="L134" s="342"/>
      <c r="M134" s="7"/>
      <c r="N134" s="83"/>
      <c r="O134" s="333"/>
      <c r="P134" s="32"/>
      <c r="Q134" s="77"/>
      <c r="R134" s="77"/>
      <c r="S134" s="309"/>
      <c r="T134" s="309"/>
      <c r="U134" s="4" t="s">
        <v>64</v>
      </c>
      <c r="V134" s="328">
        <f>IFERROR(SUMIFS(OtherCosts!Q:Q,OtherCosts!A:A,B124,OtherCosts!B:B,"Other"),0)</f>
        <v>0</v>
      </c>
      <c r="W134" s="425" t="str">
        <f t="shared" si="71"/>
        <v>N/A</v>
      </c>
      <c r="X134" s="7"/>
      <c r="Y134" s="7" t="s">
        <v>101</v>
      </c>
      <c r="Z134" s="82"/>
      <c r="AA134" s="334"/>
      <c r="AB134" s="13"/>
      <c r="AC134" s="4" t="s">
        <v>64</v>
      </c>
      <c r="AD134" s="328">
        <f>IFERROR(SUMIFS(OtherCosts!R:R,OtherCosts!A:A,B124,OtherCosts!B:B,"Other"),0)</f>
        <v>0</v>
      </c>
      <c r="AE134" s="425" t="str">
        <f t="shared" si="72"/>
        <v>N/A</v>
      </c>
      <c r="AF134" s="83"/>
      <c r="AG134" s="328">
        <f>IFERROR(SUMIFS(OtherCosts!S:S,OtherCosts!A:A,B124,OtherCosts!B:B,"Other"),0)</f>
        <v>0</v>
      </c>
      <c r="AH134" s="447" t="str">
        <f t="shared" si="73"/>
        <v>N/A</v>
      </c>
      <c r="AI134" s="83"/>
      <c r="AJ134" s="448">
        <f>IFERROR(SUMIFS(OtherCosts!T:T,OtherCosts!A:A,B124,OtherCosts!B:B,"Other"),0)</f>
        <v>0</v>
      </c>
      <c r="AK134" s="425" t="str">
        <f t="shared" si="74"/>
        <v>N/A</v>
      </c>
      <c r="AL134" s="83"/>
      <c r="AM134" s="83"/>
      <c r="AN134" s="329">
        <f t="shared" si="76"/>
        <v>0</v>
      </c>
      <c r="AO134" s="425" t="str">
        <f t="shared" si="75"/>
        <v>N/A</v>
      </c>
      <c r="AP134" s="85"/>
      <c r="AQ134" s="342"/>
      <c r="AR134" s="290"/>
      <c r="AS134" s="290"/>
      <c r="AT134" s="13"/>
      <c r="AU134" s="81"/>
      <c r="AV134" s="81"/>
      <c r="AW134" s="81"/>
      <c r="AX134" s="290"/>
      <c r="AY134" s="342"/>
      <c r="AZ134" s="3"/>
      <c r="BA134" s="315"/>
      <c r="BB134" s="3"/>
      <c r="BC134" s="3"/>
      <c r="BD134" s="3"/>
      <c r="BE134" s="3"/>
      <c r="BF134" s="342"/>
      <c r="BG134" s="3"/>
      <c r="BH134" s="315"/>
      <c r="BI134" s="3"/>
      <c r="BJ134" s="3"/>
      <c r="BK134" s="3"/>
      <c r="BL134" s="3"/>
      <c r="BM134" s="342"/>
      <c r="BN134" s="3"/>
      <c r="BO134" s="315"/>
      <c r="BP134" s="3"/>
      <c r="BQ134" s="3"/>
      <c r="BR134" s="3"/>
      <c r="BS134" s="3"/>
      <c r="BT134" s="342"/>
      <c r="BU134" s="3"/>
      <c r="BV134" s="315"/>
      <c r="BW134" s="3"/>
      <c r="BX134" s="3"/>
      <c r="BY134" s="3"/>
      <c r="BZ134" s="3"/>
      <c r="CA134" s="342"/>
      <c r="CB134" s="342"/>
      <c r="CC134" s="342"/>
      <c r="CD134" s="342"/>
    </row>
    <row r="135" spans="1:82" s="325" customFormat="1" ht="16.149999999999999" thickTop="1">
      <c r="A135" s="480"/>
      <c r="B135" s="507"/>
      <c r="C135" s="507"/>
      <c r="D135" s="324"/>
      <c r="E135" s="342"/>
      <c r="F135" s="290"/>
      <c r="G135" s="79"/>
      <c r="H135" s="326"/>
      <c r="I135" s="326"/>
      <c r="J135" s="80"/>
      <c r="K135" s="290"/>
      <c r="L135" s="342"/>
      <c r="M135" s="7"/>
      <c r="N135" s="83"/>
      <c r="O135" s="333"/>
      <c r="P135" s="32"/>
      <c r="Q135" s="77"/>
      <c r="R135" s="77"/>
      <c r="S135" s="309"/>
      <c r="T135" s="309"/>
      <c r="U135" s="3" t="s">
        <v>35</v>
      </c>
      <c r="V135" s="86">
        <f>SUM(V128:V134)</f>
        <v>0</v>
      </c>
      <c r="W135" s="427" t="str">
        <f t="shared" si="71"/>
        <v>N/A</v>
      </c>
      <c r="X135" s="335"/>
      <c r="Y135" s="335"/>
      <c r="Z135" s="82"/>
      <c r="AA135" s="334"/>
      <c r="AB135" s="13"/>
      <c r="AC135" s="3" t="s">
        <v>35</v>
      </c>
      <c r="AD135" s="86">
        <f>SUM(AD128:AD134)</f>
        <v>0</v>
      </c>
      <c r="AE135" s="427" t="str">
        <f t="shared" si="72"/>
        <v>N/A</v>
      </c>
      <c r="AF135" s="83"/>
      <c r="AG135" s="86">
        <f>SUM(AG128:AG134)</f>
        <v>0</v>
      </c>
      <c r="AH135" s="444" t="str">
        <f t="shared" si="73"/>
        <v>N/A</v>
      </c>
      <c r="AI135" s="83"/>
      <c r="AJ135" s="86">
        <f>SUM(AJ128:AJ134)</f>
        <v>0</v>
      </c>
      <c r="AK135" s="427" t="str">
        <f t="shared" si="74"/>
        <v>N/A</v>
      </c>
      <c r="AL135" s="83"/>
      <c r="AM135" s="83"/>
      <c r="AN135" s="86">
        <f t="shared" si="76"/>
        <v>0</v>
      </c>
      <c r="AO135" s="427" t="str">
        <f t="shared" si="75"/>
        <v>N/A</v>
      </c>
      <c r="AP135" s="85"/>
      <c r="AQ135" s="342"/>
      <c r="AR135" s="290"/>
      <c r="AS135" s="290"/>
      <c r="AT135" s="13"/>
      <c r="AU135" s="81"/>
      <c r="AV135" s="81"/>
      <c r="AW135" s="81"/>
      <c r="AX135" s="290"/>
      <c r="AY135" s="342"/>
      <c r="AZ135" s="3"/>
      <c r="BA135" s="315"/>
      <c r="BB135" s="3"/>
      <c r="BC135" s="3"/>
      <c r="BD135" s="3"/>
      <c r="BE135" s="3"/>
      <c r="BF135" s="342"/>
      <c r="BG135" s="3"/>
      <c r="BH135" s="315"/>
      <c r="BI135" s="3"/>
      <c r="BJ135" s="3"/>
      <c r="BK135" s="3"/>
      <c r="BL135" s="3"/>
      <c r="BM135" s="342"/>
      <c r="BN135" s="3"/>
      <c r="BO135" s="315"/>
      <c r="BP135" s="3"/>
      <c r="BQ135" s="3"/>
      <c r="BR135" s="3"/>
      <c r="BS135" s="3"/>
      <c r="BT135" s="342"/>
      <c r="BU135" s="3"/>
      <c r="BV135" s="315"/>
      <c r="BW135" s="3"/>
      <c r="BX135" s="3"/>
      <c r="BY135" s="3"/>
      <c r="BZ135" s="3"/>
      <c r="CA135" s="342"/>
      <c r="CB135" s="342"/>
      <c r="CC135" s="342"/>
      <c r="CD135" s="342"/>
    </row>
    <row r="136" spans="1:82" s="325" customFormat="1" ht="15.6">
      <c r="A136" s="480"/>
      <c r="B136" s="507"/>
      <c r="C136" s="507"/>
      <c r="D136" s="324"/>
      <c r="E136" s="342"/>
      <c r="F136" s="290"/>
      <c r="G136" s="336"/>
      <c r="H136" s="336"/>
      <c r="I136" s="336"/>
      <c r="J136" s="336"/>
      <c r="K136" s="290"/>
      <c r="L136" s="342"/>
      <c r="M136" s="7"/>
      <c r="N136" s="83"/>
      <c r="O136" s="333"/>
      <c r="P136" s="77"/>
      <c r="Q136" s="77"/>
      <c r="R136" s="77"/>
      <c r="S136" s="77"/>
      <c r="T136" s="77"/>
      <c r="U136" s="3"/>
      <c r="V136" s="77"/>
      <c r="W136" s="77"/>
      <c r="X136" s="77"/>
      <c r="Y136" s="77"/>
      <c r="Z136" s="82"/>
      <c r="AA136" s="334"/>
      <c r="AB136" s="13"/>
      <c r="AC136" s="13"/>
      <c r="AD136" s="13"/>
      <c r="AE136" s="13"/>
      <c r="AF136" s="13"/>
      <c r="AG136" s="13"/>
      <c r="AH136" s="13"/>
      <c r="AI136" s="13"/>
      <c r="AJ136" s="13"/>
      <c r="AK136" s="13"/>
      <c r="AL136" s="13"/>
      <c r="AM136" s="13"/>
      <c r="AN136" s="327"/>
      <c r="AO136" s="327"/>
      <c r="AP136" s="85"/>
      <c r="AQ136" s="342"/>
      <c r="AR136" s="290"/>
      <c r="AS136" s="81"/>
      <c r="AT136" s="81"/>
      <c r="AU136" s="81"/>
      <c r="AV136" s="81"/>
      <c r="AW136" s="81"/>
      <c r="AX136" s="290"/>
      <c r="AY136" s="342"/>
      <c r="AZ136" s="3"/>
      <c r="BA136" s="315"/>
      <c r="BB136" s="3"/>
      <c r="BC136" s="3"/>
      <c r="BD136" s="3"/>
      <c r="BE136" s="3"/>
      <c r="BF136" s="342"/>
      <c r="BG136" s="3"/>
      <c r="BH136" s="315"/>
      <c r="BI136" s="3"/>
      <c r="BJ136" s="3"/>
      <c r="BK136" s="3"/>
      <c r="BL136" s="3"/>
      <c r="BM136" s="342"/>
      <c r="BN136" s="3"/>
      <c r="BO136" s="315"/>
      <c r="BP136" s="3"/>
      <c r="BQ136" s="3"/>
      <c r="BR136" s="3"/>
      <c r="BS136" s="3"/>
      <c r="BT136" s="342"/>
      <c r="BU136" s="3"/>
      <c r="BV136" s="315"/>
      <c r="BW136" s="3"/>
      <c r="BX136" s="3"/>
      <c r="BY136" s="3"/>
      <c r="BZ136" s="3"/>
      <c r="CA136" s="342"/>
      <c r="CB136" s="342"/>
      <c r="CC136" s="342"/>
      <c r="CD136" s="342"/>
    </row>
    <row r="137" spans="1:82" s="304" customFormat="1" outlineLevel="1">
      <c r="B137" s="320"/>
      <c r="C137" s="320"/>
      <c r="D137" s="391"/>
      <c r="F137" s="391"/>
      <c r="G137" s="391"/>
      <c r="H137" s="391"/>
      <c r="I137" s="391"/>
      <c r="J137" s="391"/>
      <c r="K137" s="391"/>
      <c r="N137" s="337"/>
      <c r="O137" s="337"/>
      <c r="S137" s="337"/>
      <c r="T137" s="320"/>
      <c r="U137" s="320"/>
      <c r="V137" s="320"/>
      <c r="W137" s="393"/>
      <c r="Z137" s="338"/>
      <c r="AO137" s="338"/>
      <c r="AP137" s="340"/>
      <c r="AR137" s="391"/>
      <c r="AS137" s="391"/>
      <c r="AT137" s="391"/>
      <c r="AU137" s="391"/>
      <c r="AV137" s="391"/>
      <c r="AW137" s="391"/>
      <c r="AX137" s="391"/>
      <c r="AZ137"/>
      <c r="BA137"/>
      <c r="BB137"/>
      <c r="BC137"/>
      <c r="BD137"/>
      <c r="BE137"/>
      <c r="BG137"/>
      <c r="BH137"/>
      <c r="BI137"/>
      <c r="BJ137"/>
      <c r="BK137"/>
      <c r="BL137"/>
      <c r="BN137"/>
      <c r="BO137"/>
      <c r="BP137"/>
      <c r="BQ137"/>
      <c r="BR137"/>
      <c r="BS137"/>
      <c r="BU137"/>
      <c r="BV137"/>
      <c r="BW137"/>
      <c r="BX137"/>
      <c r="BY137"/>
      <c r="BZ137"/>
    </row>
    <row r="138" spans="1:82" s="325" customFormat="1" ht="15.6" outlineLevel="1">
      <c r="A138" s="480"/>
      <c r="B138" s="341"/>
      <c r="C138" s="341"/>
      <c r="D138" s="290"/>
      <c r="E138" s="342"/>
      <c r="F138" s="290"/>
      <c r="G138" s="343">
        <f>ROUNDUP(SUM(G140:G169),2)</f>
        <v>0</v>
      </c>
      <c r="H138" s="344"/>
      <c r="I138" s="344"/>
      <c r="J138" s="345">
        <f>ROUNDUP(SUM(J140:J169),2)</f>
        <v>0</v>
      </c>
      <c r="K138" s="290"/>
      <c r="L138" s="342"/>
      <c r="M138" s="7"/>
      <c r="N138" s="7"/>
      <c r="O138" s="7"/>
      <c r="P138" s="7"/>
      <c r="Q138" s="7"/>
      <c r="R138" s="7"/>
      <c r="S138" s="7"/>
      <c r="T138" s="398">
        <f>ROUNDUP(SUM(T140:T169),2)</f>
        <v>0</v>
      </c>
      <c r="U138" s="7"/>
      <c r="V138" s="7"/>
      <c r="W138" s="87">
        <f>SUM(W140:W167)</f>
        <v>0</v>
      </c>
      <c r="X138" s="7"/>
      <c r="Y138" s="7" t="s">
        <v>102</v>
      </c>
      <c r="Z138" s="7"/>
      <c r="AA138" s="304"/>
      <c r="AB138" s="7"/>
      <c r="AC138" s="7"/>
      <c r="AD138" s="87">
        <f>SUM(AD140:AD169)</f>
        <v>0</v>
      </c>
      <c r="AE138" s="432">
        <f>IFERROR(1-($W138/$AD138),0)</f>
        <v>0</v>
      </c>
      <c r="AF138" s="7"/>
      <c r="AG138" s="7"/>
      <c r="AH138" s="88">
        <f>SUM(AH140:AH169)</f>
        <v>0</v>
      </c>
      <c r="AI138" s="7"/>
      <c r="AJ138" s="7"/>
      <c r="AK138" s="88">
        <f>ROUNDUP(SUM(AK140:AK169),2)</f>
        <v>0</v>
      </c>
      <c r="AL138" s="7"/>
      <c r="AM138" s="88">
        <f>SUM(AM140:AM169)</f>
        <v>0</v>
      </c>
      <c r="AN138" s="88">
        <f>SUM(AN140:AN169)</f>
        <v>0</v>
      </c>
      <c r="AO138" s="417" t="str">
        <f>BillingCountryCurrency</f>
        <v>USD</v>
      </c>
      <c r="AP138" s="7"/>
      <c r="AQ138" s="18"/>
      <c r="AR138" s="290"/>
      <c r="AS138" s="290"/>
      <c r="AT138" s="503">
        <f>SUM(AT140:AU169)</f>
        <v>0</v>
      </c>
      <c r="AU138" s="504"/>
      <c r="AV138" s="417" t="str">
        <f>BillingCountryCurrency</f>
        <v>USD</v>
      </c>
      <c r="AW138" s="417" t="str">
        <f>IF(ISBLANK(BusinessCurrency),"N/A",BusinessCurrency)</f>
        <v>N/A</v>
      </c>
      <c r="AX138" s="290"/>
      <c r="AY138" s="18"/>
      <c r="AZ138" s="3"/>
      <c r="BA138" s="315"/>
      <c r="BB138" s="3"/>
      <c r="BC138" s="3"/>
      <c r="BD138" s="3"/>
      <c r="BE138" s="3"/>
      <c r="BF138" s="18"/>
      <c r="BG138" s="3"/>
      <c r="BH138" s="315"/>
      <c r="BI138" s="3"/>
      <c r="BJ138" s="3"/>
      <c r="BK138" s="3"/>
      <c r="BL138" s="3"/>
      <c r="BM138" s="18"/>
      <c r="BN138" s="3"/>
      <c r="BO138" s="315"/>
      <c r="BP138" s="3"/>
      <c r="BQ138" s="3"/>
      <c r="BR138" s="3"/>
      <c r="BS138" s="3"/>
      <c r="BT138" s="18"/>
      <c r="BU138" s="3"/>
      <c r="BV138" s="315"/>
      <c r="BW138" s="3"/>
      <c r="BX138" s="3"/>
      <c r="BY138" s="3"/>
      <c r="BZ138" s="3"/>
      <c r="CA138" s="342"/>
      <c r="CB138" s="342"/>
      <c r="CC138" s="342"/>
      <c r="CD138" s="342"/>
    </row>
    <row r="139" spans="1:82" ht="15.6" outlineLevel="1">
      <c r="A139" s="7"/>
      <c r="B139" s="346"/>
      <c r="C139" s="346"/>
      <c r="D139" s="346"/>
      <c r="E139" s="342"/>
      <c r="F139" s="290"/>
      <c r="G139" s="347" t="s">
        <v>79</v>
      </c>
      <c r="H139" s="347" t="s">
        <v>103</v>
      </c>
      <c r="I139" s="347" t="s">
        <v>104</v>
      </c>
      <c r="J139" s="348" t="s">
        <v>91</v>
      </c>
      <c r="K139" s="290"/>
      <c r="L139" s="349"/>
      <c r="M139" s="7"/>
      <c r="N139" s="16" t="s">
        <v>105</v>
      </c>
      <c r="O139" s="16" t="s">
        <v>106</v>
      </c>
      <c r="P139" s="16" t="s">
        <v>107</v>
      </c>
      <c r="Q139" s="16" t="s">
        <v>108</v>
      </c>
      <c r="R139" s="16" t="s">
        <v>109</v>
      </c>
      <c r="S139" s="16" t="s">
        <v>110</v>
      </c>
      <c r="T139" s="16" t="s">
        <v>111</v>
      </c>
      <c r="U139" s="16" t="s">
        <v>112</v>
      </c>
      <c r="V139" s="350" t="s">
        <v>113</v>
      </c>
      <c r="W139" s="16" t="s">
        <v>114</v>
      </c>
      <c r="X139" s="16" t="s">
        <v>115</v>
      </c>
      <c r="Y139" s="16" t="s">
        <v>116</v>
      </c>
      <c r="Z139" s="6"/>
      <c r="AA139" s="304"/>
      <c r="AB139" s="7"/>
      <c r="AC139" s="351" t="s">
        <v>117</v>
      </c>
      <c r="AD139" s="352" t="s">
        <v>118</v>
      </c>
      <c r="AE139" s="89" t="s">
        <v>119</v>
      </c>
      <c r="AF139" s="7"/>
      <c r="AG139" s="89" t="s">
        <v>120</v>
      </c>
      <c r="AH139" s="353" t="s">
        <v>121</v>
      </c>
      <c r="AI139" s="7"/>
      <c r="AJ139" s="89" t="s">
        <v>122</v>
      </c>
      <c r="AK139" s="353" t="s">
        <v>123</v>
      </c>
      <c r="AL139" s="7"/>
      <c r="AM139" s="16" t="s">
        <v>118</v>
      </c>
      <c r="AN139" s="16" t="s">
        <v>124</v>
      </c>
      <c r="AO139" s="8" t="s">
        <v>125</v>
      </c>
      <c r="AP139" s="7"/>
      <c r="AQ139" s="18"/>
      <c r="AR139" s="290"/>
      <c r="AS139" s="8" t="s">
        <v>126</v>
      </c>
      <c r="AT139" s="505" t="s">
        <v>124</v>
      </c>
      <c r="AU139" s="506"/>
      <c r="AV139" s="8" t="s">
        <v>127</v>
      </c>
      <c r="AW139" s="8" t="s">
        <v>127</v>
      </c>
      <c r="AX139" s="290"/>
      <c r="AY139" s="18"/>
      <c r="AZ139" s="3"/>
      <c r="BA139" s="315"/>
      <c r="BB139" s="3"/>
      <c r="BC139" s="3"/>
      <c r="BD139" s="3"/>
      <c r="BE139" s="3"/>
      <c r="BF139" s="18"/>
      <c r="BG139" s="3"/>
      <c r="BH139" s="315"/>
      <c r="BI139" s="3"/>
      <c r="BJ139" s="3"/>
      <c r="BK139" s="3"/>
      <c r="BL139" s="3"/>
      <c r="BM139" s="18"/>
      <c r="BN139" s="3"/>
      <c r="BO139" s="315"/>
      <c r="BP139" s="3"/>
      <c r="BQ139" s="3"/>
      <c r="BR139" s="3"/>
      <c r="BS139" s="3"/>
      <c r="BT139" s="18"/>
      <c r="BU139" s="3"/>
      <c r="BV139" s="315"/>
      <c r="BW139" s="3"/>
      <c r="BX139" s="3"/>
      <c r="BY139" s="3"/>
      <c r="BZ139" s="3"/>
    </row>
    <row r="140" spans="1:82" ht="28.9" outlineLevel="1">
      <c r="A140" s="7"/>
      <c r="B140" s="354" t="s">
        <v>128</v>
      </c>
      <c r="C140" s="355"/>
      <c r="D140" s="356"/>
      <c r="E140" s="342"/>
      <c r="F140" s="290"/>
      <c r="G140" s="357">
        <v>0</v>
      </c>
      <c r="H140" s="358">
        <v>0</v>
      </c>
      <c r="I140" s="358">
        <v>0</v>
      </c>
      <c r="J140" s="359">
        <f>IFERROR(G140/(1-(H140+I140)),0)</f>
        <v>0</v>
      </c>
      <c r="K140" s="360"/>
      <c r="L140" s="349"/>
      <c r="M140" s="7"/>
      <c r="N140" s="12"/>
      <c r="O140" s="12"/>
      <c r="P140" s="12"/>
      <c r="Q140" s="361"/>
      <c r="R140" s="362"/>
      <c r="S140" s="363">
        <f t="shared" ref="S140:S169" si="77">IF(ISBLANK(P140),0,$O$132*20)</f>
        <v>0</v>
      </c>
      <c r="T140" s="364">
        <f t="shared" ref="T140:T169" si="78">IF(ISBLANK($P140),0,IF(Approach="Team-Based",$Q140*$R140*$S140*HoursPerDayTeamBased,$J140))</f>
        <v>0</v>
      </c>
      <c r="U140" s="365">
        <v>0</v>
      </c>
      <c r="V140" s="91">
        <f>ROUNDUP(IFERROR(INDEX(CostRateTbl[Cost Rate],MATCH(_xlfn.CONCAT(N140,O140,P140,"NA"),CostRateTbl[KeyCostRate],0)),0)*BillingCurrencyTRM*(1+U140),2)</f>
        <v>0</v>
      </c>
      <c r="W140" s="92">
        <f t="shared" ref="W140:W169" si="79">T140*V140</f>
        <v>0</v>
      </c>
      <c r="X140" s="366" t="e" cm="1">
        <f t="array" ref="X140">_xlfn.LET(
    _xlpm.valor, INDEX(CostRate!H:H, MATCH(1, (CostRate!A:A=N140)*1, 0)),
    _xlpm.posicion, MATCH(_xlpm.valor, FilterSL!$F$1:$Z$1, 0),
    _xlpm.direccionCompleta, ADDRESS(1, _xlpm.posicion + 5, 4),
    _xlpm.letraColumna, SUBSTITUTE(_xlpm.direccionCompleta, "1", ""),
    _xlpm.letraColumna
)</f>
        <v>#N/A</v>
      </c>
      <c r="Y140" s="366" t="e" cm="1">
        <f t="array" ref="Y140">_xlfn.LET(
    _xlpm.valor, INDEX(CostRate!I:I, MATCH(1, (CostRate!A:A=N140)*(CostRate!B:B=O140), 0)),
    _xlpm.posicion, MATCH(_xlpm.valor, FilterJP!$E$1:$FZ$1, 0),
    _xlpm.direccionCompleta, ADDRESS(1, _xlpm.posicion + 4, 4),
    _xlpm.letraColumna, SUBSTITUTE(_xlpm.direccionCompleta, "1", ""),
    _xlpm.letraColumna
)</f>
        <v>#N/A</v>
      </c>
      <c r="Z140" s="7"/>
      <c r="AA140" s="367"/>
      <c r="AB140" s="7"/>
      <c r="AC140" s="93">
        <f t="shared" ref="AC140:AC169" si="80">ROUNDUP($V140/(1-$AV$126),2)</f>
        <v>0</v>
      </c>
      <c r="AD140" s="94">
        <f>$T140*$AC140</f>
        <v>0</v>
      </c>
      <c r="AE140" s="109">
        <f>IFERROR(1-($W140/$AD140),0)</f>
        <v>0</v>
      </c>
      <c r="AF140" s="7"/>
      <c r="AG140" s="369">
        <f t="shared" ref="AG140:AG169" si="81">IFERROR(IF(OR(ISBLANK(N140),N140=CustomerCountry,COUNTIF($N140,"*xDC*")),0,10%),0)</f>
        <v>0</v>
      </c>
      <c r="AH140" s="368">
        <f t="shared" ref="AH140:AH169" si="82">W140*AG140</f>
        <v>0</v>
      </c>
      <c r="AI140" s="7"/>
      <c r="AJ140" s="369" cm="1">
        <f t="array" ref="AJ140">IFERROR(INDEX(WHT!$C$7:$W$18,MATCH(
_xlfn.SWITCH(N140,"xDC Medellin","Colombia","xDC Belo Horizonte","Brazil","xDC Guadalajara","Mexico","xDC Gurugram","India","xDC Leon","Spain","xDC San Jose","Costa Rica","xDC Warsaw","Poland",N140),
WHT!$B$7:$B$18,0),MATCH(CustomerCountry,WHT!$C$5:$W$5,0)),0)</f>
        <v>0</v>
      </c>
      <c r="AK140" s="368">
        <f t="shared" ref="AK140:AK169" si="83">(W140+AH140)*AJ140</f>
        <v>0</v>
      </c>
      <c r="AL140" s="7"/>
      <c r="AM140" s="95">
        <f>SUM($AD140,$AH140,$AK140)</f>
        <v>0</v>
      </c>
      <c r="AN140" s="95">
        <f t="shared" ref="AN140:AN169" si="84">AM140+IFERROR(SUM($AN$129:$AN$134)*AM140/$AM$138,0)</f>
        <v>0</v>
      </c>
      <c r="AO140" s="95">
        <f>IFERROR($AN140/$T140,0)</f>
        <v>0</v>
      </c>
      <c r="AP140" s="7"/>
      <c r="AQ140" s="18"/>
      <c r="AR140" s="290"/>
      <c r="AS140" s="467" t="s">
        <v>133</v>
      </c>
      <c r="AT140" s="501">
        <f t="shared" ref="AT140:AT168" si="85">IF(AS140="x",AM140+((SUM($AN$129:$AN$134)+SUMIF($AS$140:$AS$169,"&lt;&gt;x",$AM$140:$AM$169))*IFERROR(AM140/SUMIF($AS$140:$AS$169,"x",$AM$140:$AM$169),0)),0)</f>
        <v>0</v>
      </c>
      <c r="AU140" s="502"/>
      <c r="AV140" s="95">
        <f>IFERROR(AT140/T140,0)</f>
        <v>0</v>
      </c>
      <c r="AW140" s="469" t="str">
        <f t="shared" ref="AW140:AW169" si="86">IFERROR(AV140/BusinessCurrencyTRM,"N/A")</f>
        <v>N/A</v>
      </c>
      <c r="AX140" s="290"/>
      <c r="AY140" s="18"/>
      <c r="AZ140" s="3"/>
      <c r="BA140" s="315"/>
      <c r="BB140" s="3"/>
      <c r="BC140" s="3"/>
      <c r="BD140" s="3"/>
      <c r="BE140" s="3"/>
      <c r="BF140" s="18"/>
      <c r="BG140" s="3"/>
      <c r="BH140" s="315"/>
      <c r="BI140" s="3"/>
      <c r="BJ140" s="3"/>
      <c r="BK140" s="3"/>
      <c r="BL140" s="3"/>
      <c r="BM140" s="18"/>
      <c r="BN140" s="3"/>
      <c r="BO140" s="315"/>
      <c r="BP140" s="3"/>
      <c r="BQ140" s="3"/>
      <c r="BR140" s="3"/>
      <c r="BS140" s="3"/>
      <c r="BT140" s="18"/>
      <c r="BU140" s="3"/>
      <c r="BV140" s="315"/>
      <c r="BW140" s="3"/>
      <c r="BX140" s="3"/>
      <c r="BY140" s="3"/>
      <c r="BZ140" s="3"/>
    </row>
    <row r="141" spans="1:82" ht="15.6" outlineLevel="1">
      <c r="A141" s="7"/>
      <c r="B141" s="370"/>
      <c r="C141" s="355"/>
      <c r="D141" s="356"/>
      <c r="E141" s="342"/>
      <c r="F141" s="290"/>
      <c r="G141" s="357">
        <v>0</v>
      </c>
      <c r="H141" s="358">
        <v>0</v>
      </c>
      <c r="I141" s="358">
        <v>0</v>
      </c>
      <c r="J141" s="359">
        <f t="shared" ref="J141:J169" si="87">IFERROR(G141/(1-(H141+I141)),0)</f>
        <v>0</v>
      </c>
      <c r="K141" s="290"/>
      <c r="L141" s="349"/>
      <c r="M141" s="7"/>
      <c r="N141" s="12"/>
      <c r="O141" s="12"/>
      <c r="P141" s="12"/>
      <c r="Q141" s="361"/>
      <c r="R141" s="362"/>
      <c r="S141" s="363">
        <f t="shared" si="77"/>
        <v>0</v>
      </c>
      <c r="T141" s="364">
        <f t="shared" si="78"/>
        <v>0</v>
      </c>
      <c r="U141" s="365">
        <v>0</v>
      </c>
      <c r="V141" s="91">
        <f>ROUNDUP(IFERROR(INDEX(CostRateTbl[Cost Rate],MATCH(_xlfn.CONCAT(N141,O141,P141,"NA"),CostRateTbl[KeyCostRate],0)),0)*BillingCurrencyTRM*(1+U141),2)</f>
        <v>0</v>
      </c>
      <c r="W141" s="92">
        <f t="shared" si="79"/>
        <v>0</v>
      </c>
      <c r="X141" s="366" t="e" cm="1">
        <f t="array" ref="X141">_xlfn.LET(
    _xlpm.valor, INDEX(CostRate!H:H, MATCH(1, (CostRate!A:A=N141)*1, 0)),
    _xlpm.posicion, MATCH(_xlpm.valor, FilterSL!$F$1:$Z$1, 0),
    _xlpm.direccionCompleta, ADDRESS(1, _xlpm.posicion + 5, 4),
    _xlpm.letraColumna, SUBSTITUTE(_xlpm.direccionCompleta, "1", ""),
    _xlpm.letraColumna
)</f>
        <v>#N/A</v>
      </c>
      <c r="Y141" s="366" t="e" cm="1">
        <f t="array" ref="Y141">_xlfn.LET(
    _xlpm.valor, INDEX(CostRate!I:I, MATCH(1, (CostRate!A:A=N141)*(CostRate!B:B=O141), 0)),
    _xlpm.posicion, MATCH(_xlpm.valor, FilterJP!$E$1:$FZ$1, 0),
    _xlpm.direccionCompleta, ADDRESS(1, _xlpm.posicion + 4, 4),
    _xlpm.letraColumna, SUBSTITUTE(_xlpm.direccionCompleta, "1", ""),
    _xlpm.letraColumna
)</f>
        <v>#N/A</v>
      </c>
      <c r="Z141" s="7"/>
      <c r="AA141" s="367"/>
      <c r="AB141" s="7"/>
      <c r="AC141" s="93">
        <f t="shared" si="80"/>
        <v>0</v>
      </c>
      <c r="AD141" s="94">
        <f t="shared" ref="AD141:AD169" si="88">$T141*$AC141</f>
        <v>0</v>
      </c>
      <c r="AE141" s="109">
        <f t="shared" ref="AE141:AE169" si="89">IFERROR(1-($W141/$AD141),0)</f>
        <v>0</v>
      </c>
      <c r="AF141" s="7"/>
      <c r="AG141" s="369">
        <f t="shared" si="81"/>
        <v>0</v>
      </c>
      <c r="AH141" s="368">
        <f t="shared" si="82"/>
        <v>0</v>
      </c>
      <c r="AI141" s="7"/>
      <c r="AJ141" s="369" cm="1">
        <f t="array" ref="AJ141">IFERROR(INDEX(WHT!$C$7:$W$18,MATCH(
_xlfn.SWITCH(N141,"xDC Medellin","Colombia","xDC Belo Horizonte","Brazil","xDC Guadalajara","Mexico","xDC Gurugram","India","xDC Leon","Spain","xDC San Jose","Costa Rica","xDC Warsaw","Poland",N141),
WHT!$B$7:$B$18,0),MATCH(CustomerCountry,WHT!$C$5:$W$5,0)),0)</f>
        <v>0</v>
      </c>
      <c r="AK141" s="368">
        <f t="shared" si="83"/>
        <v>0</v>
      </c>
      <c r="AL141" s="7"/>
      <c r="AM141" s="95">
        <f t="shared" ref="AM141:AM169" si="90">SUM($AD141,$AH141,$AK141)</f>
        <v>0</v>
      </c>
      <c r="AN141" s="95">
        <f t="shared" si="84"/>
        <v>0</v>
      </c>
      <c r="AO141" s="95">
        <f t="shared" ref="AO141:AO169" si="91">IFERROR($AN141/$T141,0)</f>
        <v>0</v>
      </c>
      <c r="AP141" s="90"/>
      <c r="AQ141" s="18"/>
      <c r="AR141" s="290"/>
      <c r="AS141" s="467" t="s">
        <v>133</v>
      </c>
      <c r="AT141" s="501">
        <f t="shared" si="85"/>
        <v>0</v>
      </c>
      <c r="AU141" s="502"/>
      <c r="AV141" s="95">
        <f t="shared" ref="AV141:AV169" si="92">IFERROR(AT141/T141,0)</f>
        <v>0</v>
      </c>
      <c r="AW141" s="469" t="str">
        <f t="shared" si="86"/>
        <v>N/A</v>
      </c>
      <c r="AX141" s="290"/>
      <c r="AY141" s="18"/>
      <c r="AZ141" s="3"/>
      <c r="BA141" s="315"/>
      <c r="BB141" s="3"/>
      <c r="BC141" s="3"/>
      <c r="BD141" s="3"/>
      <c r="BE141" s="3"/>
      <c r="BF141" s="18"/>
      <c r="BG141" s="3"/>
      <c r="BH141" s="315"/>
      <c r="BI141" s="3"/>
      <c r="BJ141" s="3"/>
      <c r="BK141" s="3"/>
      <c r="BL141" s="3"/>
      <c r="BM141" s="18"/>
      <c r="BN141" s="3"/>
      <c r="BO141" s="315"/>
      <c r="BP141" s="3"/>
      <c r="BQ141" s="3"/>
      <c r="BR141" s="3"/>
      <c r="BS141" s="3"/>
      <c r="BT141" s="18"/>
      <c r="BU141" s="3"/>
      <c r="BV141" s="315"/>
      <c r="BW141" s="3"/>
      <c r="BX141" s="3"/>
      <c r="BY141" s="3"/>
      <c r="BZ141" s="3"/>
      <c r="CA141" s="371"/>
    </row>
    <row r="142" spans="1:82" ht="15.6" outlineLevel="1">
      <c r="A142" s="7"/>
      <c r="B142" s="370"/>
      <c r="C142" s="355"/>
      <c r="D142" s="356"/>
      <c r="E142" s="342"/>
      <c r="F142" s="290"/>
      <c r="G142" s="357">
        <v>0</v>
      </c>
      <c r="H142" s="358">
        <v>0</v>
      </c>
      <c r="I142" s="358">
        <v>0</v>
      </c>
      <c r="J142" s="359">
        <f t="shared" si="87"/>
        <v>0</v>
      </c>
      <c r="K142" s="290"/>
      <c r="L142" s="349"/>
      <c r="M142" s="7"/>
      <c r="N142" s="12"/>
      <c r="O142" s="12"/>
      <c r="P142" s="12"/>
      <c r="Q142" s="361"/>
      <c r="R142" s="362"/>
      <c r="S142" s="363">
        <f t="shared" si="77"/>
        <v>0</v>
      </c>
      <c r="T142" s="364">
        <f t="shared" si="78"/>
        <v>0</v>
      </c>
      <c r="U142" s="365">
        <v>0</v>
      </c>
      <c r="V142" s="91">
        <f>ROUNDUP(IFERROR(INDEX(CostRateTbl[Cost Rate],MATCH(_xlfn.CONCAT(N142,O142,P142,"NA"),CostRateTbl[KeyCostRate],0)),0)*BillingCurrencyTRM*(1+U142),2)</f>
        <v>0</v>
      </c>
      <c r="W142" s="92">
        <f t="shared" si="79"/>
        <v>0</v>
      </c>
      <c r="X142" s="366" t="e" cm="1">
        <f t="array" ref="X142">_xlfn.LET(
    _xlpm.valor, INDEX(CostRate!H:H, MATCH(1, (CostRate!A:A=N142)*1, 0)),
    _xlpm.posicion, MATCH(_xlpm.valor, FilterSL!$F$1:$Z$1, 0),
    _xlpm.direccionCompleta, ADDRESS(1, _xlpm.posicion + 5, 4),
    _xlpm.letraColumna, SUBSTITUTE(_xlpm.direccionCompleta, "1", ""),
    _xlpm.letraColumna
)</f>
        <v>#N/A</v>
      </c>
      <c r="Y142" s="366" t="e" cm="1">
        <f t="array" ref="Y142">_xlfn.LET(
    _xlpm.valor, INDEX(CostRate!I:I, MATCH(1, (CostRate!A:A=N142)*(CostRate!B:B=O142), 0)),
    _xlpm.posicion, MATCH(_xlpm.valor, FilterJP!$E$1:$FZ$1, 0),
    _xlpm.direccionCompleta, ADDRESS(1, _xlpm.posicion + 4, 4),
    _xlpm.letraColumna, SUBSTITUTE(_xlpm.direccionCompleta, "1", ""),
    _xlpm.letraColumna
)</f>
        <v>#N/A</v>
      </c>
      <c r="Z142" s="7"/>
      <c r="AA142" s="367"/>
      <c r="AB142" s="7"/>
      <c r="AC142" s="93">
        <f t="shared" si="80"/>
        <v>0</v>
      </c>
      <c r="AD142" s="94">
        <f t="shared" si="88"/>
        <v>0</v>
      </c>
      <c r="AE142" s="109">
        <f t="shared" si="89"/>
        <v>0</v>
      </c>
      <c r="AF142" s="7"/>
      <c r="AG142" s="369">
        <f t="shared" si="81"/>
        <v>0</v>
      </c>
      <c r="AH142" s="368">
        <f t="shared" si="82"/>
        <v>0</v>
      </c>
      <c r="AI142" s="7"/>
      <c r="AJ142" s="369" cm="1">
        <f t="array" ref="AJ142">IFERROR(INDEX(WHT!$C$7:$W$18,MATCH(
_xlfn.SWITCH(N142,"xDC Medellin","Colombia","xDC Belo Horizonte","Brazil","xDC Guadalajara","Mexico","xDC Gurugram","India","xDC Leon","Spain","xDC San Jose","Costa Rica","xDC Warsaw","Poland",N142),
WHT!$B$7:$B$18,0),MATCH(CustomerCountry,WHT!$C$5:$W$5,0)),0)</f>
        <v>0</v>
      </c>
      <c r="AK142" s="368">
        <f t="shared" si="83"/>
        <v>0</v>
      </c>
      <c r="AL142" s="7"/>
      <c r="AM142" s="95">
        <f t="shared" si="90"/>
        <v>0</v>
      </c>
      <c r="AN142" s="95">
        <f t="shared" si="84"/>
        <v>0</v>
      </c>
      <c r="AO142" s="95">
        <f t="shared" si="91"/>
        <v>0</v>
      </c>
      <c r="AP142" s="90"/>
      <c r="AQ142" s="18"/>
      <c r="AR142" s="290"/>
      <c r="AS142" s="467" t="s">
        <v>133</v>
      </c>
      <c r="AT142" s="501">
        <f t="shared" si="85"/>
        <v>0</v>
      </c>
      <c r="AU142" s="502"/>
      <c r="AV142" s="95">
        <f t="shared" si="92"/>
        <v>0</v>
      </c>
      <c r="AW142" s="469" t="str">
        <f t="shared" si="86"/>
        <v>N/A</v>
      </c>
      <c r="AX142" s="290"/>
      <c r="AY142" s="18"/>
      <c r="AZ142" s="3"/>
      <c r="BA142" s="315"/>
      <c r="BB142" s="3"/>
      <c r="BC142" s="3"/>
      <c r="BD142" s="3"/>
      <c r="BE142" s="3"/>
      <c r="BF142" s="18"/>
      <c r="BG142" s="3"/>
      <c r="BH142" s="315"/>
      <c r="BI142" s="3"/>
      <c r="BJ142" s="3"/>
      <c r="BK142" s="3"/>
      <c r="BL142" s="3"/>
      <c r="BM142" s="18"/>
      <c r="BN142" s="3"/>
      <c r="BO142" s="315"/>
      <c r="BP142" s="3"/>
      <c r="BQ142" s="3"/>
      <c r="BR142" s="3"/>
      <c r="BS142" s="3"/>
      <c r="BT142" s="18"/>
      <c r="BU142" s="3"/>
      <c r="BV142" s="315"/>
      <c r="BW142" s="3"/>
      <c r="BX142" s="3"/>
      <c r="BY142" s="3"/>
      <c r="BZ142" s="3"/>
    </row>
    <row r="143" spans="1:82" ht="15.6" outlineLevel="1">
      <c r="A143" s="7"/>
      <c r="B143" s="370"/>
      <c r="C143" s="355"/>
      <c r="D143" s="356"/>
      <c r="E143" s="342"/>
      <c r="F143" s="290"/>
      <c r="G143" s="357">
        <v>0</v>
      </c>
      <c r="H143" s="358">
        <v>0</v>
      </c>
      <c r="I143" s="358">
        <v>0</v>
      </c>
      <c r="J143" s="359">
        <f t="shared" si="87"/>
        <v>0</v>
      </c>
      <c r="K143" s="290"/>
      <c r="L143" s="349"/>
      <c r="M143" s="7"/>
      <c r="N143" s="12"/>
      <c r="O143" s="12"/>
      <c r="P143" s="12"/>
      <c r="Q143" s="361"/>
      <c r="R143" s="362"/>
      <c r="S143" s="363">
        <f t="shared" si="77"/>
        <v>0</v>
      </c>
      <c r="T143" s="364">
        <f t="shared" si="78"/>
        <v>0</v>
      </c>
      <c r="U143" s="365">
        <v>0</v>
      </c>
      <c r="V143" s="91">
        <f>ROUNDUP(IFERROR(INDEX(CostRateTbl[Cost Rate],MATCH(_xlfn.CONCAT(N143,O143,P143,"NA"),CostRateTbl[KeyCostRate],0)),0)*BillingCurrencyTRM*(1+U143),2)</f>
        <v>0</v>
      </c>
      <c r="W143" s="92">
        <f t="shared" si="79"/>
        <v>0</v>
      </c>
      <c r="X143" s="366" t="e" cm="1">
        <f t="array" ref="X143">_xlfn.LET(
    _xlpm.valor, INDEX(CostRate!H:H, MATCH(1, (CostRate!A:A=N143)*1, 0)),
    _xlpm.posicion, MATCH(_xlpm.valor, FilterSL!$F$1:$Z$1, 0),
    _xlpm.direccionCompleta, ADDRESS(1, _xlpm.posicion + 5, 4),
    _xlpm.letraColumna, SUBSTITUTE(_xlpm.direccionCompleta, "1", ""),
    _xlpm.letraColumna
)</f>
        <v>#N/A</v>
      </c>
      <c r="Y143" s="366" t="e" cm="1">
        <f t="array" ref="Y143">_xlfn.LET(
    _xlpm.valor, INDEX(CostRate!I:I, MATCH(1, (CostRate!A:A=N143)*(CostRate!B:B=O143), 0)),
    _xlpm.posicion, MATCH(_xlpm.valor, FilterJP!$E$1:$FZ$1, 0),
    _xlpm.direccionCompleta, ADDRESS(1, _xlpm.posicion + 4, 4),
    _xlpm.letraColumna, SUBSTITUTE(_xlpm.direccionCompleta, "1", ""),
    _xlpm.letraColumna
)</f>
        <v>#N/A</v>
      </c>
      <c r="Z143" s="7"/>
      <c r="AA143" s="367"/>
      <c r="AB143" s="7"/>
      <c r="AC143" s="93">
        <f t="shared" si="80"/>
        <v>0</v>
      </c>
      <c r="AD143" s="94">
        <f t="shared" si="88"/>
        <v>0</v>
      </c>
      <c r="AE143" s="109">
        <f t="shared" si="89"/>
        <v>0</v>
      </c>
      <c r="AF143" s="7"/>
      <c r="AG143" s="369">
        <f t="shared" si="81"/>
        <v>0</v>
      </c>
      <c r="AH143" s="368">
        <f t="shared" si="82"/>
        <v>0</v>
      </c>
      <c r="AI143" s="7"/>
      <c r="AJ143" s="369" cm="1">
        <f t="array" ref="AJ143">IFERROR(INDEX(WHT!$C$7:$W$18,MATCH(
_xlfn.SWITCH(N143,"xDC Medellin","Colombia","xDC Belo Horizonte","Brazil","xDC Guadalajara","Mexico","xDC Gurugram","India","xDC Leon","Spain","xDC San Jose","Costa Rica","xDC Warsaw","Poland",N143),
WHT!$B$7:$B$18,0),MATCH(CustomerCountry,WHT!$C$5:$W$5,0)),0)</f>
        <v>0</v>
      </c>
      <c r="AK143" s="368">
        <f t="shared" si="83"/>
        <v>0</v>
      </c>
      <c r="AL143" s="7"/>
      <c r="AM143" s="95">
        <f t="shared" si="90"/>
        <v>0</v>
      </c>
      <c r="AN143" s="95">
        <f t="shared" si="84"/>
        <v>0</v>
      </c>
      <c r="AO143" s="95">
        <f t="shared" si="91"/>
        <v>0</v>
      </c>
      <c r="AP143" s="90"/>
      <c r="AQ143" s="18"/>
      <c r="AR143" s="290"/>
      <c r="AS143" s="467" t="s">
        <v>133</v>
      </c>
      <c r="AT143" s="501">
        <f t="shared" si="85"/>
        <v>0</v>
      </c>
      <c r="AU143" s="502"/>
      <c r="AV143" s="95">
        <f t="shared" si="92"/>
        <v>0</v>
      </c>
      <c r="AW143" s="469" t="str">
        <f t="shared" si="86"/>
        <v>N/A</v>
      </c>
      <c r="AX143" s="290"/>
      <c r="AY143" s="18"/>
      <c r="AZ143" s="3"/>
      <c r="BA143" s="315"/>
      <c r="BB143" s="3"/>
      <c r="BC143" s="3"/>
      <c r="BD143" s="3"/>
      <c r="BE143" s="3"/>
      <c r="BF143" s="18"/>
      <c r="BG143" s="3"/>
      <c r="BH143" s="315"/>
      <c r="BI143" s="3"/>
      <c r="BJ143" s="3"/>
      <c r="BK143" s="3"/>
      <c r="BL143" s="3"/>
      <c r="BM143" s="18"/>
      <c r="BN143" s="3"/>
      <c r="BO143" s="315"/>
      <c r="BP143" s="3"/>
      <c r="BQ143" s="3"/>
      <c r="BR143" s="3"/>
      <c r="BS143" s="3"/>
      <c r="BT143" s="18"/>
      <c r="BU143" s="3"/>
      <c r="BV143" s="315"/>
      <c r="BW143" s="3"/>
      <c r="BX143" s="3"/>
      <c r="BY143" s="3"/>
      <c r="BZ143" s="3"/>
    </row>
    <row r="144" spans="1:82" ht="15.6" outlineLevel="1">
      <c r="A144" s="7"/>
      <c r="B144" s="370"/>
      <c r="C144" s="355"/>
      <c r="D144" s="356"/>
      <c r="E144" s="342"/>
      <c r="F144" s="290"/>
      <c r="G144" s="357">
        <v>0</v>
      </c>
      <c r="H144" s="358">
        <v>0</v>
      </c>
      <c r="I144" s="358">
        <v>0</v>
      </c>
      <c r="J144" s="359">
        <f t="shared" si="87"/>
        <v>0</v>
      </c>
      <c r="K144" s="290"/>
      <c r="L144" s="349"/>
      <c r="M144" s="7"/>
      <c r="N144" s="12"/>
      <c r="O144" s="12"/>
      <c r="P144" s="12"/>
      <c r="Q144" s="361"/>
      <c r="R144" s="362"/>
      <c r="S144" s="363">
        <f t="shared" si="77"/>
        <v>0</v>
      </c>
      <c r="T144" s="364">
        <f t="shared" si="78"/>
        <v>0</v>
      </c>
      <c r="U144" s="365">
        <v>0</v>
      </c>
      <c r="V144" s="91">
        <f>ROUNDUP(IFERROR(INDEX(CostRateTbl[Cost Rate],MATCH(_xlfn.CONCAT(N144,O144,P144,"NA"),CostRateTbl[KeyCostRate],0)),0)*BillingCurrencyTRM*(1+U144),2)</f>
        <v>0</v>
      </c>
      <c r="W144" s="92">
        <f t="shared" si="79"/>
        <v>0</v>
      </c>
      <c r="X144" s="366" t="e" cm="1">
        <f t="array" ref="X144">_xlfn.LET(
    _xlpm.valor, INDEX(CostRate!H:H, MATCH(1, (CostRate!A:A=N144)*1, 0)),
    _xlpm.posicion, MATCH(_xlpm.valor, FilterSL!$F$1:$Z$1, 0),
    _xlpm.direccionCompleta, ADDRESS(1, _xlpm.posicion + 5, 4),
    _xlpm.letraColumna, SUBSTITUTE(_xlpm.direccionCompleta, "1", ""),
    _xlpm.letraColumna
)</f>
        <v>#N/A</v>
      </c>
      <c r="Y144" s="366" t="e" cm="1">
        <f t="array" ref="Y144">_xlfn.LET(
    _xlpm.valor, INDEX(CostRate!I:I, MATCH(1, (CostRate!A:A=N144)*(CostRate!B:B=O144), 0)),
    _xlpm.posicion, MATCH(_xlpm.valor, FilterJP!$E$1:$FZ$1, 0),
    _xlpm.direccionCompleta, ADDRESS(1, _xlpm.posicion + 4, 4),
    _xlpm.letraColumna, SUBSTITUTE(_xlpm.direccionCompleta, "1", ""),
    _xlpm.letraColumna
)</f>
        <v>#N/A</v>
      </c>
      <c r="Z144" s="7"/>
      <c r="AA144" s="367"/>
      <c r="AB144" s="7"/>
      <c r="AC144" s="93">
        <f t="shared" si="80"/>
        <v>0</v>
      </c>
      <c r="AD144" s="94">
        <f t="shared" si="88"/>
        <v>0</v>
      </c>
      <c r="AE144" s="109">
        <f t="shared" si="89"/>
        <v>0</v>
      </c>
      <c r="AF144" s="7"/>
      <c r="AG144" s="369">
        <f t="shared" si="81"/>
        <v>0</v>
      </c>
      <c r="AH144" s="368">
        <f t="shared" si="82"/>
        <v>0</v>
      </c>
      <c r="AI144" s="7"/>
      <c r="AJ144" s="369" cm="1">
        <f t="array" ref="AJ144">IFERROR(INDEX(WHT!$C$7:$W$18,MATCH(
_xlfn.SWITCH(N144,"xDC Medellin","Colombia","xDC Belo Horizonte","Brazil","xDC Guadalajara","Mexico","xDC Gurugram","India","xDC Leon","Spain","xDC San Jose","Costa Rica","xDC Warsaw","Poland",N144),
WHT!$B$7:$B$18,0),MATCH(CustomerCountry,WHT!$C$5:$W$5,0)),0)</f>
        <v>0</v>
      </c>
      <c r="AK144" s="368">
        <f t="shared" si="83"/>
        <v>0</v>
      </c>
      <c r="AL144" s="7"/>
      <c r="AM144" s="95">
        <f t="shared" si="90"/>
        <v>0</v>
      </c>
      <c r="AN144" s="95">
        <f t="shared" si="84"/>
        <v>0</v>
      </c>
      <c r="AO144" s="95">
        <f t="shared" si="91"/>
        <v>0</v>
      </c>
      <c r="AP144" s="90"/>
      <c r="AQ144" s="18"/>
      <c r="AR144" s="290"/>
      <c r="AS144" s="467" t="s">
        <v>133</v>
      </c>
      <c r="AT144" s="501">
        <f t="shared" si="85"/>
        <v>0</v>
      </c>
      <c r="AU144" s="502"/>
      <c r="AV144" s="95">
        <f t="shared" si="92"/>
        <v>0</v>
      </c>
      <c r="AW144" s="469" t="str">
        <f t="shared" si="86"/>
        <v>N/A</v>
      </c>
      <c r="AX144" s="290"/>
      <c r="AY144" s="18"/>
      <c r="AZ144" s="3"/>
      <c r="BA144" s="315"/>
      <c r="BB144" s="3"/>
      <c r="BC144" s="3"/>
      <c r="BD144" s="3"/>
      <c r="BE144" s="3"/>
      <c r="BF144" s="18"/>
      <c r="BG144" s="3"/>
      <c r="BH144" s="315"/>
      <c r="BI144" s="3"/>
      <c r="BJ144" s="3"/>
      <c r="BK144" s="3"/>
      <c r="BL144" s="3"/>
      <c r="BM144" s="18"/>
      <c r="BN144" s="3"/>
      <c r="BO144" s="315"/>
      <c r="BP144" s="3"/>
      <c r="BQ144" s="3"/>
      <c r="BR144" s="3"/>
      <c r="BS144" s="3"/>
      <c r="BT144" s="18"/>
      <c r="BU144" s="3"/>
      <c r="BV144" s="315"/>
      <c r="BW144" s="3"/>
      <c r="BX144" s="3"/>
      <c r="BY144" s="3"/>
      <c r="BZ144" s="3"/>
    </row>
    <row r="145" spans="1:78" ht="15.6" outlineLevel="1">
      <c r="A145" s="7"/>
      <c r="B145" s="370"/>
      <c r="C145" s="355"/>
      <c r="D145" s="356"/>
      <c r="E145" s="342"/>
      <c r="F145" s="290"/>
      <c r="G145" s="357">
        <v>0</v>
      </c>
      <c r="H145" s="358">
        <v>0</v>
      </c>
      <c r="I145" s="358">
        <v>0</v>
      </c>
      <c r="J145" s="359">
        <f t="shared" si="87"/>
        <v>0</v>
      </c>
      <c r="K145" s="290"/>
      <c r="L145" s="349"/>
      <c r="M145" s="7"/>
      <c r="N145" s="12"/>
      <c r="O145" s="12"/>
      <c r="P145" s="12"/>
      <c r="Q145" s="361"/>
      <c r="R145" s="362"/>
      <c r="S145" s="363">
        <f t="shared" si="77"/>
        <v>0</v>
      </c>
      <c r="T145" s="364">
        <f t="shared" si="78"/>
        <v>0</v>
      </c>
      <c r="U145" s="365">
        <v>0</v>
      </c>
      <c r="V145" s="91">
        <f>ROUNDUP(IFERROR(INDEX(CostRateTbl[Cost Rate],MATCH(_xlfn.CONCAT(N145,O145,P145,"NA"),CostRateTbl[KeyCostRate],0)),0)*BillingCurrencyTRM*(1+U145),2)</f>
        <v>0</v>
      </c>
      <c r="W145" s="92">
        <f t="shared" si="79"/>
        <v>0</v>
      </c>
      <c r="X145" s="366" t="e" cm="1">
        <f t="array" ref="X145">_xlfn.LET(
    _xlpm.valor, INDEX(CostRate!H:H, MATCH(1, (CostRate!A:A=N145)*1, 0)),
    _xlpm.posicion, MATCH(_xlpm.valor, FilterSL!$F$1:$Z$1, 0),
    _xlpm.direccionCompleta, ADDRESS(1, _xlpm.posicion + 5, 4),
    _xlpm.letraColumna, SUBSTITUTE(_xlpm.direccionCompleta, "1", ""),
    _xlpm.letraColumna
)</f>
        <v>#N/A</v>
      </c>
      <c r="Y145" s="366" t="e" cm="1">
        <f t="array" ref="Y145">_xlfn.LET(
    _xlpm.valor, INDEX(CostRate!I:I, MATCH(1, (CostRate!A:A=N145)*(CostRate!B:B=O145), 0)),
    _xlpm.posicion, MATCH(_xlpm.valor, FilterJP!$E$1:$FZ$1, 0),
    _xlpm.direccionCompleta, ADDRESS(1, _xlpm.posicion + 4, 4),
    _xlpm.letraColumna, SUBSTITUTE(_xlpm.direccionCompleta, "1", ""),
    _xlpm.letraColumna
)</f>
        <v>#N/A</v>
      </c>
      <c r="Z145" s="7"/>
      <c r="AA145" s="367"/>
      <c r="AB145" s="7"/>
      <c r="AC145" s="93">
        <f t="shared" si="80"/>
        <v>0</v>
      </c>
      <c r="AD145" s="94">
        <f t="shared" si="88"/>
        <v>0</v>
      </c>
      <c r="AE145" s="109">
        <f t="shared" si="89"/>
        <v>0</v>
      </c>
      <c r="AF145" s="7"/>
      <c r="AG145" s="369">
        <f t="shared" si="81"/>
        <v>0</v>
      </c>
      <c r="AH145" s="368">
        <f t="shared" si="82"/>
        <v>0</v>
      </c>
      <c r="AI145" s="7"/>
      <c r="AJ145" s="369" cm="1">
        <f t="array" ref="AJ145">IFERROR(INDEX(WHT!$C$7:$W$18,MATCH(
_xlfn.SWITCH(N145,"xDC Medellin","Colombia","xDC Belo Horizonte","Brazil","xDC Guadalajara","Mexico","xDC Gurugram","India","xDC Leon","Spain","xDC San Jose","Costa Rica","xDC Warsaw","Poland",N145),
WHT!$B$7:$B$18,0),MATCH(CustomerCountry,WHT!$C$5:$W$5,0)),0)</f>
        <v>0</v>
      </c>
      <c r="AK145" s="368">
        <f t="shared" si="83"/>
        <v>0</v>
      </c>
      <c r="AL145" s="7"/>
      <c r="AM145" s="95">
        <f t="shared" si="90"/>
        <v>0</v>
      </c>
      <c r="AN145" s="95">
        <f t="shared" si="84"/>
        <v>0</v>
      </c>
      <c r="AO145" s="95">
        <f t="shared" si="91"/>
        <v>0</v>
      </c>
      <c r="AP145" s="90"/>
      <c r="AQ145" s="18"/>
      <c r="AR145" s="290"/>
      <c r="AS145" s="467" t="s">
        <v>133</v>
      </c>
      <c r="AT145" s="501">
        <f t="shared" si="85"/>
        <v>0</v>
      </c>
      <c r="AU145" s="502"/>
      <c r="AV145" s="95">
        <f t="shared" si="92"/>
        <v>0</v>
      </c>
      <c r="AW145" s="469" t="str">
        <f t="shared" si="86"/>
        <v>N/A</v>
      </c>
      <c r="AX145" s="290"/>
      <c r="AY145" s="18"/>
      <c r="AZ145" s="3"/>
      <c r="BA145" s="315"/>
      <c r="BB145" s="3"/>
      <c r="BC145" s="3"/>
      <c r="BD145" s="3"/>
      <c r="BE145" s="3"/>
      <c r="BF145" s="18"/>
      <c r="BG145" s="3"/>
      <c r="BH145" s="315"/>
      <c r="BI145" s="3"/>
      <c r="BJ145" s="3"/>
      <c r="BK145" s="3"/>
      <c r="BL145" s="3"/>
      <c r="BM145" s="18"/>
      <c r="BN145" s="3"/>
      <c r="BO145" s="315"/>
      <c r="BP145" s="3"/>
      <c r="BQ145" s="3"/>
      <c r="BR145" s="3"/>
      <c r="BS145" s="3"/>
      <c r="BT145" s="18"/>
      <c r="BU145" s="3"/>
      <c r="BV145" s="315"/>
      <c r="BW145" s="3"/>
      <c r="BX145" s="3"/>
      <c r="BY145" s="3"/>
      <c r="BZ145" s="3"/>
    </row>
    <row r="146" spans="1:78" ht="15.6" outlineLevel="1">
      <c r="A146" s="7"/>
      <c r="B146" s="370"/>
      <c r="C146" s="355"/>
      <c r="D146" s="356"/>
      <c r="E146" s="342"/>
      <c r="F146" s="290"/>
      <c r="G146" s="357">
        <v>0</v>
      </c>
      <c r="H146" s="358">
        <v>0</v>
      </c>
      <c r="I146" s="358">
        <v>0</v>
      </c>
      <c r="J146" s="359">
        <f t="shared" si="87"/>
        <v>0</v>
      </c>
      <c r="K146" s="290"/>
      <c r="L146" s="349"/>
      <c r="M146" s="7"/>
      <c r="N146" s="12"/>
      <c r="O146" s="12"/>
      <c r="P146" s="12"/>
      <c r="Q146" s="361"/>
      <c r="R146" s="362"/>
      <c r="S146" s="363">
        <f t="shared" si="77"/>
        <v>0</v>
      </c>
      <c r="T146" s="364">
        <f t="shared" si="78"/>
        <v>0</v>
      </c>
      <c r="U146" s="365">
        <v>0</v>
      </c>
      <c r="V146" s="91">
        <f>ROUNDUP(IFERROR(INDEX(CostRateTbl[Cost Rate],MATCH(_xlfn.CONCAT(N146,O146,P146,"NA"),CostRateTbl[KeyCostRate],0)),0)*BillingCurrencyTRM*(1+U146),2)</f>
        <v>0</v>
      </c>
      <c r="W146" s="92">
        <f t="shared" si="79"/>
        <v>0</v>
      </c>
      <c r="X146" s="366" t="e" cm="1">
        <f t="array" ref="X146">_xlfn.LET(
    _xlpm.valor, INDEX(CostRate!H:H, MATCH(1, (CostRate!A:A=N146)*1, 0)),
    _xlpm.posicion, MATCH(_xlpm.valor, FilterSL!$F$1:$Z$1, 0),
    _xlpm.direccionCompleta, ADDRESS(1, _xlpm.posicion + 5, 4),
    _xlpm.letraColumna, SUBSTITUTE(_xlpm.direccionCompleta, "1", ""),
    _xlpm.letraColumna
)</f>
        <v>#N/A</v>
      </c>
      <c r="Y146" s="366" t="e" cm="1">
        <f t="array" ref="Y146">_xlfn.LET(
    _xlpm.valor, INDEX(CostRate!I:I, MATCH(1, (CostRate!A:A=N146)*(CostRate!B:B=O146), 0)),
    _xlpm.posicion, MATCH(_xlpm.valor, FilterJP!$E$1:$FZ$1, 0),
    _xlpm.direccionCompleta, ADDRESS(1, _xlpm.posicion + 4, 4),
    _xlpm.letraColumna, SUBSTITUTE(_xlpm.direccionCompleta, "1", ""),
    _xlpm.letraColumna
)</f>
        <v>#N/A</v>
      </c>
      <c r="Z146" s="7"/>
      <c r="AA146" s="367"/>
      <c r="AB146" s="7"/>
      <c r="AC146" s="93">
        <f t="shared" si="80"/>
        <v>0</v>
      </c>
      <c r="AD146" s="94">
        <f t="shared" si="88"/>
        <v>0</v>
      </c>
      <c r="AE146" s="109">
        <f t="shared" si="89"/>
        <v>0</v>
      </c>
      <c r="AF146" s="7"/>
      <c r="AG146" s="369">
        <f t="shared" si="81"/>
        <v>0</v>
      </c>
      <c r="AH146" s="368">
        <f t="shared" si="82"/>
        <v>0</v>
      </c>
      <c r="AI146" s="7"/>
      <c r="AJ146" s="369" cm="1">
        <f t="array" ref="AJ146">IFERROR(INDEX(WHT!$C$7:$W$18,MATCH(
_xlfn.SWITCH(N146,"xDC Medellin","Colombia","xDC Belo Horizonte","Brazil","xDC Guadalajara","Mexico","xDC Gurugram","India","xDC Leon","Spain","xDC San Jose","Costa Rica","xDC Warsaw","Poland",N146),
WHT!$B$7:$B$18,0),MATCH(CustomerCountry,WHT!$C$5:$W$5,0)),0)</f>
        <v>0</v>
      </c>
      <c r="AK146" s="368">
        <f t="shared" si="83"/>
        <v>0</v>
      </c>
      <c r="AL146" s="7"/>
      <c r="AM146" s="95">
        <f t="shared" si="90"/>
        <v>0</v>
      </c>
      <c r="AN146" s="95">
        <f t="shared" si="84"/>
        <v>0</v>
      </c>
      <c r="AO146" s="95">
        <f t="shared" si="91"/>
        <v>0</v>
      </c>
      <c r="AP146" s="90"/>
      <c r="AQ146" s="18"/>
      <c r="AR146" s="290"/>
      <c r="AS146" s="467" t="s">
        <v>133</v>
      </c>
      <c r="AT146" s="501">
        <f t="shared" si="85"/>
        <v>0</v>
      </c>
      <c r="AU146" s="502"/>
      <c r="AV146" s="95">
        <f t="shared" si="92"/>
        <v>0</v>
      </c>
      <c r="AW146" s="469" t="str">
        <f t="shared" si="86"/>
        <v>N/A</v>
      </c>
      <c r="AX146" s="290"/>
      <c r="AY146" s="18"/>
      <c r="AZ146" s="3"/>
      <c r="BA146" s="315"/>
      <c r="BB146" s="3"/>
      <c r="BC146" s="3"/>
      <c r="BD146" s="3"/>
      <c r="BE146" s="3"/>
      <c r="BF146" s="18"/>
      <c r="BG146" s="3"/>
      <c r="BH146" s="315"/>
      <c r="BI146" s="3"/>
      <c r="BJ146" s="3"/>
      <c r="BK146" s="3"/>
      <c r="BL146" s="3"/>
      <c r="BM146" s="18"/>
      <c r="BN146" s="3"/>
      <c r="BO146" s="315"/>
      <c r="BP146" s="3"/>
      <c r="BQ146" s="3"/>
      <c r="BR146" s="3"/>
      <c r="BS146" s="3"/>
      <c r="BT146" s="18"/>
      <c r="BU146" s="3"/>
      <c r="BV146" s="315"/>
      <c r="BW146" s="3"/>
      <c r="BX146" s="3"/>
      <c r="BY146" s="3"/>
      <c r="BZ146" s="3"/>
    </row>
    <row r="147" spans="1:78" ht="15.6" outlineLevel="1">
      <c r="A147" s="7"/>
      <c r="B147" s="370"/>
      <c r="C147" s="355"/>
      <c r="D147" s="356"/>
      <c r="E147" s="342"/>
      <c r="F147" s="290"/>
      <c r="G147" s="357">
        <v>0</v>
      </c>
      <c r="H147" s="358">
        <v>0</v>
      </c>
      <c r="I147" s="358">
        <v>0</v>
      </c>
      <c r="J147" s="359">
        <f t="shared" si="87"/>
        <v>0</v>
      </c>
      <c r="K147" s="290"/>
      <c r="L147" s="349"/>
      <c r="M147" s="7"/>
      <c r="N147" s="12"/>
      <c r="O147" s="12"/>
      <c r="P147" s="12"/>
      <c r="Q147" s="361"/>
      <c r="R147" s="362"/>
      <c r="S147" s="363">
        <f t="shared" si="77"/>
        <v>0</v>
      </c>
      <c r="T147" s="364">
        <f t="shared" si="78"/>
        <v>0</v>
      </c>
      <c r="U147" s="365">
        <v>0</v>
      </c>
      <c r="V147" s="91">
        <f>ROUNDUP(IFERROR(INDEX(CostRateTbl[Cost Rate],MATCH(_xlfn.CONCAT(N147,O147,P147,"NA"),CostRateTbl[KeyCostRate],0)),0)*BillingCurrencyTRM*(1+U147),2)</f>
        <v>0</v>
      </c>
      <c r="W147" s="92">
        <f t="shared" si="79"/>
        <v>0</v>
      </c>
      <c r="X147" s="366" t="e" cm="1">
        <f t="array" ref="X147">_xlfn.LET(
    _xlpm.valor, INDEX(CostRate!H:H, MATCH(1, (CostRate!A:A=N147)*1, 0)),
    _xlpm.posicion, MATCH(_xlpm.valor, FilterSL!$F$1:$Z$1, 0),
    _xlpm.direccionCompleta, ADDRESS(1, _xlpm.posicion + 5, 4),
    _xlpm.letraColumna, SUBSTITUTE(_xlpm.direccionCompleta, "1", ""),
    _xlpm.letraColumna
)</f>
        <v>#N/A</v>
      </c>
      <c r="Y147" s="366" t="e" cm="1">
        <f t="array" ref="Y147">_xlfn.LET(
    _xlpm.valor, INDEX(CostRate!I:I, MATCH(1, (CostRate!A:A=N147)*(CostRate!B:B=O147), 0)),
    _xlpm.posicion, MATCH(_xlpm.valor, FilterJP!$E$1:$FZ$1, 0),
    _xlpm.direccionCompleta, ADDRESS(1, _xlpm.posicion + 4, 4),
    _xlpm.letraColumna, SUBSTITUTE(_xlpm.direccionCompleta, "1", ""),
    _xlpm.letraColumna
)</f>
        <v>#N/A</v>
      </c>
      <c r="Z147" s="7"/>
      <c r="AA147" s="367"/>
      <c r="AB147" s="7"/>
      <c r="AC147" s="93">
        <f t="shared" si="80"/>
        <v>0</v>
      </c>
      <c r="AD147" s="94">
        <f t="shared" si="88"/>
        <v>0</v>
      </c>
      <c r="AE147" s="109">
        <f t="shared" si="89"/>
        <v>0</v>
      </c>
      <c r="AF147" s="7"/>
      <c r="AG147" s="369">
        <f t="shared" si="81"/>
        <v>0</v>
      </c>
      <c r="AH147" s="368">
        <f t="shared" si="82"/>
        <v>0</v>
      </c>
      <c r="AI147" s="7"/>
      <c r="AJ147" s="369" cm="1">
        <f t="array" ref="AJ147">IFERROR(INDEX(WHT!$C$7:$W$18,MATCH(
_xlfn.SWITCH(N147,"xDC Medellin","Colombia","xDC Belo Horizonte","Brazil","xDC Guadalajara","Mexico","xDC Gurugram","India","xDC Leon","Spain","xDC San Jose","Costa Rica","xDC Warsaw","Poland",N147),
WHT!$B$7:$B$18,0),MATCH(CustomerCountry,WHT!$C$5:$W$5,0)),0)</f>
        <v>0</v>
      </c>
      <c r="AK147" s="368">
        <f t="shared" si="83"/>
        <v>0</v>
      </c>
      <c r="AL147" s="7"/>
      <c r="AM147" s="95">
        <f t="shared" si="90"/>
        <v>0</v>
      </c>
      <c r="AN147" s="95">
        <f t="shared" si="84"/>
        <v>0</v>
      </c>
      <c r="AO147" s="95">
        <f t="shared" si="91"/>
        <v>0</v>
      </c>
      <c r="AP147" s="90"/>
      <c r="AQ147" s="18"/>
      <c r="AR147" s="290"/>
      <c r="AS147" s="467" t="s">
        <v>133</v>
      </c>
      <c r="AT147" s="501">
        <f t="shared" si="85"/>
        <v>0</v>
      </c>
      <c r="AU147" s="502"/>
      <c r="AV147" s="95">
        <f t="shared" si="92"/>
        <v>0</v>
      </c>
      <c r="AW147" s="469" t="str">
        <f t="shared" si="86"/>
        <v>N/A</v>
      </c>
      <c r="AX147" s="290"/>
      <c r="AY147" s="18"/>
      <c r="AZ147" s="3"/>
      <c r="BA147" s="315"/>
      <c r="BB147" s="3"/>
      <c r="BC147" s="3"/>
      <c r="BD147" s="3"/>
      <c r="BE147" s="3"/>
      <c r="BF147" s="18"/>
      <c r="BG147" s="3"/>
      <c r="BH147" s="315"/>
      <c r="BI147" s="3"/>
      <c r="BJ147" s="3"/>
      <c r="BK147" s="3"/>
      <c r="BL147" s="3"/>
      <c r="BM147" s="18"/>
      <c r="BN147" s="3"/>
      <c r="BO147" s="315"/>
      <c r="BP147" s="3"/>
      <c r="BQ147" s="3"/>
      <c r="BR147" s="3"/>
      <c r="BS147" s="3"/>
      <c r="BT147" s="18"/>
      <c r="BU147" s="3"/>
      <c r="BV147" s="315"/>
      <c r="BW147" s="3"/>
      <c r="BX147" s="3"/>
      <c r="BY147" s="3"/>
      <c r="BZ147" s="3"/>
    </row>
    <row r="148" spans="1:78" ht="15.6" outlineLevel="1">
      <c r="A148" s="7"/>
      <c r="B148" s="370"/>
      <c r="C148" s="355"/>
      <c r="D148" s="356"/>
      <c r="E148" s="342"/>
      <c r="F148" s="290"/>
      <c r="G148" s="357">
        <v>0</v>
      </c>
      <c r="H148" s="358">
        <v>0</v>
      </c>
      <c r="I148" s="358">
        <v>0</v>
      </c>
      <c r="J148" s="359">
        <f t="shared" si="87"/>
        <v>0</v>
      </c>
      <c r="K148" s="290"/>
      <c r="L148" s="349"/>
      <c r="M148" s="7"/>
      <c r="N148" s="12"/>
      <c r="O148" s="12"/>
      <c r="P148" s="12"/>
      <c r="Q148" s="361"/>
      <c r="R148" s="362"/>
      <c r="S148" s="363">
        <f t="shared" si="77"/>
        <v>0</v>
      </c>
      <c r="T148" s="364">
        <f t="shared" si="78"/>
        <v>0</v>
      </c>
      <c r="U148" s="365">
        <v>0</v>
      </c>
      <c r="V148" s="91">
        <f>ROUNDUP(IFERROR(INDEX(CostRateTbl[Cost Rate],MATCH(_xlfn.CONCAT(N148,O148,P148,"NA"),CostRateTbl[KeyCostRate],0)),0)*BillingCurrencyTRM*(1+U148),2)</f>
        <v>0</v>
      </c>
      <c r="W148" s="92">
        <f t="shared" si="79"/>
        <v>0</v>
      </c>
      <c r="X148" s="366" t="e" cm="1">
        <f t="array" ref="X148">_xlfn.LET(
    _xlpm.valor, INDEX(CostRate!H:H, MATCH(1, (CostRate!A:A=N148)*1, 0)),
    _xlpm.posicion, MATCH(_xlpm.valor, FilterSL!$F$1:$Z$1, 0),
    _xlpm.direccionCompleta, ADDRESS(1, _xlpm.posicion + 5, 4),
    _xlpm.letraColumna, SUBSTITUTE(_xlpm.direccionCompleta, "1", ""),
    _xlpm.letraColumna
)</f>
        <v>#N/A</v>
      </c>
      <c r="Y148" s="366" t="e" cm="1">
        <f t="array" ref="Y148">_xlfn.LET(
    _xlpm.valor, INDEX(CostRate!I:I, MATCH(1, (CostRate!A:A=N148)*(CostRate!B:B=O148), 0)),
    _xlpm.posicion, MATCH(_xlpm.valor, FilterJP!$E$1:$FZ$1, 0),
    _xlpm.direccionCompleta, ADDRESS(1, _xlpm.posicion + 4, 4),
    _xlpm.letraColumna, SUBSTITUTE(_xlpm.direccionCompleta, "1", ""),
    _xlpm.letraColumna
)</f>
        <v>#N/A</v>
      </c>
      <c r="Z148" s="7"/>
      <c r="AA148" s="367"/>
      <c r="AB148" s="7"/>
      <c r="AC148" s="93">
        <f t="shared" si="80"/>
        <v>0</v>
      </c>
      <c r="AD148" s="94">
        <f t="shared" si="88"/>
        <v>0</v>
      </c>
      <c r="AE148" s="109">
        <f t="shared" si="89"/>
        <v>0</v>
      </c>
      <c r="AF148" s="7"/>
      <c r="AG148" s="369">
        <f t="shared" si="81"/>
        <v>0</v>
      </c>
      <c r="AH148" s="368">
        <f t="shared" si="82"/>
        <v>0</v>
      </c>
      <c r="AI148" s="7"/>
      <c r="AJ148" s="369" cm="1">
        <f t="array" ref="AJ148">IFERROR(INDEX(WHT!$C$7:$W$18,MATCH(
_xlfn.SWITCH(N148,"xDC Medellin","Colombia","xDC Belo Horizonte","Brazil","xDC Guadalajara","Mexico","xDC Gurugram","India","xDC Leon","Spain","xDC San Jose","Costa Rica","xDC Warsaw","Poland",N148),
WHT!$B$7:$B$18,0),MATCH(CustomerCountry,WHT!$C$5:$W$5,0)),0)</f>
        <v>0</v>
      </c>
      <c r="AK148" s="368">
        <f t="shared" si="83"/>
        <v>0</v>
      </c>
      <c r="AL148" s="7"/>
      <c r="AM148" s="95">
        <f t="shared" si="90"/>
        <v>0</v>
      </c>
      <c r="AN148" s="95">
        <f t="shared" si="84"/>
        <v>0</v>
      </c>
      <c r="AO148" s="95">
        <f t="shared" si="91"/>
        <v>0</v>
      </c>
      <c r="AP148" s="90"/>
      <c r="AQ148" s="18"/>
      <c r="AR148" s="290"/>
      <c r="AS148" s="467" t="s">
        <v>133</v>
      </c>
      <c r="AT148" s="501">
        <f t="shared" si="85"/>
        <v>0</v>
      </c>
      <c r="AU148" s="502"/>
      <c r="AV148" s="95">
        <f t="shared" si="92"/>
        <v>0</v>
      </c>
      <c r="AW148" s="469" t="str">
        <f t="shared" si="86"/>
        <v>N/A</v>
      </c>
      <c r="AX148" s="290"/>
      <c r="AY148" s="18"/>
      <c r="AZ148" s="3"/>
      <c r="BA148" s="315"/>
      <c r="BB148" s="3"/>
      <c r="BC148" s="3"/>
      <c r="BD148" s="3"/>
      <c r="BE148" s="3"/>
      <c r="BF148" s="18"/>
      <c r="BG148" s="3"/>
      <c r="BH148" s="315"/>
      <c r="BI148" s="3"/>
      <c r="BJ148" s="3"/>
      <c r="BK148" s="3"/>
      <c r="BL148" s="3"/>
      <c r="BM148" s="18"/>
      <c r="BN148" s="3"/>
      <c r="BO148" s="315"/>
      <c r="BP148" s="3"/>
      <c r="BQ148" s="3"/>
      <c r="BR148" s="3"/>
      <c r="BS148" s="3"/>
      <c r="BT148" s="18"/>
      <c r="BU148" s="3"/>
      <c r="BV148" s="315"/>
      <c r="BW148" s="3"/>
      <c r="BX148" s="3"/>
      <c r="BY148" s="3"/>
      <c r="BZ148" s="3"/>
    </row>
    <row r="149" spans="1:78" ht="15.6" outlineLevel="1">
      <c r="A149" s="7"/>
      <c r="B149" s="370"/>
      <c r="C149" s="355"/>
      <c r="D149" s="356"/>
      <c r="E149" s="342"/>
      <c r="F149" s="290"/>
      <c r="G149" s="357">
        <v>0</v>
      </c>
      <c r="H149" s="358">
        <v>0</v>
      </c>
      <c r="I149" s="358">
        <v>0</v>
      </c>
      <c r="J149" s="359">
        <f t="shared" si="87"/>
        <v>0</v>
      </c>
      <c r="K149" s="290"/>
      <c r="L149" s="349"/>
      <c r="M149" s="7"/>
      <c r="N149" s="12"/>
      <c r="O149" s="12"/>
      <c r="P149" s="12"/>
      <c r="Q149" s="361"/>
      <c r="R149" s="362"/>
      <c r="S149" s="363">
        <f t="shared" si="77"/>
        <v>0</v>
      </c>
      <c r="T149" s="364">
        <f t="shared" si="78"/>
        <v>0</v>
      </c>
      <c r="U149" s="365">
        <v>0</v>
      </c>
      <c r="V149" s="91">
        <f>ROUNDUP(IFERROR(INDEX(CostRateTbl[Cost Rate],MATCH(_xlfn.CONCAT(N149,O149,P149,"NA"),CostRateTbl[KeyCostRate],0)),0)*BillingCurrencyTRM*(1+U149),2)</f>
        <v>0</v>
      </c>
      <c r="W149" s="92">
        <f t="shared" si="79"/>
        <v>0</v>
      </c>
      <c r="X149" s="366" t="e" cm="1">
        <f t="array" ref="X149">_xlfn.LET(
    _xlpm.valor, INDEX(CostRate!H:H, MATCH(1, (CostRate!A:A=N149)*1, 0)),
    _xlpm.posicion, MATCH(_xlpm.valor, FilterSL!$F$1:$Z$1, 0),
    _xlpm.direccionCompleta, ADDRESS(1, _xlpm.posicion + 5, 4),
    _xlpm.letraColumna, SUBSTITUTE(_xlpm.direccionCompleta, "1", ""),
    _xlpm.letraColumna
)</f>
        <v>#N/A</v>
      </c>
      <c r="Y149" s="366" t="e" cm="1">
        <f t="array" ref="Y149">_xlfn.LET(
    _xlpm.valor, INDEX(CostRate!I:I, MATCH(1, (CostRate!A:A=N149)*(CostRate!B:B=O149), 0)),
    _xlpm.posicion, MATCH(_xlpm.valor, FilterJP!$E$1:$FZ$1, 0),
    _xlpm.direccionCompleta, ADDRESS(1, _xlpm.posicion + 4, 4),
    _xlpm.letraColumna, SUBSTITUTE(_xlpm.direccionCompleta, "1", ""),
    _xlpm.letraColumna
)</f>
        <v>#N/A</v>
      </c>
      <c r="Z149" s="7"/>
      <c r="AA149" s="367"/>
      <c r="AB149" s="7"/>
      <c r="AC149" s="93">
        <f t="shared" si="80"/>
        <v>0</v>
      </c>
      <c r="AD149" s="94">
        <f t="shared" si="88"/>
        <v>0</v>
      </c>
      <c r="AE149" s="109">
        <f t="shared" si="89"/>
        <v>0</v>
      </c>
      <c r="AF149" s="7"/>
      <c r="AG149" s="369">
        <f t="shared" si="81"/>
        <v>0</v>
      </c>
      <c r="AH149" s="368">
        <f t="shared" si="82"/>
        <v>0</v>
      </c>
      <c r="AI149" s="7"/>
      <c r="AJ149" s="369" cm="1">
        <f t="array" ref="AJ149">IFERROR(INDEX(WHT!$C$7:$W$18,MATCH(
_xlfn.SWITCH(N149,"xDC Medellin","Colombia","xDC Belo Horizonte","Brazil","xDC Guadalajara","Mexico","xDC Gurugram","India","xDC Leon","Spain","xDC San Jose","Costa Rica","xDC Warsaw","Poland",N149),
WHT!$B$7:$B$18,0),MATCH(CustomerCountry,WHT!$C$5:$W$5,0)),0)</f>
        <v>0</v>
      </c>
      <c r="AK149" s="368">
        <f t="shared" si="83"/>
        <v>0</v>
      </c>
      <c r="AL149" s="7"/>
      <c r="AM149" s="95">
        <f t="shared" si="90"/>
        <v>0</v>
      </c>
      <c r="AN149" s="95">
        <f t="shared" si="84"/>
        <v>0</v>
      </c>
      <c r="AO149" s="95">
        <f t="shared" si="91"/>
        <v>0</v>
      </c>
      <c r="AP149" s="90"/>
      <c r="AQ149" s="18"/>
      <c r="AR149" s="290"/>
      <c r="AS149" s="467" t="s">
        <v>133</v>
      </c>
      <c r="AT149" s="501">
        <f t="shared" si="85"/>
        <v>0</v>
      </c>
      <c r="AU149" s="502"/>
      <c r="AV149" s="95">
        <f t="shared" si="92"/>
        <v>0</v>
      </c>
      <c r="AW149" s="469" t="str">
        <f t="shared" si="86"/>
        <v>N/A</v>
      </c>
      <c r="AX149" s="290"/>
      <c r="AY149" s="18"/>
      <c r="AZ149" s="3"/>
      <c r="BA149" s="315"/>
      <c r="BB149" s="3"/>
      <c r="BC149" s="3"/>
      <c r="BD149" s="3"/>
      <c r="BE149" s="3"/>
      <c r="BF149" s="18"/>
      <c r="BG149" s="3"/>
      <c r="BH149" s="315"/>
      <c r="BI149" s="3"/>
      <c r="BJ149" s="3"/>
      <c r="BK149" s="3"/>
      <c r="BL149" s="3"/>
      <c r="BM149" s="18"/>
      <c r="BN149" s="3"/>
      <c r="BO149" s="315"/>
      <c r="BP149" s="3"/>
      <c r="BQ149" s="3"/>
      <c r="BR149" s="3"/>
      <c r="BS149" s="3"/>
      <c r="BT149" s="18"/>
      <c r="BU149" s="3"/>
      <c r="BV149" s="315"/>
      <c r="BW149" s="3"/>
      <c r="BX149" s="3"/>
      <c r="BY149" s="3"/>
      <c r="BZ149" s="3"/>
    </row>
    <row r="150" spans="1:78" ht="15.6" outlineLevel="1">
      <c r="A150" s="7"/>
      <c r="B150" s="370"/>
      <c r="C150" s="355"/>
      <c r="D150" s="356"/>
      <c r="E150" s="342"/>
      <c r="F150" s="290"/>
      <c r="G150" s="357">
        <v>0</v>
      </c>
      <c r="H150" s="358">
        <v>0</v>
      </c>
      <c r="I150" s="358">
        <v>0</v>
      </c>
      <c r="J150" s="359">
        <f t="shared" si="87"/>
        <v>0</v>
      </c>
      <c r="K150" s="290"/>
      <c r="L150" s="349"/>
      <c r="M150" s="7"/>
      <c r="N150" s="12"/>
      <c r="O150" s="12"/>
      <c r="P150" s="12"/>
      <c r="Q150" s="361"/>
      <c r="R150" s="362"/>
      <c r="S150" s="363">
        <f t="shared" si="77"/>
        <v>0</v>
      </c>
      <c r="T150" s="364">
        <f t="shared" si="78"/>
        <v>0</v>
      </c>
      <c r="U150" s="365">
        <v>0</v>
      </c>
      <c r="V150" s="91">
        <f>ROUNDUP(IFERROR(INDEX(CostRateTbl[Cost Rate],MATCH(_xlfn.CONCAT(N150,O150,P150,"NA"),CostRateTbl[KeyCostRate],0)),0)*BillingCurrencyTRM*(1+U150),2)</f>
        <v>0</v>
      </c>
      <c r="W150" s="92">
        <f t="shared" si="79"/>
        <v>0</v>
      </c>
      <c r="X150" s="366" t="e" cm="1">
        <f t="array" ref="X150">_xlfn.LET(
    _xlpm.valor, INDEX(CostRate!H:H, MATCH(1, (CostRate!A:A=N150)*1, 0)),
    _xlpm.posicion, MATCH(_xlpm.valor, FilterSL!$F$1:$Z$1, 0),
    _xlpm.direccionCompleta, ADDRESS(1, _xlpm.posicion + 5, 4),
    _xlpm.letraColumna, SUBSTITUTE(_xlpm.direccionCompleta, "1", ""),
    _xlpm.letraColumna
)</f>
        <v>#N/A</v>
      </c>
      <c r="Y150" s="366" t="e" cm="1">
        <f t="array" ref="Y150">_xlfn.LET(
    _xlpm.valor, INDEX(CostRate!I:I, MATCH(1, (CostRate!A:A=N150)*(CostRate!B:B=O150), 0)),
    _xlpm.posicion, MATCH(_xlpm.valor, FilterJP!$E$1:$FZ$1, 0),
    _xlpm.direccionCompleta, ADDRESS(1, _xlpm.posicion + 4, 4),
    _xlpm.letraColumna, SUBSTITUTE(_xlpm.direccionCompleta, "1", ""),
    _xlpm.letraColumna
)</f>
        <v>#N/A</v>
      </c>
      <c r="Z150" s="7"/>
      <c r="AA150" s="367"/>
      <c r="AB150" s="7"/>
      <c r="AC150" s="93">
        <f t="shared" si="80"/>
        <v>0</v>
      </c>
      <c r="AD150" s="94">
        <f t="shared" si="88"/>
        <v>0</v>
      </c>
      <c r="AE150" s="109">
        <f t="shared" si="89"/>
        <v>0</v>
      </c>
      <c r="AF150" s="7"/>
      <c r="AG150" s="369">
        <f t="shared" si="81"/>
        <v>0</v>
      </c>
      <c r="AH150" s="368">
        <f t="shared" si="82"/>
        <v>0</v>
      </c>
      <c r="AI150" s="7"/>
      <c r="AJ150" s="369" cm="1">
        <f t="array" ref="AJ150">IFERROR(INDEX(WHT!$C$7:$W$18,MATCH(
_xlfn.SWITCH(N150,"xDC Medellin","Colombia","xDC Belo Horizonte","Brazil","xDC Guadalajara","Mexico","xDC Gurugram","India","xDC Leon","Spain","xDC San Jose","Costa Rica","xDC Warsaw","Poland",N150),
WHT!$B$7:$B$18,0),MATCH(CustomerCountry,WHT!$C$5:$W$5,0)),0)</f>
        <v>0</v>
      </c>
      <c r="AK150" s="368">
        <f t="shared" si="83"/>
        <v>0</v>
      </c>
      <c r="AL150" s="7"/>
      <c r="AM150" s="95">
        <f t="shared" si="90"/>
        <v>0</v>
      </c>
      <c r="AN150" s="95">
        <f t="shared" si="84"/>
        <v>0</v>
      </c>
      <c r="AO150" s="95">
        <f t="shared" si="91"/>
        <v>0</v>
      </c>
      <c r="AP150" s="90"/>
      <c r="AQ150" s="18"/>
      <c r="AR150" s="290"/>
      <c r="AS150" s="467" t="s">
        <v>133</v>
      </c>
      <c r="AT150" s="501">
        <f t="shared" si="85"/>
        <v>0</v>
      </c>
      <c r="AU150" s="502"/>
      <c r="AV150" s="95">
        <f t="shared" si="92"/>
        <v>0</v>
      </c>
      <c r="AW150" s="469" t="str">
        <f t="shared" si="86"/>
        <v>N/A</v>
      </c>
      <c r="AX150" s="290"/>
      <c r="AY150" s="18"/>
      <c r="AZ150" s="3"/>
      <c r="BA150" s="315"/>
      <c r="BB150" s="3"/>
      <c r="BC150" s="3"/>
      <c r="BD150" s="3"/>
      <c r="BE150" s="3"/>
      <c r="BF150" s="18"/>
      <c r="BG150" s="3"/>
      <c r="BH150" s="315"/>
      <c r="BI150" s="3"/>
      <c r="BJ150" s="3"/>
      <c r="BK150" s="3"/>
      <c r="BL150" s="3"/>
      <c r="BM150" s="18"/>
      <c r="BN150" s="3"/>
      <c r="BO150" s="315"/>
      <c r="BP150" s="3"/>
      <c r="BQ150" s="3"/>
      <c r="BR150" s="3"/>
      <c r="BS150" s="3"/>
      <c r="BT150" s="18"/>
      <c r="BU150" s="3"/>
      <c r="BV150" s="315"/>
      <c r="BW150" s="3"/>
      <c r="BX150" s="3"/>
      <c r="BY150" s="3"/>
      <c r="BZ150" s="3"/>
    </row>
    <row r="151" spans="1:78" ht="15.6" outlineLevel="1">
      <c r="A151" s="7"/>
      <c r="B151" s="370"/>
      <c r="C151" s="355"/>
      <c r="D151" s="356"/>
      <c r="E151" s="342"/>
      <c r="F151" s="290"/>
      <c r="G151" s="357">
        <v>0</v>
      </c>
      <c r="H151" s="358">
        <v>0</v>
      </c>
      <c r="I151" s="358">
        <v>0</v>
      </c>
      <c r="J151" s="359">
        <f t="shared" si="87"/>
        <v>0</v>
      </c>
      <c r="K151" s="290"/>
      <c r="L151" s="349"/>
      <c r="M151" s="7"/>
      <c r="N151" s="12"/>
      <c r="O151" s="12"/>
      <c r="P151" s="12"/>
      <c r="Q151" s="361"/>
      <c r="R151" s="362"/>
      <c r="S151" s="363">
        <f t="shared" si="77"/>
        <v>0</v>
      </c>
      <c r="T151" s="364">
        <f t="shared" si="78"/>
        <v>0</v>
      </c>
      <c r="U151" s="365">
        <v>0</v>
      </c>
      <c r="V151" s="91">
        <f>ROUNDUP(IFERROR(INDEX(CostRateTbl[Cost Rate],MATCH(_xlfn.CONCAT(N151,O151,P151,"NA"),CostRateTbl[KeyCostRate],0)),0)*BillingCurrencyTRM*(1+U151),2)</f>
        <v>0</v>
      </c>
      <c r="W151" s="92">
        <f t="shared" si="79"/>
        <v>0</v>
      </c>
      <c r="X151" s="366" t="e" cm="1">
        <f t="array" ref="X151">_xlfn.LET(
    _xlpm.valor, INDEX(CostRate!H:H, MATCH(1, (CostRate!A:A=N151)*1, 0)),
    _xlpm.posicion, MATCH(_xlpm.valor, FilterSL!$F$1:$Z$1, 0),
    _xlpm.direccionCompleta, ADDRESS(1, _xlpm.posicion + 5, 4),
    _xlpm.letraColumna, SUBSTITUTE(_xlpm.direccionCompleta, "1", ""),
    _xlpm.letraColumna
)</f>
        <v>#N/A</v>
      </c>
      <c r="Y151" s="366" t="e" cm="1">
        <f t="array" ref="Y151">_xlfn.LET(
    _xlpm.valor, INDEX(CostRate!I:I, MATCH(1, (CostRate!A:A=N151)*(CostRate!B:B=O151), 0)),
    _xlpm.posicion, MATCH(_xlpm.valor, FilterJP!$E$1:$FZ$1, 0),
    _xlpm.direccionCompleta, ADDRESS(1, _xlpm.posicion + 4, 4),
    _xlpm.letraColumna, SUBSTITUTE(_xlpm.direccionCompleta, "1", ""),
    _xlpm.letraColumna
)</f>
        <v>#N/A</v>
      </c>
      <c r="Z151" s="7"/>
      <c r="AA151" s="367"/>
      <c r="AB151" s="7"/>
      <c r="AC151" s="93">
        <f t="shared" si="80"/>
        <v>0</v>
      </c>
      <c r="AD151" s="94">
        <f t="shared" si="88"/>
        <v>0</v>
      </c>
      <c r="AE151" s="109">
        <f t="shared" si="89"/>
        <v>0</v>
      </c>
      <c r="AF151" s="7"/>
      <c r="AG151" s="369">
        <f t="shared" si="81"/>
        <v>0</v>
      </c>
      <c r="AH151" s="368">
        <f t="shared" si="82"/>
        <v>0</v>
      </c>
      <c r="AI151" s="7"/>
      <c r="AJ151" s="369" cm="1">
        <f t="array" ref="AJ151">IFERROR(INDEX(WHT!$C$7:$W$18,MATCH(
_xlfn.SWITCH(N151,"xDC Medellin","Colombia","xDC Belo Horizonte","Brazil","xDC Guadalajara","Mexico","xDC Gurugram","India","xDC Leon","Spain","xDC San Jose","Costa Rica","xDC Warsaw","Poland",N151),
WHT!$B$7:$B$18,0),MATCH(CustomerCountry,WHT!$C$5:$W$5,0)),0)</f>
        <v>0</v>
      </c>
      <c r="AK151" s="368">
        <f t="shared" si="83"/>
        <v>0</v>
      </c>
      <c r="AL151" s="7"/>
      <c r="AM151" s="95">
        <f t="shared" si="90"/>
        <v>0</v>
      </c>
      <c r="AN151" s="95">
        <f t="shared" si="84"/>
        <v>0</v>
      </c>
      <c r="AO151" s="95">
        <f t="shared" si="91"/>
        <v>0</v>
      </c>
      <c r="AP151" s="90"/>
      <c r="AQ151" s="18"/>
      <c r="AR151" s="290"/>
      <c r="AS151" s="467" t="s">
        <v>133</v>
      </c>
      <c r="AT151" s="501">
        <f t="shared" si="85"/>
        <v>0</v>
      </c>
      <c r="AU151" s="502"/>
      <c r="AV151" s="95">
        <f t="shared" si="92"/>
        <v>0</v>
      </c>
      <c r="AW151" s="469" t="str">
        <f t="shared" si="86"/>
        <v>N/A</v>
      </c>
      <c r="AX151" s="290"/>
      <c r="AY151" s="18"/>
      <c r="AZ151" s="3"/>
      <c r="BA151" s="315"/>
      <c r="BB151" s="3"/>
      <c r="BC151" s="3"/>
      <c r="BD151" s="3"/>
      <c r="BE151" s="3"/>
      <c r="BF151" s="18"/>
      <c r="BG151" s="3"/>
      <c r="BH151" s="315"/>
      <c r="BI151" s="3"/>
      <c r="BJ151" s="3"/>
      <c r="BK151" s="3"/>
      <c r="BL151" s="3"/>
      <c r="BM151" s="18"/>
      <c r="BN151" s="3"/>
      <c r="BO151" s="315"/>
      <c r="BP151" s="3"/>
      <c r="BQ151" s="3"/>
      <c r="BR151" s="3"/>
      <c r="BS151" s="3"/>
      <c r="BT151" s="18"/>
      <c r="BU151" s="3"/>
      <c r="BV151" s="315"/>
      <c r="BW151" s="3"/>
      <c r="BX151" s="3"/>
      <c r="BY151" s="3"/>
      <c r="BZ151" s="3"/>
    </row>
    <row r="152" spans="1:78" ht="15.6" outlineLevel="1">
      <c r="A152" s="7"/>
      <c r="B152" s="370"/>
      <c r="C152" s="355"/>
      <c r="D152" s="356"/>
      <c r="E152" s="342"/>
      <c r="F152" s="290"/>
      <c r="G152" s="357">
        <v>0</v>
      </c>
      <c r="H152" s="358">
        <v>0</v>
      </c>
      <c r="I152" s="358">
        <v>0</v>
      </c>
      <c r="J152" s="359">
        <f t="shared" si="87"/>
        <v>0</v>
      </c>
      <c r="K152" s="290"/>
      <c r="L152" s="349"/>
      <c r="M152" s="7"/>
      <c r="N152" s="12"/>
      <c r="O152" s="12"/>
      <c r="P152" s="12"/>
      <c r="Q152" s="361"/>
      <c r="R152" s="362"/>
      <c r="S152" s="363">
        <f t="shared" si="77"/>
        <v>0</v>
      </c>
      <c r="T152" s="364">
        <f t="shared" si="78"/>
        <v>0</v>
      </c>
      <c r="U152" s="365">
        <v>0</v>
      </c>
      <c r="V152" s="91">
        <f>ROUNDUP(IFERROR(INDEX(CostRateTbl[Cost Rate],MATCH(_xlfn.CONCAT(N152,O152,P152,"NA"),CostRateTbl[KeyCostRate],0)),0)*BillingCurrencyTRM*(1+U152),2)</f>
        <v>0</v>
      </c>
      <c r="W152" s="92">
        <f t="shared" si="79"/>
        <v>0</v>
      </c>
      <c r="X152" s="366" t="e" cm="1">
        <f t="array" ref="X152">_xlfn.LET(
    _xlpm.valor, INDEX(CostRate!H:H, MATCH(1, (CostRate!A:A=N152)*1, 0)),
    _xlpm.posicion, MATCH(_xlpm.valor, FilterSL!$F$1:$Z$1, 0),
    _xlpm.direccionCompleta, ADDRESS(1, _xlpm.posicion + 5, 4),
    _xlpm.letraColumna, SUBSTITUTE(_xlpm.direccionCompleta, "1", ""),
    _xlpm.letraColumna
)</f>
        <v>#N/A</v>
      </c>
      <c r="Y152" s="366" t="e" cm="1">
        <f t="array" ref="Y152">_xlfn.LET(
    _xlpm.valor, INDEX(CostRate!I:I, MATCH(1, (CostRate!A:A=N152)*(CostRate!B:B=O152), 0)),
    _xlpm.posicion, MATCH(_xlpm.valor, FilterJP!$E$1:$FZ$1, 0),
    _xlpm.direccionCompleta, ADDRESS(1, _xlpm.posicion + 4, 4),
    _xlpm.letraColumna, SUBSTITUTE(_xlpm.direccionCompleta, "1", ""),
    _xlpm.letraColumna
)</f>
        <v>#N/A</v>
      </c>
      <c r="Z152" s="7"/>
      <c r="AA152" s="367"/>
      <c r="AB152" s="7"/>
      <c r="AC152" s="93">
        <f t="shared" si="80"/>
        <v>0</v>
      </c>
      <c r="AD152" s="94">
        <f t="shared" si="88"/>
        <v>0</v>
      </c>
      <c r="AE152" s="109">
        <f t="shared" si="89"/>
        <v>0</v>
      </c>
      <c r="AF152" s="7"/>
      <c r="AG152" s="369">
        <f t="shared" si="81"/>
        <v>0</v>
      </c>
      <c r="AH152" s="368">
        <f t="shared" si="82"/>
        <v>0</v>
      </c>
      <c r="AI152" s="7"/>
      <c r="AJ152" s="369" cm="1">
        <f t="array" ref="AJ152">IFERROR(INDEX(WHT!$C$7:$W$18,MATCH(
_xlfn.SWITCH(N152,"xDC Medellin","Colombia","xDC Belo Horizonte","Brazil","xDC Guadalajara","Mexico","xDC Gurugram","India","xDC Leon","Spain","xDC San Jose","Costa Rica","xDC Warsaw","Poland",N152),
WHT!$B$7:$B$18,0),MATCH(CustomerCountry,WHT!$C$5:$W$5,0)),0)</f>
        <v>0</v>
      </c>
      <c r="AK152" s="368">
        <f t="shared" si="83"/>
        <v>0</v>
      </c>
      <c r="AL152" s="7"/>
      <c r="AM152" s="95">
        <f t="shared" si="90"/>
        <v>0</v>
      </c>
      <c r="AN152" s="95">
        <f t="shared" si="84"/>
        <v>0</v>
      </c>
      <c r="AO152" s="95">
        <f t="shared" si="91"/>
        <v>0</v>
      </c>
      <c r="AP152" s="90"/>
      <c r="AQ152" s="18"/>
      <c r="AR152" s="290"/>
      <c r="AS152" s="467" t="s">
        <v>133</v>
      </c>
      <c r="AT152" s="501">
        <f t="shared" si="85"/>
        <v>0</v>
      </c>
      <c r="AU152" s="502"/>
      <c r="AV152" s="95">
        <f t="shared" si="92"/>
        <v>0</v>
      </c>
      <c r="AW152" s="469" t="str">
        <f t="shared" si="86"/>
        <v>N/A</v>
      </c>
      <c r="AX152" s="290"/>
      <c r="AY152" s="18"/>
      <c r="AZ152" s="3"/>
      <c r="BA152" s="315"/>
      <c r="BB152" s="3"/>
      <c r="BC152" s="3"/>
      <c r="BD152" s="3"/>
      <c r="BE152" s="3"/>
      <c r="BF152" s="18"/>
      <c r="BG152" s="3"/>
      <c r="BH152" s="315"/>
      <c r="BI152" s="3"/>
      <c r="BJ152" s="3"/>
      <c r="BK152" s="3"/>
      <c r="BL152" s="3"/>
      <c r="BM152" s="18"/>
      <c r="BN152" s="3"/>
      <c r="BO152" s="315"/>
      <c r="BP152" s="3"/>
      <c r="BQ152" s="3"/>
      <c r="BR152" s="3"/>
      <c r="BS152" s="3"/>
      <c r="BT152" s="18"/>
      <c r="BU152" s="3"/>
      <c r="BV152" s="315"/>
      <c r="BW152" s="3"/>
      <c r="BX152" s="3"/>
      <c r="BY152" s="3"/>
      <c r="BZ152" s="3"/>
    </row>
    <row r="153" spans="1:78" ht="15.6" outlineLevel="1">
      <c r="A153" s="7"/>
      <c r="B153" s="370"/>
      <c r="C153" s="355"/>
      <c r="D153" s="356"/>
      <c r="E153" s="342"/>
      <c r="F153" s="290"/>
      <c r="G153" s="357">
        <v>0</v>
      </c>
      <c r="H153" s="358">
        <v>0</v>
      </c>
      <c r="I153" s="358">
        <v>0</v>
      </c>
      <c r="J153" s="359">
        <f t="shared" si="87"/>
        <v>0</v>
      </c>
      <c r="K153" s="290"/>
      <c r="L153" s="349"/>
      <c r="M153" s="7"/>
      <c r="N153" s="12"/>
      <c r="O153" s="12"/>
      <c r="P153" s="12"/>
      <c r="Q153" s="361"/>
      <c r="R153" s="362"/>
      <c r="S153" s="363">
        <f t="shared" si="77"/>
        <v>0</v>
      </c>
      <c r="T153" s="364">
        <f t="shared" si="78"/>
        <v>0</v>
      </c>
      <c r="U153" s="365">
        <v>0</v>
      </c>
      <c r="V153" s="91">
        <f>ROUNDUP(IFERROR(INDEX(CostRateTbl[Cost Rate],MATCH(_xlfn.CONCAT(N153,O153,P153,"NA"),CostRateTbl[KeyCostRate],0)),0)*BillingCurrencyTRM*(1+U153),2)</f>
        <v>0</v>
      </c>
      <c r="W153" s="92">
        <f t="shared" si="79"/>
        <v>0</v>
      </c>
      <c r="X153" s="366" t="e" cm="1">
        <f t="array" ref="X153">_xlfn.LET(
    _xlpm.valor, INDEX(CostRate!H:H, MATCH(1, (CostRate!A:A=N153)*1, 0)),
    _xlpm.posicion, MATCH(_xlpm.valor, FilterSL!$F$1:$Z$1, 0),
    _xlpm.direccionCompleta, ADDRESS(1, _xlpm.posicion + 5, 4),
    _xlpm.letraColumna, SUBSTITUTE(_xlpm.direccionCompleta, "1", ""),
    _xlpm.letraColumna
)</f>
        <v>#N/A</v>
      </c>
      <c r="Y153" s="366" t="e" cm="1">
        <f t="array" ref="Y153">_xlfn.LET(
    _xlpm.valor, INDEX(CostRate!I:I, MATCH(1, (CostRate!A:A=N153)*(CostRate!B:B=O153), 0)),
    _xlpm.posicion, MATCH(_xlpm.valor, FilterJP!$E$1:$FZ$1, 0),
    _xlpm.direccionCompleta, ADDRESS(1, _xlpm.posicion + 4, 4),
    _xlpm.letraColumna, SUBSTITUTE(_xlpm.direccionCompleta, "1", ""),
    _xlpm.letraColumna
)</f>
        <v>#N/A</v>
      </c>
      <c r="Z153" s="7"/>
      <c r="AA153" s="367"/>
      <c r="AB153" s="7"/>
      <c r="AC153" s="93">
        <f t="shared" si="80"/>
        <v>0</v>
      </c>
      <c r="AD153" s="94">
        <f t="shared" si="88"/>
        <v>0</v>
      </c>
      <c r="AE153" s="109">
        <f t="shared" si="89"/>
        <v>0</v>
      </c>
      <c r="AF153" s="7"/>
      <c r="AG153" s="369">
        <f t="shared" si="81"/>
        <v>0</v>
      </c>
      <c r="AH153" s="368">
        <f t="shared" si="82"/>
        <v>0</v>
      </c>
      <c r="AI153" s="7"/>
      <c r="AJ153" s="369" cm="1">
        <f t="array" ref="AJ153">IFERROR(INDEX(WHT!$C$7:$W$18,MATCH(
_xlfn.SWITCH(N153,"xDC Medellin","Colombia","xDC Belo Horizonte","Brazil","xDC Guadalajara","Mexico","xDC Gurugram","India","xDC Leon","Spain","xDC San Jose","Costa Rica","xDC Warsaw","Poland",N153),
WHT!$B$7:$B$18,0),MATCH(CustomerCountry,WHT!$C$5:$W$5,0)),0)</f>
        <v>0</v>
      </c>
      <c r="AK153" s="368">
        <f t="shared" si="83"/>
        <v>0</v>
      </c>
      <c r="AL153" s="7"/>
      <c r="AM153" s="95">
        <f t="shared" si="90"/>
        <v>0</v>
      </c>
      <c r="AN153" s="95">
        <f t="shared" si="84"/>
        <v>0</v>
      </c>
      <c r="AO153" s="95">
        <f t="shared" si="91"/>
        <v>0</v>
      </c>
      <c r="AP153" s="90"/>
      <c r="AQ153" s="18"/>
      <c r="AR153" s="290"/>
      <c r="AS153" s="467" t="s">
        <v>133</v>
      </c>
      <c r="AT153" s="501">
        <f t="shared" si="85"/>
        <v>0</v>
      </c>
      <c r="AU153" s="502"/>
      <c r="AV153" s="95">
        <f t="shared" si="92"/>
        <v>0</v>
      </c>
      <c r="AW153" s="469" t="str">
        <f t="shared" si="86"/>
        <v>N/A</v>
      </c>
      <c r="AX153" s="290"/>
      <c r="AY153" s="18"/>
      <c r="AZ153" s="3"/>
      <c r="BA153" s="315"/>
      <c r="BB153" s="3"/>
      <c r="BC153" s="3"/>
      <c r="BD153" s="3"/>
      <c r="BE153" s="3"/>
      <c r="BF153" s="18"/>
      <c r="BG153" s="3"/>
      <c r="BH153" s="315"/>
      <c r="BI153" s="3"/>
      <c r="BJ153" s="3"/>
      <c r="BK153" s="3"/>
      <c r="BL153" s="3"/>
      <c r="BM153" s="18"/>
      <c r="BN153" s="3"/>
      <c r="BO153" s="315"/>
      <c r="BP153" s="3"/>
      <c r="BQ153" s="3"/>
      <c r="BR153" s="3"/>
      <c r="BS153" s="3"/>
      <c r="BT153" s="18"/>
      <c r="BU153" s="3"/>
      <c r="BV153" s="315"/>
      <c r="BW153" s="3"/>
      <c r="BX153" s="3"/>
      <c r="BY153" s="3"/>
      <c r="BZ153" s="3"/>
    </row>
    <row r="154" spans="1:78" ht="15.6" outlineLevel="1">
      <c r="A154" s="7"/>
      <c r="B154" s="370"/>
      <c r="C154" s="355"/>
      <c r="D154" s="356"/>
      <c r="E154" s="342"/>
      <c r="F154" s="290"/>
      <c r="G154" s="357">
        <v>0</v>
      </c>
      <c r="H154" s="358">
        <v>0</v>
      </c>
      <c r="I154" s="358">
        <v>0</v>
      </c>
      <c r="J154" s="359">
        <f t="shared" si="87"/>
        <v>0</v>
      </c>
      <c r="K154" s="290"/>
      <c r="L154" s="349"/>
      <c r="M154" s="7"/>
      <c r="N154" s="12"/>
      <c r="O154" s="12"/>
      <c r="P154" s="12"/>
      <c r="Q154" s="361"/>
      <c r="R154" s="362"/>
      <c r="S154" s="363">
        <f t="shared" si="77"/>
        <v>0</v>
      </c>
      <c r="T154" s="364">
        <f t="shared" si="78"/>
        <v>0</v>
      </c>
      <c r="U154" s="365">
        <v>0</v>
      </c>
      <c r="V154" s="91">
        <f>ROUNDUP(IFERROR(INDEX(CostRateTbl[Cost Rate],MATCH(_xlfn.CONCAT(N154,O154,P154,"NA"),CostRateTbl[KeyCostRate],0)),0)*BillingCurrencyTRM*(1+U154),2)</f>
        <v>0</v>
      </c>
      <c r="W154" s="92">
        <f t="shared" si="79"/>
        <v>0</v>
      </c>
      <c r="X154" s="366" t="e" cm="1">
        <f t="array" ref="X154">_xlfn.LET(
    _xlpm.valor, INDEX(CostRate!H:H, MATCH(1, (CostRate!A:A=N154)*1, 0)),
    _xlpm.posicion, MATCH(_xlpm.valor, FilterSL!$F$1:$Z$1, 0),
    _xlpm.direccionCompleta, ADDRESS(1, _xlpm.posicion + 5, 4),
    _xlpm.letraColumna, SUBSTITUTE(_xlpm.direccionCompleta, "1", ""),
    _xlpm.letraColumna
)</f>
        <v>#N/A</v>
      </c>
      <c r="Y154" s="366" t="e" cm="1">
        <f t="array" ref="Y154">_xlfn.LET(
    _xlpm.valor, INDEX(CostRate!I:I, MATCH(1, (CostRate!A:A=N154)*(CostRate!B:B=O154), 0)),
    _xlpm.posicion, MATCH(_xlpm.valor, FilterJP!$E$1:$FZ$1, 0),
    _xlpm.direccionCompleta, ADDRESS(1, _xlpm.posicion + 4, 4),
    _xlpm.letraColumna, SUBSTITUTE(_xlpm.direccionCompleta, "1", ""),
    _xlpm.letraColumna
)</f>
        <v>#N/A</v>
      </c>
      <c r="Z154" s="7"/>
      <c r="AA154" s="367"/>
      <c r="AB154" s="7"/>
      <c r="AC154" s="93">
        <f t="shared" si="80"/>
        <v>0</v>
      </c>
      <c r="AD154" s="94">
        <f t="shared" si="88"/>
        <v>0</v>
      </c>
      <c r="AE154" s="109">
        <f t="shared" si="89"/>
        <v>0</v>
      </c>
      <c r="AF154" s="7"/>
      <c r="AG154" s="369">
        <f t="shared" si="81"/>
        <v>0</v>
      </c>
      <c r="AH154" s="368">
        <f t="shared" si="82"/>
        <v>0</v>
      </c>
      <c r="AI154" s="7"/>
      <c r="AJ154" s="369" cm="1">
        <f t="array" ref="AJ154">IFERROR(INDEX(WHT!$C$7:$W$18,MATCH(
_xlfn.SWITCH(N154,"xDC Medellin","Colombia","xDC Belo Horizonte","Brazil","xDC Guadalajara","Mexico","xDC Gurugram","India","xDC Leon","Spain","xDC San Jose","Costa Rica","xDC Warsaw","Poland",N154),
WHT!$B$7:$B$18,0),MATCH(CustomerCountry,WHT!$C$5:$W$5,0)),0)</f>
        <v>0</v>
      </c>
      <c r="AK154" s="368">
        <f t="shared" si="83"/>
        <v>0</v>
      </c>
      <c r="AL154" s="7"/>
      <c r="AM154" s="95">
        <f t="shared" si="90"/>
        <v>0</v>
      </c>
      <c r="AN154" s="95">
        <f t="shared" si="84"/>
        <v>0</v>
      </c>
      <c r="AO154" s="95">
        <f t="shared" si="91"/>
        <v>0</v>
      </c>
      <c r="AP154" s="90"/>
      <c r="AQ154" s="18"/>
      <c r="AR154" s="290"/>
      <c r="AS154" s="467" t="s">
        <v>133</v>
      </c>
      <c r="AT154" s="501">
        <f t="shared" si="85"/>
        <v>0</v>
      </c>
      <c r="AU154" s="502"/>
      <c r="AV154" s="95">
        <f t="shared" si="92"/>
        <v>0</v>
      </c>
      <c r="AW154" s="469" t="str">
        <f t="shared" si="86"/>
        <v>N/A</v>
      </c>
      <c r="AX154" s="290"/>
      <c r="AY154" s="18"/>
      <c r="AZ154" s="3"/>
      <c r="BA154" s="315"/>
      <c r="BB154" s="3"/>
      <c r="BC154" s="3"/>
      <c r="BD154" s="3"/>
      <c r="BE154" s="3"/>
      <c r="BF154" s="18"/>
      <c r="BG154" s="3"/>
      <c r="BH154" s="315"/>
      <c r="BI154" s="3"/>
      <c r="BJ154" s="3"/>
      <c r="BK154" s="3"/>
      <c r="BL154" s="3"/>
      <c r="BM154" s="18"/>
      <c r="BN154" s="3"/>
      <c r="BO154" s="315"/>
      <c r="BP154" s="3"/>
      <c r="BQ154" s="3"/>
      <c r="BR154" s="3"/>
      <c r="BS154" s="3"/>
      <c r="BT154" s="18"/>
      <c r="BU154" s="3"/>
      <c r="BV154" s="315"/>
      <c r="BW154" s="3"/>
      <c r="BX154" s="3"/>
      <c r="BY154" s="3"/>
      <c r="BZ154" s="3"/>
    </row>
    <row r="155" spans="1:78" ht="15.6" outlineLevel="1">
      <c r="A155" s="7"/>
      <c r="B155" s="370"/>
      <c r="C155" s="355"/>
      <c r="D155" s="356"/>
      <c r="E155" s="342"/>
      <c r="F155" s="290"/>
      <c r="G155" s="357">
        <v>0</v>
      </c>
      <c r="H155" s="358">
        <v>0</v>
      </c>
      <c r="I155" s="358">
        <v>0</v>
      </c>
      <c r="J155" s="359">
        <f t="shared" si="87"/>
        <v>0</v>
      </c>
      <c r="K155" s="290"/>
      <c r="L155" s="349"/>
      <c r="M155" s="7"/>
      <c r="N155" s="12"/>
      <c r="O155" s="12"/>
      <c r="P155" s="12"/>
      <c r="Q155" s="361"/>
      <c r="R155" s="362"/>
      <c r="S155" s="363">
        <f t="shared" si="77"/>
        <v>0</v>
      </c>
      <c r="T155" s="364">
        <f t="shared" si="78"/>
        <v>0</v>
      </c>
      <c r="U155" s="365">
        <v>0</v>
      </c>
      <c r="V155" s="91">
        <f>ROUNDUP(IFERROR(INDEX(CostRateTbl[Cost Rate],MATCH(_xlfn.CONCAT(N155,O155,P155,"NA"),CostRateTbl[KeyCostRate],0)),0)*BillingCurrencyTRM*(1+U155),2)</f>
        <v>0</v>
      </c>
      <c r="W155" s="92">
        <f t="shared" si="79"/>
        <v>0</v>
      </c>
      <c r="X155" s="366" t="e" cm="1">
        <f t="array" ref="X155">_xlfn.LET(
    _xlpm.valor, INDEX(CostRate!H:H, MATCH(1, (CostRate!A:A=N155)*1, 0)),
    _xlpm.posicion, MATCH(_xlpm.valor, FilterSL!$F$1:$Z$1, 0),
    _xlpm.direccionCompleta, ADDRESS(1, _xlpm.posicion + 5, 4),
    _xlpm.letraColumna, SUBSTITUTE(_xlpm.direccionCompleta, "1", ""),
    _xlpm.letraColumna
)</f>
        <v>#N/A</v>
      </c>
      <c r="Y155" s="366" t="e" cm="1">
        <f t="array" ref="Y155">_xlfn.LET(
    _xlpm.valor, INDEX(CostRate!I:I, MATCH(1, (CostRate!A:A=N155)*(CostRate!B:B=O155), 0)),
    _xlpm.posicion, MATCH(_xlpm.valor, FilterJP!$E$1:$FZ$1, 0),
    _xlpm.direccionCompleta, ADDRESS(1, _xlpm.posicion + 4, 4),
    _xlpm.letraColumna, SUBSTITUTE(_xlpm.direccionCompleta, "1", ""),
    _xlpm.letraColumna
)</f>
        <v>#N/A</v>
      </c>
      <c r="Z155" s="7"/>
      <c r="AA155" s="367"/>
      <c r="AB155" s="7"/>
      <c r="AC155" s="93">
        <f t="shared" si="80"/>
        <v>0</v>
      </c>
      <c r="AD155" s="94">
        <f t="shared" si="88"/>
        <v>0</v>
      </c>
      <c r="AE155" s="109">
        <f t="shared" si="89"/>
        <v>0</v>
      </c>
      <c r="AF155" s="7"/>
      <c r="AG155" s="369">
        <f t="shared" si="81"/>
        <v>0</v>
      </c>
      <c r="AH155" s="368">
        <f t="shared" si="82"/>
        <v>0</v>
      </c>
      <c r="AI155" s="7"/>
      <c r="AJ155" s="369" cm="1">
        <f t="array" ref="AJ155">IFERROR(INDEX(WHT!$C$7:$W$18,MATCH(
_xlfn.SWITCH(N155,"xDC Medellin","Colombia","xDC Belo Horizonte","Brazil","xDC Guadalajara","Mexico","xDC Gurugram","India","xDC Leon","Spain","xDC San Jose","Costa Rica","xDC Warsaw","Poland",N155),
WHT!$B$7:$B$18,0),MATCH(CustomerCountry,WHT!$C$5:$W$5,0)),0)</f>
        <v>0</v>
      </c>
      <c r="AK155" s="368">
        <f t="shared" si="83"/>
        <v>0</v>
      </c>
      <c r="AL155" s="7"/>
      <c r="AM155" s="95">
        <f t="shared" si="90"/>
        <v>0</v>
      </c>
      <c r="AN155" s="95">
        <f t="shared" si="84"/>
        <v>0</v>
      </c>
      <c r="AO155" s="95">
        <f t="shared" si="91"/>
        <v>0</v>
      </c>
      <c r="AP155" s="90"/>
      <c r="AQ155" s="18"/>
      <c r="AR155" s="290"/>
      <c r="AS155" s="467" t="s">
        <v>133</v>
      </c>
      <c r="AT155" s="501">
        <f t="shared" si="85"/>
        <v>0</v>
      </c>
      <c r="AU155" s="502"/>
      <c r="AV155" s="95">
        <f t="shared" si="92"/>
        <v>0</v>
      </c>
      <c r="AW155" s="469" t="str">
        <f t="shared" si="86"/>
        <v>N/A</v>
      </c>
      <c r="AX155" s="290"/>
      <c r="AY155" s="18"/>
      <c r="AZ155" s="3"/>
      <c r="BA155" s="315"/>
      <c r="BB155" s="3"/>
      <c r="BC155" s="3"/>
      <c r="BD155" s="3"/>
      <c r="BE155" s="3"/>
      <c r="BF155" s="18"/>
      <c r="BG155" s="3"/>
      <c r="BH155" s="315"/>
      <c r="BI155" s="3"/>
      <c r="BJ155" s="3"/>
      <c r="BK155" s="3"/>
      <c r="BL155" s="3"/>
      <c r="BM155" s="18"/>
      <c r="BN155" s="3"/>
      <c r="BO155" s="315"/>
      <c r="BP155" s="3"/>
      <c r="BQ155" s="3"/>
      <c r="BR155" s="3"/>
      <c r="BS155" s="3"/>
      <c r="BT155" s="18"/>
      <c r="BU155" s="3"/>
      <c r="BV155" s="315"/>
      <c r="BW155" s="3"/>
      <c r="BX155" s="3"/>
      <c r="BY155" s="3"/>
      <c r="BZ155" s="3"/>
    </row>
    <row r="156" spans="1:78" ht="15.6" outlineLevel="1">
      <c r="A156" s="7"/>
      <c r="B156" s="370"/>
      <c r="C156" s="355"/>
      <c r="D156" s="356"/>
      <c r="E156" s="342"/>
      <c r="F156" s="290"/>
      <c r="G156" s="357">
        <v>0</v>
      </c>
      <c r="H156" s="358">
        <v>0</v>
      </c>
      <c r="I156" s="358">
        <v>0</v>
      </c>
      <c r="J156" s="359">
        <f t="shared" si="87"/>
        <v>0</v>
      </c>
      <c r="K156" s="290"/>
      <c r="L156" s="349"/>
      <c r="M156" s="7"/>
      <c r="N156" s="12"/>
      <c r="O156" s="12"/>
      <c r="P156" s="12"/>
      <c r="Q156" s="361"/>
      <c r="R156" s="362"/>
      <c r="S156" s="363">
        <f t="shared" si="77"/>
        <v>0</v>
      </c>
      <c r="T156" s="364">
        <f t="shared" si="78"/>
        <v>0</v>
      </c>
      <c r="U156" s="365">
        <v>0</v>
      </c>
      <c r="V156" s="91">
        <f>ROUNDUP(IFERROR(INDEX(CostRateTbl[Cost Rate],MATCH(_xlfn.CONCAT(N156,O156,P156,"NA"),CostRateTbl[KeyCostRate],0)),0)*BillingCurrencyTRM*(1+U156),2)</f>
        <v>0</v>
      </c>
      <c r="W156" s="92">
        <f t="shared" si="79"/>
        <v>0</v>
      </c>
      <c r="X156" s="366" t="e" cm="1">
        <f t="array" ref="X156">_xlfn.LET(
    _xlpm.valor, INDEX(CostRate!H:H, MATCH(1, (CostRate!A:A=N156)*1, 0)),
    _xlpm.posicion, MATCH(_xlpm.valor, FilterSL!$F$1:$Z$1, 0),
    _xlpm.direccionCompleta, ADDRESS(1, _xlpm.posicion + 5, 4),
    _xlpm.letraColumna, SUBSTITUTE(_xlpm.direccionCompleta, "1", ""),
    _xlpm.letraColumna
)</f>
        <v>#N/A</v>
      </c>
      <c r="Y156" s="366" t="e" cm="1">
        <f t="array" ref="Y156">_xlfn.LET(
    _xlpm.valor, INDEX(CostRate!I:I, MATCH(1, (CostRate!A:A=N156)*(CostRate!B:B=O156), 0)),
    _xlpm.posicion, MATCH(_xlpm.valor, FilterJP!$E$1:$FZ$1, 0),
    _xlpm.direccionCompleta, ADDRESS(1, _xlpm.posicion + 4, 4),
    _xlpm.letraColumna, SUBSTITUTE(_xlpm.direccionCompleta, "1", ""),
    _xlpm.letraColumna
)</f>
        <v>#N/A</v>
      </c>
      <c r="Z156" s="7"/>
      <c r="AA156" s="367"/>
      <c r="AB156" s="7"/>
      <c r="AC156" s="93">
        <f t="shared" si="80"/>
        <v>0</v>
      </c>
      <c r="AD156" s="94">
        <f t="shared" si="88"/>
        <v>0</v>
      </c>
      <c r="AE156" s="109">
        <f t="shared" si="89"/>
        <v>0</v>
      </c>
      <c r="AF156" s="7"/>
      <c r="AG156" s="369">
        <f t="shared" si="81"/>
        <v>0</v>
      </c>
      <c r="AH156" s="368">
        <f t="shared" si="82"/>
        <v>0</v>
      </c>
      <c r="AI156" s="7"/>
      <c r="AJ156" s="369" cm="1">
        <f t="array" ref="AJ156">IFERROR(INDEX(WHT!$C$7:$W$18,MATCH(
_xlfn.SWITCH(N156,"xDC Medellin","Colombia","xDC Belo Horizonte","Brazil","xDC Guadalajara","Mexico","xDC Gurugram","India","xDC Leon","Spain","xDC San Jose","Costa Rica","xDC Warsaw","Poland",N156),
WHT!$B$7:$B$18,0),MATCH(CustomerCountry,WHT!$C$5:$W$5,0)),0)</f>
        <v>0</v>
      </c>
      <c r="AK156" s="368">
        <f t="shared" si="83"/>
        <v>0</v>
      </c>
      <c r="AL156" s="7"/>
      <c r="AM156" s="95">
        <f t="shared" si="90"/>
        <v>0</v>
      </c>
      <c r="AN156" s="95">
        <f t="shared" si="84"/>
        <v>0</v>
      </c>
      <c r="AO156" s="95">
        <f t="shared" si="91"/>
        <v>0</v>
      </c>
      <c r="AP156" s="90"/>
      <c r="AQ156" s="18"/>
      <c r="AR156" s="290"/>
      <c r="AS156" s="467" t="s">
        <v>133</v>
      </c>
      <c r="AT156" s="501">
        <f t="shared" si="85"/>
        <v>0</v>
      </c>
      <c r="AU156" s="502"/>
      <c r="AV156" s="95">
        <f t="shared" si="92"/>
        <v>0</v>
      </c>
      <c r="AW156" s="469" t="str">
        <f t="shared" si="86"/>
        <v>N/A</v>
      </c>
      <c r="AX156" s="290"/>
      <c r="AY156" s="18"/>
      <c r="AZ156" s="3"/>
      <c r="BA156" s="315"/>
      <c r="BB156" s="3"/>
      <c r="BC156" s="3"/>
      <c r="BD156" s="3"/>
      <c r="BE156" s="3"/>
      <c r="BF156" s="18"/>
      <c r="BG156" s="3"/>
      <c r="BH156" s="315"/>
      <c r="BI156" s="3"/>
      <c r="BJ156" s="3"/>
      <c r="BK156" s="3"/>
      <c r="BL156" s="3"/>
      <c r="BM156" s="18"/>
      <c r="BN156" s="3"/>
      <c r="BO156" s="315"/>
      <c r="BP156" s="3"/>
      <c r="BQ156" s="3"/>
      <c r="BR156" s="3"/>
      <c r="BS156" s="3"/>
      <c r="BT156" s="18"/>
      <c r="BU156" s="3"/>
      <c r="BV156" s="315"/>
      <c r="BW156" s="3"/>
      <c r="BX156" s="3"/>
      <c r="BY156" s="3"/>
      <c r="BZ156" s="3"/>
    </row>
    <row r="157" spans="1:78" ht="15.6" outlineLevel="1">
      <c r="A157" s="7"/>
      <c r="B157" s="370"/>
      <c r="C157" s="355"/>
      <c r="D157" s="356"/>
      <c r="E157" s="342"/>
      <c r="F157" s="290"/>
      <c r="G157" s="357">
        <v>0</v>
      </c>
      <c r="H157" s="358">
        <v>0</v>
      </c>
      <c r="I157" s="358">
        <v>0</v>
      </c>
      <c r="J157" s="359">
        <f t="shared" si="87"/>
        <v>0</v>
      </c>
      <c r="K157" s="290"/>
      <c r="L157" s="349"/>
      <c r="M157" s="7"/>
      <c r="N157" s="12"/>
      <c r="O157" s="12"/>
      <c r="P157" s="12"/>
      <c r="Q157" s="361"/>
      <c r="R157" s="362"/>
      <c r="S157" s="363">
        <f t="shared" si="77"/>
        <v>0</v>
      </c>
      <c r="T157" s="364">
        <f t="shared" si="78"/>
        <v>0</v>
      </c>
      <c r="U157" s="365">
        <v>0</v>
      </c>
      <c r="V157" s="91">
        <f>ROUNDUP(IFERROR(INDEX(CostRateTbl[Cost Rate],MATCH(_xlfn.CONCAT(N157,O157,P157,"NA"),CostRateTbl[KeyCostRate],0)),0)*BillingCurrencyTRM*(1+U157),2)</f>
        <v>0</v>
      </c>
      <c r="W157" s="92">
        <f t="shared" si="79"/>
        <v>0</v>
      </c>
      <c r="X157" s="366" t="e" cm="1">
        <f t="array" ref="X157">_xlfn.LET(
    _xlpm.valor, INDEX(CostRate!H:H, MATCH(1, (CostRate!A:A=N157)*1, 0)),
    _xlpm.posicion, MATCH(_xlpm.valor, FilterSL!$F$1:$Z$1, 0),
    _xlpm.direccionCompleta, ADDRESS(1, _xlpm.posicion + 5, 4),
    _xlpm.letraColumna, SUBSTITUTE(_xlpm.direccionCompleta, "1", ""),
    _xlpm.letraColumna
)</f>
        <v>#N/A</v>
      </c>
      <c r="Y157" s="366" t="e" cm="1">
        <f t="array" ref="Y157">_xlfn.LET(
    _xlpm.valor, INDEX(CostRate!I:I, MATCH(1, (CostRate!A:A=N157)*(CostRate!B:B=O157), 0)),
    _xlpm.posicion, MATCH(_xlpm.valor, FilterJP!$E$1:$FZ$1, 0),
    _xlpm.direccionCompleta, ADDRESS(1, _xlpm.posicion + 4, 4),
    _xlpm.letraColumna, SUBSTITUTE(_xlpm.direccionCompleta, "1", ""),
    _xlpm.letraColumna
)</f>
        <v>#N/A</v>
      </c>
      <c r="Z157" s="7"/>
      <c r="AA157" s="367"/>
      <c r="AB157" s="7"/>
      <c r="AC157" s="93">
        <f t="shared" si="80"/>
        <v>0</v>
      </c>
      <c r="AD157" s="94">
        <f t="shared" si="88"/>
        <v>0</v>
      </c>
      <c r="AE157" s="109">
        <f t="shared" si="89"/>
        <v>0</v>
      </c>
      <c r="AF157" s="7"/>
      <c r="AG157" s="369">
        <f t="shared" si="81"/>
        <v>0</v>
      </c>
      <c r="AH157" s="368">
        <f t="shared" si="82"/>
        <v>0</v>
      </c>
      <c r="AI157" s="7"/>
      <c r="AJ157" s="369" cm="1">
        <f t="array" ref="AJ157">IFERROR(INDEX(WHT!$C$7:$W$18,MATCH(
_xlfn.SWITCH(N157,"xDC Medellin","Colombia","xDC Belo Horizonte","Brazil","xDC Guadalajara","Mexico","xDC Gurugram","India","xDC Leon","Spain","xDC San Jose","Costa Rica","xDC Warsaw","Poland",N157),
WHT!$B$7:$B$18,0),MATCH(CustomerCountry,WHT!$C$5:$W$5,0)),0)</f>
        <v>0</v>
      </c>
      <c r="AK157" s="368">
        <f t="shared" si="83"/>
        <v>0</v>
      </c>
      <c r="AL157" s="7"/>
      <c r="AM157" s="95">
        <f t="shared" si="90"/>
        <v>0</v>
      </c>
      <c r="AN157" s="95">
        <f t="shared" si="84"/>
        <v>0</v>
      </c>
      <c r="AO157" s="95">
        <f t="shared" si="91"/>
        <v>0</v>
      </c>
      <c r="AP157" s="90"/>
      <c r="AQ157" s="18"/>
      <c r="AR157" s="290"/>
      <c r="AS157" s="467" t="s">
        <v>133</v>
      </c>
      <c r="AT157" s="501">
        <f t="shared" si="85"/>
        <v>0</v>
      </c>
      <c r="AU157" s="502"/>
      <c r="AV157" s="95">
        <f t="shared" si="92"/>
        <v>0</v>
      </c>
      <c r="AW157" s="469" t="str">
        <f t="shared" si="86"/>
        <v>N/A</v>
      </c>
      <c r="AX157" s="290"/>
      <c r="AY157" s="18"/>
      <c r="AZ157" s="3"/>
      <c r="BA157" s="315"/>
      <c r="BB157" s="3"/>
      <c r="BC157" s="3"/>
      <c r="BD157" s="3"/>
      <c r="BE157" s="3"/>
      <c r="BF157" s="18"/>
      <c r="BG157" s="3"/>
      <c r="BH157" s="315"/>
      <c r="BI157" s="3"/>
      <c r="BJ157" s="3"/>
      <c r="BK157" s="3"/>
      <c r="BL157" s="3"/>
      <c r="BM157" s="18"/>
      <c r="BN157" s="3"/>
      <c r="BO157" s="315"/>
      <c r="BP157" s="3"/>
      <c r="BQ157" s="3"/>
      <c r="BR157" s="3"/>
      <c r="BS157" s="3"/>
      <c r="BT157" s="18"/>
      <c r="BU157" s="3"/>
      <c r="BV157" s="315"/>
      <c r="BW157" s="3"/>
      <c r="BX157" s="3"/>
      <c r="BY157" s="3"/>
      <c r="BZ157" s="3"/>
    </row>
    <row r="158" spans="1:78" ht="15.6" outlineLevel="1">
      <c r="A158" s="7"/>
      <c r="B158" s="370"/>
      <c r="C158" s="355"/>
      <c r="D158" s="356"/>
      <c r="E158" s="342"/>
      <c r="F158" s="290"/>
      <c r="G158" s="357">
        <v>0</v>
      </c>
      <c r="H158" s="358">
        <v>0</v>
      </c>
      <c r="I158" s="358">
        <v>0</v>
      </c>
      <c r="J158" s="359">
        <f t="shared" si="87"/>
        <v>0</v>
      </c>
      <c r="K158" s="290"/>
      <c r="L158" s="349"/>
      <c r="M158" s="7"/>
      <c r="N158" s="12"/>
      <c r="O158" s="12"/>
      <c r="P158" s="12"/>
      <c r="Q158" s="361"/>
      <c r="R158" s="362"/>
      <c r="S158" s="363">
        <f t="shared" si="77"/>
        <v>0</v>
      </c>
      <c r="T158" s="364">
        <f t="shared" si="78"/>
        <v>0</v>
      </c>
      <c r="U158" s="365">
        <v>0</v>
      </c>
      <c r="V158" s="91">
        <f>ROUNDUP(IFERROR(INDEX(CostRateTbl[Cost Rate],MATCH(_xlfn.CONCAT(N158,O158,P158,"NA"),CostRateTbl[KeyCostRate],0)),0)*BillingCurrencyTRM*(1+U158),2)</f>
        <v>0</v>
      </c>
      <c r="W158" s="92">
        <f t="shared" si="79"/>
        <v>0</v>
      </c>
      <c r="X158" s="366" t="e" cm="1">
        <f t="array" ref="X158">_xlfn.LET(
    _xlpm.valor, INDEX(CostRate!H:H, MATCH(1, (CostRate!A:A=N158)*1, 0)),
    _xlpm.posicion, MATCH(_xlpm.valor, FilterSL!$F$1:$Z$1, 0),
    _xlpm.direccionCompleta, ADDRESS(1, _xlpm.posicion + 5, 4),
    _xlpm.letraColumna, SUBSTITUTE(_xlpm.direccionCompleta, "1", ""),
    _xlpm.letraColumna
)</f>
        <v>#N/A</v>
      </c>
      <c r="Y158" s="366" t="e" cm="1">
        <f t="array" ref="Y158">_xlfn.LET(
    _xlpm.valor, INDEX(CostRate!I:I, MATCH(1, (CostRate!A:A=N158)*(CostRate!B:B=O158), 0)),
    _xlpm.posicion, MATCH(_xlpm.valor, FilterJP!$E$1:$FZ$1, 0),
    _xlpm.direccionCompleta, ADDRESS(1, _xlpm.posicion + 4, 4),
    _xlpm.letraColumna, SUBSTITUTE(_xlpm.direccionCompleta, "1", ""),
    _xlpm.letraColumna
)</f>
        <v>#N/A</v>
      </c>
      <c r="Z158" s="7"/>
      <c r="AA158" s="367"/>
      <c r="AB158" s="7"/>
      <c r="AC158" s="93">
        <f t="shared" si="80"/>
        <v>0</v>
      </c>
      <c r="AD158" s="94">
        <f t="shared" si="88"/>
        <v>0</v>
      </c>
      <c r="AE158" s="109">
        <f t="shared" si="89"/>
        <v>0</v>
      </c>
      <c r="AF158" s="7"/>
      <c r="AG158" s="369">
        <f t="shared" si="81"/>
        <v>0</v>
      </c>
      <c r="AH158" s="368">
        <f t="shared" si="82"/>
        <v>0</v>
      </c>
      <c r="AI158" s="7"/>
      <c r="AJ158" s="369" cm="1">
        <f t="array" ref="AJ158">IFERROR(INDEX(WHT!$C$7:$W$18,MATCH(
_xlfn.SWITCH(N158,"xDC Medellin","Colombia","xDC Belo Horizonte","Brazil","xDC Guadalajara","Mexico","xDC Gurugram","India","xDC Leon","Spain","xDC San Jose","Costa Rica","xDC Warsaw","Poland",N158),
WHT!$B$7:$B$18,0),MATCH(CustomerCountry,WHT!$C$5:$W$5,0)),0)</f>
        <v>0</v>
      </c>
      <c r="AK158" s="368">
        <f t="shared" si="83"/>
        <v>0</v>
      </c>
      <c r="AL158" s="7"/>
      <c r="AM158" s="95">
        <f t="shared" si="90"/>
        <v>0</v>
      </c>
      <c r="AN158" s="95">
        <f t="shared" si="84"/>
        <v>0</v>
      </c>
      <c r="AO158" s="95">
        <f t="shared" si="91"/>
        <v>0</v>
      </c>
      <c r="AP158" s="90"/>
      <c r="AQ158" s="18"/>
      <c r="AR158" s="290"/>
      <c r="AS158" s="467" t="s">
        <v>133</v>
      </c>
      <c r="AT158" s="501">
        <f t="shared" si="85"/>
        <v>0</v>
      </c>
      <c r="AU158" s="502"/>
      <c r="AV158" s="95">
        <f t="shared" si="92"/>
        <v>0</v>
      </c>
      <c r="AW158" s="469" t="str">
        <f t="shared" si="86"/>
        <v>N/A</v>
      </c>
      <c r="AX158" s="290"/>
      <c r="AY158" s="18"/>
      <c r="AZ158" s="3"/>
      <c r="BA158" s="315"/>
      <c r="BB158" s="3"/>
      <c r="BC158" s="3"/>
      <c r="BD158" s="3"/>
      <c r="BE158" s="3"/>
      <c r="BF158" s="18"/>
      <c r="BG158" s="3"/>
      <c r="BH158" s="315"/>
      <c r="BI158" s="3"/>
      <c r="BJ158" s="3"/>
      <c r="BK158" s="3"/>
      <c r="BL158" s="3"/>
      <c r="BM158" s="18"/>
      <c r="BN158" s="3"/>
      <c r="BO158" s="315"/>
      <c r="BP158" s="3"/>
      <c r="BQ158" s="3"/>
      <c r="BR158" s="3"/>
      <c r="BS158" s="3"/>
      <c r="BT158" s="18"/>
      <c r="BU158" s="3"/>
      <c r="BV158" s="315"/>
      <c r="BW158" s="3"/>
      <c r="BX158" s="3"/>
      <c r="BY158" s="3"/>
      <c r="BZ158" s="3"/>
    </row>
    <row r="159" spans="1:78" ht="15.6" outlineLevel="1">
      <c r="A159" s="7"/>
      <c r="B159" s="370"/>
      <c r="C159" s="355"/>
      <c r="D159" s="356"/>
      <c r="E159" s="342"/>
      <c r="F159" s="290"/>
      <c r="G159" s="357">
        <v>0</v>
      </c>
      <c r="H159" s="358">
        <v>0</v>
      </c>
      <c r="I159" s="358">
        <v>0</v>
      </c>
      <c r="J159" s="359">
        <f t="shared" si="87"/>
        <v>0</v>
      </c>
      <c r="K159" s="290"/>
      <c r="L159" s="349"/>
      <c r="M159" s="7"/>
      <c r="N159" s="12"/>
      <c r="O159" s="12"/>
      <c r="P159" s="12"/>
      <c r="Q159" s="361"/>
      <c r="R159" s="362"/>
      <c r="S159" s="363">
        <f t="shared" si="77"/>
        <v>0</v>
      </c>
      <c r="T159" s="364">
        <f t="shared" si="78"/>
        <v>0</v>
      </c>
      <c r="U159" s="365">
        <v>0</v>
      </c>
      <c r="V159" s="91">
        <f>ROUNDUP(IFERROR(INDEX(CostRateTbl[Cost Rate],MATCH(_xlfn.CONCAT(N159,O159,P159,"NA"),CostRateTbl[KeyCostRate],0)),0)*BillingCurrencyTRM*(1+U159),2)</f>
        <v>0</v>
      </c>
      <c r="W159" s="92">
        <f t="shared" si="79"/>
        <v>0</v>
      </c>
      <c r="X159" s="366" t="e" cm="1">
        <f t="array" ref="X159">_xlfn.LET(
    _xlpm.valor, INDEX(CostRate!H:H, MATCH(1, (CostRate!A:A=N159)*1, 0)),
    _xlpm.posicion, MATCH(_xlpm.valor, FilterSL!$F$1:$Z$1, 0),
    _xlpm.direccionCompleta, ADDRESS(1, _xlpm.posicion + 5, 4),
    _xlpm.letraColumna, SUBSTITUTE(_xlpm.direccionCompleta, "1", ""),
    _xlpm.letraColumna
)</f>
        <v>#N/A</v>
      </c>
      <c r="Y159" s="366" t="e" cm="1">
        <f t="array" ref="Y159">_xlfn.LET(
    _xlpm.valor, INDEX(CostRate!I:I, MATCH(1, (CostRate!A:A=N159)*(CostRate!B:B=O159), 0)),
    _xlpm.posicion, MATCH(_xlpm.valor, FilterJP!$E$1:$FZ$1, 0),
    _xlpm.direccionCompleta, ADDRESS(1, _xlpm.posicion + 4, 4),
    _xlpm.letraColumna, SUBSTITUTE(_xlpm.direccionCompleta, "1", ""),
    _xlpm.letraColumna
)</f>
        <v>#N/A</v>
      </c>
      <c r="Z159" s="7"/>
      <c r="AA159" s="367"/>
      <c r="AB159" s="7"/>
      <c r="AC159" s="93">
        <f t="shared" si="80"/>
        <v>0</v>
      </c>
      <c r="AD159" s="94">
        <f t="shared" si="88"/>
        <v>0</v>
      </c>
      <c r="AE159" s="109">
        <f t="shared" si="89"/>
        <v>0</v>
      </c>
      <c r="AF159" s="7"/>
      <c r="AG159" s="369">
        <f t="shared" si="81"/>
        <v>0</v>
      </c>
      <c r="AH159" s="368">
        <f t="shared" si="82"/>
        <v>0</v>
      </c>
      <c r="AI159" s="7"/>
      <c r="AJ159" s="369" cm="1">
        <f t="array" ref="AJ159">IFERROR(INDEX(WHT!$C$7:$W$18,MATCH(
_xlfn.SWITCH(N159,"xDC Medellin","Colombia","xDC Belo Horizonte","Brazil","xDC Guadalajara","Mexico","xDC Gurugram","India","xDC Leon","Spain","xDC San Jose","Costa Rica","xDC Warsaw","Poland",N159),
WHT!$B$7:$B$18,0),MATCH(CustomerCountry,WHT!$C$5:$W$5,0)),0)</f>
        <v>0</v>
      </c>
      <c r="AK159" s="368">
        <f t="shared" si="83"/>
        <v>0</v>
      </c>
      <c r="AL159" s="7"/>
      <c r="AM159" s="95">
        <f t="shared" si="90"/>
        <v>0</v>
      </c>
      <c r="AN159" s="95">
        <f t="shared" si="84"/>
        <v>0</v>
      </c>
      <c r="AO159" s="95">
        <f t="shared" si="91"/>
        <v>0</v>
      </c>
      <c r="AP159" s="90"/>
      <c r="AQ159" s="18"/>
      <c r="AR159" s="290"/>
      <c r="AS159" s="467" t="s">
        <v>133</v>
      </c>
      <c r="AT159" s="501">
        <f t="shared" si="85"/>
        <v>0</v>
      </c>
      <c r="AU159" s="502"/>
      <c r="AV159" s="95">
        <f t="shared" si="92"/>
        <v>0</v>
      </c>
      <c r="AW159" s="469" t="str">
        <f t="shared" si="86"/>
        <v>N/A</v>
      </c>
      <c r="AX159" s="290"/>
      <c r="AY159" s="18"/>
      <c r="AZ159" s="3"/>
      <c r="BA159" s="315"/>
      <c r="BB159" s="3"/>
      <c r="BC159" s="3"/>
      <c r="BD159" s="3"/>
      <c r="BE159" s="3"/>
      <c r="BF159" s="18"/>
      <c r="BG159" s="3"/>
      <c r="BH159" s="315"/>
      <c r="BI159" s="3"/>
      <c r="BJ159" s="3"/>
      <c r="BK159" s="3"/>
      <c r="BL159" s="3"/>
      <c r="BM159" s="18"/>
      <c r="BN159" s="3"/>
      <c r="BO159" s="315"/>
      <c r="BP159" s="3"/>
      <c r="BQ159" s="3"/>
      <c r="BR159" s="3"/>
      <c r="BS159" s="3"/>
      <c r="BT159" s="18"/>
      <c r="BU159" s="3"/>
      <c r="BV159" s="315"/>
      <c r="BW159" s="3"/>
      <c r="BX159" s="3"/>
      <c r="BY159" s="3"/>
      <c r="BZ159" s="3"/>
    </row>
    <row r="160" spans="1:78" ht="15.6" outlineLevel="1">
      <c r="A160" s="7"/>
      <c r="B160" s="370"/>
      <c r="C160" s="355"/>
      <c r="D160" s="356"/>
      <c r="E160" s="342"/>
      <c r="F160" s="290"/>
      <c r="G160" s="357">
        <v>0</v>
      </c>
      <c r="H160" s="358">
        <v>0</v>
      </c>
      <c r="I160" s="358">
        <v>0</v>
      </c>
      <c r="J160" s="359">
        <f t="shared" si="87"/>
        <v>0</v>
      </c>
      <c r="K160" s="290"/>
      <c r="L160" s="349"/>
      <c r="M160" s="7"/>
      <c r="N160" s="12"/>
      <c r="O160" s="12"/>
      <c r="P160" s="12"/>
      <c r="Q160" s="361"/>
      <c r="R160" s="362"/>
      <c r="S160" s="363">
        <f t="shared" si="77"/>
        <v>0</v>
      </c>
      <c r="T160" s="364">
        <f t="shared" si="78"/>
        <v>0</v>
      </c>
      <c r="U160" s="365">
        <v>0</v>
      </c>
      <c r="V160" s="91">
        <f>ROUNDUP(IFERROR(INDEX(CostRateTbl[Cost Rate],MATCH(_xlfn.CONCAT(N160,O160,P160,"NA"),CostRateTbl[KeyCostRate],0)),0)*BillingCurrencyTRM*(1+U160),2)</f>
        <v>0</v>
      </c>
      <c r="W160" s="92">
        <f t="shared" si="79"/>
        <v>0</v>
      </c>
      <c r="X160" s="366" t="e" cm="1">
        <f t="array" ref="X160">_xlfn.LET(
    _xlpm.valor, INDEX(CostRate!H:H, MATCH(1, (CostRate!A:A=N160)*1, 0)),
    _xlpm.posicion, MATCH(_xlpm.valor, FilterSL!$F$1:$Z$1, 0),
    _xlpm.direccionCompleta, ADDRESS(1, _xlpm.posicion + 5, 4),
    _xlpm.letraColumna, SUBSTITUTE(_xlpm.direccionCompleta, "1", ""),
    _xlpm.letraColumna
)</f>
        <v>#N/A</v>
      </c>
      <c r="Y160" s="366" t="e" cm="1">
        <f t="array" ref="Y160">_xlfn.LET(
    _xlpm.valor, INDEX(CostRate!I:I, MATCH(1, (CostRate!A:A=N160)*(CostRate!B:B=O160), 0)),
    _xlpm.posicion, MATCH(_xlpm.valor, FilterJP!$E$1:$FZ$1, 0),
    _xlpm.direccionCompleta, ADDRESS(1, _xlpm.posicion + 4, 4),
    _xlpm.letraColumna, SUBSTITUTE(_xlpm.direccionCompleta, "1", ""),
    _xlpm.letraColumna
)</f>
        <v>#N/A</v>
      </c>
      <c r="Z160" s="7"/>
      <c r="AA160" s="367"/>
      <c r="AB160" s="7"/>
      <c r="AC160" s="93">
        <f t="shared" si="80"/>
        <v>0</v>
      </c>
      <c r="AD160" s="94">
        <f t="shared" si="88"/>
        <v>0</v>
      </c>
      <c r="AE160" s="109">
        <f t="shared" si="89"/>
        <v>0</v>
      </c>
      <c r="AF160" s="7"/>
      <c r="AG160" s="369">
        <f t="shared" si="81"/>
        <v>0</v>
      </c>
      <c r="AH160" s="368">
        <f t="shared" si="82"/>
        <v>0</v>
      </c>
      <c r="AI160" s="7"/>
      <c r="AJ160" s="369" cm="1">
        <f t="array" ref="AJ160">IFERROR(INDEX(WHT!$C$7:$W$18,MATCH(
_xlfn.SWITCH(N160,"xDC Medellin","Colombia","xDC Belo Horizonte","Brazil","xDC Guadalajara","Mexico","xDC Gurugram","India","xDC Leon","Spain","xDC San Jose","Costa Rica","xDC Warsaw","Poland",N160),
WHT!$B$7:$B$18,0),MATCH(CustomerCountry,WHT!$C$5:$W$5,0)),0)</f>
        <v>0</v>
      </c>
      <c r="AK160" s="368">
        <f t="shared" si="83"/>
        <v>0</v>
      </c>
      <c r="AL160" s="7"/>
      <c r="AM160" s="95">
        <f t="shared" si="90"/>
        <v>0</v>
      </c>
      <c r="AN160" s="95">
        <f t="shared" si="84"/>
        <v>0</v>
      </c>
      <c r="AO160" s="95">
        <f t="shared" si="91"/>
        <v>0</v>
      </c>
      <c r="AP160" s="90"/>
      <c r="AQ160" s="18"/>
      <c r="AR160" s="290"/>
      <c r="AS160" s="467" t="s">
        <v>133</v>
      </c>
      <c r="AT160" s="501">
        <f t="shared" si="85"/>
        <v>0</v>
      </c>
      <c r="AU160" s="502"/>
      <c r="AV160" s="95">
        <f t="shared" si="92"/>
        <v>0</v>
      </c>
      <c r="AW160" s="469" t="str">
        <f t="shared" si="86"/>
        <v>N/A</v>
      </c>
      <c r="AX160" s="290"/>
      <c r="AY160" s="18"/>
      <c r="AZ160" s="3"/>
      <c r="BA160" s="315"/>
      <c r="BB160" s="3"/>
      <c r="BC160" s="3"/>
      <c r="BD160" s="3"/>
      <c r="BE160" s="3"/>
      <c r="BF160" s="18"/>
      <c r="BG160" s="3"/>
      <c r="BH160" s="315"/>
      <c r="BI160" s="3"/>
      <c r="BJ160" s="3"/>
      <c r="BK160" s="3"/>
      <c r="BL160" s="3"/>
      <c r="BM160" s="18"/>
      <c r="BN160" s="3"/>
      <c r="BO160" s="315"/>
      <c r="BP160" s="3"/>
      <c r="BQ160" s="3"/>
      <c r="BR160" s="3"/>
      <c r="BS160" s="3"/>
      <c r="BT160" s="18"/>
      <c r="BU160" s="3"/>
      <c r="BV160" s="315"/>
      <c r="BW160" s="3"/>
      <c r="BX160" s="3"/>
      <c r="BY160" s="3"/>
      <c r="BZ160" s="3"/>
    </row>
    <row r="161" spans="1:82" ht="15.6" outlineLevel="1">
      <c r="A161" s="7"/>
      <c r="B161" s="370"/>
      <c r="C161" s="355"/>
      <c r="D161" s="356"/>
      <c r="E161" s="342"/>
      <c r="F161" s="290"/>
      <c r="G161" s="357">
        <v>0</v>
      </c>
      <c r="H161" s="358">
        <v>0</v>
      </c>
      <c r="I161" s="358">
        <v>0</v>
      </c>
      <c r="J161" s="359">
        <f t="shared" si="87"/>
        <v>0</v>
      </c>
      <c r="K161" s="290"/>
      <c r="L161" s="349"/>
      <c r="M161" s="7"/>
      <c r="N161" s="12"/>
      <c r="O161" s="12"/>
      <c r="P161" s="12"/>
      <c r="Q161" s="361"/>
      <c r="R161" s="362"/>
      <c r="S161" s="363">
        <f t="shared" si="77"/>
        <v>0</v>
      </c>
      <c r="T161" s="364">
        <f t="shared" si="78"/>
        <v>0</v>
      </c>
      <c r="U161" s="365">
        <v>0</v>
      </c>
      <c r="V161" s="91">
        <f>ROUNDUP(IFERROR(INDEX(CostRateTbl[Cost Rate],MATCH(_xlfn.CONCAT(N161,O161,P161,"NA"),CostRateTbl[KeyCostRate],0)),0)*BillingCurrencyTRM*(1+U161),2)</f>
        <v>0</v>
      </c>
      <c r="W161" s="92">
        <f t="shared" si="79"/>
        <v>0</v>
      </c>
      <c r="X161" s="366" t="e" cm="1">
        <f t="array" ref="X161">_xlfn.LET(
    _xlpm.valor, INDEX(CostRate!H:H, MATCH(1, (CostRate!A:A=N161)*1, 0)),
    _xlpm.posicion, MATCH(_xlpm.valor, FilterSL!$F$1:$Z$1, 0),
    _xlpm.direccionCompleta, ADDRESS(1, _xlpm.posicion + 5, 4),
    _xlpm.letraColumna, SUBSTITUTE(_xlpm.direccionCompleta, "1", ""),
    _xlpm.letraColumna
)</f>
        <v>#N/A</v>
      </c>
      <c r="Y161" s="366" t="e" cm="1">
        <f t="array" ref="Y161">_xlfn.LET(
    _xlpm.valor, INDEX(CostRate!I:I, MATCH(1, (CostRate!A:A=N161)*(CostRate!B:B=O161), 0)),
    _xlpm.posicion, MATCH(_xlpm.valor, FilterJP!$E$1:$FZ$1, 0),
    _xlpm.direccionCompleta, ADDRESS(1, _xlpm.posicion + 4, 4),
    _xlpm.letraColumna, SUBSTITUTE(_xlpm.direccionCompleta, "1", ""),
    _xlpm.letraColumna
)</f>
        <v>#N/A</v>
      </c>
      <c r="Z161" s="7"/>
      <c r="AA161" s="367"/>
      <c r="AB161" s="7"/>
      <c r="AC161" s="93">
        <f t="shared" si="80"/>
        <v>0</v>
      </c>
      <c r="AD161" s="94">
        <f t="shared" si="88"/>
        <v>0</v>
      </c>
      <c r="AE161" s="109">
        <f t="shared" si="89"/>
        <v>0</v>
      </c>
      <c r="AF161" s="7"/>
      <c r="AG161" s="369">
        <f t="shared" si="81"/>
        <v>0</v>
      </c>
      <c r="AH161" s="368">
        <f t="shared" si="82"/>
        <v>0</v>
      </c>
      <c r="AI161" s="7"/>
      <c r="AJ161" s="369" cm="1">
        <f t="array" ref="AJ161">IFERROR(INDEX(WHT!$C$7:$W$18,MATCH(
_xlfn.SWITCH(N161,"xDC Medellin","Colombia","xDC Belo Horizonte","Brazil","xDC Guadalajara","Mexico","xDC Gurugram","India","xDC Leon","Spain","xDC San Jose","Costa Rica","xDC Warsaw","Poland",N161),
WHT!$B$7:$B$18,0),MATCH(CustomerCountry,WHT!$C$5:$W$5,0)),0)</f>
        <v>0</v>
      </c>
      <c r="AK161" s="368">
        <f t="shared" si="83"/>
        <v>0</v>
      </c>
      <c r="AL161" s="7"/>
      <c r="AM161" s="95">
        <f t="shared" si="90"/>
        <v>0</v>
      </c>
      <c r="AN161" s="95">
        <f t="shared" si="84"/>
        <v>0</v>
      </c>
      <c r="AO161" s="95">
        <f t="shared" si="91"/>
        <v>0</v>
      </c>
      <c r="AP161" s="90"/>
      <c r="AQ161" s="18"/>
      <c r="AR161" s="290"/>
      <c r="AS161" s="467" t="s">
        <v>133</v>
      </c>
      <c r="AT161" s="501">
        <f t="shared" si="85"/>
        <v>0</v>
      </c>
      <c r="AU161" s="502"/>
      <c r="AV161" s="95">
        <f t="shared" si="92"/>
        <v>0</v>
      </c>
      <c r="AW161" s="469" t="str">
        <f t="shared" si="86"/>
        <v>N/A</v>
      </c>
      <c r="AX161" s="290"/>
      <c r="AY161" s="18"/>
      <c r="AZ161" s="3"/>
      <c r="BA161" s="315"/>
      <c r="BB161" s="3"/>
      <c r="BC161" s="3"/>
      <c r="BD161" s="3"/>
      <c r="BE161" s="3"/>
      <c r="BF161" s="18"/>
      <c r="BG161" s="3"/>
      <c r="BH161" s="315"/>
      <c r="BI161" s="3"/>
      <c r="BJ161" s="3"/>
      <c r="BK161" s="3"/>
      <c r="BL161" s="3"/>
      <c r="BM161" s="18"/>
      <c r="BN161" s="3"/>
      <c r="BO161" s="315"/>
      <c r="BP161" s="3"/>
      <c r="BQ161" s="3"/>
      <c r="BR161" s="3"/>
      <c r="BS161" s="3"/>
      <c r="BT161" s="18"/>
      <c r="BU161" s="3"/>
      <c r="BV161" s="315"/>
      <c r="BW161" s="3"/>
      <c r="BX161" s="3"/>
      <c r="BY161" s="3"/>
      <c r="BZ161" s="3"/>
    </row>
    <row r="162" spans="1:82" ht="15.6" outlineLevel="1">
      <c r="A162" s="7"/>
      <c r="B162" s="370"/>
      <c r="C162" s="355"/>
      <c r="D162" s="356"/>
      <c r="E162" s="342"/>
      <c r="F162" s="290"/>
      <c r="G162" s="357">
        <v>0</v>
      </c>
      <c r="H162" s="358">
        <v>0</v>
      </c>
      <c r="I162" s="358">
        <v>0</v>
      </c>
      <c r="J162" s="359">
        <f t="shared" si="87"/>
        <v>0</v>
      </c>
      <c r="K162" s="290"/>
      <c r="L162" s="349"/>
      <c r="M162" s="7"/>
      <c r="N162" s="12"/>
      <c r="O162" s="12"/>
      <c r="P162" s="12"/>
      <c r="Q162" s="361"/>
      <c r="R162" s="362"/>
      <c r="S162" s="363">
        <f t="shared" si="77"/>
        <v>0</v>
      </c>
      <c r="T162" s="364">
        <f t="shared" si="78"/>
        <v>0</v>
      </c>
      <c r="U162" s="365">
        <v>0</v>
      </c>
      <c r="V162" s="91">
        <f>ROUNDUP(IFERROR(INDEX(CostRateTbl[Cost Rate],MATCH(_xlfn.CONCAT(N162,O162,P162,"NA"),CostRateTbl[KeyCostRate],0)),0)*BillingCurrencyTRM*(1+U162),2)</f>
        <v>0</v>
      </c>
      <c r="W162" s="92">
        <f t="shared" si="79"/>
        <v>0</v>
      </c>
      <c r="X162" s="366" t="e" cm="1">
        <f t="array" ref="X162">_xlfn.LET(
    _xlpm.valor, INDEX(CostRate!H:H, MATCH(1, (CostRate!A:A=N162)*1, 0)),
    _xlpm.posicion, MATCH(_xlpm.valor, FilterSL!$F$1:$Z$1, 0),
    _xlpm.direccionCompleta, ADDRESS(1, _xlpm.posicion + 5, 4),
    _xlpm.letraColumna, SUBSTITUTE(_xlpm.direccionCompleta, "1", ""),
    _xlpm.letraColumna
)</f>
        <v>#N/A</v>
      </c>
      <c r="Y162" s="366" t="e" cm="1">
        <f t="array" ref="Y162">_xlfn.LET(
    _xlpm.valor, INDEX(CostRate!I:I, MATCH(1, (CostRate!A:A=N162)*(CostRate!B:B=O162), 0)),
    _xlpm.posicion, MATCH(_xlpm.valor, FilterJP!$E$1:$FZ$1, 0),
    _xlpm.direccionCompleta, ADDRESS(1, _xlpm.posicion + 4, 4),
    _xlpm.letraColumna, SUBSTITUTE(_xlpm.direccionCompleta, "1", ""),
    _xlpm.letraColumna
)</f>
        <v>#N/A</v>
      </c>
      <c r="Z162" s="7"/>
      <c r="AA162" s="367"/>
      <c r="AB162" s="7"/>
      <c r="AC162" s="93">
        <f t="shared" si="80"/>
        <v>0</v>
      </c>
      <c r="AD162" s="94">
        <f t="shared" si="88"/>
        <v>0</v>
      </c>
      <c r="AE162" s="109">
        <f t="shared" si="89"/>
        <v>0</v>
      </c>
      <c r="AF162" s="7"/>
      <c r="AG162" s="369">
        <f t="shared" si="81"/>
        <v>0</v>
      </c>
      <c r="AH162" s="368">
        <f t="shared" si="82"/>
        <v>0</v>
      </c>
      <c r="AI162" s="7"/>
      <c r="AJ162" s="369" cm="1">
        <f t="array" ref="AJ162">IFERROR(INDEX(WHT!$C$7:$W$18,MATCH(
_xlfn.SWITCH(N162,"xDC Medellin","Colombia","xDC Belo Horizonte","Brazil","xDC Guadalajara","Mexico","xDC Gurugram","India","xDC Leon","Spain","xDC San Jose","Costa Rica","xDC Warsaw","Poland",N162),
WHT!$B$7:$B$18,0),MATCH(CustomerCountry,WHT!$C$5:$W$5,0)),0)</f>
        <v>0</v>
      </c>
      <c r="AK162" s="368">
        <f t="shared" si="83"/>
        <v>0</v>
      </c>
      <c r="AL162" s="7"/>
      <c r="AM162" s="95">
        <f t="shared" si="90"/>
        <v>0</v>
      </c>
      <c r="AN162" s="95">
        <f t="shared" si="84"/>
        <v>0</v>
      </c>
      <c r="AO162" s="95">
        <f t="shared" si="91"/>
        <v>0</v>
      </c>
      <c r="AP162" s="90"/>
      <c r="AQ162" s="18"/>
      <c r="AR162" s="290"/>
      <c r="AS162" s="467" t="s">
        <v>133</v>
      </c>
      <c r="AT162" s="501">
        <f t="shared" si="85"/>
        <v>0</v>
      </c>
      <c r="AU162" s="502"/>
      <c r="AV162" s="95">
        <f t="shared" si="92"/>
        <v>0</v>
      </c>
      <c r="AW162" s="469" t="str">
        <f t="shared" si="86"/>
        <v>N/A</v>
      </c>
      <c r="AX162" s="290"/>
      <c r="AY162" s="18"/>
      <c r="AZ162" s="3"/>
      <c r="BA162" s="315"/>
      <c r="BB162" s="3"/>
      <c r="BC162" s="3"/>
      <c r="BD162" s="3"/>
      <c r="BE162" s="3"/>
      <c r="BF162" s="18"/>
      <c r="BG162" s="3"/>
      <c r="BH162" s="315"/>
      <c r="BI162" s="3"/>
      <c r="BJ162" s="3"/>
      <c r="BK162" s="3"/>
      <c r="BL162" s="3"/>
      <c r="BM162" s="18"/>
      <c r="BN162" s="3"/>
      <c r="BO162" s="315"/>
      <c r="BP162" s="3"/>
      <c r="BQ162" s="3"/>
      <c r="BR162" s="3"/>
      <c r="BS162" s="3"/>
      <c r="BT162" s="18"/>
      <c r="BU162" s="3"/>
      <c r="BV162" s="315"/>
      <c r="BW162" s="3"/>
      <c r="BX162" s="3"/>
      <c r="BY162" s="3"/>
      <c r="BZ162" s="3"/>
    </row>
    <row r="163" spans="1:82" ht="15.6" outlineLevel="1">
      <c r="A163" s="7"/>
      <c r="B163" s="370"/>
      <c r="C163" s="355"/>
      <c r="D163" s="356"/>
      <c r="E163" s="342"/>
      <c r="F163" s="290"/>
      <c r="G163" s="357">
        <v>0</v>
      </c>
      <c r="H163" s="358">
        <v>0</v>
      </c>
      <c r="I163" s="358">
        <v>0</v>
      </c>
      <c r="J163" s="359">
        <f t="shared" si="87"/>
        <v>0</v>
      </c>
      <c r="K163" s="290"/>
      <c r="L163" s="349"/>
      <c r="M163" s="7"/>
      <c r="N163" s="12"/>
      <c r="O163" s="12"/>
      <c r="P163" s="12"/>
      <c r="Q163" s="361"/>
      <c r="R163" s="362"/>
      <c r="S163" s="363">
        <f t="shared" si="77"/>
        <v>0</v>
      </c>
      <c r="T163" s="364">
        <f t="shared" si="78"/>
        <v>0</v>
      </c>
      <c r="U163" s="365">
        <v>0</v>
      </c>
      <c r="V163" s="91">
        <f>ROUNDUP(IFERROR(INDEX(CostRateTbl[Cost Rate],MATCH(_xlfn.CONCAT(N163,O163,P163,"NA"),CostRateTbl[KeyCostRate],0)),0)*BillingCurrencyTRM*(1+U163),2)</f>
        <v>0</v>
      </c>
      <c r="W163" s="92">
        <f t="shared" si="79"/>
        <v>0</v>
      </c>
      <c r="X163" s="366" t="e" cm="1">
        <f t="array" ref="X163">_xlfn.LET(
    _xlpm.valor, INDEX(CostRate!H:H, MATCH(1, (CostRate!A:A=N163)*1, 0)),
    _xlpm.posicion, MATCH(_xlpm.valor, FilterSL!$F$1:$Z$1, 0),
    _xlpm.direccionCompleta, ADDRESS(1, _xlpm.posicion + 5, 4),
    _xlpm.letraColumna, SUBSTITUTE(_xlpm.direccionCompleta, "1", ""),
    _xlpm.letraColumna
)</f>
        <v>#N/A</v>
      </c>
      <c r="Y163" s="366" t="e" cm="1">
        <f t="array" ref="Y163">_xlfn.LET(
    _xlpm.valor, INDEX(CostRate!I:I, MATCH(1, (CostRate!A:A=N163)*(CostRate!B:B=O163), 0)),
    _xlpm.posicion, MATCH(_xlpm.valor, FilterJP!$E$1:$FZ$1, 0),
    _xlpm.direccionCompleta, ADDRESS(1, _xlpm.posicion + 4, 4),
    _xlpm.letraColumna, SUBSTITUTE(_xlpm.direccionCompleta, "1", ""),
    _xlpm.letraColumna
)</f>
        <v>#N/A</v>
      </c>
      <c r="Z163" s="7"/>
      <c r="AA163" s="367"/>
      <c r="AB163" s="7"/>
      <c r="AC163" s="93">
        <f t="shared" si="80"/>
        <v>0</v>
      </c>
      <c r="AD163" s="94">
        <f t="shared" si="88"/>
        <v>0</v>
      </c>
      <c r="AE163" s="109">
        <f t="shared" si="89"/>
        <v>0</v>
      </c>
      <c r="AF163" s="7"/>
      <c r="AG163" s="369">
        <f t="shared" si="81"/>
        <v>0</v>
      </c>
      <c r="AH163" s="368">
        <f t="shared" si="82"/>
        <v>0</v>
      </c>
      <c r="AI163" s="7"/>
      <c r="AJ163" s="369" cm="1">
        <f t="array" ref="AJ163">IFERROR(INDEX(WHT!$C$7:$W$18,MATCH(
_xlfn.SWITCH(N163,"xDC Medellin","Colombia","xDC Belo Horizonte","Brazil","xDC Guadalajara","Mexico","xDC Gurugram","India","xDC Leon","Spain","xDC San Jose","Costa Rica","xDC Warsaw","Poland",N163),
WHT!$B$7:$B$18,0),MATCH(CustomerCountry,WHT!$C$5:$W$5,0)),0)</f>
        <v>0</v>
      </c>
      <c r="AK163" s="368">
        <f t="shared" si="83"/>
        <v>0</v>
      </c>
      <c r="AL163" s="7"/>
      <c r="AM163" s="95">
        <f t="shared" si="90"/>
        <v>0</v>
      </c>
      <c r="AN163" s="95">
        <f t="shared" si="84"/>
        <v>0</v>
      </c>
      <c r="AO163" s="95">
        <f t="shared" si="91"/>
        <v>0</v>
      </c>
      <c r="AP163" s="90"/>
      <c r="AQ163" s="18"/>
      <c r="AR163" s="290"/>
      <c r="AS163" s="467" t="s">
        <v>133</v>
      </c>
      <c r="AT163" s="501">
        <f t="shared" si="85"/>
        <v>0</v>
      </c>
      <c r="AU163" s="502"/>
      <c r="AV163" s="95">
        <f t="shared" si="92"/>
        <v>0</v>
      </c>
      <c r="AW163" s="469" t="str">
        <f t="shared" si="86"/>
        <v>N/A</v>
      </c>
      <c r="AX163" s="290"/>
      <c r="AY163" s="18"/>
      <c r="AZ163" s="3"/>
      <c r="BA163" s="315"/>
      <c r="BB163" s="3"/>
      <c r="BC163" s="3"/>
      <c r="BD163" s="3"/>
      <c r="BE163" s="3"/>
      <c r="BF163" s="18"/>
      <c r="BG163" s="3"/>
      <c r="BH163" s="315"/>
      <c r="BI163" s="3"/>
      <c r="BJ163" s="3"/>
      <c r="BK163" s="3"/>
      <c r="BL163" s="3"/>
      <c r="BM163" s="18"/>
      <c r="BN163" s="3"/>
      <c r="BO163" s="315"/>
      <c r="BP163" s="3"/>
      <c r="BQ163" s="3"/>
      <c r="BR163" s="3"/>
      <c r="BS163" s="3"/>
      <c r="BT163" s="18"/>
      <c r="BU163" s="3"/>
      <c r="BV163" s="315"/>
      <c r="BW163" s="3"/>
      <c r="BX163" s="3"/>
      <c r="BY163" s="3"/>
      <c r="BZ163" s="3"/>
    </row>
    <row r="164" spans="1:82" ht="15.6" outlineLevel="1">
      <c r="A164" s="7"/>
      <c r="B164" s="370"/>
      <c r="C164" s="355"/>
      <c r="D164" s="356"/>
      <c r="E164" s="342"/>
      <c r="F164" s="290"/>
      <c r="G164" s="357">
        <v>0</v>
      </c>
      <c r="H164" s="358">
        <v>0</v>
      </c>
      <c r="I164" s="358">
        <v>0</v>
      </c>
      <c r="J164" s="359">
        <f t="shared" si="87"/>
        <v>0</v>
      </c>
      <c r="K164" s="290"/>
      <c r="L164" s="349"/>
      <c r="M164" s="7"/>
      <c r="N164" s="12"/>
      <c r="O164" s="12"/>
      <c r="P164" s="12"/>
      <c r="Q164" s="361"/>
      <c r="R164" s="362"/>
      <c r="S164" s="363">
        <f t="shared" si="77"/>
        <v>0</v>
      </c>
      <c r="T164" s="364">
        <f t="shared" si="78"/>
        <v>0</v>
      </c>
      <c r="U164" s="365">
        <v>0</v>
      </c>
      <c r="V164" s="91">
        <f>ROUNDUP(IFERROR(INDEX(CostRateTbl[Cost Rate],MATCH(_xlfn.CONCAT(N164,O164,P164,"NA"),CostRateTbl[KeyCostRate],0)),0)*BillingCurrencyTRM*(1+U164),2)</f>
        <v>0</v>
      </c>
      <c r="W164" s="92">
        <f t="shared" si="79"/>
        <v>0</v>
      </c>
      <c r="X164" s="366" t="e" cm="1">
        <f t="array" ref="X164">_xlfn.LET(
    _xlpm.valor, INDEX(CostRate!H:H, MATCH(1, (CostRate!A:A=N164)*1, 0)),
    _xlpm.posicion, MATCH(_xlpm.valor, FilterSL!$F$1:$Z$1, 0),
    _xlpm.direccionCompleta, ADDRESS(1, _xlpm.posicion + 5, 4),
    _xlpm.letraColumna, SUBSTITUTE(_xlpm.direccionCompleta, "1", ""),
    _xlpm.letraColumna
)</f>
        <v>#N/A</v>
      </c>
      <c r="Y164" s="366" t="e" cm="1">
        <f t="array" ref="Y164">_xlfn.LET(
    _xlpm.valor, INDEX(CostRate!I:I, MATCH(1, (CostRate!A:A=N164)*(CostRate!B:B=O164), 0)),
    _xlpm.posicion, MATCH(_xlpm.valor, FilterJP!$E$1:$FZ$1, 0),
    _xlpm.direccionCompleta, ADDRESS(1, _xlpm.posicion + 4, 4),
    _xlpm.letraColumna, SUBSTITUTE(_xlpm.direccionCompleta, "1", ""),
    _xlpm.letraColumna
)</f>
        <v>#N/A</v>
      </c>
      <c r="Z164" s="7"/>
      <c r="AA164" s="367"/>
      <c r="AB164" s="7"/>
      <c r="AC164" s="93">
        <f t="shared" si="80"/>
        <v>0</v>
      </c>
      <c r="AD164" s="94">
        <f t="shared" si="88"/>
        <v>0</v>
      </c>
      <c r="AE164" s="109">
        <f t="shared" si="89"/>
        <v>0</v>
      </c>
      <c r="AF164" s="7"/>
      <c r="AG164" s="369">
        <f t="shared" si="81"/>
        <v>0</v>
      </c>
      <c r="AH164" s="368">
        <f t="shared" si="82"/>
        <v>0</v>
      </c>
      <c r="AI164" s="7"/>
      <c r="AJ164" s="369" cm="1">
        <f t="array" ref="AJ164">IFERROR(INDEX(WHT!$C$7:$W$18,MATCH(
_xlfn.SWITCH(N164,"xDC Medellin","Colombia","xDC Belo Horizonte","Brazil","xDC Guadalajara","Mexico","xDC Gurugram","India","xDC Leon","Spain","xDC San Jose","Costa Rica","xDC Warsaw","Poland",N164),
WHT!$B$7:$B$18,0),MATCH(CustomerCountry,WHT!$C$5:$W$5,0)),0)</f>
        <v>0</v>
      </c>
      <c r="AK164" s="368">
        <f t="shared" si="83"/>
        <v>0</v>
      </c>
      <c r="AL164" s="7"/>
      <c r="AM164" s="95">
        <f t="shared" si="90"/>
        <v>0</v>
      </c>
      <c r="AN164" s="95">
        <f t="shared" si="84"/>
        <v>0</v>
      </c>
      <c r="AO164" s="95">
        <f t="shared" si="91"/>
        <v>0</v>
      </c>
      <c r="AP164" s="90"/>
      <c r="AQ164" s="18"/>
      <c r="AR164" s="290"/>
      <c r="AS164" s="467" t="s">
        <v>133</v>
      </c>
      <c r="AT164" s="501">
        <f t="shared" si="85"/>
        <v>0</v>
      </c>
      <c r="AU164" s="502"/>
      <c r="AV164" s="95">
        <f t="shared" si="92"/>
        <v>0</v>
      </c>
      <c r="AW164" s="469" t="str">
        <f t="shared" si="86"/>
        <v>N/A</v>
      </c>
      <c r="AX164" s="290"/>
      <c r="AY164" s="18"/>
      <c r="AZ164" s="3"/>
      <c r="BA164" s="315"/>
      <c r="BB164" s="3"/>
      <c r="BC164" s="3"/>
      <c r="BD164" s="3"/>
      <c r="BE164" s="3"/>
      <c r="BF164" s="18"/>
      <c r="BG164" s="3"/>
      <c r="BH164" s="315"/>
      <c r="BI164" s="3"/>
      <c r="BJ164" s="3"/>
      <c r="BK164" s="3"/>
      <c r="BL164" s="3"/>
      <c r="BM164" s="18"/>
      <c r="BN164" s="3"/>
      <c r="BO164" s="315"/>
      <c r="BP164" s="3"/>
      <c r="BQ164" s="3"/>
      <c r="BR164" s="3"/>
      <c r="BS164" s="3"/>
      <c r="BT164" s="18"/>
      <c r="BU164" s="3"/>
      <c r="BV164" s="315"/>
      <c r="BW164" s="3"/>
      <c r="BX164" s="3"/>
      <c r="BY164" s="3"/>
      <c r="BZ164" s="3"/>
    </row>
    <row r="165" spans="1:82" ht="15.6" outlineLevel="1">
      <c r="A165" s="7"/>
      <c r="B165" s="370"/>
      <c r="C165" s="355"/>
      <c r="D165" s="356"/>
      <c r="E165" s="342"/>
      <c r="F165" s="290"/>
      <c r="G165" s="357">
        <v>0</v>
      </c>
      <c r="H165" s="358">
        <v>0</v>
      </c>
      <c r="I165" s="358">
        <v>0</v>
      </c>
      <c r="J165" s="359">
        <f t="shared" si="87"/>
        <v>0</v>
      </c>
      <c r="K165" s="290"/>
      <c r="L165" s="349"/>
      <c r="M165" s="7"/>
      <c r="N165" s="12"/>
      <c r="O165" s="12"/>
      <c r="P165" s="12"/>
      <c r="Q165" s="361"/>
      <c r="R165" s="362"/>
      <c r="S165" s="363">
        <f t="shared" si="77"/>
        <v>0</v>
      </c>
      <c r="T165" s="364">
        <f t="shared" si="78"/>
        <v>0</v>
      </c>
      <c r="U165" s="365">
        <v>0</v>
      </c>
      <c r="V165" s="91">
        <f>ROUNDUP(IFERROR(INDEX(CostRateTbl[Cost Rate],MATCH(_xlfn.CONCAT(N165,O165,P165,"NA"),CostRateTbl[KeyCostRate],0)),0)*BillingCurrencyTRM*(1+U165),2)</f>
        <v>0</v>
      </c>
      <c r="W165" s="92">
        <f t="shared" si="79"/>
        <v>0</v>
      </c>
      <c r="X165" s="366" t="e" cm="1">
        <f t="array" ref="X165">_xlfn.LET(
    _xlpm.valor, INDEX(CostRate!H:H, MATCH(1, (CostRate!A:A=N165)*1, 0)),
    _xlpm.posicion, MATCH(_xlpm.valor, FilterSL!$F$1:$Z$1, 0),
    _xlpm.direccionCompleta, ADDRESS(1, _xlpm.posicion + 5, 4),
    _xlpm.letraColumna, SUBSTITUTE(_xlpm.direccionCompleta, "1", ""),
    _xlpm.letraColumna
)</f>
        <v>#N/A</v>
      </c>
      <c r="Y165" s="366" t="e" cm="1">
        <f t="array" ref="Y165">_xlfn.LET(
    _xlpm.valor, INDEX(CostRate!I:I, MATCH(1, (CostRate!A:A=N165)*(CostRate!B:B=O165), 0)),
    _xlpm.posicion, MATCH(_xlpm.valor, FilterJP!$E$1:$FZ$1, 0),
    _xlpm.direccionCompleta, ADDRESS(1, _xlpm.posicion + 4, 4),
    _xlpm.letraColumna, SUBSTITUTE(_xlpm.direccionCompleta, "1", ""),
    _xlpm.letraColumna
)</f>
        <v>#N/A</v>
      </c>
      <c r="Z165" s="7"/>
      <c r="AA165" s="367"/>
      <c r="AB165" s="7"/>
      <c r="AC165" s="93">
        <f t="shared" si="80"/>
        <v>0</v>
      </c>
      <c r="AD165" s="94">
        <f t="shared" si="88"/>
        <v>0</v>
      </c>
      <c r="AE165" s="109">
        <f t="shared" si="89"/>
        <v>0</v>
      </c>
      <c r="AF165" s="7"/>
      <c r="AG165" s="369">
        <f t="shared" si="81"/>
        <v>0</v>
      </c>
      <c r="AH165" s="368">
        <f t="shared" si="82"/>
        <v>0</v>
      </c>
      <c r="AI165" s="7"/>
      <c r="AJ165" s="369" cm="1">
        <f t="array" ref="AJ165">IFERROR(INDEX(WHT!$C$7:$W$18,MATCH(
_xlfn.SWITCH(N165,"xDC Medellin","Colombia","xDC Belo Horizonte","Brazil","xDC Guadalajara","Mexico","xDC Gurugram","India","xDC Leon","Spain","xDC San Jose","Costa Rica","xDC Warsaw","Poland",N165),
WHT!$B$7:$B$18,0),MATCH(CustomerCountry,WHT!$C$5:$W$5,0)),0)</f>
        <v>0</v>
      </c>
      <c r="AK165" s="368">
        <f t="shared" si="83"/>
        <v>0</v>
      </c>
      <c r="AL165" s="7"/>
      <c r="AM165" s="95">
        <f t="shared" si="90"/>
        <v>0</v>
      </c>
      <c r="AN165" s="95">
        <f t="shared" si="84"/>
        <v>0</v>
      </c>
      <c r="AO165" s="95">
        <f t="shared" si="91"/>
        <v>0</v>
      </c>
      <c r="AP165" s="90"/>
      <c r="AQ165" s="18"/>
      <c r="AR165" s="290"/>
      <c r="AS165" s="467" t="s">
        <v>133</v>
      </c>
      <c r="AT165" s="501">
        <f t="shared" si="85"/>
        <v>0</v>
      </c>
      <c r="AU165" s="502"/>
      <c r="AV165" s="95">
        <f t="shared" si="92"/>
        <v>0</v>
      </c>
      <c r="AW165" s="469" t="str">
        <f t="shared" si="86"/>
        <v>N/A</v>
      </c>
      <c r="AX165" s="290"/>
      <c r="AY165" s="18"/>
      <c r="AZ165" s="3"/>
      <c r="BA165" s="315"/>
      <c r="BB165" s="3"/>
      <c r="BC165" s="3"/>
      <c r="BD165" s="3"/>
      <c r="BE165" s="3"/>
      <c r="BF165" s="18"/>
      <c r="BG165" s="3"/>
      <c r="BH165" s="315"/>
      <c r="BI165" s="3"/>
      <c r="BJ165" s="3"/>
      <c r="BK165" s="3"/>
      <c r="BL165" s="3"/>
      <c r="BM165" s="18"/>
      <c r="BN165" s="3"/>
      <c r="BO165" s="315"/>
      <c r="BP165" s="3"/>
      <c r="BQ165" s="3"/>
      <c r="BR165" s="3"/>
      <c r="BS165" s="3"/>
      <c r="BT165" s="18"/>
      <c r="BU165" s="3"/>
      <c r="BV165" s="315"/>
      <c r="BW165" s="3"/>
      <c r="BX165" s="3"/>
      <c r="BY165" s="3"/>
      <c r="BZ165" s="3"/>
    </row>
    <row r="166" spans="1:82" ht="15.6" outlineLevel="1">
      <c r="A166" s="7"/>
      <c r="B166" s="370"/>
      <c r="C166" s="355"/>
      <c r="D166" s="356"/>
      <c r="E166" s="342"/>
      <c r="F166" s="290"/>
      <c r="G166" s="357">
        <v>0</v>
      </c>
      <c r="H166" s="358">
        <v>0</v>
      </c>
      <c r="I166" s="358">
        <v>0</v>
      </c>
      <c r="J166" s="359">
        <f t="shared" si="87"/>
        <v>0</v>
      </c>
      <c r="K166" s="290"/>
      <c r="L166" s="349"/>
      <c r="M166" s="7"/>
      <c r="N166" s="12"/>
      <c r="O166" s="12"/>
      <c r="P166" s="12"/>
      <c r="Q166" s="361"/>
      <c r="R166" s="362"/>
      <c r="S166" s="363">
        <f t="shared" si="77"/>
        <v>0</v>
      </c>
      <c r="T166" s="364">
        <f t="shared" si="78"/>
        <v>0</v>
      </c>
      <c r="U166" s="365">
        <v>0</v>
      </c>
      <c r="V166" s="91">
        <f>ROUNDUP(IFERROR(INDEX(CostRateTbl[Cost Rate],MATCH(_xlfn.CONCAT(N166,O166,P166,"NA"),CostRateTbl[KeyCostRate],0)),0)*BillingCurrencyTRM*(1+U166),2)</f>
        <v>0</v>
      </c>
      <c r="W166" s="92">
        <f t="shared" si="79"/>
        <v>0</v>
      </c>
      <c r="X166" s="366" t="e" cm="1">
        <f t="array" ref="X166">_xlfn.LET(
    _xlpm.valor, INDEX(CostRate!H:H, MATCH(1, (CostRate!A:A=N166)*1, 0)),
    _xlpm.posicion, MATCH(_xlpm.valor, FilterSL!$F$1:$Z$1, 0),
    _xlpm.direccionCompleta, ADDRESS(1, _xlpm.posicion + 5, 4),
    _xlpm.letraColumna, SUBSTITUTE(_xlpm.direccionCompleta, "1", ""),
    _xlpm.letraColumna
)</f>
        <v>#N/A</v>
      </c>
      <c r="Y166" s="366" t="e" cm="1">
        <f t="array" ref="Y166">_xlfn.LET(
    _xlpm.valor, INDEX(CostRate!I:I, MATCH(1, (CostRate!A:A=N166)*(CostRate!B:B=O166), 0)),
    _xlpm.posicion, MATCH(_xlpm.valor, FilterJP!$E$1:$FZ$1, 0),
    _xlpm.direccionCompleta, ADDRESS(1, _xlpm.posicion + 4, 4),
    _xlpm.letraColumna, SUBSTITUTE(_xlpm.direccionCompleta, "1", ""),
    _xlpm.letraColumna
)</f>
        <v>#N/A</v>
      </c>
      <c r="Z166" s="7"/>
      <c r="AA166" s="367"/>
      <c r="AB166" s="7"/>
      <c r="AC166" s="93">
        <f t="shared" si="80"/>
        <v>0</v>
      </c>
      <c r="AD166" s="94">
        <f t="shared" si="88"/>
        <v>0</v>
      </c>
      <c r="AE166" s="109">
        <f t="shared" si="89"/>
        <v>0</v>
      </c>
      <c r="AF166" s="7"/>
      <c r="AG166" s="369">
        <f t="shared" si="81"/>
        <v>0</v>
      </c>
      <c r="AH166" s="368">
        <f t="shared" si="82"/>
        <v>0</v>
      </c>
      <c r="AI166" s="7"/>
      <c r="AJ166" s="369" cm="1">
        <f t="array" ref="AJ166">IFERROR(INDEX(WHT!$C$7:$W$18,MATCH(
_xlfn.SWITCH(N166,"xDC Medellin","Colombia","xDC Belo Horizonte","Brazil","xDC Guadalajara","Mexico","xDC Gurugram","India","xDC Leon","Spain","xDC San Jose","Costa Rica","xDC Warsaw","Poland",N166),
WHT!$B$7:$B$18,0),MATCH(CustomerCountry,WHT!$C$5:$W$5,0)),0)</f>
        <v>0</v>
      </c>
      <c r="AK166" s="368">
        <f t="shared" si="83"/>
        <v>0</v>
      </c>
      <c r="AL166" s="7"/>
      <c r="AM166" s="95">
        <f t="shared" si="90"/>
        <v>0</v>
      </c>
      <c r="AN166" s="95">
        <f t="shared" si="84"/>
        <v>0</v>
      </c>
      <c r="AO166" s="95">
        <f t="shared" si="91"/>
        <v>0</v>
      </c>
      <c r="AP166" s="90"/>
      <c r="AQ166" s="18"/>
      <c r="AR166" s="290"/>
      <c r="AS166" s="467" t="s">
        <v>133</v>
      </c>
      <c r="AT166" s="501">
        <f t="shared" si="85"/>
        <v>0</v>
      </c>
      <c r="AU166" s="502"/>
      <c r="AV166" s="95">
        <f t="shared" si="92"/>
        <v>0</v>
      </c>
      <c r="AW166" s="469" t="str">
        <f t="shared" si="86"/>
        <v>N/A</v>
      </c>
      <c r="AX166" s="290"/>
      <c r="AY166" s="18"/>
      <c r="AZ166" s="3"/>
      <c r="BA166" s="315"/>
      <c r="BB166" s="3"/>
      <c r="BC166" s="3"/>
      <c r="BD166" s="3"/>
      <c r="BE166" s="3"/>
      <c r="BF166" s="18"/>
      <c r="BG166" s="3"/>
      <c r="BH166" s="315"/>
      <c r="BI166" s="3"/>
      <c r="BJ166" s="3"/>
      <c r="BK166" s="3"/>
      <c r="BL166" s="3"/>
      <c r="BM166" s="18"/>
      <c r="BN166" s="3"/>
      <c r="BO166" s="315"/>
      <c r="BP166" s="3"/>
      <c r="BQ166" s="3"/>
      <c r="BR166" s="3"/>
      <c r="BS166" s="3"/>
      <c r="BT166" s="18"/>
      <c r="BU166" s="3"/>
      <c r="BV166" s="315"/>
      <c r="BW166" s="3"/>
      <c r="BX166" s="3"/>
      <c r="BY166" s="3"/>
      <c r="BZ166" s="3"/>
    </row>
    <row r="167" spans="1:82" ht="15.6" outlineLevel="1">
      <c r="A167" s="7"/>
      <c r="B167" s="370"/>
      <c r="C167" s="355"/>
      <c r="D167" s="356"/>
      <c r="E167" s="342"/>
      <c r="F167" s="290"/>
      <c r="G167" s="357">
        <v>0</v>
      </c>
      <c r="H167" s="358">
        <v>0</v>
      </c>
      <c r="I167" s="358">
        <v>0</v>
      </c>
      <c r="J167" s="359">
        <f t="shared" si="87"/>
        <v>0</v>
      </c>
      <c r="K167" s="290"/>
      <c r="L167" s="349"/>
      <c r="M167" s="7"/>
      <c r="N167" s="12"/>
      <c r="O167" s="12"/>
      <c r="P167" s="12"/>
      <c r="Q167" s="361"/>
      <c r="R167" s="362"/>
      <c r="S167" s="363">
        <f t="shared" si="77"/>
        <v>0</v>
      </c>
      <c r="T167" s="364">
        <f t="shared" si="78"/>
        <v>0</v>
      </c>
      <c r="U167" s="365">
        <v>0</v>
      </c>
      <c r="V167" s="91">
        <f>ROUNDUP(IFERROR(INDEX(CostRateTbl[Cost Rate],MATCH(_xlfn.CONCAT(N167,O167,P167,"NA"),CostRateTbl[KeyCostRate],0)),0)*BillingCurrencyTRM*(1+U167),2)</f>
        <v>0</v>
      </c>
      <c r="W167" s="92">
        <f t="shared" si="79"/>
        <v>0</v>
      </c>
      <c r="X167" s="366" t="e" cm="1">
        <f t="array" ref="X167">_xlfn.LET(
    _xlpm.valor, INDEX(CostRate!H:H, MATCH(1, (CostRate!A:A=N167)*1, 0)),
    _xlpm.posicion, MATCH(_xlpm.valor, FilterSL!$F$1:$Z$1, 0),
    _xlpm.direccionCompleta, ADDRESS(1, _xlpm.posicion + 5, 4),
    _xlpm.letraColumna, SUBSTITUTE(_xlpm.direccionCompleta, "1", ""),
    _xlpm.letraColumna
)</f>
        <v>#N/A</v>
      </c>
      <c r="Y167" s="366" t="e" cm="1">
        <f t="array" ref="Y167">_xlfn.LET(
    _xlpm.valor, INDEX(CostRate!I:I, MATCH(1, (CostRate!A:A=N167)*(CostRate!B:B=O167), 0)),
    _xlpm.posicion, MATCH(_xlpm.valor, FilterJP!$E$1:$FZ$1, 0),
    _xlpm.direccionCompleta, ADDRESS(1, _xlpm.posicion + 4, 4),
    _xlpm.letraColumna, SUBSTITUTE(_xlpm.direccionCompleta, "1", ""),
    _xlpm.letraColumna
)</f>
        <v>#N/A</v>
      </c>
      <c r="Z167" s="7"/>
      <c r="AA167" s="367"/>
      <c r="AB167" s="7"/>
      <c r="AC167" s="93">
        <f t="shared" si="80"/>
        <v>0</v>
      </c>
      <c r="AD167" s="94">
        <f t="shared" si="88"/>
        <v>0</v>
      </c>
      <c r="AE167" s="109">
        <f t="shared" si="89"/>
        <v>0</v>
      </c>
      <c r="AF167" s="7"/>
      <c r="AG167" s="369">
        <f t="shared" si="81"/>
        <v>0</v>
      </c>
      <c r="AH167" s="368">
        <f t="shared" si="82"/>
        <v>0</v>
      </c>
      <c r="AI167" s="7"/>
      <c r="AJ167" s="369" cm="1">
        <f t="array" ref="AJ167">IFERROR(INDEX(WHT!$C$7:$W$18,MATCH(
_xlfn.SWITCH(N167,"xDC Medellin","Colombia","xDC Belo Horizonte","Brazil","xDC Guadalajara","Mexico","xDC Gurugram","India","xDC Leon","Spain","xDC San Jose","Costa Rica","xDC Warsaw","Poland",N167),
WHT!$B$7:$B$18,0),MATCH(CustomerCountry,WHT!$C$5:$W$5,0)),0)</f>
        <v>0</v>
      </c>
      <c r="AK167" s="368">
        <f t="shared" si="83"/>
        <v>0</v>
      </c>
      <c r="AL167" s="7"/>
      <c r="AM167" s="95">
        <f t="shared" si="90"/>
        <v>0</v>
      </c>
      <c r="AN167" s="95">
        <f t="shared" si="84"/>
        <v>0</v>
      </c>
      <c r="AO167" s="95">
        <f t="shared" si="91"/>
        <v>0</v>
      </c>
      <c r="AP167" s="90"/>
      <c r="AQ167" s="18"/>
      <c r="AR167" s="290"/>
      <c r="AS167" s="467" t="s">
        <v>133</v>
      </c>
      <c r="AT167" s="501">
        <f t="shared" si="85"/>
        <v>0</v>
      </c>
      <c r="AU167" s="502"/>
      <c r="AV167" s="95">
        <f t="shared" si="92"/>
        <v>0</v>
      </c>
      <c r="AW167" s="469" t="str">
        <f t="shared" si="86"/>
        <v>N/A</v>
      </c>
      <c r="AX167" s="290"/>
      <c r="AY167" s="18"/>
      <c r="AZ167" s="3"/>
      <c r="BA167" s="315"/>
      <c r="BB167" s="3"/>
      <c r="BC167" s="3"/>
      <c r="BD167" s="3"/>
      <c r="BE167" s="3"/>
      <c r="BF167" s="18"/>
      <c r="BG167" s="3"/>
      <c r="BH167" s="315"/>
      <c r="BI167" s="3"/>
      <c r="BJ167" s="3"/>
      <c r="BK167" s="3"/>
      <c r="BL167" s="3"/>
      <c r="BM167" s="18"/>
      <c r="BN167" s="3"/>
      <c r="BO167" s="315"/>
      <c r="BP167" s="3"/>
      <c r="BQ167" s="3"/>
      <c r="BR167" s="3"/>
      <c r="BS167" s="3"/>
      <c r="BT167" s="18"/>
      <c r="BU167" s="3"/>
      <c r="BV167" s="315"/>
      <c r="BW167" s="3"/>
      <c r="BX167" s="3"/>
      <c r="BY167" s="3"/>
      <c r="BZ167" s="3"/>
    </row>
    <row r="168" spans="1:82" ht="15.6" outlineLevel="1">
      <c r="A168" s="7"/>
      <c r="B168" s="370"/>
      <c r="C168" s="355"/>
      <c r="D168" s="356"/>
      <c r="E168" s="342"/>
      <c r="F168" s="290"/>
      <c r="G168" s="373">
        <v>0</v>
      </c>
      <c r="H168" s="374">
        <v>0</v>
      </c>
      <c r="I168" s="374">
        <v>0</v>
      </c>
      <c r="J168" s="375">
        <f t="shared" si="87"/>
        <v>0</v>
      </c>
      <c r="K168" s="290"/>
      <c r="L168" s="349"/>
      <c r="M168" s="7"/>
      <c r="N168" s="12"/>
      <c r="O168" s="12"/>
      <c r="P168" s="12"/>
      <c r="Q168" s="361"/>
      <c r="R168" s="362"/>
      <c r="S168" s="363">
        <f t="shared" si="77"/>
        <v>0</v>
      </c>
      <c r="T168" s="364">
        <f t="shared" si="78"/>
        <v>0</v>
      </c>
      <c r="U168" s="365">
        <v>0</v>
      </c>
      <c r="V168" s="91">
        <f>ROUNDUP(IFERROR(INDEX(CostRateTbl[Cost Rate],MATCH(_xlfn.CONCAT(N168,O168,P168,"NA"),CostRateTbl[KeyCostRate],0)),0)*BillingCurrencyTRM*(1+U168),2)</f>
        <v>0</v>
      </c>
      <c r="W168" s="92">
        <f t="shared" si="79"/>
        <v>0</v>
      </c>
      <c r="X168" s="366" t="e" cm="1">
        <f t="array" ref="X168">_xlfn.LET(
    _xlpm.valor, INDEX(CostRate!H:H, MATCH(1, (CostRate!A:A=N168)*1, 0)),
    _xlpm.posicion, MATCH(_xlpm.valor, FilterSL!$F$1:$Z$1, 0),
    _xlpm.direccionCompleta, ADDRESS(1, _xlpm.posicion + 5, 4),
    _xlpm.letraColumna, SUBSTITUTE(_xlpm.direccionCompleta, "1", ""),
    _xlpm.letraColumna
)</f>
        <v>#N/A</v>
      </c>
      <c r="Y168" s="366" t="e" cm="1">
        <f t="array" ref="Y168">_xlfn.LET(
    _xlpm.valor, INDEX(CostRate!I:I, MATCH(1, (CostRate!A:A=N168)*(CostRate!B:B=O168), 0)),
    _xlpm.posicion, MATCH(_xlpm.valor, FilterJP!$E$1:$FZ$1, 0),
    _xlpm.direccionCompleta, ADDRESS(1, _xlpm.posicion + 4, 4),
    _xlpm.letraColumna, SUBSTITUTE(_xlpm.direccionCompleta, "1", ""),
    _xlpm.letraColumna
)</f>
        <v>#N/A</v>
      </c>
      <c r="Z168" s="7"/>
      <c r="AA168" s="367"/>
      <c r="AB168" s="7"/>
      <c r="AC168" s="93">
        <f t="shared" si="80"/>
        <v>0</v>
      </c>
      <c r="AD168" s="94">
        <f t="shared" si="88"/>
        <v>0</v>
      </c>
      <c r="AE168" s="109">
        <f t="shared" si="89"/>
        <v>0</v>
      </c>
      <c r="AF168" s="7"/>
      <c r="AG168" s="369">
        <f t="shared" si="81"/>
        <v>0</v>
      </c>
      <c r="AH168" s="368">
        <f t="shared" si="82"/>
        <v>0</v>
      </c>
      <c r="AI168" s="7"/>
      <c r="AJ168" s="369" cm="1">
        <f t="array" ref="AJ168">IFERROR(INDEX(WHT!$C$7:$W$18,MATCH(
_xlfn.SWITCH(N168,"xDC Medellin","Colombia","xDC Belo Horizonte","Brazil","xDC Guadalajara","Mexico","xDC Gurugram","India","xDC Leon","Spain","xDC San Jose","Costa Rica","xDC Warsaw","Poland",N168),
WHT!$B$7:$B$18,0),MATCH(CustomerCountry,WHT!$C$5:$W$5,0)),0)</f>
        <v>0</v>
      </c>
      <c r="AK168" s="368">
        <f t="shared" si="83"/>
        <v>0</v>
      </c>
      <c r="AL168" s="7"/>
      <c r="AM168" s="95">
        <f t="shared" si="90"/>
        <v>0</v>
      </c>
      <c r="AN168" s="95">
        <f t="shared" si="84"/>
        <v>0</v>
      </c>
      <c r="AO168" s="95">
        <f t="shared" si="91"/>
        <v>0</v>
      </c>
      <c r="AP168" s="90"/>
      <c r="AQ168" s="18"/>
      <c r="AR168" s="290"/>
      <c r="AS168" s="467" t="s">
        <v>133</v>
      </c>
      <c r="AT168" s="501">
        <f t="shared" si="85"/>
        <v>0</v>
      </c>
      <c r="AU168" s="502"/>
      <c r="AV168" s="95">
        <f t="shared" si="92"/>
        <v>0</v>
      </c>
      <c r="AW168" s="469" t="str">
        <f t="shared" si="86"/>
        <v>N/A</v>
      </c>
      <c r="AX168" s="290"/>
      <c r="AY168" s="18"/>
      <c r="AZ168" s="3"/>
      <c r="BA168" s="315"/>
      <c r="BB168" s="3"/>
      <c r="BC168" s="3"/>
      <c r="BD168" s="3"/>
      <c r="BE168" s="3"/>
      <c r="BF168" s="18"/>
      <c r="BG168" s="3"/>
      <c r="BH168" s="315"/>
      <c r="BI168" s="3"/>
      <c r="BJ168" s="3"/>
      <c r="BK168" s="3"/>
      <c r="BL168" s="3"/>
      <c r="BM168" s="18"/>
      <c r="BN168" s="3"/>
      <c r="BO168" s="315"/>
      <c r="BP168" s="3"/>
      <c r="BQ168" s="3"/>
      <c r="BR168" s="3"/>
      <c r="BS168" s="3"/>
      <c r="BT168" s="18"/>
      <c r="BU168" s="3"/>
      <c r="BV168" s="315"/>
      <c r="BW168" s="3"/>
      <c r="BX168" s="3"/>
      <c r="BY168" s="3"/>
      <c r="BZ168" s="3"/>
    </row>
    <row r="169" spans="1:82" ht="15.6" outlineLevel="1">
      <c r="A169" s="7"/>
      <c r="B169" s="372"/>
      <c r="C169" s="355"/>
      <c r="D169" s="356"/>
      <c r="E169" s="342"/>
      <c r="F169" s="290"/>
      <c r="G169" s="373">
        <v>0</v>
      </c>
      <c r="H169" s="374">
        <v>0</v>
      </c>
      <c r="I169" s="374">
        <v>0</v>
      </c>
      <c r="J169" s="375">
        <f t="shared" si="87"/>
        <v>0</v>
      </c>
      <c r="K169" s="290"/>
      <c r="L169" s="349"/>
      <c r="M169" s="7"/>
      <c r="N169" s="12"/>
      <c r="O169" s="12"/>
      <c r="P169" s="12"/>
      <c r="Q169" s="361"/>
      <c r="R169" s="362"/>
      <c r="S169" s="363">
        <f t="shared" si="77"/>
        <v>0</v>
      </c>
      <c r="T169" s="364">
        <f t="shared" si="78"/>
        <v>0</v>
      </c>
      <c r="U169" s="365">
        <v>0</v>
      </c>
      <c r="V169" s="91">
        <f>ROUNDUP(IFERROR(INDEX(CostRateTbl[Cost Rate],MATCH(_xlfn.CONCAT(N169,O169,P169,"NA"),CostRateTbl[KeyCostRate],0)),0)*BillingCurrencyTRM*(1+U169),2)</f>
        <v>0</v>
      </c>
      <c r="W169" s="92">
        <f t="shared" si="79"/>
        <v>0</v>
      </c>
      <c r="X169" s="366" t="e" cm="1">
        <f t="array" ref="X169">_xlfn.LET(
    _xlpm.valor, INDEX(CostRate!H:H, MATCH(1, (CostRate!A:A=N169)*1, 0)),
    _xlpm.posicion, MATCH(_xlpm.valor, FilterSL!$F$1:$Z$1, 0),
    _xlpm.direccionCompleta, ADDRESS(1, _xlpm.posicion + 5, 4),
    _xlpm.letraColumna, SUBSTITUTE(_xlpm.direccionCompleta, "1", ""),
    _xlpm.letraColumna
)</f>
        <v>#N/A</v>
      </c>
      <c r="Y169" s="366" t="e" cm="1">
        <f t="array" ref="Y169">_xlfn.LET(
    _xlpm.valor, INDEX(CostRate!I:I, MATCH(1, (CostRate!A:A=N169)*(CostRate!B:B=O169), 0)),
    _xlpm.posicion, MATCH(_xlpm.valor, FilterJP!$E$1:$FZ$1, 0),
    _xlpm.direccionCompleta, ADDRESS(1, _xlpm.posicion + 4, 4),
    _xlpm.letraColumna, SUBSTITUTE(_xlpm.direccionCompleta, "1", ""),
    _xlpm.letraColumna
)</f>
        <v>#N/A</v>
      </c>
      <c r="Z169" s="7"/>
      <c r="AA169" s="367"/>
      <c r="AB169" s="7"/>
      <c r="AC169" s="93">
        <f t="shared" si="80"/>
        <v>0</v>
      </c>
      <c r="AD169" s="94">
        <f t="shared" si="88"/>
        <v>0</v>
      </c>
      <c r="AE169" s="109">
        <f t="shared" si="89"/>
        <v>0</v>
      </c>
      <c r="AF169" s="7"/>
      <c r="AG169" s="369">
        <f t="shared" si="81"/>
        <v>0</v>
      </c>
      <c r="AH169" s="368">
        <f t="shared" si="82"/>
        <v>0</v>
      </c>
      <c r="AI169" s="7"/>
      <c r="AJ169" s="369" cm="1">
        <f t="array" ref="AJ169">IFERROR(INDEX(WHT!$C$7:$W$18,MATCH(
_xlfn.SWITCH(N169,"xDC Medellin","Colombia","xDC Belo Horizonte","Brazil","xDC Guadalajara","Mexico","xDC Gurugram","India","xDC Leon","Spain","xDC San Jose","Costa Rica","xDC Warsaw","Poland",N169),
WHT!$B$7:$B$18,0),MATCH(CustomerCountry,WHT!$C$5:$W$5,0)),0)</f>
        <v>0</v>
      </c>
      <c r="AK169" s="368">
        <f t="shared" si="83"/>
        <v>0</v>
      </c>
      <c r="AL169" s="7"/>
      <c r="AM169" s="95">
        <f t="shared" si="90"/>
        <v>0</v>
      </c>
      <c r="AN169" s="95">
        <f t="shared" si="84"/>
        <v>0</v>
      </c>
      <c r="AO169" s="95">
        <f t="shared" si="91"/>
        <v>0</v>
      </c>
      <c r="AP169" s="90"/>
      <c r="AQ169" s="18"/>
      <c r="AR169" s="290"/>
      <c r="AS169" s="467" t="s">
        <v>133</v>
      </c>
      <c r="AT169" s="501">
        <f>IF(AS169="x",AM169+((SUM($AN$129:$AN$134)+SUMIF($AS$140:$AS$169,"&lt;&gt;x",$AM$140:$AM$169))*IFERROR(AM169/SUMIF($AS$140:$AS$169,"x",$AM$140:$AM$169),0)),0)</f>
        <v>0</v>
      </c>
      <c r="AU169" s="502"/>
      <c r="AV169" s="95">
        <f t="shared" si="92"/>
        <v>0</v>
      </c>
      <c r="AW169" s="469" t="str">
        <f t="shared" si="86"/>
        <v>N/A</v>
      </c>
      <c r="AX169" s="290"/>
      <c r="AY169" s="18"/>
      <c r="AZ169" s="3"/>
      <c r="BA169" s="315"/>
      <c r="BB169" s="3"/>
      <c r="BC169" s="3"/>
      <c r="BD169" s="3"/>
      <c r="BE169" s="3"/>
      <c r="BF169" s="18"/>
      <c r="BG169" s="3"/>
      <c r="BH169" s="315"/>
      <c r="BI169" s="3"/>
      <c r="BJ169" s="3"/>
      <c r="BK169" s="3"/>
      <c r="BL169" s="3"/>
      <c r="BM169" s="18"/>
      <c r="BN169" s="3"/>
      <c r="BO169" s="315"/>
      <c r="BP169" s="3"/>
      <c r="BQ169" s="3"/>
      <c r="BR169" s="3"/>
      <c r="BS169" s="3"/>
      <c r="BT169" s="18"/>
      <c r="BU169" s="3"/>
      <c r="BV169" s="315"/>
      <c r="BW169" s="3"/>
      <c r="BX169" s="3"/>
      <c r="BY169" s="3"/>
      <c r="BZ169" s="3"/>
    </row>
    <row r="170" spans="1:82" ht="15.6" outlineLevel="1">
      <c r="A170" s="7"/>
      <c r="B170" s="376"/>
      <c r="C170" s="376"/>
      <c r="D170" s="376"/>
      <c r="E170" s="342"/>
      <c r="F170" s="290"/>
      <c r="G170" s="290"/>
      <c r="H170" s="290"/>
      <c r="I170" s="290"/>
      <c r="J170" s="290"/>
      <c r="K170" s="290"/>
      <c r="L170" s="18"/>
      <c r="M170" s="7"/>
      <c r="N170" s="7"/>
      <c r="O170" s="7"/>
      <c r="P170" s="7"/>
      <c r="Q170" s="7"/>
      <c r="R170" s="7"/>
      <c r="S170" s="294"/>
      <c r="T170" s="294"/>
      <c r="U170" s="294"/>
      <c r="V170" s="294"/>
      <c r="W170" s="294"/>
      <c r="X170" s="7"/>
      <c r="Y170" s="7"/>
      <c r="Z170" s="294"/>
      <c r="AA170" s="377"/>
      <c r="AB170" s="294"/>
      <c r="AC170" s="294"/>
      <c r="AD170" s="294"/>
      <c r="AE170" s="294"/>
      <c r="AF170" s="7"/>
      <c r="AG170" s="294"/>
      <c r="AH170" s="294"/>
      <c r="AI170" s="7"/>
      <c r="AJ170" s="294"/>
      <c r="AK170" s="294"/>
      <c r="AL170" s="7"/>
      <c r="AM170" s="294"/>
      <c r="AN170" s="294"/>
      <c r="AO170" s="294"/>
      <c r="AP170" s="294"/>
      <c r="AQ170" s="18"/>
      <c r="AR170" s="378"/>
      <c r="AS170" s="378"/>
      <c r="AT170" s="378"/>
      <c r="AU170" s="81"/>
      <c r="AV170" s="378"/>
      <c r="AW170" s="7"/>
      <c r="AX170" s="378"/>
      <c r="AY170" s="18"/>
      <c r="AZ170" s="3"/>
      <c r="BA170" s="315"/>
      <c r="BB170" s="3"/>
      <c r="BC170" s="3"/>
      <c r="BD170" s="3"/>
      <c r="BE170" s="3"/>
      <c r="BF170" s="18"/>
      <c r="BG170" s="3"/>
      <c r="BH170" s="315"/>
      <c r="BI170" s="3"/>
      <c r="BJ170" s="3"/>
      <c r="BK170" s="3"/>
      <c r="BL170" s="3"/>
      <c r="BM170" s="18"/>
      <c r="BN170" s="3"/>
      <c r="BO170" s="315"/>
      <c r="BP170" s="3"/>
      <c r="BQ170" s="3"/>
      <c r="BR170" s="3"/>
      <c r="BS170" s="3"/>
      <c r="BT170" s="18"/>
      <c r="BU170" s="3"/>
      <c r="BV170" s="315"/>
      <c r="BW170" s="3"/>
      <c r="BX170" s="3"/>
      <c r="BY170" s="3"/>
      <c r="BZ170" s="3"/>
    </row>
    <row r="171" spans="1:82" s="389" customFormat="1">
      <c r="A171" s="390"/>
      <c r="B171" s="390"/>
      <c r="C171" s="390"/>
      <c r="D171" s="390"/>
      <c r="E171" s="390"/>
      <c r="F171" s="390"/>
      <c r="G171" s="390"/>
      <c r="H171" s="390"/>
      <c r="I171" s="390"/>
      <c r="J171" s="390"/>
      <c r="K171" s="390"/>
      <c r="L171" s="390"/>
      <c r="M171" s="392"/>
      <c r="N171" s="392"/>
      <c r="O171" s="392"/>
      <c r="P171" s="392"/>
      <c r="Q171" s="392"/>
      <c r="R171" s="392"/>
      <c r="S171" s="392"/>
      <c r="T171" s="392"/>
      <c r="U171" s="392"/>
      <c r="V171" s="392"/>
      <c r="W171" s="392"/>
      <c r="X171" s="392"/>
      <c r="Y171" s="392"/>
      <c r="Z171" s="392"/>
      <c r="AA171" s="320"/>
      <c r="AB171" s="321"/>
      <c r="AC171" s="322"/>
      <c r="AD171" s="322"/>
      <c r="AE171" s="322"/>
      <c r="AF171" s="322"/>
      <c r="AG171" s="322"/>
      <c r="AH171" s="322"/>
      <c r="AI171" s="322"/>
      <c r="AJ171" s="323"/>
      <c r="AK171" s="322"/>
      <c r="AL171" s="322"/>
      <c r="AM171" s="322"/>
      <c r="AN171" s="323"/>
      <c r="AO171" s="323"/>
      <c r="AP171" s="323"/>
      <c r="AR171" s="390"/>
      <c r="AS171" s="390"/>
      <c r="AT171" s="390"/>
      <c r="AU171" s="390"/>
      <c r="AV171" s="390"/>
      <c r="AW171" s="390"/>
      <c r="AX171" s="390"/>
      <c r="AZ171" s="390"/>
      <c r="BA171" s="390"/>
      <c r="BB171" s="390"/>
      <c r="BC171" s="390"/>
      <c r="BD171" s="390"/>
      <c r="BE171" s="390"/>
      <c r="BF171" s="390"/>
      <c r="BG171" s="390"/>
      <c r="BH171" s="390"/>
      <c r="BI171" s="390"/>
      <c r="BJ171" s="390"/>
      <c r="BK171" s="390"/>
      <c r="BL171" s="390"/>
      <c r="BM171" s="390"/>
      <c r="BN171" s="390"/>
      <c r="BO171" s="390"/>
      <c r="BP171" s="390"/>
      <c r="BQ171" s="390"/>
      <c r="BR171" s="390"/>
      <c r="BS171" s="390"/>
      <c r="BT171" s="390"/>
      <c r="BU171" s="390"/>
      <c r="BV171" s="390"/>
      <c r="BW171" s="390"/>
      <c r="BX171" s="390"/>
      <c r="BY171" s="390"/>
      <c r="BZ171" s="390"/>
      <c r="CA171" s="390"/>
      <c r="CB171" s="390"/>
      <c r="CC171" s="390"/>
      <c r="CD171" s="390"/>
    </row>
    <row r="172" spans="1:82" s="325" customFormat="1" ht="15.6">
      <c r="A172" s="480"/>
      <c r="B172" s="507" t="s">
        <v>163</v>
      </c>
      <c r="C172" s="507"/>
      <c r="D172" s="324"/>
      <c r="E172" s="342"/>
      <c r="F172" s="290"/>
      <c r="G172" s="79"/>
      <c r="H172" s="326"/>
      <c r="I172" s="326"/>
      <c r="J172" s="80"/>
      <c r="K172" s="290"/>
      <c r="L172" s="342"/>
      <c r="M172" s="2"/>
      <c r="N172" s="7"/>
      <c r="O172" s="7"/>
      <c r="P172" s="77"/>
      <c r="Q172" s="77"/>
      <c r="R172" s="77"/>
      <c r="S172" s="77"/>
      <c r="T172" s="77"/>
      <c r="U172" s="77"/>
      <c r="V172" s="77"/>
      <c r="W172" s="77"/>
      <c r="X172" s="77"/>
      <c r="Y172" s="77"/>
      <c r="Z172" s="2"/>
      <c r="AA172" s="304"/>
      <c r="AB172" s="7"/>
      <c r="AC172" s="13"/>
      <c r="AD172" s="13"/>
      <c r="AE172" s="13"/>
      <c r="AF172" s="13"/>
      <c r="AG172" s="13"/>
      <c r="AH172" s="13"/>
      <c r="AI172" s="13"/>
      <c r="AJ172" s="70"/>
      <c r="AK172" s="70"/>
      <c r="AL172" s="13"/>
      <c r="AM172" s="13"/>
      <c r="AN172" s="70"/>
      <c r="AO172" s="70"/>
      <c r="AP172" s="7"/>
      <c r="AQ172" s="342"/>
      <c r="AR172" s="290"/>
      <c r="AS172" s="290"/>
      <c r="AT172" s="290"/>
      <c r="AU172" s="290"/>
      <c r="AV172" s="290"/>
      <c r="AW172" s="290"/>
      <c r="AX172" s="290"/>
      <c r="AY172" s="342"/>
      <c r="AZ172" s="3"/>
      <c r="BA172" s="315"/>
      <c r="BB172" s="3"/>
      <c r="BC172" s="3"/>
      <c r="BD172" s="3"/>
      <c r="BE172" s="3"/>
      <c r="BF172" s="342"/>
      <c r="BG172" s="3"/>
      <c r="BH172" s="315"/>
      <c r="BI172" s="3"/>
      <c r="BJ172" s="3"/>
      <c r="BK172" s="3"/>
      <c r="BL172" s="3"/>
      <c r="BM172" s="342"/>
      <c r="BN172" s="3"/>
      <c r="BO172" s="315"/>
      <c r="BP172" s="3"/>
      <c r="BQ172" s="3"/>
      <c r="BR172" s="3"/>
      <c r="BS172" s="3"/>
      <c r="BT172" s="342"/>
      <c r="BU172" s="3"/>
      <c r="BV172" s="315"/>
      <c r="BW172" s="3"/>
      <c r="BX172" s="3"/>
      <c r="BY172" s="3"/>
      <c r="BZ172" s="3"/>
      <c r="CA172" s="342"/>
      <c r="CB172" s="342"/>
      <c r="CC172" s="342"/>
      <c r="CD172" s="342"/>
    </row>
    <row r="173" spans="1:82" s="325" customFormat="1" ht="15.6">
      <c r="A173" s="480"/>
      <c r="B173" s="507"/>
      <c r="C173" s="507"/>
      <c r="D173" s="324"/>
      <c r="E173" s="342"/>
      <c r="F173" s="290"/>
      <c r="G173" s="79"/>
      <c r="H173" s="326"/>
      <c r="I173" s="326"/>
      <c r="J173" s="80"/>
      <c r="K173" s="290"/>
      <c r="L173" s="342"/>
      <c r="M173" s="2"/>
      <c r="N173" s="13" t="s">
        <v>78</v>
      </c>
      <c r="O173" s="395" t="s">
        <v>79</v>
      </c>
      <c r="P173" s="395" t="s">
        <v>80</v>
      </c>
      <c r="Q173" s="77"/>
      <c r="R173" s="77"/>
      <c r="S173" s="77"/>
      <c r="T173" s="77"/>
      <c r="U173" s="13" t="s">
        <v>81</v>
      </c>
      <c r="V173" s="428" t="str">
        <f>_xlfn.CONCAT("DELIVERY COST (",BillingCountryCurrency,")")</f>
        <v>DELIVERY COST (USD)</v>
      </c>
      <c r="W173" s="428" t="str">
        <f>_xlfn.CONCAT("DELIVERY COST (",IF(ISBLANK(BusinessCurrency),"N/A",BusinessCurrency),")")</f>
        <v>DELIVERY COST (N/A)</v>
      </c>
      <c r="X173" s="77"/>
      <c r="Y173" s="77"/>
      <c r="Z173" s="2"/>
      <c r="AA173" s="304"/>
      <c r="AB173" s="7"/>
      <c r="AC173" s="13" t="s">
        <v>82</v>
      </c>
      <c r="AD173" s="428" t="str">
        <f>_xlfn.CONCAT("PRICING (",BillingCountryCurrency,")")</f>
        <v>PRICING (USD)</v>
      </c>
      <c r="AE173" s="428" t="str">
        <f>_xlfn.CONCAT("PRICING (",IF(ISBLANK(BusinessCurrency),"N/A",BusinessCurrency),")")</f>
        <v>PRICING (N/A)</v>
      </c>
      <c r="AF173" s="70" t="s">
        <v>14</v>
      </c>
      <c r="AG173" s="428" t="str">
        <f>_xlfn.CONCAT("Intercompany (",BillingCountryCurrency,")")</f>
        <v>Intercompany (USD)</v>
      </c>
      <c r="AH173" s="428" t="str">
        <f>_xlfn.CONCAT("Intercompany (",IF(ISBLANK(BusinessCurrency),"N/A",BusinessCurrency),")")</f>
        <v>Intercompany (N/A)</v>
      </c>
      <c r="AI173" s="70" t="s">
        <v>14</v>
      </c>
      <c r="AJ173" s="428" t="str">
        <f>_xlfn.CONCAT("WHT (",BillingCountryCurrency,")")</f>
        <v>WHT (USD)</v>
      </c>
      <c r="AK173" s="428" t="str">
        <f>_xlfn.CONCAT("WHT (",IF(ISBLANK(BusinessCurrency),"N/A",BusinessCurrency),")")</f>
        <v>WHT (N/A)</v>
      </c>
      <c r="AL173" s="70"/>
      <c r="AM173" s="70" t="s">
        <v>15</v>
      </c>
      <c r="AN173" s="428" t="str">
        <f>_xlfn.CONCAT("SUBTOTAL PRICE (",BillingCountryCurrency,")")</f>
        <v>SUBTOTAL PRICE (USD)</v>
      </c>
      <c r="AO173" s="428" t="str">
        <f>_xlfn.CONCAT("SUBTOTAL PRICE (",IF(ISBLANK(BusinessCurrency),"N/A",BusinessCurrency),")")</f>
        <v>SUBTOTAL PRICE (N/A)</v>
      </c>
      <c r="AP173" s="7"/>
      <c r="AQ173" s="342"/>
      <c r="AR173" s="290"/>
      <c r="AS173" s="13" t="s">
        <v>83</v>
      </c>
      <c r="AT173" s="290"/>
      <c r="AU173" s="100"/>
      <c r="AV173" s="417"/>
      <c r="AW173" s="417"/>
      <c r="AX173" s="290"/>
      <c r="AY173" s="342"/>
      <c r="AZ173" s="3"/>
      <c r="BA173" s="315"/>
      <c r="BB173" s="3"/>
      <c r="BC173" s="3"/>
      <c r="BD173" s="3"/>
      <c r="BE173" s="3"/>
      <c r="BF173" s="342"/>
      <c r="BG173" s="3"/>
      <c r="BH173" s="315"/>
      <c r="BI173" s="3"/>
      <c r="BJ173" s="3"/>
      <c r="BK173" s="3"/>
      <c r="BL173" s="3"/>
      <c r="BM173" s="342"/>
      <c r="BN173" s="3"/>
      <c r="BO173" s="315"/>
      <c r="BP173" s="3"/>
      <c r="BQ173" s="3"/>
      <c r="BR173" s="3"/>
      <c r="BS173" s="3"/>
      <c r="BT173" s="342"/>
      <c r="BU173" s="3"/>
      <c r="BV173" s="315"/>
      <c r="BW173" s="3"/>
      <c r="BX173" s="3"/>
      <c r="BY173" s="3"/>
      <c r="BZ173" s="3"/>
      <c r="CA173" s="342"/>
      <c r="CB173" s="342"/>
      <c r="CC173" s="342"/>
      <c r="CD173" s="342"/>
    </row>
    <row r="174" spans="1:82" s="325" customFormat="1" ht="15.6">
      <c r="A174" s="480"/>
      <c r="B174" s="507"/>
      <c r="C174" s="507"/>
      <c r="D174" s="324"/>
      <c r="E174" s="342"/>
      <c r="F174" s="290"/>
      <c r="G174" s="79"/>
      <c r="H174" s="326"/>
      <c r="I174" s="326"/>
      <c r="J174" s="80"/>
      <c r="K174" s="290"/>
      <c r="L174" s="342"/>
      <c r="M174" s="2"/>
      <c r="N174" s="79" t="s">
        <v>84</v>
      </c>
      <c r="O174" s="103">
        <f>SUMIF($P188:$P217,"&lt;&gt;*Project Management*",$T188:$T217)</f>
        <v>0</v>
      </c>
      <c r="P174" s="396">
        <f>IFERROR(O174/O177,0)</f>
        <v>0</v>
      </c>
      <c r="Q174" s="82"/>
      <c r="R174" s="77"/>
      <c r="S174" s="77"/>
      <c r="T174" s="77"/>
      <c r="U174" s="4" t="s">
        <v>24</v>
      </c>
      <c r="V174" s="328">
        <f>SUMIF(P188:P217,"&lt;&gt;*Project Management*",W188:W217)</f>
        <v>0</v>
      </c>
      <c r="W174" s="425" t="str">
        <f t="shared" ref="W174:W183" si="93">IFERROR(V174/BusinessCurrencyTRM,"N/A")</f>
        <v>N/A</v>
      </c>
      <c r="X174" s="7"/>
      <c r="Y174" s="7" t="s">
        <v>85</v>
      </c>
      <c r="Z174" s="2"/>
      <c r="AA174" s="304"/>
      <c r="AB174" s="7"/>
      <c r="AC174" s="4" t="s">
        <v>24</v>
      </c>
      <c r="AD174" s="329">
        <f>SUMIF(P188:P217,"&lt;&gt;*Project Management*",AD188:AD217)</f>
        <v>0</v>
      </c>
      <c r="AE174" s="425" t="str">
        <f t="shared" ref="AE174:AE183" si="94">IFERROR(AD174/BusinessCurrencyTRM,"N/A")</f>
        <v>N/A</v>
      </c>
      <c r="AF174" s="330"/>
      <c r="AG174" s="328">
        <f>SUMIF(P188:P217,"&lt;&gt;*Project Management*",AH188:AH217)</f>
        <v>0</v>
      </c>
      <c r="AH174" s="449" t="str">
        <f t="shared" ref="AH174:AH183" si="95">IFERROR(AG174/BusinessCurrencyTRM,"N/A")</f>
        <v>N/A</v>
      </c>
      <c r="AI174" s="330"/>
      <c r="AJ174" s="328">
        <f>SUMIF(P188:P217,"&lt;&gt;*Project Management*",AK188:AK217)</f>
        <v>0</v>
      </c>
      <c r="AK174" s="425" t="str">
        <f t="shared" ref="AK174:AK183" si="96">IFERROR(AJ174/BusinessCurrencyTRM,"N/A")</f>
        <v>N/A</v>
      </c>
      <c r="AL174" s="330"/>
      <c r="AM174" s="330"/>
      <c r="AN174" s="329">
        <f>SUM(AD174,AG174,AJ174)</f>
        <v>0</v>
      </c>
      <c r="AO174" s="425" t="str">
        <f t="shared" ref="AO174:AO183" si="97">IFERROR(AN174/BusinessCurrencyTRM,"N/A")</f>
        <v>N/A</v>
      </c>
      <c r="AP174" s="7"/>
      <c r="AQ174" s="342"/>
      <c r="AR174" s="290"/>
      <c r="AS174" s="402" t="s">
        <v>86</v>
      </c>
      <c r="AT174" s="290"/>
      <c r="AU174" s="81"/>
      <c r="AV174" s="508">
        <v>0.35</v>
      </c>
      <c r="AW174" s="508"/>
      <c r="AX174" s="290"/>
      <c r="AY174" s="342"/>
      <c r="AZ174" s="3"/>
      <c r="BA174" s="315"/>
      <c r="BB174" s="3"/>
      <c r="BC174" s="3"/>
      <c r="BD174" s="3"/>
      <c r="BE174" s="3"/>
      <c r="BF174" s="342"/>
      <c r="BG174" s="3"/>
      <c r="BH174" s="315"/>
      <c r="BI174" s="3"/>
      <c r="BJ174" s="3"/>
      <c r="BK174" s="3"/>
      <c r="BL174" s="3"/>
      <c r="BM174" s="342"/>
      <c r="BN174" s="3"/>
      <c r="BO174" s="315"/>
      <c r="BP174" s="3"/>
      <c r="BQ174" s="3"/>
      <c r="BR174" s="3"/>
      <c r="BS174" s="3"/>
      <c r="BT174" s="342"/>
      <c r="BU174" s="3"/>
      <c r="BV174" s="315"/>
      <c r="BW174" s="3"/>
      <c r="BX174" s="3"/>
      <c r="BY174" s="3"/>
      <c r="BZ174" s="3"/>
      <c r="CA174" s="342"/>
      <c r="CB174" s="342"/>
      <c r="CC174" s="342"/>
      <c r="CD174" s="342"/>
    </row>
    <row r="175" spans="1:82" s="325" customFormat="1" ht="16.149999999999999" thickBot="1">
      <c r="A175" s="480"/>
      <c r="B175" s="507"/>
      <c r="C175" s="507"/>
      <c r="D175" s="324"/>
      <c r="E175" s="342"/>
      <c r="F175" s="290"/>
      <c r="G175" s="79"/>
      <c r="H175" s="326"/>
      <c r="I175" s="326"/>
      <c r="J175" s="80"/>
      <c r="K175" s="290"/>
      <c r="L175" s="342"/>
      <c r="M175" s="2"/>
      <c r="N175" s="79" t="s">
        <v>87</v>
      </c>
      <c r="O175" s="103">
        <f>SUMIF($P188:$P217,"=*Project Management*",$T188:T217)</f>
        <v>0</v>
      </c>
      <c r="P175" s="396">
        <f>IFERROR(O175/O177,0)</f>
        <v>0</v>
      </c>
      <c r="Q175" s="82"/>
      <c r="R175" s="77"/>
      <c r="S175" s="77"/>
      <c r="T175" s="77"/>
      <c r="U175" s="4" t="s">
        <v>30</v>
      </c>
      <c r="V175" s="328">
        <f>SUMIF(P188:P217,"=*Project Management*",W188:W217)</f>
        <v>0</v>
      </c>
      <c r="W175" s="425" t="str">
        <f t="shared" si="93"/>
        <v>N/A</v>
      </c>
      <c r="X175" s="7"/>
      <c r="Y175" s="7" t="s">
        <v>88</v>
      </c>
      <c r="Z175" s="2"/>
      <c r="AA175" s="304"/>
      <c r="AB175" s="7"/>
      <c r="AC175" s="4" t="s">
        <v>30</v>
      </c>
      <c r="AD175" s="329">
        <f>SUMIF(P188:P217,"=*Project Management*",AD188:AD217)</f>
        <v>0</v>
      </c>
      <c r="AE175" s="425" t="str">
        <f t="shared" si="94"/>
        <v>N/A</v>
      </c>
      <c r="AF175" s="330"/>
      <c r="AG175" s="328">
        <f>SUMIF(P188:P217,"=*Project Management*",AH188:AH217)</f>
        <v>0</v>
      </c>
      <c r="AH175" s="447" t="str">
        <f t="shared" si="95"/>
        <v>N/A</v>
      </c>
      <c r="AI175" s="330"/>
      <c r="AJ175" s="448">
        <f>SUMIF(P188:P217,"=*Project Management*",AK188:AK217)</f>
        <v>0</v>
      </c>
      <c r="AK175" s="425" t="str">
        <f t="shared" si="96"/>
        <v>N/A</v>
      </c>
      <c r="AL175" s="330"/>
      <c r="AM175" s="330"/>
      <c r="AN175" s="329">
        <f t="shared" ref="AN175:AN183" si="98">SUM(AD175,AG175,AJ175)</f>
        <v>0</v>
      </c>
      <c r="AO175" s="425" t="str">
        <f t="shared" si="97"/>
        <v>N/A</v>
      </c>
      <c r="AP175" s="7"/>
      <c r="AQ175" s="342"/>
      <c r="AR175" s="290"/>
      <c r="AS175" s="402" t="s">
        <v>89</v>
      </c>
      <c r="AT175" s="290"/>
      <c r="AU175" s="81"/>
      <c r="AV175" s="509">
        <f>IFERROR(1-AV177/AV178,0)</f>
        <v>0</v>
      </c>
      <c r="AW175" s="509"/>
      <c r="AX175" s="290"/>
      <c r="AY175" s="342"/>
      <c r="AZ175" s="3"/>
      <c r="BA175" s="315"/>
      <c r="BB175" s="3"/>
      <c r="BC175" s="3"/>
      <c r="BD175" s="3"/>
      <c r="BE175" s="3"/>
      <c r="BF175" s="342"/>
      <c r="BG175" s="3"/>
      <c r="BH175" s="315"/>
      <c r="BI175" s="3"/>
      <c r="BJ175" s="3"/>
      <c r="BK175" s="3"/>
      <c r="BL175" s="3"/>
      <c r="BM175" s="342"/>
      <c r="BN175" s="3"/>
      <c r="BO175" s="315"/>
      <c r="BP175" s="3"/>
      <c r="BQ175" s="3"/>
      <c r="BR175" s="3"/>
      <c r="BS175" s="3"/>
      <c r="BT175" s="342"/>
      <c r="BU175" s="3"/>
      <c r="BV175" s="315"/>
      <c r="BW175" s="3"/>
      <c r="BX175" s="3"/>
      <c r="BY175" s="3"/>
      <c r="BZ175" s="3"/>
      <c r="CA175" s="342"/>
      <c r="CB175" s="342"/>
      <c r="CC175" s="342"/>
      <c r="CD175" s="342"/>
    </row>
    <row r="176" spans="1:82" s="325" customFormat="1" ht="16.899999999999999" thickTop="1" thickBot="1">
      <c r="A176" s="480"/>
      <c r="B176" s="507"/>
      <c r="C176" s="507"/>
      <c r="D176" s="324"/>
      <c r="E176" s="342"/>
      <c r="F176" s="290"/>
      <c r="G176" s="79"/>
      <c r="H176" s="326"/>
      <c r="I176" s="326"/>
      <c r="J176" s="80"/>
      <c r="K176" s="290"/>
      <c r="L176" s="342"/>
      <c r="M176" s="2"/>
      <c r="N176" s="79" t="s">
        <v>90</v>
      </c>
      <c r="O176" s="103">
        <f>IF(Approach="Team-Based",SUM(O174:O175)*$O179,$J186-$G186)</f>
        <v>0</v>
      </c>
      <c r="P176" s="396">
        <f>IFERROR(O176/O177,0)</f>
        <v>0</v>
      </c>
      <c r="Q176" s="77"/>
      <c r="R176" s="77"/>
      <c r="S176" s="77"/>
      <c r="T176" s="77"/>
      <c r="U176" s="13" t="s">
        <v>35</v>
      </c>
      <c r="V176" s="84">
        <f>SUM(V174:V175)</f>
        <v>0</v>
      </c>
      <c r="W176" s="426" t="str">
        <f t="shared" si="93"/>
        <v>N/A</v>
      </c>
      <c r="X176" s="77"/>
      <c r="Y176" s="77"/>
      <c r="Z176" s="2"/>
      <c r="AA176" s="304"/>
      <c r="AB176" s="7"/>
      <c r="AC176" s="13" t="s">
        <v>35</v>
      </c>
      <c r="AD176" s="84">
        <f>SUM(AD174:AD175)</f>
        <v>0</v>
      </c>
      <c r="AE176" s="426" t="str">
        <f t="shared" si="94"/>
        <v>N/A</v>
      </c>
      <c r="AF176" s="330"/>
      <c r="AG176" s="84">
        <f>SUM(AG174:AG175)</f>
        <v>0</v>
      </c>
      <c r="AH176" s="450" t="str">
        <f t="shared" si="95"/>
        <v>N/A</v>
      </c>
      <c r="AI176" s="330"/>
      <c r="AJ176" s="84">
        <f>SUM(AJ174:AJ175)</f>
        <v>0</v>
      </c>
      <c r="AK176" s="426" t="str">
        <f t="shared" si="96"/>
        <v>N/A</v>
      </c>
      <c r="AL176" s="330"/>
      <c r="AM176" s="330"/>
      <c r="AN176" s="84">
        <f t="shared" si="98"/>
        <v>0</v>
      </c>
      <c r="AO176" s="426" t="str">
        <f t="shared" si="97"/>
        <v>N/A</v>
      </c>
      <c r="AP176" s="7"/>
      <c r="AQ176" s="342"/>
      <c r="AR176" s="290"/>
      <c r="AS176" s="81"/>
      <c r="AT176" s="81"/>
      <c r="AU176" s="81"/>
      <c r="AV176" s="417" t="str">
        <f>BillingCountryCurrency</f>
        <v>USD</v>
      </c>
      <c r="AW176" s="417" t="str">
        <f>IF(ISBLANK(BusinessCurrency),"N/A",BusinessCurrency)</f>
        <v>N/A</v>
      </c>
      <c r="AX176" s="290"/>
      <c r="AY176" s="342"/>
      <c r="AZ176" s="3"/>
      <c r="BA176" s="315"/>
      <c r="BB176" s="3"/>
      <c r="BC176" s="3"/>
      <c r="BD176" s="3"/>
      <c r="BE176" s="3"/>
      <c r="BF176" s="342"/>
      <c r="BG176" s="3"/>
      <c r="BH176" s="315"/>
      <c r="BI176" s="3"/>
      <c r="BJ176" s="3"/>
      <c r="BK176" s="3"/>
      <c r="BL176" s="3"/>
      <c r="BM176" s="342"/>
      <c r="BN176" s="3"/>
      <c r="BO176" s="315"/>
      <c r="BP176" s="3"/>
      <c r="BQ176" s="3"/>
      <c r="BR176" s="3"/>
      <c r="BS176" s="3"/>
      <c r="BT176" s="342"/>
      <c r="BU176" s="3"/>
      <c r="BV176" s="315"/>
      <c r="BW176" s="3"/>
      <c r="BX176" s="3"/>
      <c r="BY176" s="3"/>
      <c r="BZ176" s="3"/>
      <c r="CA176" s="342"/>
      <c r="CB176" s="342"/>
      <c r="CC176" s="342"/>
      <c r="CD176" s="342"/>
    </row>
    <row r="177" spans="1:82" s="325" customFormat="1" ht="16.149999999999999" thickTop="1">
      <c r="A177" s="480"/>
      <c r="B177" s="507"/>
      <c r="C177" s="507"/>
      <c r="D177" s="324"/>
      <c r="E177" s="342"/>
      <c r="F177" s="290"/>
      <c r="G177" s="79"/>
      <c r="H177" s="326"/>
      <c r="I177" s="326"/>
      <c r="J177" s="80"/>
      <c r="K177" s="290"/>
      <c r="L177" s="342"/>
      <c r="M177" s="2"/>
      <c r="N177" s="83" t="s">
        <v>91</v>
      </c>
      <c r="O177" s="102">
        <f>SUM(O174:O176)</f>
        <v>0</v>
      </c>
      <c r="P177" s="397">
        <f>SUM(P174:P176)</f>
        <v>0</v>
      </c>
      <c r="Q177" s="77"/>
      <c r="R177" s="77"/>
      <c r="S177" s="77"/>
      <c r="T177" s="77"/>
      <c r="U177" s="4" t="s">
        <v>47</v>
      </c>
      <c r="V177" s="328">
        <f>ROUNDUP(V176*O179,2)</f>
        <v>0</v>
      </c>
      <c r="W177" s="425" t="str">
        <f t="shared" si="93"/>
        <v>N/A</v>
      </c>
      <c r="X177" s="7"/>
      <c r="Y177" s="7" t="s">
        <v>92</v>
      </c>
      <c r="Z177" s="2"/>
      <c r="AA177" s="304"/>
      <c r="AB177" s="7"/>
      <c r="AC177" s="4" t="s">
        <v>47</v>
      </c>
      <c r="AD177" s="328">
        <f>ROUNDUP(V177/(1-$AV$174),2)</f>
        <v>0</v>
      </c>
      <c r="AE177" s="425" t="str">
        <f t="shared" si="94"/>
        <v>N/A</v>
      </c>
      <c r="AF177" s="330"/>
      <c r="AG177" s="328">
        <f>IFERROR(V177*MAX(AG188:AG217),0)</f>
        <v>0</v>
      </c>
      <c r="AH177" s="449" t="str">
        <f t="shared" si="95"/>
        <v>N/A</v>
      </c>
      <c r="AI177" s="330"/>
      <c r="AJ177" s="328">
        <f>IFERROR(SUM(V177,AG177)*MAX(AJ188:AJ217),0)</f>
        <v>0</v>
      </c>
      <c r="AK177" s="425" t="str">
        <f t="shared" si="96"/>
        <v>N/A</v>
      </c>
      <c r="AL177" s="330"/>
      <c r="AM177" s="330"/>
      <c r="AN177" s="329">
        <f t="shared" si="98"/>
        <v>0</v>
      </c>
      <c r="AO177" s="425" t="str">
        <f t="shared" si="97"/>
        <v>N/A</v>
      </c>
      <c r="AP177" s="7"/>
      <c r="AQ177" s="342"/>
      <c r="AR177" s="290"/>
      <c r="AS177" s="402" t="s">
        <v>93</v>
      </c>
      <c r="AT177" s="290"/>
      <c r="AU177" s="81"/>
      <c r="AV177" s="298">
        <f>SUM(V183,AG183,AJ183)</f>
        <v>0</v>
      </c>
      <c r="AW177" s="418" t="str">
        <f>IFERROR(AV177/BusinessCurrencyTRM,"N/A")</f>
        <v>N/A</v>
      </c>
      <c r="AX177" s="290"/>
      <c r="AY177" s="342"/>
      <c r="AZ177" s="3"/>
      <c r="BA177" s="315"/>
      <c r="BB177" s="3"/>
      <c r="BC177" s="3"/>
      <c r="BD177" s="3"/>
      <c r="BE177" s="3"/>
      <c r="BF177" s="342"/>
      <c r="BG177" s="3"/>
      <c r="BH177" s="315"/>
      <c r="BI177" s="3"/>
      <c r="BJ177" s="3"/>
      <c r="BK177" s="3"/>
      <c r="BL177" s="3"/>
      <c r="BM177" s="342"/>
      <c r="BN177" s="3"/>
      <c r="BO177" s="315"/>
      <c r="BP177" s="3"/>
      <c r="BQ177" s="3"/>
      <c r="BR177" s="3"/>
      <c r="BS177" s="3"/>
      <c r="BT177" s="342"/>
      <c r="BU177" s="3"/>
      <c r="BV177" s="315"/>
      <c r="BW177" s="3"/>
      <c r="BX177" s="3"/>
      <c r="BY177" s="3"/>
      <c r="BZ177" s="3"/>
      <c r="CA177" s="342"/>
      <c r="CB177" s="342"/>
      <c r="CC177" s="342"/>
      <c r="CD177" s="342"/>
    </row>
    <row r="178" spans="1:82" s="325" customFormat="1" ht="15.6">
      <c r="A178" s="480"/>
      <c r="B178" s="507"/>
      <c r="C178" s="507"/>
      <c r="D178" s="324"/>
      <c r="E178" s="342"/>
      <c r="F178" s="290"/>
      <c r="G178" s="79"/>
      <c r="H178" s="326"/>
      <c r="I178" s="326"/>
      <c r="J178" s="80"/>
      <c r="K178" s="290"/>
      <c r="L178" s="342"/>
      <c r="M178" s="2"/>
      <c r="N178" s="2"/>
      <c r="O178" s="2"/>
      <c r="P178" s="32"/>
      <c r="Q178" s="77"/>
      <c r="R178" s="77"/>
      <c r="S178" s="77"/>
      <c r="T178" s="77"/>
      <c r="U178" s="4" t="s">
        <v>50</v>
      </c>
      <c r="V178" s="328">
        <f>IFERROR(SUMIF(PayRise!A:A,B172,PayRise!J:J),0)</f>
        <v>0</v>
      </c>
      <c r="W178" s="425" t="str">
        <f t="shared" si="93"/>
        <v>N/A</v>
      </c>
      <c r="X178" s="7"/>
      <c r="Y178" s="7" t="s">
        <v>94</v>
      </c>
      <c r="Z178" s="2"/>
      <c r="AA178" s="304"/>
      <c r="AB178" s="7"/>
      <c r="AC178" s="4" t="s">
        <v>50</v>
      </c>
      <c r="AD178" s="328">
        <f>IFERROR(SUMIF(PayRise!A:A,B172,PayRise!K:K),0)</f>
        <v>0</v>
      </c>
      <c r="AE178" s="425" t="str">
        <f t="shared" si="94"/>
        <v>N/A</v>
      </c>
      <c r="AF178" s="330"/>
      <c r="AG178" s="328">
        <f>IFERROR(SUMIF(PayRise!A:A,B172,PayRise!L:L),0)</f>
        <v>0</v>
      </c>
      <c r="AH178" s="445" t="str">
        <f t="shared" si="95"/>
        <v>N/A</v>
      </c>
      <c r="AI178" s="330"/>
      <c r="AJ178" s="446">
        <f>IFERROR(SUMIF(PayRise!A:A,B172,PayRise!M:M),0)</f>
        <v>0</v>
      </c>
      <c r="AK178" s="425" t="str">
        <f t="shared" si="96"/>
        <v>N/A</v>
      </c>
      <c r="AL178" s="330"/>
      <c r="AM178" s="330"/>
      <c r="AN178" s="329">
        <f t="shared" si="98"/>
        <v>0</v>
      </c>
      <c r="AO178" s="425" t="str">
        <f t="shared" si="97"/>
        <v>N/A</v>
      </c>
      <c r="AP178" s="7"/>
      <c r="AQ178" s="342"/>
      <c r="AR178" s="290"/>
      <c r="AS178" s="402" t="s">
        <v>95</v>
      </c>
      <c r="AT178" s="290"/>
      <c r="AU178" s="100"/>
      <c r="AV178" s="298">
        <f>AN183</f>
        <v>0</v>
      </c>
      <c r="AW178" s="418" t="str">
        <f>IFERROR(AV178/BusinessCurrencyTRM,"N/A")</f>
        <v>N/A</v>
      </c>
      <c r="AX178" s="290"/>
      <c r="AY178" s="342"/>
      <c r="AZ178" s="3"/>
      <c r="BA178" s="315"/>
      <c r="BB178" s="3"/>
      <c r="BC178" s="3"/>
      <c r="BD178" s="3"/>
      <c r="BE178" s="3"/>
      <c r="BF178" s="342"/>
      <c r="BG178" s="3"/>
      <c r="BH178" s="315"/>
      <c r="BI178" s="3"/>
      <c r="BJ178" s="3"/>
      <c r="BK178" s="3"/>
      <c r="BL178" s="3"/>
      <c r="BM178" s="342"/>
      <c r="BN178" s="3"/>
      <c r="BO178" s="315"/>
      <c r="BP178" s="3"/>
      <c r="BQ178" s="3"/>
      <c r="BR178" s="3"/>
      <c r="BS178" s="3"/>
      <c r="BT178" s="342"/>
      <c r="BU178" s="3"/>
      <c r="BV178" s="315"/>
      <c r="BW178" s="3"/>
      <c r="BX178" s="3"/>
      <c r="BY178" s="3"/>
      <c r="BZ178" s="3"/>
      <c r="CA178" s="342"/>
      <c r="CB178" s="342"/>
      <c r="CC178" s="342"/>
      <c r="CD178" s="342"/>
    </row>
    <row r="179" spans="1:82" s="325" customFormat="1" ht="15.6">
      <c r="A179" s="480"/>
      <c r="B179" s="507"/>
      <c r="C179" s="507"/>
      <c r="D179" s="324"/>
      <c r="E179" s="342"/>
      <c r="F179" s="290"/>
      <c r="G179" s="79"/>
      <c r="H179" s="326"/>
      <c r="I179" s="326"/>
      <c r="J179" s="80"/>
      <c r="K179" s="290"/>
      <c r="L179" s="342"/>
      <c r="M179" s="2"/>
      <c r="N179" s="13" t="str">
        <f>IF(Approach="By Hours", "N/A for ByHours", "% Risks")</f>
        <v>N/A for ByHours</v>
      </c>
      <c r="O179" s="331">
        <v>0</v>
      </c>
      <c r="P179" s="32"/>
      <c r="Q179" s="77"/>
      <c r="R179" s="77"/>
      <c r="S179" s="309"/>
      <c r="T179" s="309"/>
      <c r="U179" s="4" t="s">
        <v>55</v>
      </c>
      <c r="V179" s="328">
        <f>IFERROR(SUMIFS(OtherCosts!Q:Q,OtherCosts!A:A,B172,OtherCosts!B:B,"Hardware/Software"),0)</f>
        <v>0</v>
      </c>
      <c r="W179" s="425" t="str">
        <f t="shared" si="93"/>
        <v>N/A</v>
      </c>
      <c r="X179" s="7"/>
      <c r="Y179" s="7" t="s">
        <v>96</v>
      </c>
      <c r="Z179" s="2"/>
      <c r="AA179" s="304"/>
      <c r="AB179" s="7"/>
      <c r="AC179" s="4" t="s">
        <v>55</v>
      </c>
      <c r="AD179" s="328">
        <f>IFERROR(SUMIFS(OtherCosts!R:R,OtherCosts!A:A,B172,OtherCosts!B:B,"Hardware/Software"),0)</f>
        <v>0</v>
      </c>
      <c r="AE179" s="425" t="str">
        <f t="shared" si="94"/>
        <v>N/A</v>
      </c>
      <c r="AF179" s="330"/>
      <c r="AG179" s="328">
        <f>IFERROR(SUMIFS(OtherCosts!S:S,OtherCosts!A:A,B172,OtherCosts!B:B,"Hardware/Software"),0)</f>
        <v>0</v>
      </c>
      <c r="AH179" s="445" t="str">
        <f t="shared" si="95"/>
        <v>N/A</v>
      </c>
      <c r="AI179" s="330"/>
      <c r="AJ179" s="446">
        <f>IFERROR(SUMIFS(OtherCosts!T:T,OtherCosts!A:A,B172,OtherCosts!B:B,"Hardware/Software"),0)</f>
        <v>0</v>
      </c>
      <c r="AK179" s="425" t="str">
        <f t="shared" si="96"/>
        <v>N/A</v>
      </c>
      <c r="AL179" s="330"/>
      <c r="AM179" s="330"/>
      <c r="AN179" s="329">
        <f t="shared" si="98"/>
        <v>0</v>
      </c>
      <c r="AO179" s="425" t="str">
        <f t="shared" si="97"/>
        <v>N/A</v>
      </c>
      <c r="AP179" s="7"/>
      <c r="AQ179" s="342"/>
      <c r="AR179" s="290"/>
      <c r="AS179" s="402" t="s">
        <v>97</v>
      </c>
      <c r="AT179" s="290"/>
      <c r="AU179" s="100"/>
      <c r="AV179" s="298">
        <f>IFERROR(IF(O180&lt;1,AN183,AN183/O180),0)</f>
        <v>0</v>
      </c>
      <c r="AW179" s="418" t="str">
        <f>IFERROR(AV179/BusinessCurrencyTRM,"N/A")</f>
        <v>N/A</v>
      </c>
      <c r="AX179" s="290"/>
      <c r="AY179" s="342"/>
      <c r="AZ179" s="3"/>
      <c r="BA179" s="315"/>
      <c r="BB179" s="3"/>
      <c r="BC179" s="3"/>
      <c r="BD179" s="3"/>
      <c r="BE179" s="3"/>
      <c r="BF179" s="342"/>
      <c r="BG179" s="3"/>
      <c r="BH179" s="315"/>
      <c r="BI179" s="3"/>
      <c r="BJ179" s="3"/>
      <c r="BK179" s="3"/>
      <c r="BL179" s="3"/>
      <c r="BM179" s="342"/>
      <c r="BN179" s="3"/>
      <c r="BO179" s="315"/>
      <c r="BP179" s="3"/>
      <c r="BQ179" s="3"/>
      <c r="BR179" s="3"/>
      <c r="BS179" s="3"/>
      <c r="BT179" s="342"/>
      <c r="BU179" s="3"/>
      <c r="BV179" s="315"/>
      <c r="BW179" s="3"/>
      <c r="BX179" s="3"/>
      <c r="BY179" s="3"/>
      <c r="BZ179" s="3"/>
      <c r="CA179" s="342"/>
      <c r="CB179" s="342"/>
      <c r="CC179" s="342"/>
      <c r="CD179" s="342"/>
    </row>
    <row r="180" spans="1:82" s="325" customFormat="1" ht="15.6">
      <c r="A180" s="480"/>
      <c r="B180" s="507"/>
      <c r="C180" s="507"/>
      <c r="D180" s="324"/>
      <c r="E180" s="342"/>
      <c r="F180" s="290"/>
      <c r="G180" s="79"/>
      <c r="H180" s="326"/>
      <c r="I180" s="326"/>
      <c r="J180" s="80"/>
      <c r="K180" s="290"/>
      <c r="L180" s="342"/>
      <c r="M180" s="2"/>
      <c r="N180" s="13" t="str">
        <f>IF(Approach="By Hours", "N/A for ByHours", "Duration (Months) *")</f>
        <v>N/A for ByHours</v>
      </c>
      <c r="O180" s="332">
        <v>0</v>
      </c>
      <c r="P180" s="32"/>
      <c r="Q180" s="77"/>
      <c r="R180" s="77"/>
      <c r="S180" s="309"/>
      <c r="T180" s="309"/>
      <c r="U180" s="4" t="s">
        <v>58</v>
      </c>
      <c r="V180" s="328">
        <f>IFERROR(SUMIFS(OtherCosts!Q:Q,OtherCosts!A:A,B172,OtherCosts!B:B,"Vendor"),0)</f>
        <v>0</v>
      </c>
      <c r="W180" s="425" t="str">
        <f t="shared" si="93"/>
        <v>N/A</v>
      </c>
      <c r="X180" s="7"/>
      <c r="Y180" s="7" t="s">
        <v>98</v>
      </c>
      <c r="Z180" s="2"/>
      <c r="AA180" s="304"/>
      <c r="AB180" s="7"/>
      <c r="AC180" s="4" t="s">
        <v>58</v>
      </c>
      <c r="AD180" s="328">
        <f>IFERROR(SUMIFS(OtherCosts!R:R,OtherCosts!A:A,B172,OtherCosts!B:B,"Vendor"),0)</f>
        <v>0</v>
      </c>
      <c r="AE180" s="425" t="str">
        <f t="shared" si="94"/>
        <v>N/A</v>
      </c>
      <c r="AF180" s="330"/>
      <c r="AG180" s="328">
        <f>IFERROR(SUMIFS(OtherCosts!S:S,OtherCosts!A:A,B172,OtherCosts!B:B,"Vendor"),0)</f>
        <v>0</v>
      </c>
      <c r="AH180" s="445" t="str">
        <f t="shared" si="95"/>
        <v>N/A</v>
      </c>
      <c r="AI180" s="330"/>
      <c r="AJ180" s="446">
        <f>IFERROR(SUMIFS(OtherCosts!T:T,OtherCosts!A:A,B172,OtherCosts!B:B,"Vendor"),0)</f>
        <v>0</v>
      </c>
      <c r="AK180" s="425" t="str">
        <f t="shared" si="96"/>
        <v>N/A</v>
      </c>
      <c r="AL180" s="330"/>
      <c r="AM180" s="330"/>
      <c r="AN180" s="329">
        <f t="shared" si="98"/>
        <v>0</v>
      </c>
      <c r="AO180" s="425" t="str">
        <f t="shared" si="97"/>
        <v>N/A</v>
      </c>
      <c r="AP180" s="7"/>
      <c r="AQ180" s="342"/>
      <c r="AR180" s="290"/>
      <c r="AS180" s="402" t="s">
        <v>99</v>
      </c>
      <c r="AT180" s="290"/>
      <c r="AU180" s="100"/>
      <c r="AV180" s="298">
        <f>IFERROR(AN183/T186,0)</f>
        <v>0</v>
      </c>
      <c r="AW180" s="418" t="str">
        <f>IFERROR(AV180/BusinessCurrencyTRM,"N/A")</f>
        <v>N/A</v>
      </c>
      <c r="AX180" s="290"/>
      <c r="AY180" s="342"/>
      <c r="AZ180" s="3"/>
      <c r="BA180" s="315"/>
      <c r="BB180" s="3"/>
      <c r="BC180" s="3"/>
      <c r="BD180" s="3"/>
      <c r="BE180" s="3"/>
      <c r="BF180" s="342"/>
      <c r="BG180" s="3"/>
      <c r="BH180" s="315"/>
      <c r="BI180" s="3"/>
      <c r="BJ180" s="3"/>
      <c r="BK180" s="3"/>
      <c r="BL180" s="3"/>
      <c r="BM180" s="342"/>
      <c r="BN180" s="3"/>
      <c r="BO180" s="315"/>
      <c r="BP180" s="3"/>
      <c r="BQ180" s="3"/>
      <c r="BR180" s="3"/>
      <c r="BS180" s="3"/>
      <c r="BT180" s="342"/>
      <c r="BU180" s="3"/>
      <c r="BV180" s="315"/>
      <c r="BW180" s="3"/>
      <c r="BX180" s="3"/>
      <c r="BY180" s="3"/>
      <c r="BZ180" s="3"/>
      <c r="CA180" s="342"/>
      <c r="CB180" s="342"/>
      <c r="CC180" s="342"/>
      <c r="CD180" s="342"/>
    </row>
    <row r="181" spans="1:82" s="325" customFormat="1" ht="15.6">
      <c r="A181" s="480"/>
      <c r="B181" s="507"/>
      <c r="C181" s="507"/>
      <c r="D181" s="324"/>
      <c r="E181" s="342"/>
      <c r="F181" s="290"/>
      <c r="G181" s="79"/>
      <c r="H181" s="326"/>
      <c r="I181" s="326"/>
      <c r="J181" s="80"/>
      <c r="K181" s="290"/>
      <c r="L181" s="342"/>
      <c r="M181" s="2"/>
      <c r="N181" s="83"/>
      <c r="O181" s="333"/>
      <c r="P181" s="32"/>
      <c r="Q181" s="77"/>
      <c r="R181" s="77"/>
      <c r="S181" s="309"/>
      <c r="T181" s="309"/>
      <c r="U181" s="4" t="s">
        <v>61</v>
      </c>
      <c r="V181" s="328">
        <f>IFERROR(SUMIFS(OtherCosts!Q:Q,OtherCosts!A:A,B172,OtherCosts!B:B,"Insurance"),0)</f>
        <v>0</v>
      </c>
      <c r="W181" s="425" t="str">
        <f t="shared" si="93"/>
        <v>N/A</v>
      </c>
      <c r="X181" s="7"/>
      <c r="Y181" s="7" t="s">
        <v>100</v>
      </c>
      <c r="Z181" s="2"/>
      <c r="AA181" s="304"/>
      <c r="AB181" s="7"/>
      <c r="AC181" s="4" t="s">
        <v>61</v>
      </c>
      <c r="AD181" s="328">
        <f>IFERROR(SUMIFS(OtherCosts!R:R,OtherCosts!A:A,B172,OtherCosts!B:B,"Insurance"),0)</f>
        <v>0</v>
      </c>
      <c r="AE181" s="425" t="str">
        <f t="shared" si="94"/>
        <v>N/A</v>
      </c>
      <c r="AF181" s="330"/>
      <c r="AG181" s="328">
        <f>IFERROR(SUMIFS(OtherCosts!S:S,OtherCosts!A:A,B172,OtherCosts!B:B,"Insurance"),0)</f>
        <v>0</v>
      </c>
      <c r="AH181" s="445" t="str">
        <f t="shared" si="95"/>
        <v>N/A</v>
      </c>
      <c r="AI181" s="330"/>
      <c r="AJ181" s="446">
        <f>IFERROR(SUMIFS(OtherCosts!T:T,OtherCosts!A:A,B172,OtherCosts!B:B,"Insurance"),0)</f>
        <v>0</v>
      </c>
      <c r="AK181" s="425" t="str">
        <f t="shared" si="96"/>
        <v>N/A</v>
      </c>
      <c r="AL181" s="330"/>
      <c r="AM181" s="330"/>
      <c r="AN181" s="329">
        <f t="shared" si="98"/>
        <v>0</v>
      </c>
      <c r="AO181" s="425" t="str">
        <f t="shared" si="97"/>
        <v>N/A</v>
      </c>
      <c r="AP181" s="7"/>
      <c r="AQ181" s="342"/>
      <c r="AR181" s="290"/>
      <c r="AS181" s="290"/>
      <c r="AT181" s="81"/>
      <c r="AU181" s="81"/>
      <c r="AV181" s="81"/>
      <c r="AW181" s="81"/>
      <c r="AX181" s="290"/>
      <c r="AY181" s="342"/>
      <c r="AZ181" s="3"/>
      <c r="BA181" s="315"/>
      <c r="BB181" s="3"/>
      <c r="BC181" s="3"/>
      <c r="BD181" s="3"/>
      <c r="BE181" s="3"/>
      <c r="BF181" s="342"/>
      <c r="BG181" s="3"/>
      <c r="BH181" s="315"/>
      <c r="BI181" s="3"/>
      <c r="BJ181" s="3"/>
      <c r="BK181" s="3"/>
      <c r="BL181" s="3"/>
      <c r="BM181" s="342"/>
      <c r="BN181" s="3"/>
      <c r="BO181" s="315"/>
      <c r="BP181" s="3"/>
      <c r="BQ181" s="3"/>
      <c r="BR181" s="3"/>
      <c r="BS181" s="3"/>
      <c r="BT181" s="342"/>
      <c r="BU181" s="3"/>
      <c r="BV181" s="315"/>
      <c r="BW181" s="3"/>
      <c r="BX181" s="3"/>
      <c r="BY181" s="3"/>
      <c r="BZ181" s="3"/>
      <c r="CA181" s="342"/>
      <c r="CB181" s="342"/>
      <c r="CC181" s="342"/>
      <c r="CD181" s="342"/>
    </row>
    <row r="182" spans="1:82" s="325" customFormat="1" ht="16.149999999999999" thickBot="1">
      <c r="A182" s="480"/>
      <c r="B182" s="507"/>
      <c r="C182" s="507"/>
      <c r="D182" s="324"/>
      <c r="E182" s="342"/>
      <c r="F182" s="290"/>
      <c r="G182" s="79"/>
      <c r="H182" s="326"/>
      <c r="I182" s="326"/>
      <c r="J182" s="80"/>
      <c r="K182" s="290"/>
      <c r="L182" s="342"/>
      <c r="M182" s="7"/>
      <c r="N182" s="83"/>
      <c r="O182" s="333"/>
      <c r="P182" s="32"/>
      <c r="Q182" s="77"/>
      <c r="R182" s="77"/>
      <c r="S182" s="309"/>
      <c r="T182" s="309"/>
      <c r="U182" s="4" t="s">
        <v>64</v>
      </c>
      <c r="V182" s="328">
        <f>IFERROR(SUMIFS(OtherCosts!Q:Q,OtherCosts!A:A,B172,OtherCosts!B:B,"Other"),0)</f>
        <v>0</v>
      </c>
      <c r="W182" s="425" t="str">
        <f t="shared" si="93"/>
        <v>N/A</v>
      </c>
      <c r="X182" s="7"/>
      <c r="Y182" s="7" t="s">
        <v>101</v>
      </c>
      <c r="Z182" s="82"/>
      <c r="AA182" s="334"/>
      <c r="AB182" s="13"/>
      <c r="AC182" s="4" t="s">
        <v>64</v>
      </c>
      <c r="AD182" s="328">
        <f>IFERROR(SUMIFS(OtherCosts!R:R,OtherCosts!A:A,B172,OtherCosts!B:B,"Other"),0)</f>
        <v>0</v>
      </c>
      <c r="AE182" s="425" t="str">
        <f t="shared" si="94"/>
        <v>N/A</v>
      </c>
      <c r="AF182" s="83"/>
      <c r="AG182" s="328">
        <f>IFERROR(SUMIFS(OtherCosts!S:S,OtherCosts!A:A,B172,OtherCosts!B:B,"Other"),0)</f>
        <v>0</v>
      </c>
      <c r="AH182" s="447" t="str">
        <f t="shared" si="95"/>
        <v>N/A</v>
      </c>
      <c r="AI182" s="83"/>
      <c r="AJ182" s="448">
        <f>IFERROR(SUMIFS(OtherCosts!T:T,OtherCosts!A:A,B172,OtherCosts!B:B,"Other"),0)</f>
        <v>0</v>
      </c>
      <c r="AK182" s="425" t="str">
        <f t="shared" si="96"/>
        <v>N/A</v>
      </c>
      <c r="AL182" s="83"/>
      <c r="AM182" s="83"/>
      <c r="AN182" s="329">
        <f t="shared" si="98"/>
        <v>0</v>
      </c>
      <c r="AO182" s="425" t="str">
        <f t="shared" si="97"/>
        <v>N/A</v>
      </c>
      <c r="AP182" s="85"/>
      <c r="AQ182" s="342"/>
      <c r="AR182" s="290"/>
      <c r="AS182" s="290"/>
      <c r="AT182" s="13"/>
      <c r="AU182" s="81"/>
      <c r="AV182" s="81"/>
      <c r="AW182" s="81"/>
      <c r="AX182" s="290"/>
      <c r="AY182" s="342"/>
      <c r="AZ182" s="3"/>
      <c r="BA182" s="315"/>
      <c r="BB182" s="3"/>
      <c r="BC182" s="3"/>
      <c r="BD182" s="3"/>
      <c r="BE182" s="3"/>
      <c r="BF182" s="342"/>
      <c r="BG182" s="3"/>
      <c r="BH182" s="315"/>
      <c r="BI182" s="3"/>
      <c r="BJ182" s="3"/>
      <c r="BK182" s="3"/>
      <c r="BL182" s="3"/>
      <c r="BM182" s="342"/>
      <c r="BN182" s="3"/>
      <c r="BO182" s="315"/>
      <c r="BP182" s="3"/>
      <c r="BQ182" s="3"/>
      <c r="BR182" s="3"/>
      <c r="BS182" s="3"/>
      <c r="BT182" s="342"/>
      <c r="BU182" s="3"/>
      <c r="BV182" s="315"/>
      <c r="BW182" s="3"/>
      <c r="BX182" s="3"/>
      <c r="BY182" s="3"/>
      <c r="BZ182" s="3"/>
      <c r="CA182" s="342"/>
      <c r="CB182" s="342"/>
      <c r="CC182" s="342"/>
      <c r="CD182" s="342"/>
    </row>
    <row r="183" spans="1:82" s="325" customFormat="1" ht="16.149999999999999" thickTop="1">
      <c r="A183" s="480"/>
      <c r="B183" s="507"/>
      <c r="C183" s="507"/>
      <c r="D183" s="324"/>
      <c r="E183" s="342"/>
      <c r="F183" s="290"/>
      <c r="G183" s="79"/>
      <c r="H183" s="326"/>
      <c r="I183" s="326"/>
      <c r="J183" s="80"/>
      <c r="K183" s="290"/>
      <c r="L183" s="342"/>
      <c r="M183" s="7"/>
      <c r="N183" s="83"/>
      <c r="O183" s="333"/>
      <c r="P183" s="32"/>
      <c r="Q183" s="77"/>
      <c r="R183" s="77"/>
      <c r="S183" s="309"/>
      <c r="T183" s="309"/>
      <c r="U183" s="3" t="s">
        <v>35</v>
      </c>
      <c r="V183" s="86">
        <f>SUM(V176:V182)</f>
        <v>0</v>
      </c>
      <c r="W183" s="427" t="str">
        <f t="shared" si="93"/>
        <v>N/A</v>
      </c>
      <c r="X183" s="335"/>
      <c r="Y183" s="335"/>
      <c r="Z183" s="82"/>
      <c r="AA183" s="334"/>
      <c r="AB183" s="13"/>
      <c r="AC183" s="3" t="s">
        <v>35</v>
      </c>
      <c r="AD183" s="86">
        <f>SUM(AD176:AD182)</f>
        <v>0</v>
      </c>
      <c r="AE183" s="427" t="str">
        <f t="shared" si="94"/>
        <v>N/A</v>
      </c>
      <c r="AF183" s="83"/>
      <c r="AG183" s="86">
        <f>SUM(AG176:AG182)</f>
        <v>0</v>
      </c>
      <c r="AH183" s="444" t="str">
        <f t="shared" si="95"/>
        <v>N/A</v>
      </c>
      <c r="AI183" s="83"/>
      <c r="AJ183" s="86">
        <f>SUM(AJ176:AJ182)</f>
        <v>0</v>
      </c>
      <c r="AK183" s="427" t="str">
        <f t="shared" si="96"/>
        <v>N/A</v>
      </c>
      <c r="AL183" s="83"/>
      <c r="AM183" s="83"/>
      <c r="AN183" s="86">
        <f t="shared" si="98"/>
        <v>0</v>
      </c>
      <c r="AO183" s="427" t="str">
        <f t="shared" si="97"/>
        <v>N/A</v>
      </c>
      <c r="AP183" s="85"/>
      <c r="AQ183" s="342"/>
      <c r="AR183" s="290"/>
      <c r="AS183" s="290"/>
      <c r="AT183" s="13"/>
      <c r="AU183" s="81"/>
      <c r="AV183" s="81"/>
      <c r="AW183" s="81"/>
      <c r="AX183" s="290"/>
      <c r="AY183" s="342"/>
      <c r="AZ183" s="3"/>
      <c r="BA183" s="315"/>
      <c r="BB183" s="3"/>
      <c r="BC183" s="3"/>
      <c r="BD183" s="3"/>
      <c r="BE183" s="3"/>
      <c r="BF183" s="342"/>
      <c r="BG183" s="3"/>
      <c r="BH183" s="315"/>
      <c r="BI183" s="3"/>
      <c r="BJ183" s="3"/>
      <c r="BK183" s="3"/>
      <c r="BL183" s="3"/>
      <c r="BM183" s="342"/>
      <c r="BN183" s="3"/>
      <c r="BO183" s="315"/>
      <c r="BP183" s="3"/>
      <c r="BQ183" s="3"/>
      <c r="BR183" s="3"/>
      <c r="BS183" s="3"/>
      <c r="BT183" s="342"/>
      <c r="BU183" s="3"/>
      <c r="BV183" s="315"/>
      <c r="BW183" s="3"/>
      <c r="BX183" s="3"/>
      <c r="BY183" s="3"/>
      <c r="BZ183" s="3"/>
      <c r="CA183" s="342"/>
      <c r="CB183" s="342"/>
      <c r="CC183" s="342"/>
      <c r="CD183" s="342"/>
    </row>
    <row r="184" spans="1:82" s="325" customFormat="1" ht="15.6">
      <c r="A184" s="480"/>
      <c r="B184" s="507"/>
      <c r="C184" s="507"/>
      <c r="D184" s="324"/>
      <c r="E184" s="342"/>
      <c r="F184" s="290"/>
      <c r="G184" s="336"/>
      <c r="H184" s="336"/>
      <c r="I184" s="336"/>
      <c r="J184" s="336"/>
      <c r="K184" s="290"/>
      <c r="L184" s="342"/>
      <c r="M184" s="7"/>
      <c r="N184" s="83"/>
      <c r="O184" s="333"/>
      <c r="P184" s="77"/>
      <c r="Q184" s="77"/>
      <c r="R184" s="77"/>
      <c r="S184" s="77"/>
      <c r="T184" s="77"/>
      <c r="U184" s="3"/>
      <c r="V184" s="77"/>
      <c r="W184" s="77"/>
      <c r="X184" s="77"/>
      <c r="Y184" s="77"/>
      <c r="Z184" s="82"/>
      <c r="AA184" s="334"/>
      <c r="AB184" s="13"/>
      <c r="AC184" s="13"/>
      <c r="AD184" s="13"/>
      <c r="AE184" s="13"/>
      <c r="AF184" s="13"/>
      <c r="AG184" s="13"/>
      <c r="AH184" s="13"/>
      <c r="AI184" s="13"/>
      <c r="AJ184" s="13"/>
      <c r="AK184" s="13"/>
      <c r="AL184" s="13"/>
      <c r="AM184" s="13"/>
      <c r="AN184" s="327"/>
      <c r="AO184" s="327"/>
      <c r="AP184" s="85"/>
      <c r="AQ184" s="342"/>
      <c r="AR184" s="290"/>
      <c r="AS184" s="81"/>
      <c r="AT184" s="81"/>
      <c r="AU184" s="81"/>
      <c r="AV184" s="81"/>
      <c r="AW184" s="81"/>
      <c r="AX184" s="290"/>
      <c r="AY184" s="342"/>
      <c r="AZ184" s="3"/>
      <c r="BA184" s="315"/>
      <c r="BB184" s="3"/>
      <c r="BC184" s="3"/>
      <c r="BD184" s="3"/>
      <c r="BE184" s="3"/>
      <c r="BF184" s="342"/>
      <c r="BG184" s="3"/>
      <c r="BH184" s="315"/>
      <c r="BI184" s="3"/>
      <c r="BJ184" s="3"/>
      <c r="BK184" s="3"/>
      <c r="BL184" s="3"/>
      <c r="BM184" s="342"/>
      <c r="BN184" s="3"/>
      <c r="BO184" s="315"/>
      <c r="BP184" s="3"/>
      <c r="BQ184" s="3"/>
      <c r="BR184" s="3"/>
      <c r="BS184" s="3"/>
      <c r="BT184" s="342"/>
      <c r="BU184" s="3"/>
      <c r="BV184" s="315"/>
      <c r="BW184" s="3"/>
      <c r="BX184" s="3"/>
      <c r="BY184" s="3"/>
      <c r="BZ184" s="3"/>
      <c r="CA184" s="342"/>
      <c r="CB184" s="342"/>
      <c r="CC184" s="342"/>
      <c r="CD184" s="342"/>
    </row>
    <row r="185" spans="1:82" s="304" customFormat="1" hidden="1" outlineLevel="1">
      <c r="B185" s="320"/>
      <c r="C185" s="320"/>
      <c r="D185" s="391"/>
      <c r="F185" s="391"/>
      <c r="G185" s="391"/>
      <c r="H185" s="391"/>
      <c r="I185" s="391"/>
      <c r="J185" s="391"/>
      <c r="K185" s="391"/>
      <c r="N185" s="337"/>
      <c r="O185" s="337"/>
      <c r="S185" s="337"/>
      <c r="T185" s="320"/>
      <c r="U185" s="320"/>
      <c r="V185" s="320"/>
      <c r="W185" s="393"/>
      <c r="Z185" s="338"/>
      <c r="AO185" s="338"/>
      <c r="AP185" s="340"/>
      <c r="AR185" s="391"/>
      <c r="AS185" s="391"/>
      <c r="AT185" s="391"/>
      <c r="AU185" s="391"/>
      <c r="AV185" s="391"/>
      <c r="AW185" s="391"/>
      <c r="AX185" s="391"/>
      <c r="AZ185"/>
      <c r="BA185"/>
      <c r="BB185"/>
      <c r="BC185"/>
      <c r="BD185"/>
      <c r="BE185"/>
      <c r="BG185"/>
      <c r="BH185"/>
      <c r="BI185"/>
      <c r="BJ185"/>
      <c r="BK185"/>
      <c r="BL185"/>
      <c r="BN185"/>
      <c r="BO185"/>
      <c r="BP185"/>
      <c r="BQ185"/>
      <c r="BR185"/>
      <c r="BS185"/>
      <c r="BU185"/>
      <c r="BV185"/>
      <c r="BW185"/>
      <c r="BX185"/>
      <c r="BY185"/>
      <c r="BZ185"/>
    </row>
    <row r="186" spans="1:82" s="325" customFormat="1" ht="15.6" hidden="1" outlineLevel="1">
      <c r="A186" s="480"/>
      <c r="B186" s="341"/>
      <c r="C186" s="341"/>
      <c r="D186" s="290"/>
      <c r="E186" s="342"/>
      <c r="F186" s="290"/>
      <c r="G186" s="343">
        <f>ROUNDUP(SUM(G188:G217),2)</f>
        <v>0</v>
      </c>
      <c r="H186" s="344"/>
      <c r="I186" s="344"/>
      <c r="J186" s="345">
        <f>ROUNDUP(SUM(J188:J217),2)</f>
        <v>0</v>
      </c>
      <c r="K186" s="290"/>
      <c r="L186" s="342"/>
      <c r="M186" s="7"/>
      <c r="N186" s="7"/>
      <c r="O186" s="7"/>
      <c r="P186" s="7"/>
      <c r="Q186" s="7"/>
      <c r="R186" s="7"/>
      <c r="S186" s="7"/>
      <c r="T186" s="398">
        <f>ROUNDUP(SUM(T188:T217),2)</f>
        <v>0</v>
      </c>
      <c r="U186" s="7"/>
      <c r="V186" s="7"/>
      <c r="W186" s="87">
        <f>SUM(W188:W215)</f>
        <v>0</v>
      </c>
      <c r="X186" s="7"/>
      <c r="Y186" s="7" t="s">
        <v>102</v>
      </c>
      <c r="Z186" s="7"/>
      <c r="AA186" s="304"/>
      <c r="AB186" s="7"/>
      <c r="AC186" s="7"/>
      <c r="AD186" s="87">
        <f>SUM(AD188:AD217)</f>
        <v>0</v>
      </c>
      <c r="AE186" s="432">
        <f>IFERROR(1-($W186/$AD186),0)</f>
        <v>0</v>
      </c>
      <c r="AF186" s="7"/>
      <c r="AG186" s="7"/>
      <c r="AH186" s="88">
        <f>SUM(AH188:AH217)</f>
        <v>0</v>
      </c>
      <c r="AI186" s="7"/>
      <c r="AJ186" s="7"/>
      <c r="AK186" s="88">
        <f>ROUNDUP(SUM(AK188:AK217),2)</f>
        <v>0</v>
      </c>
      <c r="AL186" s="7"/>
      <c r="AM186" s="88">
        <f>SUM(AM188:AM217)</f>
        <v>0</v>
      </c>
      <c r="AN186" s="88">
        <f>SUM(AN188:AN217)</f>
        <v>0</v>
      </c>
      <c r="AO186" s="417" t="str">
        <f>BillingCountryCurrency</f>
        <v>USD</v>
      </c>
      <c r="AP186" s="7"/>
      <c r="AQ186" s="18"/>
      <c r="AR186" s="290"/>
      <c r="AS186" s="290"/>
      <c r="AT186" s="503">
        <f>SUM(AT188:AU217)</f>
        <v>0</v>
      </c>
      <c r="AU186" s="504"/>
      <c r="AV186" s="417" t="str">
        <f>BillingCountryCurrency</f>
        <v>USD</v>
      </c>
      <c r="AW186" s="417" t="str">
        <f>IF(ISBLANK(BusinessCurrency),"N/A",BusinessCurrency)</f>
        <v>N/A</v>
      </c>
      <c r="AX186" s="290"/>
      <c r="AY186" s="18"/>
      <c r="AZ186" s="3"/>
      <c r="BA186" s="315"/>
      <c r="BB186" s="3"/>
      <c r="BC186" s="3"/>
      <c r="BD186" s="3"/>
      <c r="BE186" s="3"/>
      <c r="BF186" s="18"/>
      <c r="BG186" s="3"/>
      <c r="BH186" s="315"/>
      <c r="BI186" s="3"/>
      <c r="BJ186" s="3"/>
      <c r="BK186" s="3"/>
      <c r="BL186" s="3"/>
      <c r="BM186" s="18"/>
      <c r="BN186" s="3"/>
      <c r="BO186" s="315"/>
      <c r="BP186" s="3"/>
      <c r="BQ186" s="3"/>
      <c r="BR186" s="3"/>
      <c r="BS186" s="3"/>
      <c r="BT186" s="18"/>
      <c r="BU186" s="3"/>
      <c r="BV186" s="315"/>
      <c r="BW186" s="3"/>
      <c r="BX186" s="3"/>
      <c r="BY186" s="3"/>
      <c r="BZ186" s="3"/>
      <c r="CA186" s="342"/>
      <c r="CB186" s="342"/>
      <c r="CC186" s="342"/>
      <c r="CD186" s="342"/>
    </row>
    <row r="187" spans="1:82" ht="15.6" hidden="1" outlineLevel="1">
      <c r="A187" s="7"/>
      <c r="B187" s="346"/>
      <c r="C187" s="346"/>
      <c r="D187" s="346"/>
      <c r="E187" s="342"/>
      <c r="F187" s="290"/>
      <c r="G187" s="347" t="s">
        <v>79</v>
      </c>
      <c r="H187" s="347" t="s">
        <v>103</v>
      </c>
      <c r="I187" s="347" t="s">
        <v>104</v>
      </c>
      <c r="J187" s="348" t="s">
        <v>91</v>
      </c>
      <c r="K187" s="290"/>
      <c r="L187" s="349"/>
      <c r="M187" s="7"/>
      <c r="N187" s="16" t="s">
        <v>105</v>
      </c>
      <c r="O187" s="16" t="s">
        <v>106</v>
      </c>
      <c r="P187" s="16" t="s">
        <v>107</v>
      </c>
      <c r="Q187" s="16" t="s">
        <v>108</v>
      </c>
      <c r="R187" s="16" t="s">
        <v>109</v>
      </c>
      <c r="S187" s="16" t="s">
        <v>110</v>
      </c>
      <c r="T187" s="16" t="s">
        <v>111</v>
      </c>
      <c r="U187" s="16" t="s">
        <v>112</v>
      </c>
      <c r="V187" s="350" t="s">
        <v>113</v>
      </c>
      <c r="W187" s="16" t="s">
        <v>114</v>
      </c>
      <c r="X187" s="16" t="s">
        <v>115</v>
      </c>
      <c r="Y187" s="16" t="s">
        <v>116</v>
      </c>
      <c r="Z187" s="6"/>
      <c r="AA187" s="304"/>
      <c r="AB187" s="7"/>
      <c r="AC187" s="351" t="s">
        <v>117</v>
      </c>
      <c r="AD187" s="352" t="s">
        <v>118</v>
      </c>
      <c r="AE187" s="89" t="s">
        <v>119</v>
      </c>
      <c r="AF187" s="7"/>
      <c r="AG187" s="89" t="s">
        <v>120</v>
      </c>
      <c r="AH187" s="353" t="s">
        <v>121</v>
      </c>
      <c r="AI187" s="7"/>
      <c r="AJ187" s="89" t="s">
        <v>122</v>
      </c>
      <c r="AK187" s="353" t="s">
        <v>123</v>
      </c>
      <c r="AL187" s="7"/>
      <c r="AM187" s="16" t="s">
        <v>118</v>
      </c>
      <c r="AN187" s="16" t="s">
        <v>124</v>
      </c>
      <c r="AO187" s="8" t="s">
        <v>125</v>
      </c>
      <c r="AP187" s="7"/>
      <c r="AQ187" s="18"/>
      <c r="AR187" s="290"/>
      <c r="AS187" s="8" t="s">
        <v>126</v>
      </c>
      <c r="AT187" s="505" t="s">
        <v>124</v>
      </c>
      <c r="AU187" s="506"/>
      <c r="AV187" s="8" t="s">
        <v>127</v>
      </c>
      <c r="AW187" s="8" t="s">
        <v>127</v>
      </c>
      <c r="AX187" s="290"/>
      <c r="AY187" s="18"/>
      <c r="AZ187" s="3"/>
      <c r="BA187" s="315"/>
      <c r="BB187" s="3"/>
      <c r="BC187" s="3"/>
      <c r="BD187" s="3"/>
      <c r="BE187" s="3"/>
      <c r="BF187" s="18"/>
      <c r="BG187" s="3"/>
      <c r="BH187" s="315"/>
      <c r="BI187" s="3"/>
      <c r="BJ187" s="3"/>
      <c r="BK187" s="3"/>
      <c r="BL187" s="3"/>
      <c r="BM187" s="18"/>
      <c r="BN187" s="3"/>
      <c r="BO187" s="315"/>
      <c r="BP187" s="3"/>
      <c r="BQ187" s="3"/>
      <c r="BR187" s="3"/>
      <c r="BS187" s="3"/>
      <c r="BT187" s="18"/>
      <c r="BU187" s="3"/>
      <c r="BV187" s="315"/>
      <c r="BW187" s="3"/>
      <c r="BX187" s="3"/>
      <c r="BY187" s="3"/>
      <c r="BZ187" s="3"/>
    </row>
    <row r="188" spans="1:82" ht="28.9" hidden="1" outlineLevel="1">
      <c r="A188" s="7"/>
      <c r="B188" s="354" t="s">
        <v>128</v>
      </c>
      <c r="C188" s="355"/>
      <c r="D188" s="356"/>
      <c r="E188" s="342"/>
      <c r="F188" s="290"/>
      <c r="G188" s="357">
        <v>0</v>
      </c>
      <c r="H188" s="358">
        <v>0</v>
      </c>
      <c r="I188" s="358">
        <v>0</v>
      </c>
      <c r="J188" s="359">
        <f>IFERROR(G188/(1-(H188+I188)),0)</f>
        <v>0</v>
      </c>
      <c r="K188" s="360"/>
      <c r="L188" s="349"/>
      <c r="M188" s="7"/>
      <c r="N188" s="12"/>
      <c r="O188" s="12"/>
      <c r="P188" s="12"/>
      <c r="Q188" s="361"/>
      <c r="R188" s="362"/>
      <c r="S188" s="363">
        <f t="shared" ref="S188:S217" si="99">IF(ISBLANK(P188),0,$O$180*20)</f>
        <v>0</v>
      </c>
      <c r="T188" s="364">
        <f t="shared" ref="T188:T217" si="100">IF(ISBLANK($P188),0,IF(Approach="Team-Based",$Q188*$R188*$S188*HoursPerDayTeamBased,$J188))</f>
        <v>0</v>
      </c>
      <c r="U188" s="365">
        <v>0</v>
      </c>
      <c r="V188" s="91">
        <f>ROUNDUP(IFERROR(INDEX(CostRateTbl[Cost Rate],MATCH(_xlfn.CONCAT(N188,O188,P188,"NA"),CostRateTbl[KeyCostRate],0)),0)*BillingCurrencyTRM*(1+U188),2)</f>
        <v>0</v>
      </c>
      <c r="W188" s="92">
        <f t="shared" ref="W188:W217" si="101">T188*V188</f>
        <v>0</v>
      </c>
      <c r="X188" s="366" t="e" cm="1">
        <f t="array" ref="X188">_xlfn.LET(
    _xlpm.valor, INDEX(CostRate!H:H, MATCH(1, (CostRate!A:A=N188)*1, 0)),
    _xlpm.posicion, MATCH(_xlpm.valor, FilterSL!$F$1:$Z$1, 0),
    _xlpm.direccionCompleta, ADDRESS(1, _xlpm.posicion + 5, 4),
    _xlpm.letraColumna, SUBSTITUTE(_xlpm.direccionCompleta, "1", ""),
    _xlpm.letraColumna
)</f>
        <v>#N/A</v>
      </c>
      <c r="Y188" s="366" t="e" cm="1">
        <f t="array" ref="Y188">_xlfn.LET(
    _xlpm.valor, INDEX(CostRate!I:I, MATCH(1, (CostRate!A:A=N188)*(CostRate!B:B=O188), 0)),
    _xlpm.posicion, MATCH(_xlpm.valor, FilterJP!$E$1:$FZ$1, 0),
    _xlpm.direccionCompleta, ADDRESS(1, _xlpm.posicion + 4, 4),
    _xlpm.letraColumna, SUBSTITUTE(_xlpm.direccionCompleta, "1", ""),
    _xlpm.letraColumna
)</f>
        <v>#N/A</v>
      </c>
      <c r="Z188" s="7"/>
      <c r="AA188" s="367"/>
      <c r="AB188" s="7"/>
      <c r="AC188" s="93">
        <f t="shared" ref="AC188:AC217" si="102">ROUNDUP($V188/(1-$AV$174),2)</f>
        <v>0</v>
      </c>
      <c r="AD188" s="94">
        <f>$T188*$AC188</f>
        <v>0</v>
      </c>
      <c r="AE188" s="109">
        <f>IFERROR(1-($W188/$AD188),0)</f>
        <v>0</v>
      </c>
      <c r="AF188" s="7"/>
      <c r="AG188" s="369">
        <f t="shared" ref="AG188:AG217" si="103">IFERROR(IF(OR(ISBLANK(N188),N188=CustomerCountry,COUNTIF($N188,"*xDC*")),0,10%),0)</f>
        <v>0</v>
      </c>
      <c r="AH188" s="368">
        <f t="shared" ref="AH188:AH217" si="104">W188*AG188</f>
        <v>0</v>
      </c>
      <c r="AI188" s="7"/>
      <c r="AJ188" s="369" cm="1">
        <f t="array" ref="AJ188">IFERROR(INDEX(WHT!$C$7:$W$18,MATCH(
_xlfn.SWITCH(N188,"xDC Medellin","Colombia","xDC Belo Horizonte","Brazil","xDC Guadalajara","Mexico","xDC Gurugram","India","xDC Leon","Spain","xDC San Jose","Costa Rica","xDC Warsaw","Poland",N188),
WHT!$B$7:$B$18,0),MATCH(CustomerCountry,WHT!$C$5:$W$5,0)),0)</f>
        <v>0</v>
      </c>
      <c r="AK188" s="368">
        <f t="shared" ref="AK188:AK217" si="105">(W188+AH188)*AJ188</f>
        <v>0</v>
      </c>
      <c r="AL188" s="7"/>
      <c r="AM188" s="95">
        <f>SUM($AD188,$AH188,$AK188)</f>
        <v>0</v>
      </c>
      <c r="AN188" s="95">
        <f t="shared" ref="AN188:AN217" si="106">AM188+IFERROR(SUM($AN$177:$AN$182)*AM188/$AM$186,0)</f>
        <v>0</v>
      </c>
      <c r="AO188" s="95">
        <f>IFERROR($AN188/$T188,0)</f>
        <v>0</v>
      </c>
      <c r="AP188" s="7"/>
      <c r="AQ188" s="18"/>
      <c r="AR188" s="290"/>
      <c r="AS188" s="467" t="s">
        <v>133</v>
      </c>
      <c r="AT188" s="501">
        <f t="shared" ref="AT188:AT216" si="107">IF(AS188="x",AM188+((SUM($AN$177:$AN$182)+SUMIF($AS$188:$AS$217,"&lt;&gt;x",$AM$188:$AM$217))*IFERROR(AM188/SUMIF($AS$188:$AS$217,"x",$AM$188:$AM$217),0)),0)</f>
        <v>0</v>
      </c>
      <c r="AU188" s="502"/>
      <c r="AV188" s="95">
        <f>IFERROR(AT188/T188,0)</f>
        <v>0</v>
      </c>
      <c r="AW188" s="469" t="str">
        <f t="shared" ref="AW188:AW217" si="108">IFERROR(AV188/BusinessCurrencyTRM,"N/A")</f>
        <v>N/A</v>
      </c>
      <c r="AX188" s="290"/>
      <c r="AY188" s="18"/>
      <c r="AZ188" s="3"/>
      <c r="BA188" s="315"/>
      <c r="BB188" s="3"/>
      <c r="BC188" s="3"/>
      <c r="BD188" s="3"/>
      <c r="BE188" s="3"/>
      <c r="BF188" s="18"/>
      <c r="BG188" s="3"/>
      <c r="BH188" s="315"/>
      <c r="BI188" s="3"/>
      <c r="BJ188" s="3"/>
      <c r="BK188" s="3"/>
      <c r="BL188" s="3"/>
      <c r="BM188" s="18"/>
      <c r="BN188" s="3"/>
      <c r="BO188" s="315"/>
      <c r="BP188" s="3"/>
      <c r="BQ188" s="3"/>
      <c r="BR188" s="3"/>
      <c r="BS188" s="3"/>
      <c r="BT188" s="18"/>
      <c r="BU188" s="3"/>
      <c r="BV188" s="315"/>
      <c r="BW188" s="3"/>
      <c r="BX188" s="3"/>
      <c r="BY188" s="3"/>
      <c r="BZ188" s="3"/>
    </row>
    <row r="189" spans="1:82" ht="15.6" hidden="1" outlineLevel="1">
      <c r="A189" s="7"/>
      <c r="B189" s="370"/>
      <c r="C189" s="355"/>
      <c r="D189" s="356"/>
      <c r="E189" s="342"/>
      <c r="F189" s="290"/>
      <c r="G189" s="357">
        <v>0</v>
      </c>
      <c r="H189" s="358">
        <v>0</v>
      </c>
      <c r="I189" s="358">
        <v>0</v>
      </c>
      <c r="J189" s="359">
        <f t="shared" ref="J189:J217" si="109">IFERROR(G189/(1-(H189+I189)),0)</f>
        <v>0</v>
      </c>
      <c r="K189" s="290"/>
      <c r="L189" s="349"/>
      <c r="M189" s="7"/>
      <c r="N189" s="12"/>
      <c r="O189" s="12"/>
      <c r="P189" s="12"/>
      <c r="Q189" s="361"/>
      <c r="R189" s="362"/>
      <c r="S189" s="363">
        <f t="shared" si="99"/>
        <v>0</v>
      </c>
      <c r="T189" s="364">
        <f t="shared" si="100"/>
        <v>0</v>
      </c>
      <c r="U189" s="365">
        <v>0</v>
      </c>
      <c r="V189" s="91">
        <f>ROUNDUP(IFERROR(INDEX(CostRateTbl[Cost Rate],MATCH(_xlfn.CONCAT(N189,O189,P189,"NA"),CostRateTbl[KeyCostRate],0)),0)*BillingCurrencyTRM*(1+U189),2)</f>
        <v>0</v>
      </c>
      <c r="W189" s="92">
        <f t="shared" si="101"/>
        <v>0</v>
      </c>
      <c r="X189" s="366" t="e" cm="1">
        <f t="array" ref="X189">_xlfn.LET(
    _xlpm.valor, INDEX(CostRate!H:H, MATCH(1, (CostRate!A:A=N189)*1, 0)),
    _xlpm.posicion, MATCH(_xlpm.valor, FilterSL!$F$1:$Z$1, 0),
    _xlpm.direccionCompleta, ADDRESS(1, _xlpm.posicion + 5, 4),
    _xlpm.letraColumna, SUBSTITUTE(_xlpm.direccionCompleta, "1", ""),
    _xlpm.letraColumna
)</f>
        <v>#N/A</v>
      </c>
      <c r="Y189" s="366" t="e" cm="1">
        <f t="array" ref="Y189">_xlfn.LET(
    _xlpm.valor, INDEX(CostRate!I:I, MATCH(1, (CostRate!A:A=N189)*(CostRate!B:B=O189), 0)),
    _xlpm.posicion, MATCH(_xlpm.valor, FilterJP!$E$1:$FZ$1, 0),
    _xlpm.direccionCompleta, ADDRESS(1, _xlpm.posicion + 4, 4),
    _xlpm.letraColumna, SUBSTITUTE(_xlpm.direccionCompleta, "1", ""),
    _xlpm.letraColumna
)</f>
        <v>#N/A</v>
      </c>
      <c r="Z189" s="7"/>
      <c r="AA189" s="367"/>
      <c r="AB189" s="7"/>
      <c r="AC189" s="93">
        <f t="shared" si="102"/>
        <v>0</v>
      </c>
      <c r="AD189" s="94">
        <f t="shared" ref="AD189:AD217" si="110">$T189*$AC189</f>
        <v>0</v>
      </c>
      <c r="AE189" s="109">
        <f t="shared" ref="AE189:AE217" si="111">IFERROR(1-($W189/$AD189),0)</f>
        <v>0</v>
      </c>
      <c r="AF189" s="7"/>
      <c r="AG189" s="369">
        <f t="shared" si="103"/>
        <v>0</v>
      </c>
      <c r="AH189" s="368">
        <f t="shared" si="104"/>
        <v>0</v>
      </c>
      <c r="AI189" s="7"/>
      <c r="AJ189" s="369" cm="1">
        <f t="array" ref="AJ189">IFERROR(INDEX(WHT!$C$7:$W$18,MATCH(
_xlfn.SWITCH(N189,"xDC Medellin","Colombia","xDC Belo Horizonte","Brazil","xDC Guadalajara","Mexico","xDC Gurugram","India","xDC Leon","Spain","xDC San Jose","Costa Rica","xDC Warsaw","Poland",N189),
WHT!$B$7:$B$18,0),MATCH(CustomerCountry,WHT!$C$5:$W$5,0)),0)</f>
        <v>0</v>
      </c>
      <c r="AK189" s="368">
        <f t="shared" si="105"/>
        <v>0</v>
      </c>
      <c r="AL189" s="7"/>
      <c r="AM189" s="95">
        <f t="shared" ref="AM189:AM217" si="112">SUM($AD189,$AH189,$AK189)</f>
        <v>0</v>
      </c>
      <c r="AN189" s="95">
        <f t="shared" si="106"/>
        <v>0</v>
      </c>
      <c r="AO189" s="95">
        <f t="shared" ref="AO189:AO217" si="113">IFERROR($AN189/$T189,0)</f>
        <v>0</v>
      </c>
      <c r="AP189" s="90"/>
      <c r="AQ189" s="18"/>
      <c r="AR189" s="290"/>
      <c r="AS189" s="467" t="s">
        <v>133</v>
      </c>
      <c r="AT189" s="501">
        <f t="shared" si="107"/>
        <v>0</v>
      </c>
      <c r="AU189" s="502"/>
      <c r="AV189" s="95">
        <f t="shared" ref="AV189:AV217" si="114">IFERROR(AT189/T189,0)</f>
        <v>0</v>
      </c>
      <c r="AW189" s="469" t="str">
        <f t="shared" si="108"/>
        <v>N/A</v>
      </c>
      <c r="AX189" s="290"/>
      <c r="AY189" s="18"/>
      <c r="AZ189" s="3"/>
      <c r="BA189" s="315"/>
      <c r="BB189" s="3"/>
      <c r="BC189" s="3"/>
      <c r="BD189" s="3"/>
      <c r="BE189" s="3"/>
      <c r="BF189" s="18"/>
      <c r="BG189" s="3"/>
      <c r="BH189" s="315"/>
      <c r="BI189" s="3"/>
      <c r="BJ189" s="3"/>
      <c r="BK189" s="3"/>
      <c r="BL189" s="3"/>
      <c r="BM189" s="18"/>
      <c r="BN189" s="3"/>
      <c r="BO189" s="315"/>
      <c r="BP189" s="3"/>
      <c r="BQ189" s="3"/>
      <c r="BR189" s="3"/>
      <c r="BS189" s="3"/>
      <c r="BT189" s="18"/>
      <c r="BU189" s="3"/>
      <c r="BV189" s="315"/>
      <c r="BW189" s="3"/>
      <c r="BX189" s="3"/>
      <c r="BY189" s="3"/>
      <c r="BZ189" s="3"/>
      <c r="CA189" s="371"/>
    </row>
    <row r="190" spans="1:82" ht="15.6" hidden="1" outlineLevel="1">
      <c r="A190" s="7"/>
      <c r="B190" s="370"/>
      <c r="C190" s="355"/>
      <c r="D190" s="356"/>
      <c r="E190" s="342"/>
      <c r="F190" s="290"/>
      <c r="G190" s="357">
        <v>0</v>
      </c>
      <c r="H190" s="358">
        <v>0</v>
      </c>
      <c r="I190" s="358">
        <v>0</v>
      </c>
      <c r="J190" s="359">
        <f t="shared" si="109"/>
        <v>0</v>
      </c>
      <c r="K190" s="290"/>
      <c r="L190" s="349"/>
      <c r="M190" s="7"/>
      <c r="N190" s="12"/>
      <c r="O190" s="12"/>
      <c r="P190" s="12"/>
      <c r="Q190" s="361"/>
      <c r="R190" s="362"/>
      <c r="S190" s="363">
        <f t="shared" si="99"/>
        <v>0</v>
      </c>
      <c r="T190" s="364">
        <f t="shared" si="100"/>
        <v>0</v>
      </c>
      <c r="U190" s="365">
        <v>0</v>
      </c>
      <c r="V190" s="91">
        <f>ROUNDUP(IFERROR(INDEX(CostRateTbl[Cost Rate],MATCH(_xlfn.CONCAT(N190,O190,P190,"NA"),CostRateTbl[KeyCostRate],0)),0)*BillingCurrencyTRM*(1+U190),2)</f>
        <v>0</v>
      </c>
      <c r="W190" s="92">
        <f t="shared" si="101"/>
        <v>0</v>
      </c>
      <c r="X190" s="366" t="e" cm="1">
        <f t="array" ref="X190">_xlfn.LET(
    _xlpm.valor, INDEX(CostRate!H:H, MATCH(1, (CostRate!A:A=N190)*1, 0)),
    _xlpm.posicion, MATCH(_xlpm.valor, FilterSL!$F$1:$Z$1, 0),
    _xlpm.direccionCompleta, ADDRESS(1, _xlpm.posicion + 5, 4),
    _xlpm.letraColumna, SUBSTITUTE(_xlpm.direccionCompleta, "1", ""),
    _xlpm.letraColumna
)</f>
        <v>#N/A</v>
      </c>
      <c r="Y190" s="366" t="e" cm="1">
        <f t="array" ref="Y190">_xlfn.LET(
    _xlpm.valor, INDEX(CostRate!I:I, MATCH(1, (CostRate!A:A=N190)*(CostRate!B:B=O190), 0)),
    _xlpm.posicion, MATCH(_xlpm.valor, FilterJP!$E$1:$FZ$1, 0),
    _xlpm.direccionCompleta, ADDRESS(1, _xlpm.posicion + 4, 4),
    _xlpm.letraColumna, SUBSTITUTE(_xlpm.direccionCompleta, "1", ""),
    _xlpm.letraColumna
)</f>
        <v>#N/A</v>
      </c>
      <c r="Z190" s="7"/>
      <c r="AA190" s="367"/>
      <c r="AB190" s="7"/>
      <c r="AC190" s="93">
        <f t="shared" si="102"/>
        <v>0</v>
      </c>
      <c r="AD190" s="94">
        <f t="shared" si="110"/>
        <v>0</v>
      </c>
      <c r="AE190" s="109">
        <f t="shared" si="111"/>
        <v>0</v>
      </c>
      <c r="AF190" s="7"/>
      <c r="AG190" s="369">
        <f t="shared" si="103"/>
        <v>0</v>
      </c>
      <c r="AH190" s="368">
        <f t="shared" si="104"/>
        <v>0</v>
      </c>
      <c r="AI190" s="7"/>
      <c r="AJ190" s="369" cm="1">
        <f t="array" ref="AJ190">IFERROR(INDEX(WHT!$C$7:$W$18,MATCH(
_xlfn.SWITCH(N190,"xDC Medellin","Colombia","xDC Belo Horizonte","Brazil","xDC Guadalajara","Mexico","xDC Gurugram","India","xDC Leon","Spain","xDC San Jose","Costa Rica","xDC Warsaw","Poland",N190),
WHT!$B$7:$B$18,0),MATCH(CustomerCountry,WHT!$C$5:$W$5,0)),0)</f>
        <v>0</v>
      </c>
      <c r="AK190" s="368">
        <f t="shared" si="105"/>
        <v>0</v>
      </c>
      <c r="AL190" s="7"/>
      <c r="AM190" s="95">
        <f t="shared" si="112"/>
        <v>0</v>
      </c>
      <c r="AN190" s="95">
        <f t="shared" si="106"/>
        <v>0</v>
      </c>
      <c r="AO190" s="95">
        <f t="shared" si="113"/>
        <v>0</v>
      </c>
      <c r="AP190" s="90"/>
      <c r="AQ190" s="18"/>
      <c r="AR190" s="290"/>
      <c r="AS190" s="467" t="s">
        <v>133</v>
      </c>
      <c r="AT190" s="501">
        <f t="shared" si="107"/>
        <v>0</v>
      </c>
      <c r="AU190" s="502"/>
      <c r="AV190" s="95">
        <f t="shared" si="114"/>
        <v>0</v>
      </c>
      <c r="AW190" s="469" t="str">
        <f t="shared" si="108"/>
        <v>N/A</v>
      </c>
      <c r="AX190" s="290"/>
      <c r="AY190" s="18"/>
      <c r="AZ190" s="3"/>
      <c r="BA190" s="315"/>
      <c r="BB190" s="3"/>
      <c r="BC190" s="3"/>
      <c r="BD190" s="3"/>
      <c r="BE190" s="3"/>
      <c r="BF190" s="18"/>
      <c r="BG190" s="3"/>
      <c r="BH190" s="315"/>
      <c r="BI190" s="3"/>
      <c r="BJ190" s="3"/>
      <c r="BK190" s="3"/>
      <c r="BL190" s="3"/>
      <c r="BM190" s="18"/>
      <c r="BN190" s="3"/>
      <c r="BO190" s="315"/>
      <c r="BP190" s="3"/>
      <c r="BQ190" s="3"/>
      <c r="BR190" s="3"/>
      <c r="BS190" s="3"/>
      <c r="BT190" s="18"/>
      <c r="BU190" s="3"/>
      <c r="BV190" s="315"/>
      <c r="BW190" s="3"/>
      <c r="BX190" s="3"/>
      <c r="BY190" s="3"/>
      <c r="BZ190" s="3"/>
    </row>
    <row r="191" spans="1:82" ht="15.6" hidden="1" outlineLevel="1">
      <c r="A191" s="7"/>
      <c r="B191" s="370"/>
      <c r="C191" s="355"/>
      <c r="D191" s="356"/>
      <c r="E191" s="342"/>
      <c r="F191" s="290"/>
      <c r="G191" s="357">
        <v>0</v>
      </c>
      <c r="H191" s="358">
        <v>0</v>
      </c>
      <c r="I191" s="358">
        <v>0</v>
      </c>
      <c r="J191" s="359">
        <f t="shared" si="109"/>
        <v>0</v>
      </c>
      <c r="K191" s="290"/>
      <c r="L191" s="349"/>
      <c r="M191" s="7"/>
      <c r="N191" s="12"/>
      <c r="O191" s="12"/>
      <c r="P191" s="12"/>
      <c r="Q191" s="361"/>
      <c r="R191" s="362"/>
      <c r="S191" s="363">
        <f t="shared" si="99"/>
        <v>0</v>
      </c>
      <c r="T191" s="364">
        <f t="shared" si="100"/>
        <v>0</v>
      </c>
      <c r="U191" s="365">
        <v>0</v>
      </c>
      <c r="V191" s="91">
        <f>ROUNDUP(IFERROR(INDEX(CostRateTbl[Cost Rate],MATCH(_xlfn.CONCAT(N191,O191,P191,"NA"),CostRateTbl[KeyCostRate],0)),0)*BillingCurrencyTRM*(1+U191),2)</f>
        <v>0</v>
      </c>
      <c r="W191" s="92">
        <f t="shared" si="101"/>
        <v>0</v>
      </c>
      <c r="X191" s="366" t="e" cm="1">
        <f t="array" ref="X191">_xlfn.LET(
    _xlpm.valor, INDEX(CostRate!H:H, MATCH(1, (CostRate!A:A=N191)*1, 0)),
    _xlpm.posicion, MATCH(_xlpm.valor, FilterSL!$F$1:$Z$1, 0),
    _xlpm.direccionCompleta, ADDRESS(1, _xlpm.posicion + 5, 4),
    _xlpm.letraColumna, SUBSTITUTE(_xlpm.direccionCompleta, "1", ""),
    _xlpm.letraColumna
)</f>
        <v>#N/A</v>
      </c>
      <c r="Y191" s="366" t="e" cm="1">
        <f t="array" ref="Y191">_xlfn.LET(
    _xlpm.valor, INDEX(CostRate!I:I, MATCH(1, (CostRate!A:A=N191)*(CostRate!B:B=O191), 0)),
    _xlpm.posicion, MATCH(_xlpm.valor, FilterJP!$E$1:$FZ$1, 0),
    _xlpm.direccionCompleta, ADDRESS(1, _xlpm.posicion + 4, 4),
    _xlpm.letraColumna, SUBSTITUTE(_xlpm.direccionCompleta, "1", ""),
    _xlpm.letraColumna
)</f>
        <v>#N/A</v>
      </c>
      <c r="Z191" s="7"/>
      <c r="AA191" s="367"/>
      <c r="AB191" s="7"/>
      <c r="AC191" s="93">
        <f t="shared" si="102"/>
        <v>0</v>
      </c>
      <c r="AD191" s="94">
        <f t="shared" si="110"/>
        <v>0</v>
      </c>
      <c r="AE191" s="109">
        <f t="shared" si="111"/>
        <v>0</v>
      </c>
      <c r="AF191" s="7"/>
      <c r="AG191" s="369">
        <f t="shared" si="103"/>
        <v>0</v>
      </c>
      <c r="AH191" s="368">
        <f t="shared" si="104"/>
        <v>0</v>
      </c>
      <c r="AI191" s="7"/>
      <c r="AJ191" s="369" cm="1">
        <f t="array" ref="AJ191">IFERROR(INDEX(WHT!$C$7:$W$18,MATCH(
_xlfn.SWITCH(N191,"xDC Medellin","Colombia","xDC Belo Horizonte","Brazil","xDC Guadalajara","Mexico","xDC Gurugram","India","xDC Leon","Spain","xDC San Jose","Costa Rica","xDC Warsaw","Poland",N191),
WHT!$B$7:$B$18,0),MATCH(CustomerCountry,WHT!$C$5:$W$5,0)),0)</f>
        <v>0</v>
      </c>
      <c r="AK191" s="368">
        <f t="shared" si="105"/>
        <v>0</v>
      </c>
      <c r="AL191" s="7"/>
      <c r="AM191" s="95">
        <f t="shared" si="112"/>
        <v>0</v>
      </c>
      <c r="AN191" s="95">
        <f t="shared" si="106"/>
        <v>0</v>
      </c>
      <c r="AO191" s="95">
        <f t="shared" si="113"/>
        <v>0</v>
      </c>
      <c r="AP191" s="90"/>
      <c r="AQ191" s="18"/>
      <c r="AR191" s="290"/>
      <c r="AS191" s="467" t="s">
        <v>133</v>
      </c>
      <c r="AT191" s="501">
        <f t="shared" si="107"/>
        <v>0</v>
      </c>
      <c r="AU191" s="502"/>
      <c r="AV191" s="95">
        <f t="shared" si="114"/>
        <v>0</v>
      </c>
      <c r="AW191" s="469" t="str">
        <f t="shared" si="108"/>
        <v>N/A</v>
      </c>
      <c r="AX191" s="290"/>
      <c r="AY191" s="18"/>
      <c r="AZ191" s="3"/>
      <c r="BA191" s="315"/>
      <c r="BB191" s="3"/>
      <c r="BC191" s="3"/>
      <c r="BD191" s="3"/>
      <c r="BE191" s="3"/>
      <c r="BF191" s="18"/>
      <c r="BG191" s="3"/>
      <c r="BH191" s="315"/>
      <c r="BI191" s="3"/>
      <c r="BJ191" s="3"/>
      <c r="BK191" s="3"/>
      <c r="BL191" s="3"/>
      <c r="BM191" s="18"/>
      <c r="BN191" s="3"/>
      <c r="BO191" s="315"/>
      <c r="BP191" s="3"/>
      <c r="BQ191" s="3"/>
      <c r="BR191" s="3"/>
      <c r="BS191" s="3"/>
      <c r="BT191" s="18"/>
      <c r="BU191" s="3"/>
      <c r="BV191" s="315"/>
      <c r="BW191" s="3"/>
      <c r="BX191" s="3"/>
      <c r="BY191" s="3"/>
      <c r="BZ191" s="3"/>
    </row>
    <row r="192" spans="1:82" ht="15.6" hidden="1" outlineLevel="1">
      <c r="A192" s="7"/>
      <c r="B192" s="370"/>
      <c r="C192" s="355"/>
      <c r="D192" s="356"/>
      <c r="E192" s="342"/>
      <c r="F192" s="290"/>
      <c r="G192" s="357">
        <v>0</v>
      </c>
      <c r="H192" s="358">
        <v>0</v>
      </c>
      <c r="I192" s="358">
        <v>0</v>
      </c>
      <c r="J192" s="359">
        <f t="shared" si="109"/>
        <v>0</v>
      </c>
      <c r="K192" s="290"/>
      <c r="L192" s="349"/>
      <c r="M192" s="7"/>
      <c r="N192" s="12"/>
      <c r="O192" s="12"/>
      <c r="P192" s="12"/>
      <c r="Q192" s="361"/>
      <c r="R192" s="362"/>
      <c r="S192" s="363">
        <f t="shared" si="99"/>
        <v>0</v>
      </c>
      <c r="T192" s="364">
        <f t="shared" si="100"/>
        <v>0</v>
      </c>
      <c r="U192" s="365">
        <v>0</v>
      </c>
      <c r="V192" s="91">
        <f>ROUNDUP(IFERROR(INDEX(CostRateTbl[Cost Rate],MATCH(_xlfn.CONCAT(N192,O192,P192,"NA"),CostRateTbl[KeyCostRate],0)),0)*BillingCurrencyTRM*(1+U192),2)</f>
        <v>0</v>
      </c>
      <c r="W192" s="92">
        <f t="shared" si="101"/>
        <v>0</v>
      </c>
      <c r="X192" s="366" t="e" cm="1">
        <f t="array" ref="X192">_xlfn.LET(
    _xlpm.valor, INDEX(CostRate!H:H, MATCH(1, (CostRate!A:A=N192)*1, 0)),
    _xlpm.posicion, MATCH(_xlpm.valor, FilterSL!$F$1:$Z$1, 0),
    _xlpm.direccionCompleta, ADDRESS(1, _xlpm.posicion + 5, 4),
    _xlpm.letraColumna, SUBSTITUTE(_xlpm.direccionCompleta, "1", ""),
    _xlpm.letraColumna
)</f>
        <v>#N/A</v>
      </c>
      <c r="Y192" s="366" t="e" cm="1">
        <f t="array" ref="Y192">_xlfn.LET(
    _xlpm.valor, INDEX(CostRate!I:I, MATCH(1, (CostRate!A:A=N192)*(CostRate!B:B=O192), 0)),
    _xlpm.posicion, MATCH(_xlpm.valor, FilterJP!$E$1:$FZ$1, 0),
    _xlpm.direccionCompleta, ADDRESS(1, _xlpm.posicion + 4, 4),
    _xlpm.letraColumna, SUBSTITUTE(_xlpm.direccionCompleta, "1", ""),
    _xlpm.letraColumna
)</f>
        <v>#N/A</v>
      </c>
      <c r="Z192" s="7"/>
      <c r="AA192" s="367"/>
      <c r="AB192" s="7"/>
      <c r="AC192" s="93">
        <f t="shared" si="102"/>
        <v>0</v>
      </c>
      <c r="AD192" s="94">
        <f t="shared" si="110"/>
        <v>0</v>
      </c>
      <c r="AE192" s="109">
        <f t="shared" si="111"/>
        <v>0</v>
      </c>
      <c r="AF192" s="7"/>
      <c r="AG192" s="369">
        <f t="shared" si="103"/>
        <v>0</v>
      </c>
      <c r="AH192" s="368">
        <f t="shared" si="104"/>
        <v>0</v>
      </c>
      <c r="AI192" s="7"/>
      <c r="AJ192" s="369" cm="1">
        <f t="array" ref="AJ192">IFERROR(INDEX(WHT!$C$7:$W$18,MATCH(
_xlfn.SWITCH(N192,"xDC Medellin","Colombia","xDC Belo Horizonte","Brazil","xDC Guadalajara","Mexico","xDC Gurugram","India","xDC Leon","Spain","xDC San Jose","Costa Rica","xDC Warsaw","Poland",N192),
WHT!$B$7:$B$18,0),MATCH(CustomerCountry,WHT!$C$5:$W$5,0)),0)</f>
        <v>0</v>
      </c>
      <c r="AK192" s="368">
        <f t="shared" si="105"/>
        <v>0</v>
      </c>
      <c r="AL192" s="7"/>
      <c r="AM192" s="95">
        <f t="shared" si="112"/>
        <v>0</v>
      </c>
      <c r="AN192" s="95">
        <f t="shared" si="106"/>
        <v>0</v>
      </c>
      <c r="AO192" s="95">
        <f t="shared" si="113"/>
        <v>0</v>
      </c>
      <c r="AP192" s="90"/>
      <c r="AQ192" s="18"/>
      <c r="AR192" s="290"/>
      <c r="AS192" s="467" t="s">
        <v>133</v>
      </c>
      <c r="AT192" s="501">
        <f t="shared" si="107"/>
        <v>0</v>
      </c>
      <c r="AU192" s="502"/>
      <c r="AV192" s="95">
        <f t="shared" si="114"/>
        <v>0</v>
      </c>
      <c r="AW192" s="469" t="str">
        <f t="shared" si="108"/>
        <v>N/A</v>
      </c>
      <c r="AX192" s="290"/>
      <c r="AY192" s="18"/>
      <c r="AZ192" s="3"/>
      <c r="BA192" s="315"/>
      <c r="BB192" s="3"/>
      <c r="BC192" s="3"/>
      <c r="BD192" s="3"/>
      <c r="BE192" s="3"/>
      <c r="BF192" s="18"/>
      <c r="BG192" s="3"/>
      <c r="BH192" s="315"/>
      <c r="BI192" s="3"/>
      <c r="BJ192" s="3"/>
      <c r="BK192" s="3"/>
      <c r="BL192" s="3"/>
      <c r="BM192" s="18"/>
      <c r="BN192" s="3"/>
      <c r="BO192" s="315"/>
      <c r="BP192" s="3"/>
      <c r="BQ192" s="3"/>
      <c r="BR192" s="3"/>
      <c r="BS192" s="3"/>
      <c r="BT192" s="18"/>
      <c r="BU192" s="3"/>
      <c r="BV192" s="315"/>
      <c r="BW192" s="3"/>
      <c r="BX192" s="3"/>
      <c r="BY192" s="3"/>
      <c r="BZ192" s="3"/>
    </row>
    <row r="193" spans="1:78" ht="15.6" hidden="1" outlineLevel="1">
      <c r="A193" s="7"/>
      <c r="B193" s="370"/>
      <c r="C193" s="355"/>
      <c r="D193" s="356"/>
      <c r="E193" s="342"/>
      <c r="F193" s="290"/>
      <c r="G193" s="357">
        <v>0</v>
      </c>
      <c r="H193" s="358">
        <v>0</v>
      </c>
      <c r="I193" s="358">
        <v>0</v>
      </c>
      <c r="J193" s="359">
        <f t="shared" si="109"/>
        <v>0</v>
      </c>
      <c r="K193" s="290"/>
      <c r="L193" s="349"/>
      <c r="M193" s="7"/>
      <c r="N193" s="12"/>
      <c r="O193" s="12"/>
      <c r="P193" s="12"/>
      <c r="Q193" s="361"/>
      <c r="R193" s="362"/>
      <c r="S193" s="363">
        <f t="shared" si="99"/>
        <v>0</v>
      </c>
      <c r="T193" s="364">
        <f t="shared" si="100"/>
        <v>0</v>
      </c>
      <c r="U193" s="365">
        <v>0</v>
      </c>
      <c r="V193" s="91">
        <f>ROUNDUP(IFERROR(INDEX(CostRateTbl[Cost Rate],MATCH(_xlfn.CONCAT(N193,O193,P193,"NA"),CostRateTbl[KeyCostRate],0)),0)*BillingCurrencyTRM*(1+U193),2)</f>
        <v>0</v>
      </c>
      <c r="W193" s="92">
        <f t="shared" si="101"/>
        <v>0</v>
      </c>
      <c r="X193" s="366" t="e" cm="1">
        <f t="array" ref="X193">_xlfn.LET(
    _xlpm.valor, INDEX(CostRate!H:H, MATCH(1, (CostRate!A:A=N193)*1, 0)),
    _xlpm.posicion, MATCH(_xlpm.valor, FilterSL!$F$1:$Z$1, 0),
    _xlpm.direccionCompleta, ADDRESS(1, _xlpm.posicion + 5, 4),
    _xlpm.letraColumna, SUBSTITUTE(_xlpm.direccionCompleta, "1", ""),
    _xlpm.letraColumna
)</f>
        <v>#N/A</v>
      </c>
      <c r="Y193" s="366" t="e" cm="1">
        <f t="array" ref="Y193">_xlfn.LET(
    _xlpm.valor, INDEX(CostRate!I:I, MATCH(1, (CostRate!A:A=N193)*(CostRate!B:B=O193), 0)),
    _xlpm.posicion, MATCH(_xlpm.valor, FilterJP!$E$1:$FZ$1, 0),
    _xlpm.direccionCompleta, ADDRESS(1, _xlpm.posicion + 4, 4),
    _xlpm.letraColumna, SUBSTITUTE(_xlpm.direccionCompleta, "1", ""),
    _xlpm.letraColumna
)</f>
        <v>#N/A</v>
      </c>
      <c r="Z193" s="7"/>
      <c r="AA193" s="367"/>
      <c r="AB193" s="7"/>
      <c r="AC193" s="93">
        <f t="shared" si="102"/>
        <v>0</v>
      </c>
      <c r="AD193" s="94">
        <f t="shared" si="110"/>
        <v>0</v>
      </c>
      <c r="AE193" s="109">
        <f t="shared" si="111"/>
        <v>0</v>
      </c>
      <c r="AF193" s="7"/>
      <c r="AG193" s="369">
        <f t="shared" si="103"/>
        <v>0</v>
      </c>
      <c r="AH193" s="368">
        <f t="shared" si="104"/>
        <v>0</v>
      </c>
      <c r="AI193" s="7"/>
      <c r="AJ193" s="369" cm="1">
        <f t="array" ref="AJ193">IFERROR(INDEX(WHT!$C$7:$W$18,MATCH(
_xlfn.SWITCH(N193,"xDC Medellin","Colombia","xDC Belo Horizonte","Brazil","xDC Guadalajara","Mexico","xDC Gurugram","India","xDC Leon","Spain","xDC San Jose","Costa Rica","xDC Warsaw","Poland",N193),
WHT!$B$7:$B$18,0),MATCH(CustomerCountry,WHT!$C$5:$W$5,0)),0)</f>
        <v>0</v>
      </c>
      <c r="AK193" s="368">
        <f t="shared" si="105"/>
        <v>0</v>
      </c>
      <c r="AL193" s="7"/>
      <c r="AM193" s="95">
        <f t="shared" si="112"/>
        <v>0</v>
      </c>
      <c r="AN193" s="95">
        <f t="shared" si="106"/>
        <v>0</v>
      </c>
      <c r="AO193" s="95">
        <f t="shared" si="113"/>
        <v>0</v>
      </c>
      <c r="AP193" s="90"/>
      <c r="AQ193" s="18"/>
      <c r="AR193" s="290"/>
      <c r="AS193" s="467" t="s">
        <v>133</v>
      </c>
      <c r="AT193" s="501">
        <f t="shared" si="107"/>
        <v>0</v>
      </c>
      <c r="AU193" s="502"/>
      <c r="AV193" s="95">
        <f t="shared" si="114"/>
        <v>0</v>
      </c>
      <c r="AW193" s="469" t="str">
        <f t="shared" si="108"/>
        <v>N/A</v>
      </c>
      <c r="AX193" s="290"/>
      <c r="AY193" s="18"/>
      <c r="AZ193" s="3"/>
      <c r="BA193" s="315"/>
      <c r="BB193" s="3"/>
      <c r="BC193" s="3"/>
      <c r="BD193" s="3"/>
      <c r="BE193" s="3"/>
      <c r="BF193" s="18"/>
      <c r="BG193" s="3"/>
      <c r="BH193" s="315"/>
      <c r="BI193" s="3"/>
      <c r="BJ193" s="3"/>
      <c r="BK193" s="3"/>
      <c r="BL193" s="3"/>
      <c r="BM193" s="18"/>
      <c r="BN193" s="3"/>
      <c r="BO193" s="315"/>
      <c r="BP193" s="3"/>
      <c r="BQ193" s="3"/>
      <c r="BR193" s="3"/>
      <c r="BS193" s="3"/>
      <c r="BT193" s="18"/>
      <c r="BU193" s="3"/>
      <c r="BV193" s="315"/>
      <c r="BW193" s="3"/>
      <c r="BX193" s="3"/>
      <c r="BY193" s="3"/>
      <c r="BZ193" s="3"/>
    </row>
    <row r="194" spans="1:78" ht="15.6" hidden="1" outlineLevel="1">
      <c r="A194" s="7"/>
      <c r="B194" s="370"/>
      <c r="C194" s="355"/>
      <c r="D194" s="356"/>
      <c r="E194" s="342"/>
      <c r="F194" s="290"/>
      <c r="G194" s="357">
        <v>0</v>
      </c>
      <c r="H194" s="358">
        <v>0</v>
      </c>
      <c r="I194" s="358">
        <v>0</v>
      </c>
      <c r="J194" s="359">
        <f t="shared" si="109"/>
        <v>0</v>
      </c>
      <c r="K194" s="290"/>
      <c r="L194" s="349"/>
      <c r="M194" s="7"/>
      <c r="N194" s="12"/>
      <c r="O194" s="12"/>
      <c r="P194" s="12"/>
      <c r="Q194" s="361"/>
      <c r="R194" s="362"/>
      <c r="S194" s="363">
        <f t="shared" si="99"/>
        <v>0</v>
      </c>
      <c r="T194" s="364">
        <f t="shared" si="100"/>
        <v>0</v>
      </c>
      <c r="U194" s="365">
        <v>0</v>
      </c>
      <c r="V194" s="91">
        <f>ROUNDUP(IFERROR(INDEX(CostRateTbl[Cost Rate],MATCH(_xlfn.CONCAT(N194,O194,P194,"NA"),CostRateTbl[KeyCostRate],0)),0)*BillingCurrencyTRM*(1+U194),2)</f>
        <v>0</v>
      </c>
      <c r="W194" s="92">
        <f t="shared" si="101"/>
        <v>0</v>
      </c>
      <c r="X194" s="366" t="e" cm="1">
        <f t="array" ref="X194">_xlfn.LET(
    _xlpm.valor, INDEX(CostRate!H:H, MATCH(1, (CostRate!A:A=N194)*1, 0)),
    _xlpm.posicion, MATCH(_xlpm.valor, FilterSL!$F$1:$Z$1, 0),
    _xlpm.direccionCompleta, ADDRESS(1, _xlpm.posicion + 5, 4),
    _xlpm.letraColumna, SUBSTITUTE(_xlpm.direccionCompleta, "1", ""),
    _xlpm.letraColumna
)</f>
        <v>#N/A</v>
      </c>
      <c r="Y194" s="366" t="e" cm="1">
        <f t="array" ref="Y194">_xlfn.LET(
    _xlpm.valor, INDEX(CostRate!I:I, MATCH(1, (CostRate!A:A=N194)*(CostRate!B:B=O194), 0)),
    _xlpm.posicion, MATCH(_xlpm.valor, FilterJP!$E$1:$FZ$1, 0),
    _xlpm.direccionCompleta, ADDRESS(1, _xlpm.posicion + 4, 4),
    _xlpm.letraColumna, SUBSTITUTE(_xlpm.direccionCompleta, "1", ""),
    _xlpm.letraColumna
)</f>
        <v>#N/A</v>
      </c>
      <c r="Z194" s="7"/>
      <c r="AA194" s="367"/>
      <c r="AB194" s="7"/>
      <c r="AC194" s="93">
        <f t="shared" si="102"/>
        <v>0</v>
      </c>
      <c r="AD194" s="94">
        <f t="shared" si="110"/>
        <v>0</v>
      </c>
      <c r="AE194" s="109">
        <f t="shared" si="111"/>
        <v>0</v>
      </c>
      <c r="AF194" s="7"/>
      <c r="AG194" s="369">
        <f t="shared" si="103"/>
        <v>0</v>
      </c>
      <c r="AH194" s="368">
        <f t="shared" si="104"/>
        <v>0</v>
      </c>
      <c r="AI194" s="7"/>
      <c r="AJ194" s="369" cm="1">
        <f t="array" ref="AJ194">IFERROR(INDEX(WHT!$C$7:$W$18,MATCH(
_xlfn.SWITCH(N194,"xDC Medellin","Colombia","xDC Belo Horizonte","Brazil","xDC Guadalajara","Mexico","xDC Gurugram","India","xDC Leon","Spain","xDC San Jose","Costa Rica","xDC Warsaw","Poland",N194),
WHT!$B$7:$B$18,0),MATCH(CustomerCountry,WHT!$C$5:$W$5,0)),0)</f>
        <v>0</v>
      </c>
      <c r="AK194" s="368">
        <f t="shared" si="105"/>
        <v>0</v>
      </c>
      <c r="AL194" s="7"/>
      <c r="AM194" s="95">
        <f t="shared" si="112"/>
        <v>0</v>
      </c>
      <c r="AN194" s="95">
        <f t="shared" si="106"/>
        <v>0</v>
      </c>
      <c r="AO194" s="95">
        <f t="shared" si="113"/>
        <v>0</v>
      </c>
      <c r="AP194" s="90"/>
      <c r="AQ194" s="18"/>
      <c r="AR194" s="290"/>
      <c r="AS194" s="467" t="s">
        <v>133</v>
      </c>
      <c r="AT194" s="501">
        <f t="shared" si="107"/>
        <v>0</v>
      </c>
      <c r="AU194" s="502"/>
      <c r="AV194" s="95">
        <f t="shared" si="114"/>
        <v>0</v>
      </c>
      <c r="AW194" s="469" t="str">
        <f t="shared" si="108"/>
        <v>N/A</v>
      </c>
      <c r="AX194" s="290"/>
      <c r="AY194" s="18"/>
      <c r="AZ194" s="3"/>
      <c r="BA194" s="315"/>
      <c r="BB194" s="3"/>
      <c r="BC194" s="3"/>
      <c r="BD194" s="3"/>
      <c r="BE194" s="3"/>
      <c r="BF194" s="18"/>
      <c r="BG194" s="3"/>
      <c r="BH194" s="315"/>
      <c r="BI194" s="3"/>
      <c r="BJ194" s="3"/>
      <c r="BK194" s="3"/>
      <c r="BL194" s="3"/>
      <c r="BM194" s="18"/>
      <c r="BN194" s="3"/>
      <c r="BO194" s="315"/>
      <c r="BP194" s="3"/>
      <c r="BQ194" s="3"/>
      <c r="BR194" s="3"/>
      <c r="BS194" s="3"/>
      <c r="BT194" s="18"/>
      <c r="BU194" s="3"/>
      <c r="BV194" s="315"/>
      <c r="BW194" s="3"/>
      <c r="BX194" s="3"/>
      <c r="BY194" s="3"/>
      <c r="BZ194" s="3"/>
    </row>
    <row r="195" spans="1:78" ht="15.6" hidden="1" outlineLevel="1">
      <c r="A195" s="7"/>
      <c r="B195" s="370"/>
      <c r="C195" s="355"/>
      <c r="D195" s="356"/>
      <c r="E195" s="342"/>
      <c r="F195" s="290"/>
      <c r="G195" s="357">
        <v>0</v>
      </c>
      <c r="H195" s="358">
        <v>0</v>
      </c>
      <c r="I195" s="358">
        <v>0</v>
      </c>
      <c r="J195" s="359">
        <f t="shared" si="109"/>
        <v>0</v>
      </c>
      <c r="K195" s="290"/>
      <c r="L195" s="349"/>
      <c r="M195" s="7"/>
      <c r="N195" s="12"/>
      <c r="O195" s="12"/>
      <c r="P195" s="12"/>
      <c r="Q195" s="361"/>
      <c r="R195" s="362"/>
      <c r="S195" s="363">
        <f t="shared" si="99"/>
        <v>0</v>
      </c>
      <c r="T195" s="364">
        <f t="shared" si="100"/>
        <v>0</v>
      </c>
      <c r="U195" s="365">
        <v>0</v>
      </c>
      <c r="V195" s="91">
        <f>ROUNDUP(IFERROR(INDEX(CostRateTbl[Cost Rate],MATCH(_xlfn.CONCAT(N195,O195,P195,"NA"),CostRateTbl[KeyCostRate],0)),0)*BillingCurrencyTRM*(1+U195),2)</f>
        <v>0</v>
      </c>
      <c r="W195" s="92">
        <f t="shared" si="101"/>
        <v>0</v>
      </c>
      <c r="X195" s="366" t="e" cm="1">
        <f t="array" ref="X195">_xlfn.LET(
    _xlpm.valor, INDEX(CostRate!H:H, MATCH(1, (CostRate!A:A=N195)*1, 0)),
    _xlpm.posicion, MATCH(_xlpm.valor, FilterSL!$F$1:$Z$1, 0),
    _xlpm.direccionCompleta, ADDRESS(1, _xlpm.posicion + 5, 4),
    _xlpm.letraColumna, SUBSTITUTE(_xlpm.direccionCompleta, "1", ""),
    _xlpm.letraColumna
)</f>
        <v>#N/A</v>
      </c>
      <c r="Y195" s="366" t="e" cm="1">
        <f t="array" ref="Y195">_xlfn.LET(
    _xlpm.valor, INDEX(CostRate!I:I, MATCH(1, (CostRate!A:A=N195)*(CostRate!B:B=O195), 0)),
    _xlpm.posicion, MATCH(_xlpm.valor, FilterJP!$E$1:$FZ$1, 0),
    _xlpm.direccionCompleta, ADDRESS(1, _xlpm.posicion + 4, 4),
    _xlpm.letraColumna, SUBSTITUTE(_xlpm.direccionCompleta, "1", ""),
    _xlpm.letraColumna
)</f>
        <v>#N/A</v>
      </c>
      <c r="Z195" s="7"/>
      <c r="AA195" s="367"/>
      <c r="AB195" s="7"/>
      <c r="AC195" s="93">
        <f t="shared" si="102"/>
        <v>0</v>
      </c>
      <c r="AD195" s="94">
        <f t="shared" si="110"/>
        <v>0</v>
      </c>
      <c r="AE195" s="109">
        <f t="shared" si="111"/>
        <v>0</v>
      </c>
      <c r="AF195" s="7"/>
      <c r="AG195" s="369">
        <f t="shared" si="103"/>
        <v>0</v>
      </c>
      <c r="AH195" s="368">
        <f t="shared" si="104"/>
        <v>0</v>
      </c>
      <c r="AI195" s="7"/>
      <c r="AJ195" s="369" cm="1">
        <f t="array" ref="AJ195">IFERROR(INDEX(WHT!$C$7:$W$18,MATCH(
_xlfn.SWITCH(N195,"xDC Medellin","Colombia","xDC Belo Horizonte","Brazil","xDC Guadalajara","Mexico","xDC Gurugram","India","xDC Leon","Spain","xDC San Jose","Costa Rica","xDC Warsaw","Poland",N195),
WHT!$B$7:$B$18,0),MATCH(CustomerCountry,WHT!$C$5:$W$5,0)),0)</f>
        <v>0</v>
      </c>
      <c r="AK195" s="368">
        <f t="shared" si="105"/>
        <v>0</v>
      </c>
      <c r="AL195" s="7"/>
      <c r="AM195" s="95">
        <f t="shared" si="112"/>
        <v>0</v>
      </c>
      <c r="AN195" s="95">
        <f t="shared" si="106"/>
        <v>0</v>
      </c>
      <c r="AO195" s="95">
        <f t="shared" si="113"/>
        <v>0</v>
      </c>
      <c r="AP195" s="90"/>
      <c r="AQ195" s="18"/>
      <c r="AR195" s="290"/>
      <c r="AS195" s="467" t="s">
        <v>133</v>
      </c>
      <c r="AT195" s="501">
        <f t="shared" si="107"/>
        <v>0</v>
      </c>
      <c r="AU195" s="502"/>
      <c r="AV195" s="95">
        <f t="shared" si="114"/>
        <v>0</v>
      </c>
      <c r="AW195" s="469" t="str">
        <f t="shared" si="108"/>
        <v>N/A</v>
      </c>
      <c r="AX195" s="290"/>
      <c r="AY195" s="18"/>
      <c r="AZ195" s="3"/>
      <c r="BA195" s="315"/>
      <c r="BB195" s="3"/>
      <c r="BC195" s="3"/>
      <c r="BD195" s="3"/>
      <c r="BE195" s="3"/>
      <c r="BF195" s="18"/>
      <c r="BG195" s="3"/>
      <c r="BH195" s="315"/>
      <c r="BI195" s="3"/>
      <c r="BJ195" s="3"/>
      <c r="BK195" s="3"/>
      <c r="BL195" s="3"/>
      <c r="BM195" s="18"/>
      <c r="BN195" s="3"/>
      <c r="BO195" s="315"/>
      <c r="BP195" s="3"/>
      <c r="BQ195" s="3"/>
      <c r="BR195" s="3"/>
      <c r="BS195" s="3"/>
      <c r="BT195" s="18"/>
      <c r="BU195" s="3"/>
      <c r="BV195" s="315"/>
      <c r="BW195" s="3"/>
      <c r="BX195" s="3"/>
      <c r="BY195" s="3"/>
      <c r="BZ195" s="3"/>
    </row>
    <row r="196" spans="1:78" ht="15.6" hidden="1" outlineLevel="1">
      <c r="A196" s="7"/>
      <c r="B196" s="370"/>
      <c r="C196" s="355"/>
      <c r="D196" s="356"/>
      <c r="E196" s="342"/>
      <c r="F196" s="290"/>
      <c r="G196" s="357">
        <v>0</v>
      </c>
      <c r="H196" s="358">
        <v>0</v>
      </c>
      <c r="I196" s="358">
        <v>0</v>
      </c>
      <c r="J196" s="359">
        <f t="shared" si="109"/>
        <v>0</v>
      </c>
      <c r="K196" s="290"/>
      <c r="L196" s="349"/>
      <c r="M196" s="7"/>
      <c r="N196" s="12"/>
      <c r="O196" s="12"/>
      <c r="P196" s="12"/>
      <c r="Q196" s="361"/>
      <c r="R196" s="362"/>
      <c r="S196" s="363">
        <f t="shared" si="99"/>
        <v>0</v>
      </c>
      <c r="T196" s="364">
        <f t="shared" si="100"/>
        <v>0</v>
      </c>
      <c r="U196" s="365">
        <v>0</v>
      </c>
      <c r="V196" s="91">
        <f>ROUNDUP(IFERROR(INDEX(CostRateTbl[Cost Rate],MATCH(_xlfn.CONCAT(N196,O196,P196,"NA"),CostRateTbl[KeyCostRate],0)),0)*BillingCurrencyTRM*(1+U196),2)</f>
        <v>0</v>
      </c>
      <c r="W196" s="92">
        <f t="shared" si="101"/>
        <v>0</v>
      </c>
      <c r="X196" s="366" t="e" cm="1">
        <f t="array" ref="X196">_xlfn.LET(
    _xlpm.valor, INDEX(CostRate!H:H, MATCH(1, (CostRate!A:A=N196)*1, 0)),
    _xlpm.posicion, MATCH(_xlpm.valor, FilterSL!$F$1:$Z$1, 0),
    _xlpm.direccionCompleta, ADDRESS(1, _xlpm.posicion + 5, 4),
    _xlpm.letraColumna, SUBSTITUTE(_xlpm.direccionCompleta, "1", ""),
    _xlpm.letraColumna
)</f>
        <v>#N/A</v>
      </c>
      <c r="Y196" s="366" t="e" cm="1">
        <f t="array" ref="Y196">_xlfn.LET(
    _xlpm.valor, INDEX(CostRate!I:I, MATCH(1, (CostRate!A:A=N196)*(CostRate!B:B=O196), 0)),
    _xlpm.posicion, MATCH(_xlpm.valor, FilterJP!$E$1:$FZ$1, 0),
    _xlpm.direccionCompleta, ADDRESS(1, _xlpm.posicion + 4, 4),
    _xlpm.letraColumna, SUBSTITUTE(_xlpm.direccionCompleta, "1", ""),
    _xlpm.letraColumna
)</f>
        <v>#N/A</v>
      </c>
      <c r="Z196" s="7"/>
      <c r="AA196" s="367"/>
      <c r="AB196" s="7"/>
      <c r="AC196" s="93">
        <f t="shared" si="102"/>
        <v>0</v>
      </c>
      <c r="AD196" s="94">
        <f t="shared" si="110"/>
        <v>0</v>
      </c>
      <c r="AE196" s="109">
        <f t="shared" si="111"/>
        <v>0</v>
      </c>
      <c r="AF196" s="7"/>
      <c r="AG196" s="369">
        <f t="shared" si="103"/>
        <v>0</v>
      </c>
      <c r="AH196" s="368">
        <f t="shared" si="104"/>
        <v>0</v>
      </c>
      <c r="AI196" s="7"/>
      <c r="AJ196" s="369" cm="1">
        <f t="array" ref="AJ196">IFERROR(INDEX(WHT!$C$7:$W$18,MATCH(
_xlfn.SWITCH(N196,"xDC Medellin","Colombia","xDC Belo Horizonte","Brazil","xDC Guadalajara","Mexico","xDC Gurugram","India","xDC Leon","Spain","xDC San Jose","Costa Rica","xDC Warsaw","Poland",N196),
WHT!$B$7:$B$18,0),MATCH(CustomerCountry,WHT!$C$5:$W$5,0)),0)</f>
        <v>0</v>
      </c>
      <c r="AK196" s="368">
        <f t="shared" si="105"/>
        <v>0</v>
      </c>
      <c r="AL196" s="7"/>
      <c r="AM196" s="95">
        <f t="shared" si="112"/>
        <v>0</v>
      </c>
      <c r="AN196" s="95">
        <f t="shared" si="106"/>
        <v>0</v>
      </c>
      <c r="AO196" s="95">
        <f t="shared" si="113"/>
        <v>0</v>
      </c>
      <c r="AP196" s="90"/>
      <c r="AQ196" s="18"/>
      <c r="AR196" s="290"/>
      <c r="AS196" s="467" t="s">
        <v>133</v>
      </c>
      <c r="AT196" s="501">
        <f t="shared" si="107"/>
        <v>0</v>
      </c>
      <c r="AU196" s="502"/>
      <c r="AV196" s="95">
        <f t="shared" si="114"/>
        <v>0</v>
      </c>
      <c r="AW196" s="469" t="str">
        <f t="shared" si="108"/>
        <v>N/A</v>
      </c>
      <c r="AX196" s="290"/>
      <c r="AY196" s="18"/>
      <c r="AZ196" s="3"/>
      <c r="BA196" s="315"/>
      <c r="BB196" s="3"/>
      <c r="BC196" s="3"/>
      <c r="BD196" s="3"/>
      <c r="BE196" s="3"/>
      <c r="BF196" s="18"/>
      <c r="BG196" s="3"/>
      <c r="BH196" s="315"/>
      <c r="BI196" s="3"/>
      <c r="BJ196" s="3"/>
      <c r="BK196" s="3"/>
      <c r="BL196" s="3"/>
      <c r="BM196" s="18"/>
      <c r="BN196" s="3"/>
      <c r="BO196" s="315"/>
      <c r="BP196" s="3"/>
      <c r="BQ196" s="3"/>
      <c r="BR196" s="3"/>
      <c r="BS196" s="3"/>
      <c r="BT196" s="18"/>
      <c r="BU196" s="3"/>
      <c r="BV196" s="315"/>
      <c r="BW196" s="3"/>
      <c r="BX196" s="3"/>
      <c r="BY196" s="3"/>
      <c r="BZ196" s="3"/>
    </row>
    <row r="197" spans="1:78" ht="15.6" hidden="1" outlineLevel="1">
      <c r="A197" s="7"/>
      <c r="B197" s="370"/>
      <c r="C197" s="355"/>
      <c r="D197" s="356"/>
      <c r="E197" s="342"/>
      <c r="F197" s="290"/>
      <c r="G197" s="357">
        <v>0</v>
      </c>
      <c r="H197" s="358">
        <v>0</v>
      </c>
      <c r="I197" s="358">
        <v>0</v>
      </c>
      <c r="J197" s="359">
        <f t="shared" si="109"/>
        <v>0</v>
      </c>
      <c r="K197" s="290"/>
      <c r="L197" s="349"/>
      <c r="M197" s="7"/>
      <c r="N197" s="12"/>
      <c r="O197" s="12"/>
      <c r="P197" s="12"/>
      <c r="Q197" s="361"/>
      <c r="R197" s="362"/>
      <c r="S197" s="363">
        <f t="shared" si="99"/>
        <v>0</v>
      </c>
      <c r="T197" s="364">
        <f t="shared" si="100"/>
        <v>0</v>
      </c>
      <c r="U197" s="365">
        <v>0</v>
      </c>
      <c r="V197" s="91">
        <f>ROUNDUP(IFERROR(INDEX(CostRateTbl[Cost Rate],MATCH(_xlfn.CONCAT(N197,O197,P197,"NA"),CostRateTbl[KeyCostRate],0)),0)*BillingCurrencyTRM*(1+U197),2)</f>
        <v>0</v>
      </c>
      <c r="W197" s="92">
        <f t="shared" si="101"/>
        <v>0</v>
      </c>
      <c r="X197" s="366" t="e" cm="1">
        <f t="array" ref="X197">_xlfn.LET(
    _xlpm.valor, INDEX(CostRate!H:H, MATCH(1, (CostRate!A:A=N197)*1, 0)),
    _xlpm.posicion, MATCH(_xlpm.valor, FilterSL!$F$1:$Z$1, 0),
    _xlpm.direccionCompleta, ADDRESS(1, _xlpm.posicion + 5, 4),
    _xlpm.letraColumna, SUBSTITUTE(_xlpm.direccionCompleta, "1", ""),
    _xlpm.letraColumna
)</f>
        <v>#N/A</v>
      </c>
      <c r="Y197" s="366" t="e" cm="1">
        <f t="array" ref="Y197">_xlfn.LET(
    _xlpm.valor, INDEX(CostRate!I:I, MATCH(1, (CostRate!A:A=N197)*(CostRate!B:B=O197), 0)),
    _xlpm.posicion, MATCH(_xlpm.valor, FilterJP!$E$1:$FZ$1, 0),
    _xlpm.direccionCompleta, ADDRESS(1, _xlpm.posicion + 4, 4),
    _xlpm.letraColumna, SUBSTITUTE(_xlpm.direccionCompleta, "1", ""),
    _xlpm.letraColumna
)</f>
        <v>#N/A</v>
      </c>
      <c r="Z197" s="7"/>
      <c r="AA197" s="367"/>
      <c r="AB197" s="7"/>
      <c r="AC197" s="93">
        <f t="shared" si="102"/>
        <v>0</v>
      </c>
      <c r="AD197" s="94">
        <f t="shared" si="110"/>
        <v>0</v>
      </c>
      <c r="AE197" s="109">
        <f t="shared" si="111"/>
        <v>0</v>
      </c>
      <c r="AF197" s="7"/>
      <c r="AG197" s="369">
        <f t="shared" si="103"/>
        <v>0</v>
      </c>
      <c r="AH197" s="368">
        <f t="shared" si="104"/>
        <v>0</v>
      </c>
      <c r="AI197" s="7"/>
      <c r="AJ197" s="369" cm="1">
        <f t="array" ref="AJ197">IFERROR(INDEX(WHT!$C$7:$W$18,MATCH(
_xlfn.SWITCH(N197,"xDC Medellin","Colombia","xDC Belo Horizonte","Brazil","xDC Guadalajara","Mexico","xDC Gurugram","India","xDC Leon","Spain","xDC San Jose","Costa Rica","xDC Warsaw","Poland",N197),
WHT!$B$7:$B$18,0),MATCH(CustomerCountry,WHT!$C$5:$W$5,0)),0)</f>
        <v>0</v>
      </c>
      <c r="AK197" s="368">
        <f t="shared" si="105"/>
        <v>0</v>
      </c>
      <c r="AL197" s="7"/>
      <c r="AM197" s="95">
        <f t="shared" si="112"/>
        <v>0</v>
      </c>
      <c r="AN197" s="95">
        <f t="shared" si="106"/>
        <v>0</v>
      </c>
      <c r="AO197" s="95">
        <f t="shared" si="113"/>
        <v>0</v>
      </c>
      <c r="AP197" s="90"/>
      <c r="AQ197" s="18"/>
      <c r="AR197" s="290"/>
      <c r="AS197" s="467" t="s">
        <v>133</v>
      </c>
      <c r="AT197" s="501">
        <f t="shared" si="107"/>
        <v>0</v>
      </c>
      <c r="AU197" s="502"/>
      <c r="AV197" s="95">
        <f t="shared" si="114"/>
        <v>0</v>
      </c>
      <c r="AW197" s="469" t="str">
        <f t="shared" si="108"/>
        <v>N/A</v>
      </c>
      <c r="AX197" s="290"/>
      <c r="AY197" s="18"/>
      <c r="AZ197" s="3"/>
      <c r="BA197" s="315"/>
      <c r="BB197" s="3"/>
      <c r="BC197" s="3"/>
      <c r="BD197" s="3"/>
      <c r="BE197" s="3"/>
      <c r="BF197" s="18"/>
      <c r="BG197" s="3"/>
      <c r="BH197" s="315"/>
      <c r="BI197" s="3"/>
      <c r="BJ197" s="3"/>
      <c r="BK197" s="3"/>
      <c r="BL197" s="3"/>
      <c r="BM197" s="18"/>
      <c r="BN197" s="3"/>
      <c r="BO197" s="315"/>
      <c r="BP197" s="3"/>
      <c r="BQ197" s="3"/>
      <c r="BR197" s="3"/>
      <c r="BS197" s="3"/>
      <c r="BT197" s="18"/>
      <c r="BU197" s="3"/>
      <c r="BV197" s="315"/>
      <c r="BW197" s="3"/>
      <c r="BX197" s="3"/>
      <c r="BY197" s="3"/>
      <c r="BZ197" s="3"/>
    </row>
    <row r="198" spans="1:78" ht="15.6" hidden="1" outlineLevel="1">
      <c r="A198" s="7"/>
      <c r="B198" s="370"/>
      <c r="C198" s="355"/>
      <c r="D198" s="356"/>
      <c r="E198" s="342"/>
      <c r="F198" s="290"/>
      <c r="G198" s="357">
        <v>0</v>
      </c>
      <c r="H198" s="358">
        <v>0</v>
      </c>
      <c r="I198" s="358">
        <v>0</v>
      </c>
      <c r="J198" s="359">
        <f t="shared" si="109"/>
        <v>0</v>
      </c>
      <c r="K198" s="290"/>
      <c r="L198" s="349"/>
      <c r="M198" s="7"/>
      <c r="N198" s="12"/>
      <c r="O198" s="12"/>
      <c r="P198" s="12"/>
      <c r="Q198" s="361"/>
      <c r="R198" s="362"/>
      <c r="S198" s="363">
        <f t="shared" si="99"/>
        <v>0</v>
      </c>
      <c r="T198" s="364">
        <f t="shared" si="100"/>
        <v>0</v>
      </c>
      <c r="U198" s="365">
        <v>0</v>
      </c>
      <c r="V198" s="91">
        <f>ROUNDUP(IFERROR(INDEX(CostRateTbl[Cost Rate],MATCH(_xlfn.CONCAT(N198,O198,P198,"NA"),CostRateTbl[KeyCostRate],0)),0)*BillingCurrencyTRM*(1+U198),2)</f>
        <v>0</v>
      </c>
      <c r="W198" s="92">
        <f t="shared" si="101"/>
        <v>0</v>
      </c>
      <c r="X198" s="366" t="e" cm="1">
        <f t="array" ref="X198">_xlfn.LET(
    _xlpm.valor, INDEX(CostRate!H:H, MATCH(1, (CostRate!A:A=N198)*1, 0)),
    _xlpm.posicion, MATCH(_xlpm.valor, FilterSL!$F$1:$Z$1, 0),
    _xlpm.direccionCompleta, ADDRESS(1, _xlpm.posicion + 5, 4),
    _xlpm.letraColumna, SUBSTITUTE(_xlpm.direccionCompleta, "1", ""),
    _xlpm.letraColumna
)</f>
        <v>#N/A</v>
      </c>
      <c r="Y198" s="366" t="e" cm="1">
        <f t="array" ref="Y198">_xlfn.LET(
    _xlpm.valor, INDEX(CostRate!I:I, MATCH(1, (CostRate!A:A=N198)*(CostRate!B:B=O198), 0)),
    _xlpm.posicion, MATCH(_xlpm.valor, FilterJP!$E$1:$FZ$1, 0),
    _xlpm.direccionCompleta, ADDRESS(1, _xlpm.posicion + 4, 4),
    _xlpm.letraColumna, SUBSTITUTE(_xlpm.direccionCompleta, "1", ""),
    _xlpm.letraColumna
)</f>
        <v>#N/A</v>
      </c>
      <c r="Z198" s="7"/>
      <c r="AA198" s="367"/>
      <c r="AB198" s="7"/>
      <c r="AC198" s="93">
        <f t="shared" si="102"/>
        <v>0</v>
      </c>
      <c r="AD198" s="94">
        <f t="shared" si="110"/>
        <v>0</v>
      </c>
      <c r="AE198" s="109">
        <f t="shared" si="111"/>
        <v>0</v>
      </c>
      <c r="AF198" s="7"/>
      <c r="AG198" s="369">
        <f t="shared" si="103"/>
        <v>0</v>
      </c>
      <c r="AH198" s="368">
        <f t="shared" si="104"/>
        <v>0</v>
      </c>
      <c r="AI198" s="7"/>
      <c r="AJ198" s="369" cm="1">
        <f t="array" ref="AJ198">IFERROR(INDEX(WHT!$C$7:$W$18,MATCH(
_xlfn.SWITCH(N198,"xDC Medellin","Colombia","xDC Belo Horizonte","Brazil","xDC Guadalajara","Mexico","xDC Gurugram","India","xDC Leon","Spain","xDC San Jose","Costa Rica","xDC Warsaw","Poland",N198),
WHT!$B$7:$B$18,0),MATCH(CustomerCountry,WHT!$C$5:$W$5,0)),0)</f>
        <v>0</v>
      </c>
      <c r="AK198" s="368">
        <f t="shared" si="105"/>
        <v>0</v>
      </c>
      <c r="AL198" s="7"/>
      <c r="AM198" s="95">
        <f t="shared" si="112"/>
        <v>0</v>
      </c>
      <c r="AN198" s="95">
        <f t="shared" si="106"/>
        <v>0</v>
      </c>
      <c r="AO198" s="95">
        <f t="shared" si="113"/>
        <v>0</v>
      </c>
      <c r="AP198" s="90"/>
      <c r="AQ198" s="18"/>
      <c r="AR198" s="290"/>
      <c r="AS198" s="467" t="s">
        <v>133</v>
      </c>
      <c r="AT198" s="501">
        <f t="shared" si="107"/>
        <v>0</v>
      </c>
      <c r="AU198" s="502"/>
      <c r="AV198" s="95">
        <f t="shared" si="114"/>
        <v>0</v>
      </c>
      <c r="AW198" s="469" t="str">
        <f t="shared" si="108"/>
        <v>N/A</v>
      </c>
      <c r="AX198" s="290"/>
      <c r="AY198" s="18"/>
      <c r="AZ198" s="3"/>
      <c r="BA198" s="315"/>
      <c r="BB198" s="3"/>
      <c r="BC198" s="3"/>
      <c r="BD198" s="3"/>
      <c r="BE198" s="3"/>
      <c r="BF198" s="18"/>
      <c r="BG198" s="3"/>
      <c r="BH198" s="315"/>
      <c r="BI198" s="3"/>
      <c r="BJ198" s="3"/>
      <c r="BK198" s="3"/>
      <c r="BL198" s="3"/>
      <c r="BM198" s="18"/>
      <c r="BN198" s="3"/>
      <c r="BO198" s="315"/>
      <c r="BP198" s="3"/>
      <c r="BQ198" s="3"/>
      <c r="BR198" s="3"/>
      <c r="BS198" s="3"/>
      <c r="BT198" s="18"/>
      <c r="BU198" s="3"/>
      <c r="BV198" s="315"/>
      <c r="BW198" s="3"/>
      <c r="BX198" s="3"/>
      <c r="BY198" s="3"/>
      <c r="BZ198" s="3"/>
    </row>
    <row r="199" spans="1:78" ht="15.6" hidden="1" outlineLevel="1">
      <c r="A199" s="7"/>
      <c r="B199" s="370"/>
      <c r="C199" s="355"/>
      <c r="D199" s="356"/>
      <c r="E199" s="342"/>
      <c r="F199" s="290"/>
      <c r="G199" s="357">
        <v>0</v>
      </c>
      <c r="H199" s="358">
        <v>0</v>
      </c>
      <c r="I199" s="358">
        <v>0</v>
      </c>
      <c r="J199" s="359">
        <f t="shared" si="109"/>
        <v>0</v>
      </c>
      <c r="K199" s="290"/>
      <c r="L199" s="349"/>
      <c r="M199" s="7"/>
      <c r="N199" s="12"/>
      <c r="O199" s="12"/>
      <c r="P199" s="12"/>
      <c r="Q199" s="361"/>
      <c r="R199" s="362"/>
      <c r="S199" s="363">
        <f t="shared" si="99"/>
        <v>0</v>
      </c>
      <c r="T199" s="364">
        <f t="shared" si="100"/>
        <v>0</v>
      </c>
      <c r="U199" s="365">
        <v>0</v>
      </c>
      <c r="V199" s="91">
        <f>ROUNDUP(IFERROR(INDEX(CostRateTbl[Cost Rate],MATCH(_xlfn.CONCAT(N199,O199,P199,"NA"),CostRateTbl[KeyCostRate],0)),0)*BillingCurrencyTRM*(1+U199),2)</f>
        <v>0</v>
      </c>
      <c r="W199" s="92">
        <f t="shared" si="101"/>
        <v>0</v>
      </c>
      <c r="X199" s="366" t="e" cm="1">
        <f t="array" ref="X199">_xlfn.LET(
    _xlpm.valor, INDEX(CostRate!H:H, MATCH(1, (CostRate!A:A=N199)*1, 0)),
    _xlpm.posicion, MATCH(_xlpm.valor, FilterSL!$F$1:$Z$1, 0),
    _xlpm.direccionCompleta, ADDRESS(1, _xlpm.posicion + 5, 4),
    _xlpm.letraColumna, SUBSTITUTE(_xlpm.direccionCompleta, "1", ""),
    _xlpm.letraColumna
)</f>
        <v>#N/A</v>
      </c>
      <c r="Y199" s="366" t="e" cm="1">
        <f t="array" ref="Y199">_xlfn.LET(
    _xlpm.valor, INDEX(CostRate!I:I, MATCH(1, (CostRate!A:A=N199)*(CostRate!B:B=O199), 0)),
    _xlpm.posicion, MATCH(_xlpm.valor, FilterJP!$E$1:$FZ$1, 0),
    _xlpm.direccionCompleta, ADDRESS(1, _xlpm.posicion + 4, 4),
    _xlpm.letraColumna, SUBSTITUTE(_xlpm.direccionCompleta, "1", ""),
    _xlpm.letraColumna
)</f>
        <v>#N/A</v>
      </c>
      <c r="Z199" s="7"/>
      <c r="AA199" s="367"/>
      <c r="AB199" s="7"/>
      <c r="AC199" s="93">
        <f t="shared" si="102"/>
        <v>0</v>
      </c>
      <c r="AD199" s="94">
        <f t="shared" si="110"/>
        <v>0</v>
      </c>
      <c r="AE199" s="109">
        <f t="shared" si="111"/>
        <v>0</v>
      </c>
      <c r="AF199" s="7"/>
      <c r="AG199" s="369">
        <f t="shared" si="103"/>
        <v>0</v>
      </c>
      <c r="AH199" s="368">
        <f t="shared" si="104"/>
        <v>0</v>
      </c>
      <c r="AI199" s="7"/>
      <c r="AJ199" s="369" cm="1">
        <f t="array" ref="AJ199">IFERROR(INDEX(WHT!$C$7:$W$18,MATCH(
_xlfn.SWITCH(N199,"xDC Medellin","Colombia","xDC Belo Horizonte","Brazil","xDC Guadalajara","Mexico","xDC Gurugram","India","xDC Leon","Spain","xDC San Jose","Costa Rica","xDC Warsaw","Poland",N199),
WHT!$B$7:$B$18,0),MATCH(CustomerCountry,WHT!$C$5:$W$5,0)),0)</f>
        <v>0</v>
      </c>
      <c r="AK199" s="368">
        <f t="shared" si="105"/>
        <v>0</v>
      </c>
      <c r="AL199" s="7"/>
      <c r="AM199" s="95">
        <f t="shared" si="112"/>
        <v>0</v>
      </c>
      <c r="AN199" s="95">
        <f t="shared" si="106"/>
        <v>0</v>
      </c>
      <c r="AO199" s="95">
        <f t="shared" si="113"/>
        <v>0</v>
      </c>
      <c r="AP199" s="90"/>
      <c r="AQ199" s="18"/>
      <c r="AR199" s="290"/>
      <c r="AS199" s="467" t="s">
        <v>133</v>
      </c>
      <c r="AT199" s="501">
        <f t="shared" si="107"/>
        <v>0</v>
      </c>
      <c r="AU199" s="502"/>
      <c r="AV199" s="95">
        <f t="shared" si="114"/>
        <v>0</v>
      </c>
      <c r="AW199" s="469" t="str">
        <f t="shared" si="108"/>
        <v>N/A</v>
      </c>
      <c r="AX199" s="290"/>
      <c r="AY199" s="18"/>
      <c r="AZ199" s="3"/>
      <c r="BA199" s="315"/>
      <c r="BB199" s="3"/>
      <c r="BC199" s="3"/>
      <c r="BD199" s="3"/>
      <c r="BE199" s="3"/>
      <c r="BF199" s="18"/>
      <c r="BG199" s="3"/>
      <c r="BH199" s="315"/>
      <c r="BI199" s="3"/>
      <c r="BJ199" s="3"/>
      <c r="BK199" s="3"/>
      <c r="BL199" s="3"/>
      <c r="BM199" s="18"/>
      <c r="BN199" s="3"/>
      <c r="BO199" s="315"/>
      <c r="BP199" s="3"/>
      <c r="BQ199" s="3"/>
      <c r="BR199" s="3"/>
      <c r="BS199" s="3"/>
      <c r="BT199" s="18"/>
      <c r="BU199" s="3"/>
      <c r="BV199" s="315"/>
      <c r="BW199" s="3"/>
      <c r="BX199" s="3"/>
      <c r="BY199" s="3"/>
      <c r="BZ199" s="3"/>
    </row>
    <row r="200" spans="1:78" ht="15.6" hidden="1" outlineLevel="1">
      <c r="A200" s="7"/>
      <c r="B200" s="370"/>
      <c r="C200" s="355"/>
      <c r="D200" s="356"/>
      <c r="E200" s="342"/>
      <c r="F200" s="290"/>
      <c r="G200" s="357">
        <v>0</v>
      </c>
      <c r="H200" s="358">
        <v>0</v>
      </c>
      <c r="I200" s="358">
        <v>0</v>
      </c>
      <c r="J200" s="359">
        <f t="shared" si="109"/>
        <v>0</v>
      </c>
      <c r="K200" s="290"/>
      <c r="L200" s="349"/>
      <c r="M200" s="7"/>
      <c r="N200" s="12"/>
      <c r="O200" s="12"/>
      <c r="P200" s="12"/>
      <c r="Q200" s="361"/>
      <c r="R200" s="362"/>
      <c r="S200" s="363">
        <f t="shared" si="99"/>
        <v>0</v>
      </c>
      <c r="T200" s="364">
        <f t="shared" si="100"/>
        <v>0</v>
      </c>
      <c r="U200" s="365">
        <v>0</v>
      </c>
      <c r="V200" s="91">
        <f>ROUNDUP(IFERROR(INDEX(CostRateTbl[Cost Rate],MATCH(_xlfn.CONCAT(N200,O200,P200,"NA"),CostRateTbl[KeyCostRate],0)),0)*BillingCurrencyTRM*(1+U200),2)</f>
        <v>0</v>
      </c>
      <c r="W200" s="92">
        <f t="shared" si="101"/>
        <v>0</v>
      </c>
      <c r="X200" s="366" t="e" cm="1">
        <f t="array" ref="X200">_xlfn.LET(
    _xlpm.valor, INDEX(CostRate!H:H, MATCH(1, (CostRate!A:A=N200)*1, 0)),
    _xlpm.posicion, MATCH(_xlpm.valor, FilterSL!$F$1:$Z$1, 0),
    _xlpm.direccionCompleta, ADDRESS(1, _xlpm.posicion + 5, 4),
    _xlpm.letraColumna, SUBSTITUTE(_xlpm.direccionCompleta, "1", ""),
    _xlpm.letraColumna
)</f>
        <v>#N/A</v>
      </c>
      <c r="Y200" s="366" t="e" cm="1">
        <f t="array" ref="Y200">_xlfn.LET(
    _xlpm.valor, INDEX(CostRate!I:I, MATCH(1, (CostRate!A:A=N200)*(CostRate!B:B=O200), 0)),
    _xlpm.posicion, MATCH(_xlpm.valor, FilterJP!$E$1:$FZ$1, 0),
    _xlpm.direccionCompleta, ADDRESS(1, _xlpm.posicion + 4, 4),
    _xlpm.letraColumna, SUBSTITUTE(_xlpm.direccionCompleta, "1", ""),
    _xlpm.letraColumna
)</f>
        <v>#N/A</v>
      </c>
      <c r="Z200" s="7"/>
      <c r="AA200" s="367"/>
      <c r="AB200" s="7"/>
      <c r="AC200" s="93">
        <f t="shared" si="102"/>
        <v>0</v>
      </c>
      <c r="AD200" s="94">
        <f t="shared" si="110"/>
        <v>0</v>
      </c>
      <c r="AE200" s="109">
        <f t="shared" si="111"/>
        <v>0</v>
      </c>
      <c r="AF200" s="7"/>
      <c r="AG200" s="369">
        <f t="shared" si="103"/>
        <v>0</v>
      </c>
      <c r="AH200" s="368">
        <f t="shared" si="104"/>
        <v>0</v>
      </c>
      <c r="AI200" s="7"/>
      <c r="AJ200" s="369" cm="1">
        <f t="array" ref="AJ200">IFERROR(INDEX(WHT!$C$7:$W$18,MATCH(
_xlfn.SWITCH(N200,"xDC Medellin","Colombia","xDC Belo Horizonte","Brazil","xDC Guadalajara","Mexico","xDC Gurugram","India","xDC Leon","Spain","xDC San Jose","Costa Rica","xDC Warsaw","Poland",N200),
WHT!$B$7:$B$18,0),MATCH(CustomerCountry,WHT!$C$5:$W$5,0)),0)</f>
        <v>0</v>
      </c>
      <c r="AK200" s="368">
        <f t="shared" si="105"/>
        <v>0</v>
      </c>
      <c r="AL200" s="7"/>
      <c r="AM200" s="95">
        <f t="shared" si="112"/>
        <v>0</v>
      </c>
      <c r="AN200" s="95">
        <f t="shared" si="106"/>
        <v>0</v>
      </c>
      <c r="AO200" s="95">
        <f t="shared" si="113"/>
        <v>0</v>
      </c>
      <c r="AP200" s="90"/>
      <c r="AQ200" s="18"/>
      <c r="AR200" s="290"/>
      <c r="AS200" s="467" t="s">
        <v>133</v>
      </c>
      <c r="AT200" s="501">
        <f t="shared" si="107"/>
        <v>0</v>
      </c>
      <c r="AU200" s="502"/>
      <c r="AV200" s="95">
        <f t="shared" si="114"/>
        <v>0</v>
      </c>
      <c r="AW200" s="469" t="str">
        <f t="shared" si="108"/>
        <v>N/A</v>
      </c>
      <c r="AX200" s="290"/>
      <c r="AY200" s="18"/>
      <c r="AZ200" s="3"/>
      <c r="BA200" s="315"/>
      <c r="BB200" s="3"/>
      <c r="BC200" s="3"/>
      <c r="BD200" s="3"/>
      <c r="BE200" s="3"/>
      <c r="BF200" s="18"/>
      <c r="BG200" s="3"/>
      <c r="BH200" s="315"/>
      <c r="BI200" s="3"/>
      <c r="BJ200" s="3"/>
      <c r="BK200" s="3"/>
      <c r="BL200" s="3"/>
      <c r="BM200" s="18"/>
      <c r="BN200" s="3"/>
      <c r="BO200" s="315"/>
      <c r="BP200" s="3"/>
      <c r="BQ200" s="3"/>
      <c r="BR200" s="3"/>
      <c r="BS200" s="3"/>
      <c r="BT200" s="18"/>
      <c r="BU200" s="3"/>
      <c r="BV200" s="315"/>
      <c r="BW200" s="3"/>
      <c r="BX200" s="3"/>
      <c r="BY200" s="3"/>
      <c r="BZ200" s="3"/>
    </row>
    <row r="201" spans="1:78" ht="15.6" hidden="1" outlineLevel="1">
      <c r="A201" s="7"/>
      <c r="B201" s="370"/>
      <c r="C201" s="355"/>
      <c r="D201" s="356"/>
      <c r="E201" s="342"/>
      <c r="F201" s="290"/>
      <c r="G201" s="357">
        <v>0</v>
      </c>
      <c r="H201" s="358">
        <v>0</v>
      </c>
      <c r="I201" s="358">
        <v>0</v>
      </c>
      <c r="J201" s="359">
        <f t="shared" si="109"/>
        <v>0</v>
      </c>
      <c r="K201" s="290"/>
      <c r="L201" s="349"/>
      <c r="M201" s="7"/>
      <c r="N201" s="12"/>
      <c r="O201" s="12"/>
      <c r="P201" s="12"/>
      <c r="Q201" s="361"/>
      <c r="R201" s="362"/>
      <c r="S201" s="363">
        <f t="shared" si="99"/>
        <v>0</v>
      </c>
      <c r="T201" s="364">
        <f t="shared" si="100"/>
        <v>0</v>
      </c>
      <c r="U201" s="365">
        <v>0</v>
      </c>
      <c r="V201" s="91">
        <f>ROUNDUP(IFERROR(INDEX(CostRateTbl[Cost Rate],MATCH(_xlfn.CONCAT(N201,O201,P201,"NA"),CostRateTbl[KeyCostRate],0)),0)*BillingCurrencyTRM*(1+U201),2)</f>
        <v>0</v>
      </c>
      <c r="W201" s="92">
        <f t="shared" si="101"/>
        <v>0</v>
      </c>
      <c r="X201" s="366" t="e" cm="1">
        <f t="array" ref="X201">_xlfn.LET(
    _xlpm.valor, INDEX(CostRate!H:H, MATCH(1, (CostRate!A:A=N201)*1, 0)),
    _xlpm.posicion, MATCH(_xlpm.valor, FilterSL!$F$1:$Z$1, 0),
    _xlpm.direccionCompleta, ADDRESS(1, _xlpm.posicion + 5, 4),
    _xlpm.letraColumna, SUBSTITUTE(_xlpm.direccionCompleta, "1", ""),
    _xlpm.letraColumna
)</f>
        <v>#N/A</v>
      </c>
      <c r="Y201" s="366" t="e" cm="1">
        <f t="array" ref="Y201">_xlfn.LET(
    _xlpm.valor, INDEX(CostRate!I:I, MATCH(1, (CostRate!A:A=N201)*(CostRate!B:B=O201), 0)),
    _xlpm.posicion, MATCH(_xlpm.valor, FilterJP!$E$1:$FZ$1, 0),
    _xlpm.direccionCompleta, ADDRESS(1, _xlpm.posicion + 4, 4),
    _xlpm.letraColumna, SUBSTITUTE(_xlpm.direccionCompleta, "1", ""),
    _xlpm.letraColumna
)</f>
        <v>#N/A</v>
      </c>
      <c r="Z201" s="7"/>
      <c r="AA201" s="367"/>
      <c r="AB201" s="7"/>
      <c r="AC201" s="93">
        <f t="shared" si="102"/>
        <v>0</v>
      </c>
      <c r="AD201" s="94">
        <f t="shared" si="110"/>
        <v>0</v>
      </c>
      <c r="AE201" s="109">
        <f t="shared" si="111"/>
        <v>0</v>
      </c>
      <c r="AF201" s="7"/>
      <c r="AG201" s="369">
        <f t="shared" si="103"/>
        <v>0</v>
      </c>
      <c r="AH201" s="368">
        <f t="shared" si="104"/>
        <v>0</v>
      </c>
      <c r="AI201" s="7"/>
      <c r="AJ201" s="369" cm="1">
        <f t="array" ref="AJ201">IFERROR(INDEX(WHT!$C$7:$W$18,MATCH(
_xlfn.SWITCH(N201,"xDC Medellin","Colombia","xDC Belo Horizonte","Brazil","xDC Guadalajara","Mexico","xDC Gurugram","India","xDC Leon","Spain","xDC San Jose","Costa Rica","xDC Warsaw","Poland",N201),
WHT!$B$7:$B$18,0),MATCH(CustomerCountry,WHT!$C$5:$W$5,0)),0)</f>
        <v>0</v>
      </c>
      <c r="AK201" s="368">
        <f t="shared" si="105"/>
        <v>0</v>
      </c>
      <c r="AL201" s="7"/>
      <c r="AM201" s="95">
        <f t="shared" si="112"/>
        <v>0</v>
      </c>
      <c r="AN201" s="95">
        <f t="shared" si="106"/>
        <v>0</v>
      </c>
      <c r="AO201" s="95">
        <f t="shared" si="113"/>
        <v>0</v>
      </c>
      <c r="AP201" s="90"/>
      <c r="AQ201" s="18"/>
      <c r="AR201" s="290"/>
      <c r="AS201" s="467" t="s">
        <v>133</v>
      </c>
      <c r="AT201" s="501">
        <f t="shared" si="107"/>
        <v>0</v>
      </c>
      <c r="AU201" s="502"/>
      <c r="AV201" s="95">
        <f t="shared" si="114"/>
        <v>0</v>
      </c>
      <c r="AW201" s="469" t="str">
        <f t="shared" si="108"/>
        <v>N/A</v>
      </c>
      <c r="AX201" s="290"/>
      <c r="AY201" s="18"/>
      <c r="AZ201" s="3"/>
      <c r="BA201" s="315"/>
      <c r="BB201" s="3"/>
      <c r="BC201" s="3"/>
      <c r="BD201" s="3"/>
      <c r="BE201" s="3"/>
      <c r="BF201" s="18"/>
      <c r="BG201" s="3"/>
      <c r="BH201" s="315"/>
      <c r="BI201" s="3"/>
      <c r="BJ201" s="3"/>
      <c r="BK201" s="3"/>
      <c r="BL201" s="3"/>
      <c r="BM201" s="18"/>
      <c r="BN201" s="3"/>
      <c r="BO201" s="315"/>
      <c r="BP201" s="3"/>
      <c r="BQ201" s="3"/>
      <c r="BR201" s="3"/>
      <c r="BS201" s="3"/>
      <c r="BT201" s="18"/>
      <c r="BU201" s="3"/>
      <c r="BV201" s="315"/>
      <c r="BW201" s="3"/>
      <c r="BX201" s="3"/>
      <c r="BY201" s="3"/>
      <c r="BZ201" s="3"/>
    </row>
    <row r="202" spans="1:78" ht="15.6" hidden="1" outlineLevel="1">
      <c r="A202" s="7"/>
      <c r="B202" s="370"/>
      <c r="C202" s="355"/>
      <c r="D202" s="356"/>
      <c r="E202" s="342"/>
      <c r="F202" s="290"/>
      <c r="G202" s="357">
        <v>0</v>
      </c>
      <c r="H202" s="358">
        <v>0</v>
      </c>
      <c r="I202" s="358">
        <v>0</v>
      </c>
      <c r="J202" s="359">
        <f t="shared" si="109"/>
        <v>0</v>
      </c>
      <c r="K202" s="290"/>
      <c r="L202" s="349"/>
      <c r="M202" s="7"/>
      <c r="N202" s="12"/>
      <c r="O202" s="12"/>
      <c r="P202" s="12"/>
      <c r="Q202" s="361"/>
      <c r="R202" s="362"/>
      <c r="S202" s="363">
        <f t="shared" si="99"/>
        <v>0</v>
      </c>
      <c r="T202" s="364">
        <f t="shared" si="100"/>
        <v>0</v>
      </c>
      <c r="U202" s="365">
        <v>0</v>
      </c>
      <c r="V202" s="91">
        <f>ROUNDUP(IFERROR(INDEX(CostRateTbl[Cost Rate],MATCH(_xlfn.CONCAT(N202,O202,P202,"NA"),CostRateTbl[KeyCostRate],0)),0)*BillingCurrencyTRM*(1+U202),2)</f>
        <v>0</v>
      </c>
      <c r="W202" s="92">
        <f t="shared" si="101"/>
        <v>0</v>
      </c>
      <c r="X202" s="366" t="e" cm="1">
        <f t="array" ref="X202">_xlfn.LET(
    _xlpm.valor, INDEX(CostRate!H:H, MATCH(1, (CostRate!A:A=N202)*1, 0)),
    _xlpm.posicion, MATCH(_xlpm.valor, FilterSL!$F$1:$Z$1, 0),
    _xlpm.direccionCompleta, ADDRESS(1, _xlpm.posicion + 5, 4),
    _xlpm.letraColumna, SUBSTITUTE(_xlpm.direccionCompleta, "1", ""),
    _xlpm.letraColumna
)</f>
        <v>#N/A</v>
      </c>
      <c r="Y202" s="366" t="e" cm="1">
        <f t="array" ref="Y202">_xlfn.LET(
    _xlpm.valor, INDEX(CostRate!I:I, MATCH(1, (CostRate!A:A=N202)*(CostRate!B:B=O202), 0)),
    _xlpm.posicion, MATCH(_xlpm.valor, FilterJP!$E$1:$FZ$1, 0),
    _xlpm.direccionCompleta, ADDRESS(1, _xlpm.posicion + 4, 4),
    _xlpm.letraColumna, SUBSTITUTE(_xlpm.direccionCompleta, "1", ""),
    _xlpm.letraColumna
)</f>
        <v>#N/A</v>
      </c>
      <c r="Z202" s="7"/>
      <c r="AA202" s="367"/>
      <c r="AB202" s="7"/>
      <c r="AC202" s="93">
        <f t="shared" si="102"/>
        <v>0</v>
      </c>
      <c r="AD202" s="94">
        <f t="shared" si="110"/>
        <v>0</v>
      </c>
      <c r="AE202" s="109">
        <f t="shared" si="111"/>
        <v>0</v>
      </c>
      <c r="AF202" s="7"/>
      <c r="AG202" s="369">
        <f t="shared" si="103"/>
        <v>0</v>
      </c>
      <c r="AH202" s="368">
        <f t="shared" si="104"/>
        <v>0</v>
      </c>
      <c r="AI202" s="7"/>
      <c r="AJ202" s="369" cm="1">
        <f t="array" ref="AJ202">IFERROR(INDEX(WHT!$C$7:$W$18,MATCH(
_xlfn.SWITCH(N202,"xDC Medellin","Colombia","xDC Belo Horizonte","Brazil","xDC Guadalajara","Mexico","xDC Gurugram","India","xDC Leon","Spain","xDC San Jose","Costa Rica","xDC Warsaw","Poland",N202),
WHT!$B$7:$B$18,0),MATCH(CustomerCountry,WHT!$C$5:$W$5,0)),0)</f>
        <v>0</v>
      </c>
      <c r="AK202" s="368">
        <f t="shared" si="105"/>
        <v>0</v>
      </c>
      <c r="AL202" s="7"/>
      <c r="AM202" s="95">
        <f t="shared" si="112"/>
        <v>0</v>
      </c>
      <c r="AN202" s="95">
        <f t="shared" si="106"/>
        <v>0</v>
      </c>
      <c r="AO202" s="95">
        <f t="shared" si="113"/>
        <v>0</v>
      </c>
      <c r="AP202" s="90"/>
      <c r="AQ202" s="18"/>
      <c r="AR202" s="290"/>
      <c r="AS202" s="467" t="s">
        <v>133</v>
      </c>
      <c r="AT202" s="501">
        <f t="shared" si="107"/>
        <v>0</v>
      </c>
      <c r="AU202" s="502"/>
      <c r="AV202" s="95">
        <f t="shared" si="114"/>
        <v>0</v>
      </c>
      <c r="AW202" s="469" t="str">
        <f t="shared" si="108"/>
        <v>N/A</v>
      </c>
      <c r="AX202" s="290"/>
      <c r="AY202" s="18"/>
      <c r="AZ202" s="3"/>
      <c r="BA202" s="315"/>
      <c r="BB202" s="3"/>
      <c r="BC202" s="3"/>
      <c r="BD202" s="3"/>
      <c r="BE202" s="3"/>
      <c r="BF202" s="18"/>
      <c r="BG202" s="3"/>
      <c r="BH202" s="315"/>
      <c r="BI202" s="3"/>
      <c r="BJ202" s="3"/>
      <c r="BK202" s="3"/>
      <c r="BL202" s="3"/>
      <c r="BM202" s="18"/>
      <c r="BN202" s="3"/>
      <c r="BO202" s="315"/>
      <c r="BP202" s="3"/>
      <c r="BQ202" s="3"/>
      <c r="BR202" s="3"/>
      <c r="BS202" s="3"/>
      <c r="BT202" s="18"/>
      <c r="BU202" s="3"/>
      <c r="BV202" s="315"/>
      <c r="BW202" s="3"/>
      <c r="BX202" s="3"/>
      <c r="BY202" s="3"/>
      <c r="BZ202" s="3"/>
    </row>
    <row r="203" spans="1:78" ht="15.6" hidden="1" outlineLevel="1">
      <c r="A203" s="7"/>
      <c r="B203" s="370"/>
      <c r="C203" s="355"/>
      <c r="D203" s="356"/>
      <c r="E203" s="342"/>
      <c r="F203" s="290"/>
      <c r="G203" s="357">
        <v>0</v>
      </c>
      <c r="H203" s="358">
        <v>0</v>
      </c>
      <c r="I203" s="358">
        <v>0</v>
      </c>
      <c r="J203" s="359">
        <f t="shared" si="109"/>
        <v>0</v>
      </c>
      <c r="K203" s="290"/>
      <c r="L203" s="349"/>
      <c r="M203" s="7"/>
      <c r="N203" s="12"/>
      <c r="O203" s="12"/>
      <c r="P203" s="12"/>
      <c r="Q203" s="361"/>
      <c r="R203" s="362"/>
      <c r="S203" s="363">
        <f t="shared" si="99"/>
        <v>0</v>
      </c>
      <c r="T203" s="364">
        <f t="shared" si="100"/>
        <v>0</v>
      </c>
      <c r="U203" s="365">
        <v>0</v>
      </c>
      <c r="V203" s="91">
        <f>ROUNDUP(IFERROR(INDEX(CostRateTbl[Cost Rate],MATCH(_xlfn.CONCAT(N203,O203,P203,"NA"),CostRateTbl[KeyCostRate],0)),0)*BillingCurrencyTRM*(1+U203),2)</f>
        <v>0</v>
      </c>
      <c r="W203" s="92">
        <f t="shared" si="101"/>
        <v>0</v>
      </c>
      <c r="X203" s="366" t="e" cm="1">
        <f t="array" ref="X203">_xlfn.LET(
    _xlpm.valor, INDEX(CostRate!H:H, MATCH(1, (CostRate!A:A=N203)*1, 0)),
    _xlpm.posicion, MATCH(_xlpm.valor, FilterSL!$F$1:$Z$1, 0),
    _xlpm.direccionCompleta, ADDRESS(1, _xlpm.posicion + 5, 4),
    _xlpm.letraColumna, SUBSTITUTE(_xlpm.direccionCompleta, "1", ""),
    _xlpm.letraColumna
)</f>
        <v>#N/A</v>
      </c>
      <c r="Y203" s="366" t="e" cm="1">
        <f t="array" ref="Y203">_xlfn.LET(
    _xlpm.valor, INDEX(CostRate!I:I, MATCH(1, (CostRate!A:A=N203)*(CostRate!B:B=O203), 0)),
    _xlpm.posicion, MATCH(_xlpm.valor, FilterJP!$E$1:$FZ$1, 0),
    _xlpm.direccionCompleta, ADDRESS(1, _xlpm.posicion + 4, 4),
    _xlpm.letraColumna, SUBSTITUTE(_xlpm.direccionCompleta, "1", ""),
    _xlpm.letraColumna
)</f>
        <v>#N/A</v>
      </c>
      <c r="Z203" s="7"/>
      <c r="AA203" s="367"/>
      <c r="AB203" s="7"/>
      <c r="AC203" s="93">
        <f t="shared" si="102"/>
        <v>0</v>
      </c>
      <c r="AD203" s="94">
        <f t="shared" si="110"/>
        <v>0</v>
      </c>
      <c r="AE203" s="109">
        <f t="shared" si="111"/>
        <v>0</v>
      </c>
      <c r="AF203" s="7"/>
      <c r="AG203" s="369">
        <f t="shared" si="103"/>
        <v>0</v>
      </c>
      <c r="AH203" s="368">
        <f t="shared" si="104"/>
        <v>0</v>
      </c>
      <c r="AI203" s="7"/>
      <c r="AJ203" s="369" cm="1">
        <f t="array" ref="AJ203">IFERROR(INDEX(WHT!$C$7:$W$18,MATCH(
_xlfn.SWITCH(N203,"xDC Medellin","Colombia","xDC Belo Horizonte","Brazil","xDC Guadalajara","Mexico","xDC Gurugram","India","xDC Leon","Spain","xDC San Jose","Costa Rica","xDC Warsaw","Poland",N203),
WHT!$B$7:$B$18,0),MATCH(CustomerCountry,WHT!$C$5:$W$5,0)),0)</f>
        <v>0</v>
      </c>
      <c r="AK203" s="368">
        <f t="shared" si="105"/>
        <v>0</v>
      </c>
      <c r="AL203" s="7"/>
      <c r="AM203" s="95">
        <f t="shared" si="112"/>
        <v>0</v>
      </c>
      <c r="AN203" s="95">
        <f t="shared" si="106"/>
        <v>0</v>
      </c>
      <c r="AO203" s="95">
        <f t="shared" si="113"/>
        <v>0</v>
      </c>
      <c r="AP203" s="90"/>
      <c r="AQ203" s="18"/>
      <c r="AR203" s="290"/>
      <c r="AS203" s="467" t="s">
        <v>133</v>
      </c>
      <c r="AT203" s="501">
        <f t="shared" si="107"/>
        <v>0</v>
      </c>
      <c r="AU203" s="502"/>
      <c r="AV203" s="95">
        <f t="shared" si="114"/>
        <v>0</v>
      </c>
      <c r="AW203" s="469" t="str">
        <f t="shared" si="108"/>
        <v>N/A</v>
      </c>
      <c r="AX203" s="290"/>
      <c r="AY203" s="18"/>
      <c r="AZ203" s="3"/>
      <c r="BA203" s="315"/>
      <c r="BB203" s="3"/>
      <c r="BC203" s="3"/>
      <c r="BD203" s="3"/>
      <c r="BE203" s="3"/>
      <c r="BF203" s="18"/>
      <c r="BG203" s="3"/>
      <c r="BH203" s="315"/>
      <c r="BI203" s="3"/>
      <c r="BJ203" s="3"/>
      <c r="BK203" s="3"/>
      <c r="BL203" s="3"/>
      <c r="BM203" s="18"/>
      <c r="BN203" s="3"/>
      <c r="BO203" s="315"/>
      <c r="BP203" s="3"/>
      <c r="BQ203" s="3"/>
      <c r="BR203" s="3"/>
      <c r="BS203" s="3"/>
      <c r="BT203" s="18"/>
      <c r="BU203" s="3"/>
      <c r="BV203" s="315"/>
      <c r="BW203" s="3"/>
      <c r="BX203" s="3"/>
      <c r="BY203" s="3"/>
      <c r="BZ203" s="3"/>
    </row>
    <row r="204" spans="1:78" ht="15.6" hidden="1" outlineLevel="1">
      <c r="A204" s="7"/>
      <c r="B204" s="370"/>
      <c r="C204" s="355"/>
      <c r="D204" s="356"/>
      <c r="E204" s="342"/>
      <c r="F204" s="290"/>
      <c r="G204" s="357">
        <v>0</v>
      </c>
      <c r="H204" s="358">
        <v>0</v>
      </c>
      <c r="I204" s="358">
        <v>0</v>
      </c>
      <c r="J204" s="359">
        <f t="shared" si="109"/>
        <v>0</v>
      </c>
      <c r="K204" s="290"/>
      <c r="L204" s="349"/>
      <c r="M204" s="7"/>
      <c r="N204" s="12"/>
      <c r="O204" s="12"/>
      <c r="P204" s="12"/>
      <c r="Q204" s="361"/>
      <c r="R204" s="362"/>
      <c r="S204" s="363">
        <f t="shared" si="99"/>
        <v>0</v>
      </c>
      <c r="T204" s="364">
        <f t="shared" si="100"/>
        <v>0</v>
      </c>
      <c r="U204" s="365">
        <v>0</v>
      </c>
      <c r="V204" s="91">
        <f>ROUNDUP(IFERROR(INDEX(CostRateTbl[Cost Rate],MATCH(_xlfn.CONCAT(N204,O204,P204,"NA"),CostRateTbl[KeyCostRate],0)),0)*BillingCurrencyTRM*(1+U204),2)</f>
        <v>0</v>
      </c>
      <c r="W204" s="92">
        <f t="shared" si="101"/>
        <v>0</v>
      </c>
      <c r="X204" s="366" t="e" cm="1">
        <f t="array" ref="X204">_xlfn.LET(
    _xlpm.valor, INDEX(CostRate!H:H, MATCH(1, (CostRate!A:A=N204)*1, 0)),
    _xlpm.posicion, MATCH(_xlpm.valor, FilterSL!$F$1:$Z$1, 0),
    _xlpm.direccionCompleta, ADDRESS(1, _xlpm.posicion + 5, 4),
    _xlpm.letraColumna, SUBSTITUTE(_xlpm.direccionCompleta, "1", ""),
    _xlpm.letraColumna
)</f>
        <v>#N/A</v>
      </c>
      <c r="Y204" s="366" t="e" cm="1">
        <f t="array" ref="Y204">_xlfn.LET(
    _xlpm.valor, INDEX(CostRate!I:I, MATCH(1, (CostRate!A:A=N204)*(CostRate!B:B=O204), 0)),
    _xlpm.posicion, MATCH(_xlpm.valor, FilterJP!$E$1:$FZ$1, 0),
    _xlpm.direccionCompleta, ADDRESS(1, _xlpm.posicion + 4, 4),
    _xlpm.letraColumna, SUBSTITUTE(_xlpm.direccionCompleta, "1", ""),
    _xlpm.letraColumna
)</f>
        <v>#N/A</v>
      </c>
      <c r="Z204" s="7"/>
      <c r="AA204" s="367"/>
      <c r="AB204" s="7"/>
      <c r="AC204" s="93">
        <f t="shared" si="102"/>
        <v>0</v>
      </c>
      <c r="AD204" s="94">
        <f t="shared" si="110"/>
        <v>0</v>
      </c>
      <c r="AE204" s="109">
        <f t="shared" si="111"/>
        <v>0</v>
      </c>
      <c r="AF204" s="7"/>
      <c r="AG204" s="369">
        <f t="shared" si="103"/>
        <v>0</v>
      </c>
      <c r="AH204" s="368">
        <f t="shared" si="104"/>
        <v>0</v>
      </c>
      <c r="AI204" s="7"/>
      <c r="AJ204" s="369" cm="1">
        <f t="array" ref="AJ204">IFERROR(INDEX(WHT!$C$7:$W$18,MATCH(
_xlfn.SWITCH(N204,"xDC Medellin","Colombia","xDC Belo Horizonte","Brazil","xDC Guadalajara","Mexico","xDC Gurugram","India","xDC Leon","Spain","xDC San Jose","Costa Rica","xDC Warsaw","Poland",N204),
WHT!$B$7:$B$18,0),MATCH(CustomerCountry,WHT!$C$5:$W$5,0)),0)</f>
        <v>0</v>
      </c>
      <c r="AK204" s="368">
        <f t="shared" si="105"/>
        <v>0</v>
      </c>
      <c r="AL204" s="7"/>
      <c r="AM204" s="95">
        <f t="shared" si="112"/>
        <v>0</v>
      </c>
      <c r="AN204" s="95">
        <f t="shared" si="106"/>
        <v>0</v>
      </c>
      <c r="AO204" s="95">
        <f t="shared" si="113"/>
        <v>0</v>
      </c>
      <c r="AP204" s="90"/>
      <c r="AQ204" s="18"/>
      <c r="AR204" s="290"/>
      <c r="AS204" s="467" t="s">
        <v>133</v>
      </c>
      <c r="AT204" s="501">
        <f t="shared" si="107"/>
        <v>0</v>
      </c>
      <c r="AU204" s="502"/>
      <c r="AV204" s="95">
        <f t="shared" si="114"/>
        <v>0</v>
      </c>
      <c r="AW204" s="469" t="str">
        <f t="shared" si="108"/>
        <v>N/A</v>
      </c>
      <c r="AX204" s="290"/>
      <c r="AY204" s="18"/>
      <c r="AZ204" s="3"/>
      <c r="BA204" s="315"/>
      <c r="BB204" s="3"/>
      <c r="BC204" s="3"/>
      <c r="BD204" s="3"/>
      <c r="BE204" s="3"/>
      <c r="BF204" s="18"/>
      <c r="BG204" s="3"/>
      <c r="BH204" s="315"/>
      <c r="BI204" s="3"/>
      <c r="BJ204" s="3"/>
      <c r="BK204" s="3"/>
      <c r="BL204" s="3"/>
      <c r="BM204" s="18"/>
      <c r="BN204" s="3"/>
      <c r="BO204" s="315"/>
      <c r="BP204" s="3"/>
      <c r="BQ204" s="3"/>
      <c r="BR204" s="3"/>
      <c r="BS204" s="3"/>
      <c r="BT204" s="18"/>
      <c r="BU204" s="3"/>
      <c r="BV204" s="315"/>
      <c r="BW204" s="3"/>
      <c r="BX204" s="3"/>
      <c r="BY204" s="3"/>
      <c r="BZ204" s="3"/>
    </row>
    <row r="205" spans="1:78" ht="15.6" hidden="1" outlineLevel="1">
      <c r="A205" s="7"/>
      <c r="B205" s="370"/>
      <c r="C205" s="355"/>
      <c r="D205" s="356"/>
      <c r="E205" s="342"/>
      <c r="F205" s="290"/>
      <c r="G205" s="357">
        <v>0</v>
      </c>
      <c r="H205" s="358">
        <v>0</v>
      </c>
      <c r="I205" s="358">
        <v>0</v>
      </c>
      <c r="J205" s="359">
        <f t="shared" si="109"/>
        <v>0</v>
      </c>
      <c r="K205" s="290"/>
      <c r="L205" s="349"/>
      <c r="M205" s="7"/>
      <c r="N205" s="12"/>
      <c r="O205" s="12"/>
      <c r="P205" s="12"/>
      <c r="Q205" s="361"/>
      <c r="R205" s="362"/>
      <c r="S205" s="363">
        <f t="shared" si="99"/>
        <v>0</v>
      </c>
      <c r="T205" s="364">
        <f t="shared" si="100"/>
        <v>0</v>
      </c>
      <c r="U205" s="365">
        <v>0</v>
      </c>
      <c r="V205" s="91">
        <f>ROUNDUP(IFERROR(INDEX(CostRateTbl[Cost Rate],MATCH(_xlfn.CONCAT(N205,O205,P205,"NA"),CostRateTbl[KeyCostRate],0)),0)*BillingCurrencyTRM*(1+U205),2)</f>
        <v>0</v>
      </c>
      <c r="W205" s="92">
        <f t="shared" si="101"/>
        <v>0</v>
      </c>
      <c r="X205" s="366" t="e" cm="1">
        <f t="array" ref="X205">_xlfn.LET(
    _xlpm.valor, INDEX(CostRate!H:H, MATCH(1, (CostRate!A:A=N205)*1, 0)),
    _xlpm.posicion, MATCH(_xlpm.valor, FilterSL!$F$1:$Z$1, 0),
    _xlpm.direccionCompleta, ADDRESS(1, _xlpm.posicion + 5, 4),
    _xlpm.letraColumna, SUBSTITUTE(_xlpm.direccionCompleta, "1", ""),
    _xlpm.letraColumna
)</f>
        <v>#N/A</v>
      </c>
      <c r="Y205" s="366" t="e" cm="1">
        <f t="array" ref="Y205">_xlfn.LET(
    _xlpm.valor, INDEX(CostRate!I:I, MATCH(1, (CostRate!A:A=N205)*(CostRate!B:B=O205), 0)),
    _xlpm.posicion, MATCH(_xlpm.valor, FilterJP!$E$1:$FZ$1, 0),
    _xlpm.direccionCompleta, ADDRESS(1, _xlpm.posicion + 4, 4),
    _xlpm.letraColumna, SUBSTITUTE(_xlpm.direccionCompleta, "1", ""),
    _xlpm.letraColumna
)</f>
        <v>#N/A</v>
      </c>
      <c r="Z205" s="7"/>
      <c r="AA205" s="367"/>
      <c r="AB205" s="7"/>
      <c r="AC205" s="93">
        <f t="shared" si="102"/>
        <v>0</v>
      </c>
      <c r="AD205" s="94">
        <f t="shared" si="110"/>
        <v>0</v>
      </c>
      <c r="AE205" s="109">
        <f t="shared" si="111"/>
        <v>0</v>
      </c>
      <c r="AF205" s="7"/>
      <c r="AG205" s="369">
        <f t="shared" si="103"/>
        <v>0</v>
      </c>
      <c r="AH205" s="368">
        <f t="shared" si="104"/>
        <v>0</v>
      </c>
      <c r="AI205" s="7"/>
      <c r="AJ205" s="369" cm="1">
        <f t="array" ref="AJ205">IFERROR(INDEX(WHT!$C$7:$W$18,MATCH(
_xlfn.SWITCH(N205,"xDC Medellin","Colombia","xDC Belo Horizonte","Brazil","xDC Guadalajara","Mexico","xDC Gurugram","India","xDC Leon","Spain","xDC San Jose","Costa Rica","xDC Warsaw","Poland",N205),
WHT!$B$7:$B$18,0),MATCH(CustomerCountry,WHT!$C$5:$W$5,0)),0)</f>
        <v>0</v>
      </c>
      <c r="AK205" s="368">
        <f t="shared" si="105"/>
        <v>0</v>
      </c>
      <c r="AL205" s="7"/>
      <c r="AM205" s="95">
        <f t="shared" si="112"/>
        <v>0</v>
      </c>
      <c r="AN205" s="95">
        <f t="shared" si="106"/>
        <v>0</v>
      </c>
      <c r="AO205" s="95">
        <f t="shared" si="113"/>
        <v>0</v>
      </c>
      <c r="AP205" s="90"/>
      <c r="AQ205" s="18"/>
      <c r="AR205" s="290"/>
      <c r="AS205" s="467" t="s">
        <v>133</v>
      </c>
      <c r="AT205" s="501">
        <f t="shared" si="107"/>
        <v>0</v>
      </c>
      <c r="AU205" s="502"/>
      <c r="AV205" s="95">
        <f t="shared" si="114"/>
        <v>0</v>
      </c>
      <c r="AW205" s="469" t="str">
        <f t="shared" si="108"/>
        <v>N/A</v>
      </c>
      <c r="AX205" s="290"/>
      <c r="AY205" s="18"/>
      <c r="AZ205" s="3"/>
      <c r="BA205" s="315"/>
      <c r="BB205" s="3"/>
      <c r="BC205" s="3"/>
      <c r="BD205" s="3"/>
      <c r="BE205" s="3"/>
      <c r="BF205" s="18"/>
      <c r="BG205" s="3"/>
      <c r="BH205" s="315"/>
      <c r="BI205" s="3"/>
      <c r="BJ205" s="3"/>
      <c r="BK205" s="3"/>
      <c r="BL205" s="3"/>
      <c r="BM205" s="18"/>
      <c r="BN205" s="3"/>
      <c r="BO205" s="315"/>
      <c r="BP205" s="3"/>
      <c r="BQ205" s="3"/>
      <c r="BR205" s="3"/>
      <c r="BS205" s="3"/>
      <c r="BT205" s="18"/>
      <c r="BU205" s="3"/>
      <c r="BV205" s="315"/>
      <c r="BW205" s="3"/>
      <c r="BX205" s="3"/>
      <c r="BY205" s="3"/>
      <c r="BZ205" s="3"/>
    </row>
    <row r="206" spans="1:78" ht="15.6" hidden="1" outlineLevel="1">
      <c r="A206" s="7"/>
      <c r="B206" s="370"/>
      <c r="C206" s="355"/>
      <c r="D206" s="356"/>
      <c r="E206" s="342"/>
      <c r="F206" s="290"/>
      <c r="G206" s="357">
        <v>0</v>
      </c>
      <c r="H206" s="358">
        <v>0</v>
      </c>
      <c r="I206" s="358">
        <v>0</v>
      </c>
      <c r="J206" s="359">
        <f t="shared" si="109"/>
        <v>0</v>
      </c>
      <c r="K206" s="290"/>
      <c r="L206" s="349"/>
      <c r="M206" s="7"/>
      <c r="N206" s="12"/>
      <c r="O206" s="12"/>
      <c r="P206" s="12"/>
      <c r="Q206" s="361"/>
      <c r="R206" s="362"/>
      <c r="S206" s="363">
        <f t="shared" si="99"/>
        <v>0</v>
      </c>
      <c r="T206" s="364">
        <f t="shared" si="100"/>
        <v>0</v>
      </c>
      <c r="U206" s="365">
        <v>0</v>
      </c>
      <c r="V206" s="91">
        <f>ROUNDUP(IFERROR(INDEX(CostRateTbl[Cost Rate],MATCH(_xlfn.CONCAT(N206,O206,P206,"NA"),CostRateTbl[KeyCostRate],0)),0)*BillingCurrencyTRM*(1+U206),2)</f>
        <v>0</v>
      </c>
      <c r="W206" s="92">
        <f t="shared" si="101"/>
        <v>0</v>
      </c>
      <c r="X206" s="366" t="e" cm="1">
        <f t="array" ref="X206">_xlfn.LET(
    _xlpm.valor, INDEX(CostRate!H:H, MATCH(1, (CostRate!A:A=N206)*1, 0)),
    _xlpm.posicion, MATCH(_xlpm.valor, FilterSL!$F$1:$Z$1, 0),
    _xlpm.direccionCompleta, ADDRESS(1, _xlpm.posicion + 5, 4),
    _xlpm.letraColumna, SUBSTITUTE(_xlpm.direccionCompleta, "1", ""),
    _xlpm.letraColumna
)</f>
        <v>#N/A</v>
      </c>
      <c r="Y206" s="366" t="e" cm="1">
        <f t="array" ref="Y206">_xlfn.LET(
    _xlpm.valor, INDEX(CostRate!I:I, MATCH(1, (CostRate!A:A=N206)*(CostRate!B:B=O206), 0)),
    _xlpm.posicion, MATCH(_xlpm.valor, FilterJP!$E$1:$FZ$1, 0),
    _xlpm.direccionCompleta, ADDRESS(1, _xlpm.posicion + 4, 4),
    _xlpm.letraColumna, SUBSTITUTE(_xlpm.direccionCompleta, "1", ""),
    _xlpm.letraColumna
)</f>
        <v>#N/A</v>
      </c>
      <c r="Z206" s="7"/>
      <c r="AA206" s="367"/>
      <c r="AB206" s="7"/>
      <c r="AC206" s="93">
        <f t="shared" si="102"/>
        <v>0</v>
      </c>
      <c r="AD206" s="94">
        <f t="shared" si="110"/>
        <v>0</v>
      </c>
      <c r="AE206" s="109">
        <f t="shared" si="111"/>
        <v>0</v>
      </c>
      <c r="AF206" s="7"/>
      <c r="AG206" s="369">
        <f t="shared" si="103"/>
        <v>0</v>
      </c>
      <c r="AH206" s="368">
        <f t="shared" si="104"/>
        <v>0</v>
      </c>
      <c r="AI206" s="7"/>
      <c r="AJ206" s="369" cm="1">
        <f t="array" ref="AJ206">IFERROR(INDEX(WHT!$C$7:$W$18,MATCH(
_xlfn.SWITCH(N206,"xDC Medellin","Colombia","xDC Belo Horizonte","Brazil","xDC Guadalajara","Mexico","xDC Gurugram","India","xDC Leon","Spain","xDC San Jose","Costa Rica","xDC Warsaw","Poland",N206),
WHT!$B$7:$B$18,0),MATCH(CustomerCountry,WHT!$C$5:$W$5,0)),0)</f>
        <v>0</v>
      </c>
      <c r="AK206" s="368">
        <f t="shared" si="105"/>
        <v>0</v>
      </c>
      <c r="AL206" s="7"/>
      <c r="AM206" s="95">
        <f t="shared" si="112"/>
        <v>0</v>
      </c>
      <c r="AN206" s="95">
        <f t="shared" si="106"/>
        <v>0</v>
      </c>
      <c r="AO206" s="95">
        <f t="shared" si="113"/>
        <v>0</v>
      </c>
      <c r="AP206" s="90"/>
      <c r="AQ206" s="18"/>
      <c r="AR206" s="290"/>
      <c r="AS206" s="467" t="s">
        <v>133</v>
      </c>
      <c r="AT206" s="501">
        <f t="shared" si="107"/>
        <v>0</v>
      </c>
      <c r="AU206" s="502"/>
      <c r="AV206" s="95">
        <f t="shared" si="114"/>
        <v>0</v>
      </c>
      <c r="AW206" s="469" t="str">
        <f t="shared" si="108"/>
        <v>N/A</v>
      </c>
      <c r="AX206" s="290"/>
      <c r="AY206" s="18"/>
      <c r="AZ206" s="3"/>
      <c r="BA206" s="315"/>
      <c r="BB206" s="3"/>
      <c r="BC206" s="3"/>
      <c r="BD206" s="3"/>
      <c r="BE206" s="3"/>
      <c r="BF206" s="18"/>
      <c r="BG206" s="3"/>
      <c r="BH206" s="315"/>
      <c r="BI206" s="3"/>
      <c r="BJ206" s="3"/>
      <c r="BK206" s="3"/>
      <c r="BL206" s="3"/>
      <c r="BM206" s="18"/>
      <c r="BN206" s="3"/>
      <c r="BO206" s="315"/>
      <c r="BP206" s="3"/>
      <c r="BQ206" s="3"/>
      <c r="BR206" s="3"/>
      <c r="BS206" s="3"/>
      <c r="BT206" s="18"/>
      <c r="BU206" s="3"/>
      <c r="BV206" s="315"/>
      <c r="BW206" s="3"/>
      <c r="BX206" s="3"/>
      <c r="BY206" s="3"/>
      <c r="BZ206" s="3"/>
    </row>
    <row r="207" spans="1:78" ht="15.6" hidden="1" outlineLevel="1">
      <c r="A207" s="7"/>
      <c r="B207" s="370"/>
      <c r="C207" s="355"/>
      <c r="D207" s="356"/>
      <c r="E207" s="342"/>
      <c r="F207" s="290"/>
      <c r="G207" s="357">
        <v>0</v>
      </c>
      <c r="H207" s="358">
        <v>0</v>
      </c>
      <c r="I207" s="358">
        <v>0</v>
      </c>
      <c r="J207" s="359">
        <f t="shared" si="109"/>
        <v>0</v>
      </c>
      <c r="K207" s="290"/>
      <c r="L207" s="349"/>
      <c r="M207" s="7"/>
      <c r="N207" s="12"/>
      <c r="O207" s="12"/>
      <c r="P207" s="12"/>
      <c r="Q207" s="361"/>
      <c r="R207" s="362"/>
      <c r="S207" s="363">
        <f t="shared" si="99"/>
        <v>0</v>
      </c>
      <c r="T207" s="364">
        <f t="shared" si="100"/>
        <v>0</v>
      </c>
      <c r="U207" s="365">
        <v>0</v>
      </c>
      <c r="V207" s="91">
        <f>ROUNDUP(IFERROR(INDEX(CostRateTbl[Cost Rate],MATCH(_xlfn.CONCAT(N207,O207,P207,"NA"),CostRateTbl[KeyCostRate],0)),0)*BillingCurrencyTRM*(1+U207),2)</f>
        <v>0</v>
      </c>
      <c r="W207" s="92">
        <f t="shared" si="101"/>
        <v>0</v>
      </c>
      <c r="X207" s="366" t="e" cm="1">
        <f t="array" ref="X207">_xlfn.LET(
    _xlpm.valor, INDEX(CostRate!H:H, MATCH(1, (CostRate!A:A=N207)*1, 0)),
    _xlpm.posicion, MATCH(_xlpm.valor, FilterSL!$F$1:$Z$1, 0),
    _xlpm.direccionCompleta, ADDRESS(1, _xlpm.posicion + 5, 4),
    _xlpm.letraColumna, SUBSTITUTE(_xlpm.direccionCompleta, "1", ""),
    _xlpm.letraColumna
)</f>
        <v>#N/A</v>
      </c>
      <c r="Y207" s="366" t="e" cm="1">
        <f t="array" ref="Y207">_xlfn.LET(
    _xlpm.valor, INDEX(CostRate!I:I, MATCH(1, (CostRate!A:A=N207)*(CostRate!B:B=O207), 0)),
    _xlpm.posicion, MATCH(_xlpm.valor, FilterJP!$E$1:$FZ$1, 0),
    _xlpm.direccionCompleta, ADDRESS(1, _xlpm.posicion + 4, 4),
    _xlpm.letraColumna, SUBSTITUTE(_xlpm.direccionCompleta, "1", ""),
    _xlpm.letraColumna
)</f>
        <v>#N/A</v>
      </c>
      <c r="Z207" s="7"/>
      <c r="AA207" s="367"/>
      <c r="AB207" s="7"/>
      <c r="AC207" s="93">
        <f t="shared" si="102"/>
        <v>0</v>
      </c>
      <c r="AD207" s="94">
        <f t="shared" si="110"/>
        <v>0</v>
      </c>
      <c r="AE207" s="109">
        <f t="shared" si="111"/>
        <v>0</v>
      </c>
      <c r="AF207" s="7"/>
      <c r="AG207" s="369">
        <f t="shared" si="103"/>
        <v>0</v>
      </c>
      <c r="AH207" s="368">
        <f t="shared" si="104"/>
        <v>0</v>
      </c>
      <c r="AI207" s="7"/>
      <c r="AJ207" s="369" cm="1">
        <f t="array" ref="AJ207">IFERROR(INDEX(WHT!$C$7:$W$18,MATCH(
_xlfn.SWITCH(N207,"xDC Medellin","Colombia","xDC Belo Horizonte","Brazil","xDC Guadalajara","Mexico","xDC Gurugram","India","xDC Leon","Spain","xDC San Jose","Costa Rica","xDC Warsaw","Poland",N207),
WHT!$B$7:$B$18,0),MATCH(CustomerCountry,WHT!$C$5:$W$5,0)),0)</f>
        <v>0</v>
      </c>
      <c r="AK207" s="368">
        <f t="shared" si="105"/>
        <v>0</v>
      </c>
      <c r="AL207" s="7"/>
      <c r="AM207" s="95">
        <f t="shared" si="112"/>
        <v>0</v>
      </c>
      <c r="AN207" s="95">
        <f t="shared" si="106"/>
        <v>0</v>
      </c>
      <c r="AO207" s="95">
        <f t="shared" si="113"/>
        <v>0</v>
      </c>
      <c r="AP207" s="90"/>
      <c r="AQ207" s="18"/>
      <c r="AR207" s="290"/>
      <c r="AS207" s="467" t="s">
        <v>133</v>
      </c>
      <c r="AT207" s="501">
        <f t="shared" si="107"/>
        <v>0</v>
      </c>
      <c r="AU207" s="502"/>
      <c r="AV207" s="95">
        <f t="shared" si="114"/>
        <v>0</v>
      </c>
      <c r="AW207" s="469" t="str">
        <f t="shared" si="108"/>
        <v>N/A</v>
      </c>
      <c r="AX207" s="290"/>
      <c r="AY207" s="18"/>
      <c r="AZ207" s="3"/>
      <c r="BA207" s="315"/>
      <c r="BB207" s="3"/>
      <c r="BC207" s="3"/>
      <c r="BD207" s="3"/>
      <c r="BE207" s="3"/>
      <c r="BF207" s="18"/>
      <c r="BG207" s="3"/>
      <c r="BH207" s="315"/>
      <c r="BI207" s="3"/>
      <c r="BJ207" s="3"/>
      <c r="BK207" s="3"/>
      <c r="BL207" s="3"/>
      <c r="BM207" s="18"/>
      <c r="BN207" s="3"/>
      <c r="BO207" s="315"/>
      <c r="BP207" s="3"/>
      <c r="BQ207" s="3"/>
      <c r="BR207" s="3"/>
      <c r="BS207" s="3"/>
      <c r="BT207" s="18"/>
      <c r="BU207" s="3"/>
      <c r="BV207" s="315"/>
      <c r="BW207" s="3"/>
      <c r="BX207" s="3"/>
      <c r="BY207" s="3"/>
      <c r="BZ207" s="3"/>
    </row>
    <row r="208" spans="1:78" ht="15.6" hidden="1" outlineLevel="1">
      <c r="A208" s="7"/>
      <c r="B208" s="370"/>
      <c r="C208" s="355"/>
      <c r="D208" s="356"/>
      <c r="E208" s="342"/>
      <c r="F208" s="290"/>
      <c r="G208" s="357">
        <v>0</v>
      </c>
      <c r="H208" s="358">
        <v>0</v>
      </c>
      <c r="I208" s="358">
        <v>0</v>
      </c>
      <c r="J208" s="359">
        <f t="shared" si="109"/>
        <v>0</v>
      </c>
      <c r="K208" s="290"/>
      <c r="L208" s="349"/>
      <c r="M208" s="7"/>
      <c r="N208" s="12"/>
      <c r="O208" s="12"/>
      <c r="P208" s="12"/>
      <c r="Q208" s="361"/>
      <c r="R208" s="362"/>
      <c r="S208" s="363">
        <f t="shared" si="99"/>
        <v>0</v>
      </c>
      <c r="T208" s="364">
        <f t="shared" si="100"/>
        <v>0</v>
      </c>
      <c r="U208" s="365">
        <v>0</v>
      </c>
      <c r="V208" s="91">
        <f>ROUNDUP(IFERROR(INDEX(CostRateTbl[Cost Rate],MATCH(_xlfn.CONCAT(N208,O208,P208,"NA"),CostRateTbl[KeyCostRate],0)),0)*BillingCurrencyTRM*(1+U208),2)</f>
        <v>0</v>
      </c>
      <c r="W208" s="92">
        <f t="shared" si="101"/>
        <v>0</v>
      </c>
      <c r="X208" s="366" t="e" cm="1">
        <f t="array" ref="X208">_xlfn.LET(
    _xlpm.valor, INDEX(CostRate!H:H, MATCH(1, (CostRate!A:A=N208)*1, 0)),
    _xlpm.posicion, MATCH(_xlpm.valor, FilterSL!$F$1:$Z$1, 0),
    _xlpm.direccionCompleta, ADDRESS(1, _xlpm.posicion + 5, 4),
    _xlpm.letraColumna, SUBSTITUTE(_xlpm.direccionCompleta, "1", ""),
    _xlpm.letraColumna
)</f>
        <v>#N/A</v>
      </c>
      <c r="Y208" s="366" t="e" cm="1">
        <f t="array" ref="Y208">_xlfn.LET(
    _xlpm.valor, INDEX(CostRate!I:I, MATCH(1, (CostRate!A:A=N208)*(CostRate!B:B=O208), 0)),
    _xlpm.posicion, MATCH(_xlpm.valor, FilterJP!$E$1:$FZ$1, 0),
    _xlpm.direccionCompleta, ADDRESS(1, _xlpm.posicion + 4, 4),
    _xlpm.letraColumna, SUBSTITUTE(_xlpm.direccionCompleta, "1", ""),
    _xlpm.letraColumna
)</f>
        <v>#N/A</v>
      </c>
      <c r="Z208" s="7"/>
      <c r="AA208" s="367"/>
      <c r="AB208" s="7"/>
      <c r="AC208" s="93">
        <f t="shared" si="102"/>
        <v>0</v>
      </c>
      <c r="AD208" s="94">
        <f t="shared" si="110"/>
        <v>0</v>
      </c>
      <c r="AE208" s="109">
        <f t="shared" si="111"/>
        <v>0</v>
      </c>
      <c r="AF208" s="7"/>
      <c r="AG208" s="369">
        <f t="shared" si="103"/>
        <v>0</v>
      </c>
      <c r="AH208" s="368">
        <f t="shared" si="104"/>
        <v>0</v>
      </c>
      <c r="AI208" s="7"/>
      <c r="AJ208" s="369" cm="1">
        <f t="array" ref="AJ208">IFERROR(INDEX(WHT!$C$7:$W$18,MATCH(
_xlfn.SWITCH(N208,"xDC Medellin","Colombia","xDC Belo Horizonte","Brazil","xDC Guadalajara","Mexico","xDC Gurugram","India","xDC Leon","Spain","xDC San Jose","Costa Rica","xDC Warsaw","Poland",N208),
WHT!$B$7:$B$18,0),MATCH(CustomerCountry,WHT!$C$5:$W$5,0)),0)</f>
        <v>0</v>
      </c>
      <c r="AK208" s="368">
        <f t="shared" si="105"/>
        <v>0</v>
      </c>
      <c r="AL208" s="7"/>
      <c r="AM208" s="95">
        <f t="shared" si="112"/>
        <v>0</v>
      </c>
      <c r="AN208" s="95">
        <f t="shared" si="106"/>
        <v>0</v>
      </c>
      <c r="AO208" s="95">
        <f t="shared" si="113"/>
        <v>0</v>
      </c>
      <c r="AP208" s="90"/>
      <c r="AQ208" s="18"/>
      <c r="AR208" s="290"/>
      <c r="AS208" s="467" t="s">
        <v>133</v>
      </c>
      <c r="AT208" s="501">
        <f t="shared" si="107"/>
        <v>0</v>
      </c>
      <c r="AU208" s="502"/>
      <c r="AV208" s="95">
        <f t="shared" si="114"/>
        <v>0</v>
      </c>
      <c r="AW208" s="469" t="str">
        <f t="shared" si="108"/>
        <v>N/A</v>
      </c>
      <c r="AX208" s="290"/>
      <c r="AY208" s="18"/>
      <c r="AZ208" s="3"/>
      <c r="BA208" s="315"/>
      <c r="BB208" s="3"/>
      <c r="BC208" s="3"/>
      <c r="BD208" s="3"/>
      <c r="BE208" s="3"/>
      <c r="BF208" s="18"/>
      <c r="BG208" s="3"/>
      <c r="BH208" s="315"/>
      <c r="BI208" s="3"/>
      <c r="BJ208" s="3"/>
      <c r="BK208" s="3"/>
      <c r="BL208" s="3"/>
      <c r="BM208" s="18"/>
      <c r="BN208" s="3"/>
      <c r="BO208" s="315"/>
      <c r="BP208" s="3"/>
      <c r="BQ208" s="3"/>
      <c r="BR208" s="3"/>
      <c r="BS208" s="3"/>
      <c r="BT208" s="18"/>
      <c r="BU208" s="3"/>
      <c r="BV208" s="315"/>
      <c r="BW208" s="3"/>
      <c r="BX208" s="3"/>
      <c r="BY208" s="3"/>
      <c r="BZ208" s="3"/>
    </row>
    <row r="209" spans="1:82" ht="15.6" hidden="1" outlineLevel="1">
      <c r="A209" s="7"/>
      <c r="B209" s="370"/>
      <c r="C209" s="355"/>
      <c r="D209" s="356"/>
      <c r="E209" s="342"/>
      <c r="F209" s="290"/>
      <c r="G209" s="357">
        <v>0</v>
      </c>
      <c r="H209" s="358">
        <v>0</v>
      </c>
      <c r="I209" s="358">
        <v>0</v>
      </c>
      <c r="J209" s="359">
        <f t="shared" si="109"/>
        <v>0</v>
      </c>
      <c r="K209" s="290"/>
      <c r="L209" s="349"/>
      <c r="M209" s="7"/>
      <c r="N209" s="12"/>
      <c r="O209" s="12"/>
      <c r="P209" s="12"/>
      <c r="Q209" s="361"/>
      <c r="R209" s="362"/>
      <c r="S209" s="363">
        <f t="shared" si="99"/>
        <v>0</v>
      </c>
      <c r="T209" s="364">
        <f t="shared" si="100"/>
        <v>0</v>
      </c>
      <c r="U209" s="365">
        <v>0</v>
      </c>
      <c r="V209" s="91">
        <f>ROUNDUP(IFERROR(INDEX(CostRateTbl[Cost Rate],MATCH(_xlfn.CONCAT(N209,O209,P209,"NA"),CostRateTbl[KeyCostRate],0)),0)*BillingCurrencyTRM*(1+U209),2)</f>
        <v>0</v>
      </c>
      <c r="W209" s="92">
        <f t="shared" si="101"/>
        <v>0</v>
      </c>
      <c r="X209" s="366" t="e" cm="1">
        <f t="array" ref="X209">_xlfn.LET(
    _xlpm.valor, INDEX(CostRate!H:H, MATCH(1, (CostRate!A:A=N209)*1, 0)),
    _xlpm.posicion, MATCH(_xlpm.valor, FilterSL!$F$1:$Z$1, 0),
    _xlpm.direccionCompleta, ADDRESS(1, _xlpm.posicion + 5, 4),
    _xlpm.letraColumna, SUBSTITUTE(_xlpm.direccionCompleta, "1", ""),
    _xlpm.letraColumna
)</f>
        <v>#N/A</v>
      </c>
      <c r="Y209" s="366" t="e" cm="1">
        <f t="array" ref="Y209">_xlfn.LET(
    _xlpm.valor, INDEX(CostRate!I:I, MATCH(1, (CostRate!A:A=N209)*(CostRate!B:B=O209), 0)),
    _xlpm.posicion, MATCH(_xlpm.valor, FilterJP!$E$1:$FZ$1, 0),
    _xlpm.direccionCompleta, ADDRESS(1, _xlpm.posicion + 4, 4),
    _xlpm.letraColumna, SUBSTITUTE(_xlpm.direccionCompleta, "1", ""),
    _xlpm.letraColumna
)</f>
        <v>#N/A</v>
      </c>
      <c r="Z209" s="7"/>
      <c r="AA209" s="367"/>
      <c r="AB209" s="7"/>
      <c r="AC209" s="93">
        <f t="shared" si="102"/>
        <v>0</v>
      </c>
      <c r="AD209" s="94">
        <f t="shared" si="110"/>
        <v>0</v>
      </c>
      <c r="AE209" s="109">
        <f t="shared" si="111"/>
        <v>0</v>
      </c>
      <c r="AF209" s="7"/>
      <c r="AG209" s="369">
        <f t="shared" si="103"/>
        <v>0</v>
      </c>
      <c r="AH209" s="368">
        <f t="shared" si="104"/>
        <v>0</v>
      </c>
      <c r="AI209" s="7"/>
      <c r="AJ209" s="369" cm="1">
        <f t="array" ref="AJ209">IFERROR(INDEX(WHT!$C$7:$W$18,MATCH(
_xlfn.SWITCH(N209,"xDC Medellin","Colombia","xDC Belo Horizonte","Brazil","xDC Guadalajara","Mexico","xDC Gurugram","India","xDC Leon","Spain","xDC San Jose","Costa Rica","xDC Warsaw","Poland",N209),
WHT!$B$7:$B$18,0),MATCH(CustomerCountry,WHT!$C$5:$W$5,0)),0)</f>
        <v>0</v>
      </c>
      <c r="AK209" s="368">
        <f t="shared" si="105"/>
        <v>0</v>
      </c>
      <c r="AL209" s="7"/>
      <c r="AM209" s="95">
        <f t="shared" si="112"/>
        <v>0</v>
      </c>
      <c r="AN209" s="95">
        <f t="shared" si="106"/>
        <v>0</v>
      </c>
      <c r="AO209" s="95">
        <f t="shared" si="113"/>
        <v>0</v>
      </c>
      <c r="AP209" s="90"/>
      <c r="AQ209" s="18"/>
      <c r="AR209" s="290"/>
      <c r="AS209" s="467" t="s">
        <v>133</v>
      </c>
      <c r="AT209" s="501">
        <f t="shared" si="107"/>
        <v>0</v>
      </c>
      <c r="AU209" s="502"/>
      <c r="AV209" s="95">
        <f t="shared" si="114"/>
        <v>0</v>
      </c>
      <c r="AW209" s="469" t="str">
        <f t="shared" si="108"/>
        <v>N/A</v>
      </c>
      <c r="AX209" s="290"/>
      <c r="AY209" s="18"/>
      <c r="AZ209" s="3"/>
      <c r="BA209" s="315"/>
      <c r="BB209" s="3"/>
      <c r="BC209" s="3"/>
      <c r="BD209" s="3"/>
      <c r="BE209" s="3"/>
      <c r="BF209" s="18"/>
      <c r="BG209" s="3"/>
      <c r="BH209" s="315"/>
      <c r="BI209" s="3"/>
      <c r="BJ209" s="3"/>
      <c r="BK209" s="3"/>
      <c r="BL209" s="3"/>
      <c r="BM209" s="18"/>
      <c r="BN209" s="3"/>
      <c r="BO209" s="315"/>
      <c r="BP209" s="3"/>
      <c r="BQ209" s="3"/>
      <c r="BR209" s="3"/>
      <c r="BS209" s="3"/>
      <c r="BT209" s="18"/>
      <c r="BU209" s="3"/>
      <c r="BV209" s="315"/>
      <c r="BW209" s="3"/>
      <c r="BX209" s="3"/>
      <c r="BY209" s="3"/>
      <c r="BZ209" s="3"/>
    </row>
    <row r="210" spans="1:82" ht="15.6" hidden="1" outlineLevel="1">
      <c r="A210" s="7"/>
      <c r="B210" s="370"/>
      <c r="C210" s="355"/>
      <c r="D210" s="356"/>
      <c r="E210" s="342"/>
      <c r="F210" s="290"/>
      <c r="G210" s="357">
        <v>0</v>
      </c>
      <c r="H210" s="358">
        <v>0</v>
      </c>
      <c r="I210" s="358">
        <v>0</v>
      </c>
      <c r="J210" s="359">
        <f t="shared" si="109"/>
        <v>0</v>
      </c>
      <c r="K210" s="290"/>
      <c r="L210" s="349"/>
      <c r="M210" s="7"/>
      <c r="N210" s="12"/>
      <c r="O210" s="12"/>
      <c r="P210" s="12"/>
      <c r="Q210" s="361"/>
      <c r="R210" s="362"/>
      <c r="S210" s="363">
        <f t="shared" si="99"/>
        <v>0</v>
      </c>
      <c r="T210" s="364">
        <f t="shared" si="100"/>
        <v>0</v>
      </c>
      <c r="U210" s="365">
        <v>0</v>
      </c>
      <c r="V210" s="91">
        <f>ROUNDUP(IFERROR(INDEX(CostRateTbl[Cost Rate],MATCH(_xlfn.CONCAT(N210,O210,P210,"NA"),CostRateTbl[KeyCostRate],0)),0)*BillingCurrencyTRM*(1+U210),2)</f>
        <v>0</v>
      </c>
      <c r="W210" s="92">
        <f t="shared" si="101"/>
        <v>0</v>
      </c>
      <c r="X210" s="366" t="e" cm="1">
        <f t="array" ref="X210">_xlfn.LET(
    _xlpm.valor, INDEX(CostRate!H:H, MATCH(1, (CostRate!A:A=N210)*1, 0)),
    _xlpm.posicion, MATCH(_xlpm.valor, FilterSL!$F$1:$Z$1, 0),
    _xlpm.direccionCompleta, ADDRESS(1, _xlpm.posicion + 5, 4),
    _xlpm.letraColumna, SUBSTITUTE(_xlpm.direccionCompleta, "1", ""),
    _xlpm.letraColumna
)</f>
        <v>#N/A</v>
      </c>
      <c r="Y210" s="366" t="e" cm="1">
        <f t="array" ref="Y210">_xlfn.LET(
    _xlpm.valor, INDEX(CostRate!I:I, MATCH(1, (CostRate!A:A=N210)*(CostRate!B:B=O210), 0)),
    _xlpm.posicion, MATCH(_xlpm.valor, FilterJP!$E$1:$FZ$1, 0),
    _xlpm.direccionCompleta, ADDRESS(1, _xlpm.posicion + 4, 4),
    _xlpm.letraColumna, SUBSTITUTE(_xlpm.direccionCompleta, "1", ""),
    _xlpm.letraColumna
)</f>
        <v>#N/A</v>
      </c>
      <c r="Z210" s="7"/>
      <c r="AA210" s="367"/>
      <c r="AB210" s="7"/>
      <c r="AC210" s="93">
        <f t="shared" si="102"/>
        <v>0</v>
      </c>
      <c r="AD210" s="94">
        <f t="shared" si="110"/>
        <v>0</v>
      </c>
      <c r="AE210" s="109">
        <f t="shared" si="111"/>
        <v>0</v>
      </c>
      <c r="AF210" s="7"/>
      <c r="AG210" s="369">
        <f t="shared" si="103"/>
        <v>0</v>
      </c>
      <c r="AH210" s="368">
        <f t="shared" si="104"/>
        <v>0</v>
      </c>
      <c r="AI210" s="7"/>
      <c r="AJ210" s="369" cm="1">
        <f t="array" ref="AJ210">IFERROR(INDEX(WHT!$C$7:$W$18,MATCH(
_xlfn.SWITCH(N210,"xDC Medellin","Colombia","xDC Belo Horizonte","Brazil","xDC Guadalajara","Mexico","xDC Gurugram","India","xDC Leon","Spain","xDC San Jose","Costa Rica","xDC Warsaw","Poland",N210),
WHT!$B$7:$B$18,0),MATCH(CustomerCountry,WHT!$C$5:$W$5,0)),0)</f>
        <v>0</v>
      </c>
      <c r="AK210" s="368">
        <f t="shared" si="105"/>
        <v>0</v>
      </c>
      <c r="AL210" s="7"/>
      <c r="AM210" s="95">
        <f t="shared" si="112"/>
        <v>0</v>
      </c>
      <c r="AN210" s="95">
        <f t="shared" si="106"/>
        <v>0</v>
      </c>
      <c r="AO210" s="95">
        <f t="shared" si="113"/>
        <v>0</v>
      </c>
      <c r="AP210" s="90"/>
      <c r="AQ210" s="18"/>
      <c r="AR210" s="290"/>
      <c r="AS210" s="467" t="s">
        <v>133</v>
      </c>
      <c r="AT210" s="501">
        <f t="shared" si="107"/>
        <v>0</v>
      </c>
      <c r="AU210" s="502"/>
      <c r="AV210" s="95">
        <f t="shared" si="114"/>
        <v>0</v>
      </c>
      <c r="AW210" s="469" t="str">
        <f t="shared" si="108"/>
        <v>N/A</v>
      </c>
      <c r="AX210" s="290"/>
      <c r="AY210" s="18"/>
      <c r="AZ210" s="3"/>
      <c r="BA210" s="315"/>
      <c r="BB210" s="3"/>
      <c r="BC210" s="3"/>
      <c r="BD210" s="3"/>
      <c r="BE210" s="3"/>
      <c r="BF210" s="18"/>
      <c r="BG210" s="3"/>
      <c r="BH210" s="315"/>
      <c r="BI210" s="3"/>
      <c r="BJ210" s="3"/>
      <c r="BK210" s="3"/>
      <c r="BL210" s="3"/>
      <c r="BM210" s="18"/>
      <c r="BN210" s="3"/>
      <c r="BO210" s="315"/>
      <c r="BP210" s="3"/>
      <c r="BQ210" s="3"/>
      <c r="BR210" s="3"/>
      <c r="BS210" s="3"/>
      <c r="BT210" s="18"/>
      <c r="BU210" s="3"/>
      <c r="BV210" s="315"/>
      <c r="BW210" s="3"/>
      <c r="BX210" s="3"/>
      <c r="BY210" s="3"/>
      <c r="BZ210" s="3"/>
    </row>
    <row r="211" spans="1:82" ht="15.6" hidden="1" outlineLevel="1">
      <c r="A211" s="7"/>
      <c r="B211" s="370"/>
      <c r="C211" s="355"/>
      <c r="D211" s="356"/>
      <c r="E211" s="342"/>
      <c r="F211" s="290"/>
      <c r="G211" s="357">
        <v>0</v>
      </c>
      <c r="H211" s="358">
        <v>0</v>
      </c>
      <c r="I211" s="358">
        <v>0</v>
      </c>
      <c r="J211" s="359">
        <f t="shared" si="109"/>
        <v>0</v>
      </c>
      <c r="K211" s="290"/>
      <c r="L211" s="349"/>
      <c r="M211" s="7"/>
      <c r="N211" s="12"/>
      <c r="O211" s="12"/>
      <c r="P211" s="12"/>
      <c r="Q211" s="361"/>
      <c r="R211" s="362"/>
      <c r="S211" s="363">
        <f t="shared" si="99"/>
        <v>0</v>
      </c>
      <c r="T211" s="364">
        <f t="shared" si="100"/>
        <v>0</v>
      </c>
      <c r="U211" s="365">
        <v>0</v>
      </c>
      <c r="V211" s="91">
        <f>ROUNDUP(IFERROR(INDEX(CostRateTbl[Cost Rate],MATCH(_xlfn.CONCAT(N211,O211,P211,"NA"),CostRateTbl[KeyCostRate],0)),0)*BillingCurrencyTRM*(1+U211),2)</f>
        <v>0</v>
      </c>
      <c r="W211" s="92">
        <f t="shared" si="101"/>
        <v>0</v>
      </c>
      <c r="X211" s="366" t="e" cm="1">
        <f t="array" ref="X211">_xlfn.LET(
    _xlpm.valor, INDEX(CostRate!H:H, MATCH(1, (CostRate!A:A=N211)*1, 0)),
    _xlpm.posicion, MATCH(_xlpm.valor, FilterSL!$F$1:$Z$1, 0),
    _xlpm.direccionCompleta, ADDRESS(1, _xlpm.posicion + 5, 4),
    _xlpm.letraColumna, SUBSTITUTE(_xlpm.direccionCompleta, "1", ""),
    _xlpm.letraColumna
)</f>
        <v>#N/A</v>
      </c>
      <c r="Y211" s="366" t="e" cm="1">
        <f t="array" ref="Y211">_xlfn.LET(
    _xlpm.valor, INDEX(CostRate!I:I, MATCH(1, (CostRate!A:A=N211)*(CostRate!B:B=O211), 0)),
    _xlpm.posicion, MATCH(_xlpm.valor, FilterJP!$E$1:$FZ$1, 0),
    _xlpm.direccionCompleta, ADDRESS(1, _xlpm.posicion + 4, 4),
    _xlpm.letraColumna, SUBSTITUTE(_xlpm.direccionCompleta, "1", ""),
    _xlpm.letraColumna
)</f>
        <v>#N/A</v>
      </c>
      <c r="Z211" s="7"/>
      <c r="AA211" s="367"/>
      <c r="AB211" s="7"/>
      <c r="AC211" s="93">
        <f t="shared" si="102"/>
        <v>0</v>
      </c>
      <c r="AD211" s="94">
        <f t="shared" si="110"/>
        <v>0</v>
      </c>
      <c r="AE211" s="109">
        <f t="shared" si="111"/>
        <v>0</v>
      </c>
      <c r="AF211" s="7"/>
      <c r="AG211" s="369">
        <f t="shared" si="103"/>
        <v>0</v>
      </c>
      <c r="AH211" s="368">
        <f t="shared" si="104"/>
        <v>0</v>
      </c>
      <c r="AI211" s="7"/>
      <c r="AJ211" s="369" cm="1">
        <f t="array" ref="AJ211">IFERROR(INDEX(WHT!$C$7:$W$18,MATCH(
_xlfn.SWITCH(N211,"xDC Medellin","Colombia","xDC Belo Horizonte","Brazil","xDC Guadalajara","Mexico","xDC Gurugram","India","xDC Leon","Spain","xDC San Jose","Costa Rica","xDC Warsaw","Poland",N211),
WHT!$B$7:$B$18,0),MATCH(CustomerCountry,WHT!$C$5:$W$5,0)),0)</f>
        <v>0</v>
      </c>
      <c r="AK211" s="368">
        <f t="shared" si="105"/>
        <v>0</v>
      </c>
      <c r="AL211" s="7"/>
      <c r="AM211" s="95">
        <f t="shared" si="112"/>
        <v>0</v>
      </c>
      <c r="AN211" s="95">
        <f t="shared" si="106"/>
        <v>0</v>
      </c>
      <c r="AO211" s="95">
        <f t="shared" si="113"/>
        <v>0</v>
      </c>
      <c r="AP211" s="90"/>
      <c r="AQ211" s="18"/>
      <c r="AR211" s="290"/>
      <c r="AS211" s="467" t="s">
        <v>133</v>
      </c>
      <c r="AT211" s="501">
        <f t="shared" si="107"/>
        <v>0</v>
      </c>
      <c r="AU211" s="502"/>
      <c r="AV211" s="95">
        <f t="shared" si="114"/>
        <v>0</v>
      </c>
      <c r="AW211" s="469" t="str">
        <f t="shared" si="108"/>
        <v>N/A</v>
      </c>
      <c r="AX211" s="290"/>
      <c r="AY211" s="18"/>
      <c r="AZ211" s="3"/>
      <c r="BA211" s="315"/>
      <c r="BB211" s="3"/>
      <c r="BC211" s="3"/>
      <c r="BD211" s="3"/>
      <c r="BE211" s="3"/>
      <c r="BF211" s="18"/>
      <c r="BG211" s="3"/>
      <c r="BH211" s="315"/>
      <c r="BI211" s="3"/>
      <c r="BJ211" s="3"/>
      <c r="BK211" s="3"/>
      <c r="BL211" s="3"/>
      <c r="BM211" s="18"/>
      <c r="BN211" s="3"/>
      <c r="BO211" s="315"/>
      <c r="BP211" s="3"/>
      <c r="BQ211" s="3"/>
      <c r="BR211" s="3"/>
      <c r="BS211" s="3"/>
      <c r="BT211" s="18"/>
      <c r="BU211" s="3"/>
      <c r="BV211" s="315"/>
      <c r="BW211" s="3"/>
      <c r="BX211" s="3"/>
      <c r="BY211" s="3"/>
      <c r="BZ211" s="3"/>
    </row>
    <row r="212" spans="1:82" ht="15.6" hidden="1" outlineLevel="1">
      <c r="A212" s="7"/>
      <c r="B212" s="370"/>
      <c r="C212" s="355"/>
      <c r="D212" s="356"/>
      <c r="E212" s="342"/>
      <c r="F212" s="290"/>
      <c r="G212" s="357">
        <v>0</v>
      </c>
      <c r="H212" s="358">
        <v>0</v>
      </c>
      <c r="I212" s="358">
        <v>0</v>
      </c>
      <c r="J212" s="359">
        <f t="shared" si="109"/>
        <v>0</v>
      </c>
      <c r="K212" s="290"/>
      <c r="L212" s="349"/>
      <c r="M212" s="7"/>
      <c r="N212" s="12"/>
      <c r="O212" s="12"/>
      <c r="P212" s="12"/>
      <c r="Q212" s="361"/>
      <c r="R212" s="362"/>
      <c r="S212" s="363">
        <f t="shared" si="99"/>
        <v>0</v>
      </c>
      <c r="T212" s="364">
        <f t="shared" si="100"/>
        <v>0</v>
      </c>
      <c r="U212" s="365">
        <v>0</v>
      </c>
      <c r="V212" s="91">
        <f>ROUNDUP(IFERROR(INDEX(CostRateTbl[Cost Rate],MATCH(_xlfn.CONCAT(N212,O212,P212,"NA"),CostRateTbl[KeyCostRate],0)),0)*BillingCurrencyTRM*(1+U212),2)</f>
        <v>0</v>
      </c>
      <c r="W212" s="92">
        <f t="shared" si="101"/>
        <v>0</v>
      </c>
      <c r="X212" s="366" t="e" cm="1">
        <f t="array" ref="X212">_xlfn.LET(
    _xlpm.valor, INDEX(CostRate!H:H, MATCH(1, (CostRate!A:A=N212)*1, 0)),
    _xlpm.posicion, MATCH(_xlpm.valor, FilterSL!$F$1:$Z$1, 0),
    _xlpm.direccionCompleta, ADDRESS(1, _xlpm.posicion + 5, 4),
    _xlpm.letraColumna, SUBSTITUTE(_xlpm.direccionCompleta, "1", ""),
    _xlpm.letraColumna
)</f>
        <v>#N/A</v>
      </c>
      <c r="Y212" s="366" t="e" cm="1">
        <f t="array" ref="Y212">_xlfn.LET(
    _xlpm.valor, INDEX(CostRate!I:I, MATCH(1, (CostRate!A:A=N212)*(CostRate!B:B=O212), 0)),
    _xlpm.posicion, MATCH(_xlpm.valor, FilterJP!$E$1:$FZ$1, 0),
    _xlpm.direccionCompleta, ADDRESS(1, _xlpm.posicion + 4, 4),
    _xlpm.letraColumna, SUBSTITUTE(_xlpm.direccionCompleta, "1", ""),
    _xlpm.letraColumna
)</f>
        <v>#N/A</v>
      </c>
      <c r="Z212" s="7"/>
      <c r="AA212" s="367"/>
      <c r="AB212" s="7"/>
      <c r="AC212" s="93">
        <f t="shared" si="102"/>
        <v>0</v>
      </c>
      <c r="AD212" s="94">
        <f t="shared" si="110"/>
        <v>0</v>
      </c>
      <c r="AE212" s="109">
        <f t="shared" si="111"/>
        <v>0</v>
      </c>
      <c r="AF212" s="7"/>
      <c r="AG212" s="369">
        <f t="shared" si="103"/>
        <v>0</v>
      </c>
      <c r="AH212" s="368">
        <f t="shared" si="104"/>
        <v>0</v>
      </c>
      <c r="AI212" s="7"/>
      <c r="AJ212" s="369" cm="1">
        <f t="array" ref="AJ212">IFERROR(INDEX(WHT!$C$7:$W$18,MATCH(
_xlfn.SWITCH(N212,"xDC Medellin","Colombia","xDC Belo Horizonte","Brazil","xDC Guadalajara","Mexico","xDC Gurugram","India","xDC Leon","Spain","xDC San Jose","Costa Rica","xDC Warsaw","Poland",N212),
WHT!$B$7:$B$18,0),MATCH(CustomerCountry,WHT!$C$5:$W$5,0)),0)</f>
        <v>0</v>
      </c>
      <c r="AK212" s="368">
        <f t="shared" si="105"/>
        <v>0</v>
      </c>
      <c r="AL212" s="7"/>
      <c r="AM212" s="95">
        <f t="shared" si="112"/>
        <v>0</v>
      </c>
      <c r="AN212" s="95">
        <f t="shared" si="106"/>
        <v>0</v>
      </c>
      <c r="AO212" s="95">
        <f t="shared" si="113"/>
        <v>0</v>
      </c>
      <c r="AP212" s="90"/>
      <c r="AQ212" s="18"/>
      <c r="AR212" s="290"/>
      <c r="AS212" s="467" t="s">
        <v>133</v>
      </c>
      <c r="AT212" s="501">
        <f t="shared" si="107"/>
        <v>0</v>
      </c>
      <c r="AU212" s="502"/>
      <c r="AV212" s="95">
        <f t="shared" si="114"/>
        <v>0</v>
      </c>
      <c r="AW212" s="469" t="str">
        <f t="shared" si="108"/>
        <v>N/A</v>
      </c>
      <c r="AX212" s="290"/>
      <c r="AY212" s="18"/>
      <c r="AZ212" s="3"/>
      <c r="BA212" s="315"/>
      <c r="BB212" s="3"/>
      <c r="BC212" s="3"/>
      <c r="BD212" s="3"/>
      <c r="BE212" s="3"/>
      <c r="BF212" s="18"/>
      <c r="BG212" s="3"/>
      <c r="BH212" s="315"/>
      <c r="BI212" s="3"/>
      <c r="BJ212" s="3"/>
      <c r="BK212" s="3"/>
      <c r="BL212" s="3"/>
      <c r="BM212" s="18"/>
      <c r="BN212" s="3"/>
      <c r="BO212" s="315"/>
      <c r="BP212" s="3"/>
      <c r="BQ212" s="3"/>
      <c r="BR212" s="3"/>
      <c r="BS212" s="3"/>
      <c r="BT212" s="18"/>
      <c r="BU212" s="3"/>
      <c r="BV212" s="315"/>
      <c r="BW212" s="3"/>
      <c r="BX212" s="3"/>
      <c r="BY212" s="3"/>
      <c r="BZ212" s="3"/>
    </row>
    <row r="213" spans="1:82" ht="15.6" hidden="1" outlineLevel="1">
      <c r="A213" s="7"/>
      <c r="B213" s="370"/>
      <c r="C213" s="355"/>
      <c r="D213" s="356"/>
      <c r="E213" s="342"/>
      <c r="F213" s="290"/>
      <c r="G213" s="357">
        <v>0</v>
      </c>
      <c r="H213" s="358">
        <v>0</v>
      </c>
      <c r="I213" s="358">
        <v>0</v>
      </c>
      <c r="J213" s="359">
        <f t="shared" si="109"/>
        <v>0</v>
      </c>
      <c r="K213" s="290"/>
      <c r="L213" s="349"/>
      <c r="M213" s="7"/>
      <c r="N213" s="12"/>
      <c r="O213" s="12"/>
      <c r="P213" s="12"/>
      <c r="Q213" s="361"/>
      <c r="R213" s="362"/>
      <c r="S213" s="363">
        <f t="shared" si="99"/>
        <v>0</v>
      </c>
      <c r="T213" s="364">
        <f t="shared" si="100"/>
        <v>0</v>
      </c>
      <c r="U213" s="365">
        <v>0</v>
      </c>
      <c r="V213" s="91">
        <f>ROUNDUP(IFERROR(INDEX(CostRateTbl[Cost Rate],MATCH(_xlfn.CONCAT(N213,O213,P213,"NA"),CostRateTbl[KeyCostRate],0)),0)*BillingCurrencyTRM*(1+U213),2)</f>
        <v>0</v>
      </c>
      <c r="W213" s="92">
        <f t="shared" si="101"/>
        <v>0</v>
      </c>
      <c r="X213" s="366" t="e" cm="1">
        <f t="array" ref="X213">_xlfn.LET(
    _xlpm.valor, INDEX(CostRate!H:H, MATCH(1, (CostRate!A:A=N213)*1, 0)),
    _xlpm.posicion, MATCH(_xlpm.valor, FilterSL!$F$1:$Z$1, 0),
    _xlpm.direccionCompleta, ADDRESS(1, _xlpm.posicion + 5, 4),
    _xlpm.letraColumna, SUBSTITUTE(_xlpm.direccionCompleta, "1", ""),
    _xlpm.letraColumna
)</f>
        <v>#N/A</v>
      </c>
      <c r="Y213" s="366" t="e" cm="1">
        <f t="array" ref="Y213">_xlfn.LET(
    _xlpm.valor, INDEX(CostRate!I:I, MATCH(1, (CostRate!A:A=N213)*(CostRate!B:B=O213), 0)),
    _xlpm.posicion, MATCH(_xlpm.valor, FilterJP!$E$1:$FZ$1, 0),
    _xlpm.direccionCompleta, ADDRESS(1, _xlpm.posicion + 4, 4),
    _xlpm.letraColumna, SUBSTITUTE(_xlpm.direccionCompleta, "1", ""),
    _xlpm.letraColumna
)</f>
        <v>#N/A</v>
      </c>
      <c r="Z213" s="7"/>
      <c r="AA213" s="367"/>
      <c r="AB213" s="7"/>
      <c r="AC213" s="93">
        <f t="shared" si="102"/>
        <v>0</v>
      </c>
      <c r="AD213" s="94">
        <f t="shared" si="110"/>
        <v>0</v>
      </c>
      <c r="AE213" s="109">
        <f t="shared" si="111"/>
        <v>0</v>
      </c>
      <c r="AF213" s="7"/>
      <c r="AG213" s="369">
        <f t="shared" si="103"/>
        <v>0</v>
      </c>
      <c r="AH213" s="368">
        <f t="shared" si="104"/>
        <v>0</v>
      </c>
      <c r="AI213" s="7"/>
      <c r="AJ213" s="369" cm="1">
        <f t="array" ref="AJ213">IFERROR(INDEX(WHT!$C$7:$W$18,MATCH(
_xlfn.SWITCH(N213,"xDC Medellin","Colombia","xDC Belo Horizonte","Brazil","xDC Guadalajara","Mexico","xDC Gurugram","India","xDC Leon","Spain","xDC San Jose","Costa Rica","xDC Warsaw","Poland",N213),
WHT!$B$7:$B$18,0),MATCH(CustomerCountry,WHT!$C$5:$W$5,0)),0)</f>
        <v>0</v>
      </c>
      <c r="AK213" s="368">
        <f t="shared" si="105"/>
        <v>0</v>
      </c>
      <c r="AL213" s="7"/>
      <c r="AM213" s="95">
        <f t="shared" si="112"/>
        <v>0</v>
      </c>
      <c r="AN213" s="95">
        <f t="shared" si="106"/>
        <v>0</v>
      </c>
      <c r="AO213" s="95">
        <f t="shared" si="113"/>
        <v>0</v>
      </c>
      <c r="AP213" s="90"/>
      <c r="AQ213" s="18"/>
      <c r="AR213" s="290"/>
      <c r="AS213" s="467" t="s">
        <v>133</v>
      </c>
      <c r="AT213" s="501">
        <f t="shared" si="107"/>
        <v>0</v>
      </c>
      <c r="AU213" s="502"/>
      <c r="AV213" s="95">
        <f t="shared" si="114"/>
        <v>0</v>
      </c>
      <c r="AW213" s="469" t="str">
        <f t="shared" si="108"/>
        <v>N/A</v>
      </c>
      <c r="AX213" s="290"/>
      <c r="AY213" s="18"/>
      <c r="AZ213" s="3"/>
      <c r="BA213" s="315"/>
      <c r="BB213" s="3"/>
      <c r="BC213" s="3"/>
      <c r="BD213" s="3"/>
      <c r="BE213" s="3"/>
      <c r="BF213" s="18"/>
      <c r="BG213" s="3"/>
      <c r="BH213" s="315"/>
      <c r="BI213" s="3"/>
      <c r="BJ213" s="3"/>
      <c r="BK213" s="3"/>
      <c r="BL213" s="3"/>
      <c r="BM213" s="18"/>
      <c r="BN213" s="3"/>
      <c r="BO213" s="315"/>
      <c r="BP213" s="3"/>
      <c r="BQ213" s="3"/>
      <c r="BR213" s="3"/>
      <c r="BS213" s="3"/>
      <c r="BT213" s="18"/>
      <c r="BU213" s="3"/>
      <c r="BV213" s="315"/>
      <c r="BW213" s="3"/>
      <c r="BX213" s="3"/>
      <c r="BY213" s="3"/>
      <c r="BZ213" s="3"/>
    </row>
    <row r="214" spans="1:82" ht="15.6" hidden="1" outlineLevel="1">
      <c r="A214" s="7"/>
      <c r="B214" s="370"/>
      <c r="C214" s="355"/>
      <c r="D214" s="356"/>
      <c r="E214" s="342"/>
      <c r="F214" s="290"/>
      <c r="G214" s="357">
        <v>0</v>
      </c>
      <c r="H214" s="358">
        <v>0</v>
      </c>
      <c r="I214" s="358">
        <v>0</v>
      </c>
      <c r="J214" s="359">
        <f t="shared" si="109"/>
        <v>0</v>
      </c>
      <c r="K214" s="290"/>
      <c r="L214" s="349"/>
      <c r="M214" s="7"/>
      <c r="N214" s="12"/>
      <c r="O214" s="12"/>
      <c r="P214" s="12"/>
      <c r="Q214" s="361"/>
      <c r="R214" s="362"/>
      <c r="S214" s="363">
        <f t="shared" si="99"/>
        <v>0</v>
      </c>
      <c r="T214" s="364">
        <f t="shared" si="100"/>
        <v>0</v>
      </c>
      <c r="U214" s="365">
        <v>0</v>
      </c>
      <c r="V214" s="91">
        <f>ROUNDUP(IFERROR(INDEX(CostRateTbl[Cost Rate],MATCH(_xlfn.CONCAT(N214,O214,P214,"NA"),CostRateTbl[KeyCostRate],0)),0)*BillingCurrencyTRM*(1+U214),2)</f>
        <v>0</v>
      </c>
      <c r="W214" s="92">
        <f t="shared" si="101"/>
        <v>0</v>
      </c>
      <c r="X214" s="366" t="e" cm="1">
        <f t="array" ref="X214">_xlfn.LET(
    _xlpm.valor, INDEX(CostRate!H:H, MATCH(1, (CostRate!A:A=N214)*1, 0)),
    _xlpm.posicion, MATCH(_xlpm.valor, FilterSL!$F$1:$Z$1, 0),
    _xlpm.direccionCompleta, ADDRESS(1, _xlpm.posicion + 5, 4),
    _xlpm.letraColumna, SUBSTITUTE(_xlpm.direccionCompleta, "1", ""),
    _xlpm.letraColumna
)</f>
        <v>#N/A</v>
      </c>
      <c r="Y214" s="366" t="e" cm="1">
        <f t="array" ref="Y214">_xlfn.LET(
    _xlpm.valor, INDEX(CostRate!I:I, MATCH(1, (CostRate!A:A=N214)*(CostRate!B:B=O214), 0)),
    _xlpm.posicion, MATCH(_xlpm.valor, FilterJP!$E$1:$FZ$1, 0),
    _xlpm.direccionCompleta, ADDRESS(1, _xlpm.posicion + 4, 4),
    _xlpm.letraColumna, SUBSTITUTE(_xlpm.direccionCompleta, "1", ""),
    _xlpm.letraColumna
)</f>
        <v>#N/A</v>
      </c>
      <c r="Z214" s="7"/>
      <c r="AA214" s="367"/>
      <c r="AB214" s="7"/>
      <c r="AC214" s="93">
        <f t="shared" si="102"/>
        <v>0</v>
      </c>
      <c r="AD214" s="94">
        <f t="shared" si="110"/>
        <v>0</v>
      </c>
      <c r="AE214" s="109">
        <f t="shared" si="111"/>
        <v>0</v>
      </c>
      <c r="AF214" s="7"/>
      <c r="AG214" s="369">
        <f t="shared" si="103"/>
        <v>0</v>
      </c>
      <c r="AH214" s="368">
        <f t="shared" si="104"/>
        <v>0</v>
      </c>
      <c r="AI214" s="7"/>
      <c r="AJ214" s="369" cm="1">
        <f t="array" ref="AJ214">IFERROR(INDEX(WHT!$C$7:$W$18,MATCH(
_xlfn.SWITCH(N214,"xDC Medellin","Colombia","xDC Belo Horizonte","Brazil","xDC Guadalajara","Mexico","xDC Gurugram","India","xDC Leon","Spain","xDC San Jose","Costa Rica","xDC Warsaw","Poland",N214),
WHT!$B$7:$B$18,0),MATCH(CustomerCountry,WHT!$C$5:$W$5,0)),0)</f>
        <v>0</v>
      </c>
      <c r="AK214" s="368">
        <f t="shared" si="105"/>
        <v>0</v>
      </c>
      <c r="AL214" s="7"/>
      <c r="AM214" s="95">
        <f t="shared" si="112"/>
        <v>0</v>
      </c>
      <c r="AN214" s="95">
        <f t="shared" si="106"/>
        <v>0</v>
      </c>
      <c r="AO214" s="95">
        <f t="shared" si="113"/>
        <v>0</v>
      </c>
      <c r="AP214" s="90"/>
      <c r="AQ214" s="18"/>
      <c r="AR214" s="290"/>
      <c r="AS214" s="467" t="s">
        <v>133</v>
      </c>
      <c r="AT214" s="501">
        <f t="shared" si="107"/>
        <v>0</v>
      </c>
      <c r="AU214" s="502"/>
      <c r="AV214" s="95">
        <f t="shared" si="114"/>
        <v>0</v>
      </c>
      <c r="AW214" s="469" t="str">
        <f t="shared" si="108"/>
        <v>N/A</v>
      </c>
      <c r="AX214" s="290"/>
      <c r="AY214" s="18"/>
      <c r="AZ214" s="3"/>
      <c r="BA214" s="315"/>
      <c r="BB214" s="3"/>
      <c r="BC214" s="3"/>
      <c r="BD214" s="3"/>
      <c r="BE214" s="3"/>
      <c r="BF214" s="18"/>
      <c r="BG214" s="3"/>
      <c r="BH214" s="315"/>
      <c r="BI214" s="3"/>
      <c r="BJ214" s="3"/>
      <c r="BK214" s="3"/>
      <c r="BL214" s="3"/>
      <c r="BM214" s="18"/>
      <c r="BN214" s="3"/>
      <c r="BO214" s="315"/>
      <c r="BP214" s="3"/>
      <c r="BQ214" s="3"/>
      <c r="BR214" s="3"/>
      <c r="BS214" s="3"/>
      <c r="BT214" s="18"/>
      <c r="BU214" s="3"/>
      <c r="BV214" s="315"/>
      <c r="BW214" s="3"/>
      <c r="BX214" s="3"/>
      <c r="BY214" s="3"/>
      <c r="BZ214" s="3"/>
    </row>
    <row r="215" spans="1:82" ht="15.6" hidden="1" outlineLevel="1">
      <c r="A215" s="7"/>
      <c r="B215" s="370"/>
      <c r="C215" s="355"/>
      <c r="D215" s="356"/>
      <c r="E215" s="342"/>
      <c r="F215" s="290"/>
      <c r="G215" s="357">
        <v>0</v>
      </c>
      <c r="H215" s="358">
        <v>0</v>
      </c>
      <c r="I215" s="358">
        <v>0</v>
      </c>
      <c r="J215" s="359">
        <f t="shared" si="109"/>
        <v>0</v>
      </c>
      <c r="K215" s="290"/>
      <c r="L215" s="349"/>
      <c r="M215" s="7"/>
      <c r="N215" s="12"/>
      <c r="O215" s="12"/>
      <c r="P215" s="12"/>
      <c r="Q215" s="361"/>
      <c r="R215" s="362"/>
      <c r="S215" s="363">
        <f t="shared" si="99"/>
        <v>0</v>
      </c>
      <c r="T215" s="364">
        <f t="shared" si="100"/>
        <v>0</v>
      </c>
      <c r="U215" s="365">
        <v>0</v>
      </c>
      <c r="V215" s="91">
        <f>ROUNDUP(IFERROR(INDEX(CostRateTbl[Cost Rate],MATCH(_xlfn.CONCAT(N215,O215,P215,"NA"),CostRateTbl[KeyCostRate],0)),0)*BillingCurrencyTRM*(1+U215),2)</f>
        <v>0</v>
      </c>
      <c r="W215" s="92">
        <f t="shared" si="101"/>
        <v>0</v>
      </c>
      <c r="X215" s="366" t="e" cm="1">
        <f t="array" ref="X215">_xlfn.LET(
    _xlpm.valor, INDEX(CostRate!H:H, MATCH(1, (CostRate!A:A=N215)*1, 0)),
    _xlpm.posicion, MATCH(_xlpm.valor, FilterSL!$F$1:$Z$1, 0),
    _xlpm.direccionCompleta, ADDRESS(1, _xlpm.posicion + 5, 4),
    _xlpm.letraColumna, SUBSTITUTE(_xlpm.direccionCompleta, "1", ""),
    _xlpm.letraColumna
)</f>
        <v>#N/A</v>
      </c>
      <c r="Y215" s="366" t="e" cm="1">
        <f t="array" ref="Y215">_xlfn.LET(
    _xlpm.valor, INDEX(CostRate!I:I, MATCH(1, (CostRate!A:A=N215)*(CostRate!B:B=O215), 0)),
    _xlpm.posicion, MATCH(_xlpm.valor, FilterJP!$E$1:$FZ$1, 0),
    _xlpm.direccionCompleta, ADDRESS(1, _xlpm.posicion + 4, 4),
    _xlpm.letraColumna, SUBSTITUTE(_xlpm.direccionCompleta, "1", ""),
    _xlpm.letraColumna
)</f>
        <v>#N/A</v>
      </c>
      <c r="Z215" s="7"/>
      <c r="AA215" s="367"/>
      <c r="AB215" s="7"/>
      <c r="AC215" s="93">
        <f t="shared" si="102"/>
        <v>0</v>
      </c>
      <c r="AD215" s="94">
        <f t="shared" si="110"/>
        <v>0</v>
      </c>
      <c r="AE215" s="109">
        <f t="shared" si="111"/>
        <v>0</v>
      </c>
      <c r="AF215" s="7"/>
      <c r="AG215" s="369">
        <f t="shared" si="103"/>
        <v>0</v>
      </c>
      <c r="AH215" s="368">
        <f t="shared" si="104"/>
        <v>0</v>
      </c>
      <c r="AI215" s="7"/>
      <c r="AJ215" s="369" cm="1">
        <f t="array" ref="AJ215">IFERROR(INDEX(WHT!$C$7:$W$18,MATCH(
_xlfn.SWITCH(N215,"xDC Medellin","Colombia","xDC Belo Horizonte","Brazil","xDC Guadalajara","Mexico","xDC Gurugram","India","xDC Leon","Spain","xDC San Jose","Costa Rica","xDC Warsaw","Poland",N215),
WHT!$B$7:$B$18,0),MATCH(CustomerCountry,WHT!$C$5:$W$5,0)),0)</f>
        <v>0</v>
      </c>
      <c r="AK215" s="368">
        <f t="shared" si="105"/>
        <v>0</v>
      </c>
      <c r="AL215" s="7"/>
      <c r="AM215" s="95">
        <f t="shared" si="112"/>
        <v>0</v>
      </c>
      <c r="AN215" s="95">
        <f t="shared" si="106"/>
        <v>0</v>
      </c>
      <c r="AO215" s="95">
        <f t="shared" si="113"/>
        <v>0</v>
      </c>
      <c r="AP215" s="90"/>
      <c r="AQ215" s="18"/>
      <c r="AR215" s="290"/>
      <c r="AS215" s="467" t="s">
        <v>133</v>
      </c>
      <c r="AT215" s="501">
        <f t="shared" si="107"/>
        <v>0</v>
      </c>
      <c r="AU215" s="502"/>
      <c r="AV215" s="95">
        <f t="shared" si="114"/>
        <v>0</v>
      </c>
      <c r="AW215" s="469" t="str">
        <f t="shared" si="108"/>
        <v>N/A</v>
      </c>
      <c r="AX215" s="290"/>
      <c r="AY215" s="18"/>
      <c r="AZ215" s="3"/>
      <c r="BA215" s="315"/>
      <c r="BB215" s="3"/>
      <c r="BC215" s="3"/>
      <c r="BD215" s="3"/>
      <c r="BE215" s="3"/>
      <c r="BF215" s="18"/>
      <c r="BG215" s="3"/>
      <c r="BH215" s="315"/>
      <c r="BI215" s="3"/>
      <c r="BJ215" s="3"/>
      <c r="BK215" s="3"/>
      <c r="BL215" s="3"/>
      <c r="BM215" s="18"/>
      <c r="BN215" s="3"/>
      <c r="BO215" s="315"/>
      <c r="BP215" s="3"/>
      <c r="BQ215" s="3"/>
      <c r="BR215" s="3"/>
      <c r="BS215" s="3"/>
      <c r="BT215" s="18"/>
      <c r="BU215" s="3"/>
      <c r="BV215" s="315"/>
      <c r="BW215" s="3"/>
      <c r="BX215" s="3"/>
      <c r="BY215" s="3"/>
      <c r="BZ215" s="3"/>
    </row>
    <row r="216" spans="1:82" ht="15.6" hidden="1" outlineLevel="1">
      <c r="A216" s="7"/>
      <c r="B216" s="370"/>
      <c r="C216" s="355"/>
      <c r="D216" s="356"/>
      <c r="E216" s="342"/>
      <c r="F216" s="290"/>
      <c r="G216" s="373">
        <v>0</v>
      </c>
      <c r="H216" s="374">
        <v>0</v>
      </c>
      <c r="I216" s="374">
        <v>0</v>
      </c>
      <c r="J216" s="375">
        <f t="shared" si="109"/>
        <v>0</v>
      </c>
      <c r="K216" s="290"/>
      <c r="L216" s="349"/>
      <c r="M216" s="7"/>
      <c r="N216" s="12"/>
      <c r="O216" s="12"/>
      <c r="P216" s="12"/>
      <c r="Q216" s="361"/>
      <c r="R216" s="362"/>
      <c r="S216" s="363">
        <f t="shared" si="99"/>
        <v>0</v>
      </c>
      <c r="T216" s="364">
        <f t="shared" si="100"/>
        <v>0</v>
      </c>
      <c r="U216" s="365">
        <v>0</v>
      </c>
      <c r="V216" s="91">
        <f>ROUNDUP(IFERROR(INDEX(CostRateTbl[Cost Rate],MATCH(_xlfn.CONCAT(N216,O216,P216,"NA"),CostRateTbl[KeyCostRate],0)),0)*BillingCurrencyTRM*(1+U216),2)</f>
        <v>0</v>
      </c>
      <c r="W216" s="92">
        <f t="shared" si="101"/>
        <v>0</v>
      </c>
      <c r="X216" s="366" t="e" cm="1">
        <f t="array" ref="X216">_xlfn.LET(
    _xlpm.valor, INDEX(CostRate!H:H, MATCH(1, (CostRate!A:A=N216)*1, 0)),
    _xlpm.posicion, MATCH(_xlpm.valor, FilterSL!$F$1:$Z$1, 0),
    _xlpm.direccionCompleta, ADDRESS(1, _xlpm.posicion + 5, 4),
    _xlpm.letraColumna, SUBSTITUTE(_xlpm.direccionCompleta, "1", ""),
    _xlpm.letraColumna
)</f>
        <v>#N/A</v>
      </c>
      <c r="Y216" s="366" t="e" cm="1">
        <f t="array" ref="Y216">_xlfn.LET(
    _xlpm.valor, INDEX(CostRate!I:I, MATCH(1, (CostRate!A:A=N216)*(CostRate!B:B=O216), 0)),
    _xlpm.posicion, MATCH(_xlpm.valor, FilterJP!$E$1:$FZ$1, 0),
    _xlpm.direccionCompleta, ADDRESS(1, _xlpm.posicion + 4, 4),
    _xlpm.letraColumna, SUBSTITUTE(_xlpm.direccionCompleta, "1", ""),
    _xlpm.letraColumna
)</f>
        <v>#N/A</v>
      </c>
      <c r="Z216" s="7"/>
      <c r="AA216" s="367"/>
      <c r="AB216" s="7"/>
      <c r="AC216" s="93">
        <f t="shared" si="102"/>
        <v>0</v>
      </c>
      <c r="AD216" s="94">
        <f t="shared" si="110"/>
        <v>0</v>
      </c>
      <c r="AE216" s="109">
        <f t="shared" si="111"/>
        <v>0</v>
      </c>
      <c r="AF216" s="7"/>
      <c r="AG216" s="369">
        <f t="shared" si="103"/>
        <v>0</v>
      </c>
      <c r="AH216" s="368">
        <f t="shared" si="104"/>
        <v>0</v>
      </c>
      <c r="AI216" s="7"/>
      <c r="AJ216" s="369" cm="1">
        <f t="array" ref="AJ216">IFERROR(INDEX(WHT!$C$7:$W$18,MATCH(
_xlfn.SWITCH(N216,"xDC Medellin","Colombia","xDC Belo Horizonte","Brazil","xDC Guadalajara","Mexico","xDC Gurugram","India","xDC Leon","Spain","xDC San Jose","Costa Rica","xDC Warsaw","Poland",N216),
WHT!$B$7:$B$18,0),MATCH(CustomerCountry,WHT!$C$5:$W$5,0)),0)</f>
        <v>0</v>
      </c>
      <c r="AK216" s="368">
        <f t="shared" si="105"/>
        <v>0</v>
      </c>
      <c r="AL216" s="7"/>
      <c r="AM216" s="95">
        <f t="shared" si="112"/>
        <v>0</v>
      </c>
      <c r="AN216" s="95">
        <f t="shared" si="106"/>
        <v>0</v>
      </c>
      <c r="AO216" s="95">
        <f t="shared" si="113"/>
        <v>0</v>
      </c>
      <c r="AP216" s="90"/>
      <c r="AQ216" s="18"/>
      <c r="AR216" s="290"/>
      <c r="AS216" s="467" t="s">
        <v>133</v>
      </c>
      <c r="AT216" s="501">
        <f t="shared" si="107"/>
        <v>0</v>
      </c>
      <c r="AU216" s="502"/>
      <c r="AV216" s="95">
        <f t="shared" si="114"/>
        <v>0</v>
      </c>
      <c r="AW216" s="469" t="str">
        <f t="shared" si="108"/>
        <v>N/A</v>
      </c>
      <c r="AX216" s="290"/>
      <c r="AY216" s="18"/>
      <c r="AZ216" s="3"/>
      <c r="BA216" s="315"/>
      <c r="BB216" s="3"/>
      <c r="BC216" s="3"/>
      <c r="BD216" s="3"/>
      <c r="BE216" s="3"/>
      <c r="BF216" s="18"/>
      <c r="BG216" s="3"/>
      <c r="BH216" s="315"/>
      <c r="BI216" s="3"/>
      <c r="BJ216" s="3"/>
      <c r="BK216" s="3"/>
      <c r="BL216" s="3"/>
      <c r="BM216" s="18"/>
      <c r="BN216" s="3"/>
      <c r="BO216" s="315"/>
      <c r="BP216" s="3"/>
      <c r="BQ216" s="3"/>
      <c r="BR216" s="3"/>
      <c r="BS216" s="3"/>
      <c r="BT216" s="18"/>
      <c r="BU216" s="3"/>
      <c r="BV216" s="315"/>
      <c r="BW216" s="3"/>
      <c r="BX216" s="3"/>
      <c r="BY216" s="3"/>
      <c r="BZ216" s="3"/>
    </row>
    <row r="217" spans="1:82" ht="15.6" hidden="1" outlineLevel="1">
      <c r="A217" s="7"/>
      <c r="B217" s="372"/>
      <c r="C217" s="355"/>
      <c r="D217" s="356"/>
      <c r="E217" s="342"/>
      <c r="F217" s="290"/>
      <c r="G217" s="373">
        <v>0</v>
      </c>
      <c r="H217" s="374">
        <v>0</v>
      </c>
      <c r="I217" s="374">
        <v>0</v>
      </c>
      <c r="J217" s="375">
        <f t="shared" si="109"/>
        <v>0</v>
      </c>
      <c r="K217" s="290"/>
      <c r="L217" s="349"/>
      <c r="M217" s="7"/>
      <c r="N217" s="12"/>
      <c r="O217" s="12"/>
      <c r="P217" s="12"/>
      <c r="Q217" s="361"/>
      <c r="R217" s="362"/>
      <c r="S217" s="363">
        <f t="shared" si="99"/>
        <v>0</v>
      </c>
      <c r="T217" s="364">
        <f t="shared" si="100"/>
        <v>0</v>
      </c>
      <c r="U217" s="365">
        <v>0</v>
      </c>
      <c r="V217" s="91">
        <f>ROUNDUP(IFERROR(INDEX(CostRateTbl[Cost Rate],MATCH(_xlfn.CONCAT(N217,O217,P217,"NA"),CostRateTbl[KeyCostRate],0)),0)*BillingCurrencyTRM*(1+U217),2)</f>
        <v>0</v>
      </c>
      <c r="W217" s="92">
        <f t="shared" si="101"/>
        <v>0</v>
      </c>
      <c r="X217" s="366" t="e" cm="1">
        <f t="array" ref="X217">_xlfn.LET(
    _xlpm.valor, INDEX(CostRate!H:H, MATCH(1, (CostRate!A:A=N217)*1, 0)),
    _xlpm.posicion, MATCH(_xlpm.valor, FilterSL!$F$1:$Z$1, 0),
    _xlpm.direccionCompleta, ADDRESS(1, _xlpm.posicion + 5, 4),
    _xlpm.letraColumna, SUBSTITUTE(_xlpm.direccionCompleta, "1", ""),
    _xlpm.letraColumna
)</f>
        <v>#N/A</v>
      </c>
      <c r="Y217" s="366" t="e" cm="1">
        <f t="array" ref="Y217">_xlfn.LET(
    _xlpm.valor, INDEX(CostRate!I:I, MATCH(1, (CostRate!A:A=N217)*(CostRate!B:B=O217), 0)),
    _xlpm.posicion, MATCH(_xlpm.valor, FilterJP!$E$1:$FZ$1, 0),
    _xlpm.direccionCompleta, ADDRESS(1, _xlpm.posicion + 4, 4),
    _xlpm.letraColumna, SUBSTITUTE(_xlpm.direccionCompleta, "1", ""),
    _xlpm.letraColumna
)</f>
        <v>#N/A</v>
      </c>
      <c r="Z217" s="7"/>
      <c r="AA217" s="367"/>
      <c r="AB217" s="7"/>
      <c r="AC217" s="93">
        <f t="shared" si="102"/>
        <v>0</v>
      </c>
      <c r="AD217" s="94">
        <f t="shared" si="110"/>
        <v>0</v>
      </c>
      <c r="AE217" s="109">
        <f t="shared" si="111"/>
        <v>0</v>
      </c>
      <c r="AF217" s="7"/>
      <c r="AG217" s="369">
        <f t="shared" si="103"/>
        <v>0</v>
      </c>
      <c r="AH217" s="368">
        <f t="shared" si="104"/>
        <v>0</v>
      </c>
      <c r="AI217" s="7"/>
      <c r="AJ217" s="369" cm="1">
        <f t="array" ref="AJ217">IFERROR(INDEX(WHT!$C$7:$W$18,MATCH(
_xlfn.SWITCH(N217,"xDC Medellin","Colombia","xDC Belo Horizonte","Brazil","xDC Guadalajara","Mexico","xDC Gurugram","India","xDC Leon","Spain","xDC San Jose","Costa Rica","xDC Warsaw","Poland",N217),
WHT!$B$7:$B$18,0),MATCH(CustomerCountry,WHT!$C$5:$W$5,0)),0)</f>
        <v>0</v>
      </c>
      <c r="AK217" s="368">
        <f t="shared" si="105"/>
        <v>0</v>
      </c>
      <c r="AL217" s="7"/>
      <c r="AM217" s="95">
        <f t="shared" si="112"/>
        <v>0</v>
      </c>
      <c r="AN217" s="95">
        <f t="shared" si="106"/>
        <v>0</v>
      </c>
      <c r="AO217" s="95">
        <f t="shared" si="113"/>
        <v>0</v>
      </c>
      <c r="AP217" s="90"/>
      <c r="AQ217" s="18"/>
      <c r="AR217" s="290"/>
      <c r="AS217" s="467" t="s">
        <v>133</v>
      </c>
      <c r="AT217" s="501">
        <f>IF(AS217="x",AM217+((SUM($AN$177:$AN$182)+SUMIF($AS$188:$AS$217,"&lt;&gt;x",$AM$188:$AM$217))*IFERROR(AM217/SUMIF($AS$188:$AS$217,"x",$AM$188:$AM$217),0)),0)</f>
        <v>0</v>
      </c>
      <c r="AU217" s="502"/>
      <c r="AV217" s="95">
        <f t="shared" si="114"/>
        <v>0</v>
      </c>
      <c r="AW217" s="469" t="str">
        <f t="shared" si="108"/>
        <v>N/A</v>
      </c>
      <c r="AX217" s="290"/>
      <c r="AY217" s="18"/>
      <c r="AZ217" s="3"/>
      <c r="BA217" s="315"/>
      <c r="BB217" s="3"/>
      <c r="BC217" s="3"/>
      <c r="BD217" s="3"/>
      <c r="BE217" s="3"/>
      <c r="BF217" s="18"/>
      <c r="BG217" s="3"/>
      <c r="BH217" s="315"/>
      <c r="BI217" s="3"/>
      <c r="BJ217" s="3"/>
      <c r="BK217" s="3"/>
      <c r="BL217" s="3"/>
      <c r="BM217" s="18"/>
      <c r="BN217" s="3"/>
      <c r="BO217" s="315"/>
      <c r="BP217" s="3"/>
      <c r="BQ217" s="3"/>
      <c r="BR217" s="3"/>
      <c r="BS217" s="3"/>
      <c r="BT217" s="18"/>
      <c r="BU217" s="3"/>
      <c r="BV217" s="315"/>
      <c r="BW217" s="3"/>
      <c r="BX217" s="3"/>
      <c r="BY217" s="3"/>
      <c r="BZ217" s="3"/>
    </row>
    <row r="218" spans="1:82" ht="15.6" hidden="1" outlineLevel="1">
      <c r="A218" s="7"/>
      <c r="B218" s="376"/>
      <c r="C218" s="376"/>
      <c r="D218" s="376"/>
      <c r="E218" s="342"/>
      <c r="F218" s="290"/>
      <c r="G218" s="290"/>
      <c r="H218" s="290"/>
      <c r="I218" s="290"/>
      <c r="J218" s="290"/>
      <c r="K218" s="290"/>
      <c r="L218" s="18"/>
      <c r="M218" s="7"/>
      <c r="N218" s="7"/>
      <c r="O218" s="7"/>
      <c r="P218" s="7"/>
      <c r="Q218" s="7"/>
      <c r="R218" s="7"/>
      <c r="S218" s="294"/>
      <c r="T218" s="294"/>
      <c r="U218" s="294"/>
      <c r="V218" s="294"/>
      <c r="W218" s="294"/>
      <c r="X218" s="7"/>
      <c r="Y218" s="7"/>
      <c r="Z218" s="294"/>
      <c r="AA218" s="377"/>
      <c r="AB218" s="294"/>
      <c r="AC218" s="294"/>
      <c r="AD218" s="294"/>
      <c r="AE218" s="294"/>
      <c r="AF218" s="7"/>
      <c r="AG218" s="294"/>
      <c r="AH218" s="294"/>
      <c r="AI218" s="7"/>
      <c r="AJ218" s="294"/>
      <c r="AK218" s="294"/>
      <c r="AL218" s="7"/>
      <c r="AM218" s="294"/>
      <c r="AN218" s="294"/>
      <c r="AO218" s="294"/>
      <c r="AP218" s="294"/>
      <c r="AQ218" s="18"/>
      <c r="AR218" s="378"/>
      <c r="AS218" s="378"/>
      <c r="AT218" s="378"/>
      <c r="AU218" s="81"/>
      <c r="AV218" s="378"/>
      <c r="AW218" s="7"/>
      <c r="AX218" s="378"/>
      <c r="AY218" s="18"/>
      <c r="AZ218" s="3"/>
      <c r="BA218" s="315"/>
      <c r="BB218" s="3"/>
      <c r="BC218" s="3"/>
      <c r="BD218" s="3"/>
      <c r="BE218" s="3"/>
      <c r="BF218" s="18"/>
      <c r="BG218" s="3"/>
      <c r="BH218" s="315"/>
      <c r="BI218" s="3"/>
      <c r="BJ218" s="3"/>
      <c r="BK218" s="3"/>
      <c r="BL218" s="3"/>
      <c r="BM218" s="18"/>
      <c r="BN218" s="3"/>
      <c r="BO218" s="315"/>
      <c r="BP218" s="3"/>
      <c r="BQ218" s="3"/>
      <c r="BR218" s="3"/>
      <c r="BS218" s="3"/>
      <c r="BT218" s="18"/>
      <c r="BU218" s="3"/>
      <c r="BV218" s="315"/>
      <c r="BW218" s="3"/>
      <c r="BX218" s="3"/>
      <c r="BY218" s="3"/>
      <c r="BZ218" s="3"/>
    </row>
    <row r="219" spans="1:82" s="389" customFormat="1" collapsed="1">
      <c r="A219" s="390"/>
      <c r="B219" s="390"/>
      <c r="C219" s="390"/>
      <c r="D219" s="390"/>
      <c r="E219" s="390"/>
      <c r="F219" s="390"/>
      <c r="G219" s="390"/>
      <c r="H219" s="390"/>
      <c r="I219" s="390"/>
      <c r="J219" s="390"/>
      <c r="K219" s="390"/>
      <c r="L219" s="390"/>
      <c r="M219" s="392"/>
      <c r="N219" s="392"/>
      <c r="O219" s="392"/>
      <c r="P219" s="392"/>
      <c r="Q219" s="392"/>
      <c r="R219" s="392"/>
      <c r="S219" s="392"/>
      <c r="T219" s="392"/>
      <c r="U219" s="392"/>
      <c r="V219" s="392"/>
      <c r="W219" s="392"/>
      <c r="X219" s="392"/>
      <c r="Y219" s="392"/>
      <c r="Z219" s="392"/>
      <c r="AA219" s="320"/>
      <c r="AB219" s="321"/>
      <c r="AC219" s="322"/>
      <c r="AD219" s="322"/>
      <c r="AE219" s="322"/>
      <c r="AF219" s="322"/>
      <c r="AG219" s="322"/>
      <c r="AH219" s="322"/>
      <c r="AI219" s="322"/>
      <c r="AJ219" s="323"/>
      <c r="AK219" s="322"/>
      <c r="AL219" s="322"/>
      <c r="AM219" s="322"/>
      <c r="AN219" s="323"/>
      <c r="AO219" s="323"/>
      <c r="AP219" s="323"/>
      <c r="AR219" s="390"/>
      <c r="AS219" s="390"/>
      <c r="AT219" s="390"/>
      <c r="AU219" s="390"/>
      <c r="AV219" s="390"/>
      <c r="AW219" s="390"/>
      <c r="AX219" s="390"/>
      <c r="AZ219" s="390"/>
      <c r="BA219" s="390"/>
      <c r="BB219" s="390"/>
      <c r="BC219" s="390"/>
      <c r="BD219" s="390"/>
      <c r="BE219" s="390"/>
      <c r="BF219" s="390"/>
      <c r="BG219" s="390"/>
      <c r="BH219" s="390"/>
      <c r="BI219" s="390"/>
      <c r="BJ219" s="390"/>
      <c r="BK219" s="390"/>
      <c r="BL219" s="390"/>
      <c r="BM219" s="390"/>
      <c r="BN219" s="390"/>
      <c r="BO219" s="390"/>
      <c r="BP219" s="390"/>
      <c r="BQ219" s="390"/>
      <c r="BR219" s="390"/>
      <c r="BS219" s="390"/>
      <c r="BT219" s="390"/>
      <c r="BU219" s="390"/>
      <c r="BV219" s="390"/>
      <c r="BW219" s="390"/>
      <c r="BX219" s="390"/>
      <c r="BY219" s="390"/>
      <c r="BZ219" s="390"/>
      <c r="CA219" s="390"/>
      <c r="CB219" s="390"/>
      <c r="CC219" s="390"/>
      <c r="CD219" s="390"/>
    </row>
    <row r="220" spans="1:82" s="325" customFormat="1" ht="15.6">
      <c r="A220" s="480"/>
      <c r="B220" s="507" t="s">
        <v>164</v>
      </c>
      <c r="C220" s="507"/>
      <c r="D220" s="324"/>
      <c r="E220" s="342"/>
      <c r="F220" s="290"/>
      <c r="G220" s="79"/>
      <c r="H220" s="326"/>
      <c r="I220" s="326"/>
      <c r="J220" s="80"/>
      <c r="K220" s="290"/>
      <c r="L220" s="342"/>
      <c r="M220" s="2"/>
      <c r="N220" s="7"/>
      <c r="O220" s="7"/>
      <c r="P220" s="77"/>
      <c r="Q220" s="77"/>
      <c r="R220" s="77"/>
      <c r="S220" s="77"/>
      <c r="T220" s="77"/>
      <c r="U220" s="77"/>
      <c r="V220" s="77"/>
      <c r="W220" s="77"/>
      <c r="X220" s="77"/>
      <c r="Y220" s="77"/>
      <c r="Z220" s="2"/>
      <c r="AA220" s="304"/>
      <c r="AB220" s="7"/>
      <c r="AC220" s="13"/>
      <c r="AD220" s="13"/>
      <c r="AE220" s="13"/>
      <c r="AF220" s="13"/>
      <c r="AG220" s="13"/>
      <c r="AH220" s="13"/>
      <c r="AI220" s="13"/>
      <c r="AJ220" s="70"/>
      <c r="AK220" s="70"/>
      <c r="AL220" s="13"/>
      <c r="AM220" s="13"/>
      <c r="AN220" s="70"/>
      <c r="AO220" s="70"/>
      <c r="AP220" s="7"/>
      <c r="AQ220" s="342"/>
      <c r="AR220" s="290"/>
      <c r="AS220" s="290"/>
      <c r="AT220" s="290"/>
      <c r="AU220" s="290"/>
      <c r="AV220" s="290"/>
      <c r="AW220" s="290"/>
      <c r="AX220" s="290"/>
      <c r="AY220" s="342"/>
      <c r="AZ220" s="3"/>
      <c r="BA220" s="315"/>
      <c r="BB220" s="3"/>
      <c r="BC220" s="3"/>
      <c r="BD220" s="3"/>
      <c r="BE220" s="3"/>
      <c r="BF220" s="342"/>
      <c r="BG220" s="3"/>
      <c r="BH220" s="315"/>
      <c r="BI220" s="3"/>
      <c r="BJ220" s="3"/>
      <c r="BK220" s="3"/>
      <c r="BL220" s="3"/>
      <c r="BM220" s="342"/>
      <c r="BN220" s="3"/>
      <c r="BO220" s="315"/>
      <c r="BP220" s="3"/>
      <c r="BQ220" s="3"/>
      <c r="BR220" s="3"/>
      <c r="BS220" s="3"/>
      <c r="BT220" s="342"/>
      <c r="BU220" s="3"/>
      <c r="BV220" s="315"/>
      <c r="BW220" s="3"/>
      <c r="BX220" s="3"/>
      <c r="BY220" s="3"/>
      <c r="BZ220" s="3"/>
      <c r="CA220" s="342"/>
      <c r="CB220" s="342"/>
      <c r="CC220" s="342"/>
      <c r="CD220" s="342"/>
    </row>
    <row r="221" spans="1:82" s="325" customFormat="1" ht="15.6">
      <c r="A221" s="480"/>
      <c r="B221" s="507"/>
      <c r="C221" s="507"/>
      <c r="D221" s="324"/>
      <c r="E221" s="342"/>
      <c r="F221" s="290"/>
      <c r="G221" s="79"/>
      <c r="H221" s="326"/>
      <c r="I221" s="326"/>
      <c r="J221" s="80"/>
      <c r="K221" s="290"/>
      <c r="L221" s="342"/>
      <c r="M221" s="2"/>
      <c r="N221" s="13" t="s">
        <v>78</v>
      </c>
      <c r="O221" s="395" t="s">
        <v>79</v>
      </c>
      <c r="P221" s="395" t="s">
        <v>80</v>
      </c>
      <c r="Q221" s="77"/>
      <c r="R221" s="77"/>
      <c r="S221" s="77"/>
      <c r="T221" s="77"/>
      <c r="U221" s="13" t="s">
        <v>81</v>
      </c>
      <c r="V221" s="428" t="str">
        <f>_xlfn.CONCAT("DELIVERY COST (",BillingCountryCurrency,")")</f>
        <v>DELIVERY COST (USD)</v>
      </c>
      <c r="W221" s="428" t="str">
        <f>_xlfn.CONCAT("DELIVERY COST (",IF(ISBLANK(BusinessCurrency),"N/A",BusinessCurrency),")")</f>
        <v>DELIVERY COST (N/A)</v>
      </c>
      <c r="X221" s="77"/>
      <c r="Y221" s="77"/>
      <c r="Z221" s="2"/>
      <c r="AA221" s="304"/>
      <c r="AB221" s="7"/>
      <c r="AC221" s="13" t="s">
        <v>82</v>
      </c>
      <c r="AD221" s="428" t="str">
        <f>_xlfn.CONCAT("PRICING (",BillingCountryCurrency,")")</f>
        <v>PRICING (USD)</v>
      </c>
      <c r="AE221" s="428" t="str">
        <f>_xlfn.CONCAT("PRICING (",IF(ISBLANK(BusinessCurrency),"N/A",BusinessCurrency),")")</f>
        <v>PRICING (N/A)</v>
      </c>
      <c r="AF221" s="70" t="s">
        <v>14</v>
      </c>
      <c r="AG221" s="428" t="str">
        <f>_xlfn.CONCAT("Intercompany (",BillingCountryCurrency,")")</f>
        <v>Intercompany (USD)</v>
      </c>
      <c r="AH221" s="428" t="str">
        <f>_xlfn.CONCAT("Intercompany (",IF(ISBLANK(BusinessCurrency),"N/A",BusinessCurrency),")")</f>
        <v>Intercompany (N/A)</v>
      </c>
      <c r="AI221" s="70" t="s">
        <v>14</v>
      </c>
      <c r="AJ221" s="428" t="str">
        <f>_xlfn.CONCAT("WHT (",BillingCountryCurrency,")")</f>
        <v>WHT (USD)</v>
      </c>
      <c r="AK221" s="428" t="str">
        <f>_xlfn.CONCAT("WHT (",IF(ISBLANK(BusinessCurrency),"N/A",BusinessCurrency),")")</f>
        <v>WHT (N/A)</v>
      </c>
      <c r="AL221" s="70"/>
      <c r="AM221" s="70" t="s">
        <v>15</v>
      </c>
      <c r="AN221" s="428" t="str">
        <f>_xlfn.CONCAT("SUBTOTAL PRICE (",BillingCountryCurrency,")")</f>
        <v>SUBTOTAL PRICE (USD)</v>
      </c>
      <c r="AO221" s="428" t="str">
        <f>_xlfn.CONCAT("SUBTOTAL PRICE (",IF(ISBLANK(BusinessCurrency),"N/A",BusinessCurrency),")")</f>
        <v>SUBTOTAL PRICE (N/A)</v>
      </c>
      <c r="AP221" s="7"/>
      <c r="AQ221" s="342"/>
      <c r="AR221" s="290"/>
      <c r="AS221" s="13" t="s">
        <v>83</v>
      </c>
      <c r="AT221" s="290"/>
      <c r="AU221" s="100"/>
      <c r="AV221" s="417"/>
      <c r="AW221" s="417"/>
      <c r="AX221" s="290"/>
      <c r="AY221" s="342"/>
      <c r="AZ221" s="3"/>
      <c r="BA221" s="315"/>
      <c r="BB221" s="3"/>
      <c r="BC221" s="3"/>
      <c r="BD221" s="3"/>
      <c r="BE221" s="3"/>
      <c r="BF221" s="342"/>
      <c r="BG221" s="3"/>
      <c r="BH221" s="315"/>
      <c r="BI221" s="3"/>
      <c r="BJ221" s="3"/>
      <c r="BK221" s="3"/>
      <c r="BL221" s="3"/>
      <c r="BM221" s="342"/>
      <c r="BN221" s="3"/>
      <c r="BO221" s="315"/>
      <c r="BP221" s="3"/>
      <c r="BQ221" s="3"/>
      <c r="BR221" s="3"/>
      <c r="BS221" s="3"/>
      <c r="BT221" s="342"/>
      <c r="BU221" s="3"/>
      <c r="BV221" s="315"/>
      <c r="BW221" s="3"/>
      <c r="BX221" s="3"/>
      <c r="BY221" s="3"/>
      <c r="BZ221" s="3"/>
      <c r="CA221" s="342"/>
      <c r="CB221" s="342"/>
      <c r="CC221" s="342"/>
      <c r="CD221" s="342"/>
    </row>
    <row r="222" spans="1:82" s="325" customFormat="1" ht="15.6">
      <c r="A222" s="480"/>
      <c r="B222" s="507"/>
      <c r="C222" s="507"/>
      <c r="D222" s="324"/>
      <c r="E222" s="342"/>
      <c r="F222" s="290"/>
      <c r="G222" s="79"/>
      <c r="H222" s="326"/>
      <c r="I222" s="326"/>
      <c r="J222" s="80"/>
      <c r="K222" s="290"/>
      <c r="L222" s="342"/>
      <c r="M222" s="2"/>
      <c r="N222" s="79" t="s">
        <v>84</v>
      </c>
      <c r="O222" s="103">
        <f>SUMIF($P236:$P265,"&lt;&gt;*Project Management*",$T236:$T265)</f>
        <v>0</v>
      </c>
      <c r="P222" s="396">
        <f>IFERROR(O222/O225,0)</f>
        <v>0</v>
      </c>
      <c r="Q222" s="82"/>
      <c r="R222" s="77"/>
      <c r="S222" s="77"/>
      <c r="T222" s="77"/>
      <c r="U222" s="4" t="s">
        <v>24</v>
      </c>
      <c r="V222" s="328">
        <f>SUMIF(P236:P265,"&lt;&gt;*Project Management*",W236:W265)</f>
        <v>0</v>
      </c>
      <c r="W222" s="425" t="str">
        <f t="shared" ref="W222:W231" si="115">IFERROR(V222/BusinessCurrencyTRM,"N/A")</f>
        <v>N/A</v>
      </c>
      <c r="X222" s="7"/>
      <c r="Y222" s="7" t="s">
        <v>85</v>
      </c>
      <c r="Z222" s="2"/>
      <c r="AA222" s="304"/>
      <c r="AB222" s="7"/>
      <c r="AC222" s="4" t="s">
        <v>24</v>
      </c>
      <c r="AD222" s="329">
        <f>SUMIF(P236:P265,"&lt;&gt;*Project Management*",AD236:AD265)</f>
        <v>0</v>
      </c>
      <c r="AE222" s="425" t="str">
        <f t="shared" ref="AE222:AE231" si="116">IFERROR(AD222/BusinessCurrencyTRM,"N/A")</f>
        <v>N/A</v>
      </c>
      <c r="AF222" s="330"/>
      <c r="AG222" s="328">
        <f>SUMIF(P236:P265,"&lt;&gt;*Project Management*",AH236:AH265)</f>
        <v>0</v>
      </c>
      <c r="AH222" s="449" t="str">
        <f t="shared" ref="AH222:AH231" si="117">IFERROR(AG222/BusinessCurrencyTRM,"N/A")</f>
        <v>N/A</v>
      </c>
      <c r="AI222" s="330"/>
      <c r="AJ222" s="328">
        <f>SUMIF(P236:P265,"&lt;&gt;*Project Management*",AK236:AK265)</f>
        <v>0</v>
      </c>
      <c r="AK222" s="425" t="str">
        <f t="shared" ref="AK222:AK231" si="118">IFERROR(AJ222/BusinessCurrencyTRM,"N/A")</f>
        <v>N/A</v>
      </c>
      <c r="AL222" s="330"/>
      <c r="AM222" s="330"/>
      <c r="AN222" s="329">
        <f>SUM(AD222,AG222,AJ222)</f>
        <v>0</v>
      </c>
      <c r="AO222" s="425" t="str">
        <f t="shared" ref="AO222:AO231" si="119">IFERROR(AN222/BusinessCurrencyTRM,"N/A")</f>
        <v>N/A</v>
      </c>
      <c r="AP222" s="7"/>
      <c r="AQ222" s="342"/>
      <c r="AR222" s="290"/>
      <c r="AS222" s="402" t="s">
        <v>86</v>
      </c>
      <c r="AT222" s="290"/>
      <c r="AU222" s="81"/>
      <c r="AV222" s="508">
        <v>0.35</v>
      </c>
      <c r="AW222" s="508"/>
      <c r="AX222" s="290"/>
      <c r="AY222" s="342"/>
      <c r="AZ222" s="3"/>
      <c r="BA222" s="315"/>
      <c r="BB222" s="3"/>
      <c r="BC222" s="3"/>
      <c r="BD222" s="3"/>
      <c r="BE222" s="3"/>
      <c r="BF222" s="342"/>
      <c r="BG222" s="3"/>
      <c r="BH222" s="315"/>
      <c r="BI222" s="3"/>
      <c r="BJ222" s="3"/>
      <c r="BK222" s="3"/>
      <c r="BL222" s="3"/>
      <c r="BM222" s="342"/>
      <c r="BN222" s="3"/>
      <c r="BO222" s="315"/>
      <c r="BP222" s="3"/>
      <c r="BQ222" s="3"/>
      <c r="BR222" s="3"/>
      <c r="BS222" s="3"/>
      <c r="BT222" s="342"/>
      <c r="BU222" s="3"/>
      <c r="BV222" s="315"/>
      <c r="BW222" s="3"/>
      <c r="BX222" s="3"/>
      <c r="BY222" s="3"/>
      <c r="BZ222" s="3"/>
      <c r="CA222" s="342"/>
      <c r="CB222" s="342"/>
      <c r="CC222" s="342"/>
      <c r="CD222" s="342"/>
    </row>
    <row r="223" spans="1:82" s="325" customFormat="1" ht="16.149999999999999" thickBot="1">
      <c r="A223" s="480"/>
      <c r="B223" s="507"/>
      <c r="C223" s="507"/>
      <c r="D223" s="324"/>
      <c r="E223" s="342"/>
      <c r="F223" s="290"/>
      <c r="G223" s="79"/>
      <c r="H223" s="326"/>
      <c r="I223" s="326"/>
      <c r="J223" s="80"/>
      <c r="K223" s="290"/>
      <c r="L223" s="342"/>
      <c r="M223" s="2"/>
      <c r="N223" s="79" t="s">
        <v>87</v>
      </c>
      <c r="O223" s="103">
        <f>SUMIF($P236:$P265,"=*Project Management*",$T236:T265)</f>
        <v>0</v>
      </c>
      <c r="P223" s="396">
        <f>IFERROR(O223/O225,0)</f>
        <v>0</v>
      </c>
      <c r="Q223" s="82"/>
      <c r="R223" s="77"/>
      <c r="S223" s="77"/>
      <c r="T223" s="77"/>
      <c r="U223" s="4" t="s">
        <v>30</v>
      </c>
      <c r="V223" s="328">
        <f>SUMIF(P236:P265,"=*Project Management*",W236:W265)</f>
        <v>0</v>
      </c>
      <c r="W223" s="425" t="str">
        <f t="shared" si="115"/>
        <v>N/A</v>
      </c>
      <c r="X223" s="7"/>
      <c r="Y223" s="7" t="s">
        <v>88</v>
      </c>
      <c r="Z223" s="2"/>
      <c r="AA223" s="304"/>
      <c r="AB223" s="7"/>
      <c r="AC223" s="4" t="s">
        <v>30</v>
      </c>
      <c r="AD223" s="329">
        <f>SUMIF(P236:P265,"=*Project Management*",AD236:AD265)</f>
        <v>0</v>
      </c>
      <c r="AE223" s="425" t="str">
        <f t="shared" si="116"/>
        <v>N/A</v>
      </c>
      <c r="AF223" s="330"/>
      <c r="AG223" s="328">
        <f>SUMIF(P236:P265,"=*Project Management*",AH236:AH265)</f>
        <v>0</v>
      </c>
      <c r="AH223" s="447" t="str">
        <f t="shared" si="117"/>
        <v>N/A</v>
      </c>
      <c r="AI223" s="330"/>
      <c r="AJ223" s="448">
        <f>SUMIF(P236:P265,"=*Project Management*",AK236:AK265)</f>
        <v>0</v>
      </c>
      <c r="AK223" s="425" t="str">
        <f t="shared" si="118"/>
        <v>N/A</v>
      </c>
      <c r="AL223" s="330"/>
      <c r="AM223" s="330"/>
      <c r="AN223" s="329">
        <f t="shared" ref="AN223:AN231" si="120">SUM(AD223,AG223,AJ223)</f>
        <v>0</v>
      </c>
      <c r="AO223" s="425" t="str">
        <f t="shared" si="119"/>
        <v>N/A</v>
      </c>
      <c r="AP223" s="7"/>
      <c r="AQ223" s="342"/>
      <c r="AR223" s="290"/>
      <c r="AS223" s="402" t="s">
        <v>89</v>
      </c>
      <c r="AT223" s="290"/>
      <c r="AU223" s="81"/>
      <c r="AV223" s="509">
        <f>IFERROR(1-AV225/AV226,0)</f>
        <v>0</v>
      </c>
      <c r="AW223" s="509"/>
      <c r="AX223" s="290"/>
      <c r="AY223" s="342"/>
      <c r="AZ223" s="3"/>
      <c r="BA223" s="315"/>
      <c r="BB223" s="3"/>
      <c r="BC223" s="3"/>
      <c r="BD223" s="3"/>
      <c r="BE223" s="3"/>
      <c r="BF223" s="342"/>
      <c r="BG223" s="3"/>
      <c r="BH223" s="315"/>
      <c r="BI223" s="3"/>
      <c r="BJ223" s="3"/>
      <c r="BK223" s="3"/>
      <c r="BL223" s="3"/>
      <c r="BM223" s="342"/>
      <c r="BN223" s="3"/>
      <c r="BO223" s="315"/>
      <c r="BP223" s="3"/>
      <c r="BQ223" s="3"/>
      <c r="BR223" s="3"/>
      <c r="BS223" s="3"/>
      <c r="BT223" s="342"/>
      <c r="BU223" s="3"/>
      <c r="BV223" s="315"/>
      <c r="BW223" s="3"/>
      <c r="BX223" s="3"/>
      <c r="BY223" s="3"/>
      <c r="BZ223" s="3"/>
      <c r="CA223" s="342"/>
      <c r="CB223" s="342"/>
      <c r="CC223" s="342"/>
      <c r="CD223" s="342"/>
    </row>
    <row r="224" spans="1:82" s="325" customFormat="1" ht="16.899999999999999" thickTop="1" thickBot="1">
      <c r="A224" s="480"/>
      <c r="B224" s="507"/>
      <c r="C224" s="507"/>
      <c r="D224" s="324"/>
      <c r="E224" s="342"/>
      <c r="F224" s="290"/>
      <c r="G224" s="79"/>
      <c r="H224" s="326"/>
      <c r="I224" s="326"/>
      <c r="J224" s="80"/>
      <c r="K224" s="290"/>
      <c r="L224" s="342"/>
      <c r="M224" s="2"/>
      <c r="N224" s="79" t="s">
        <v>90</v>
      </c>
      <c r="O224" s="103">
        <f>IF(Approach="Team-Based",SUM(O222:O223)*$O227,$J234-$G234)</f>
        <v>0</v>
      </c>
      <c r="P224" s="396">
        <f>IFERROR(O224/O225,0)</f>
        <v>0</v>
      </c>
      <c r="Q224" s="77"/>
      <c r="R224" s="77"/>
      <c r="S224" s="77"/>
      <c r="T224" s="77"/>
      <c r="U224" s="13" t="s">
        <v>35</v>
      </c>
      <c r="V224" s="84">
        <f>SUM(V222:V223)</f>
        <v>0</v>
      </c>
      <c r="W224" s="426" t="str">
        <f t="shared" si="115"/>
        <v>N/A</v>
      </c>
      <c r="X224" s="77"/>
      <c r="Y224" s="77"/>
      <c r="Z224" s="2"/>
      <c r="AA224" s="304"/>
      <c r="AB224" s="7"/>
      <c r="AC224" s="13" t="s">
        <v>35</v>
      </c>
      <c r="AD224" s="84">
        <f>SUM(AD222:AD223)</f>
        <v>0</v>
      </c>
      <c r="AE224" s="426" t="str">
        <f t="shared" si="116"/>
        <v>N/A</v>
      </c>
      <c r="AF224" s="330"/>
      <c r="AG224" s="84">
        <f>SUM(AG222:AG223)</f>
        <v>0</v>
      </c>
      <c r="AH224" s="450" t="str">
        <f t="shared" si="117"/>
        <v>N/A</v>
      </c>
      <c r="AI224" s="330"/>
      <c r="AJ224" s="84">
        <f>SUM(AJ222:AJ223)</f>
        <v>0</v>
      </c>
      <c r="AK224" s="426" t="str">
        <f t="shared" si="118"/>
        <v>N/A</v>
      </c>
      <c r="AL224" s="330"/>
      <c r="AM224" s="330"/>
      <c r="AN224" s="84">
        <f t="shared" si="120"/>
        <v>0</v>
      </c>
      <c r="AO224" s="426" t="str">
        <f t="shared" si="119"/>
        <v>N/A</v>
      </c>
      <c r="AP224" s="7"/>
      <c r="AQ224" s="342"/>
      <c r="AR224" s="290"/>
      <c r="AS224" s="81"/>
      <c r="AT224" s="81"/>
      <c r="AU224" s="81"/>
      <c r="AV224" s="417" t="str">
        <f>BillingCountryCurrency</f>
        <v>USD</v>
      </c>
      <c r="AW224" s="417" t="str">
        <f>IF(ISBLANK(BusinessCurrency),"N/A",BusinessCurrency)</f>
        <v>N/A</v>
      </c>
      <c r="AX224" s="290"/>
      <c r="AY224" s="342"/>
      <c r="AZ224" s="3"/>
      <c r="BA224" s="315"/>
      <c r="BB224" s="3"/>
      <c r="BC224" s="3"/>
      <c r="BD224" s="3"/>
      <c r="BE224" s="3"/>
      <c r="BF224" s="342"/>
      <c r="BG224" s="3"/>
      <c r="BH224" s="315"/>
      <c r="BI224" s="3"/>
      <c r="BJ224" s="3"/>
      <c r="BK224" s="3"/>
      <c r="BL224" s="3"/>
      <c r="BM224" s="342"/>
      <c r="BN224" s="3"/>
      <c r="BO224" s="315"/>
      <c r="BP224" s="3"/>
      <c r="BQ224" s="3"/>
      <c r="BR224" s="3"/>
      <c r="BS224" s="3"/>
      <c r="BT224" s="342"/>
      <c r="BU224" s="3"/>
      <c r="BV224" s="315"/>
      <c r="BW224" s="3"/>
      <c r="BX224" s="3"/>
      <c r="BY224" s="3"/>
      <c r="BZ224" s="3"/>
      <c r="CA224" s="342"/>
      <c r="CB224" s="342"/>
      <c r="CC224" s="342"/>
      <c r="CD224" s="342"/>
    </row>
    <row r="225" spans="1:82" s="325" customFormat="1" ht="16.149999999999999" thickTop="1">
      <c r="A225" s="480"/>
      <c r="B225" s="507"/>
      <c r="C225" s="507"/>
      <c r="D225" s="324"/>
      <c r="E225" s="342"/>
      <c r="F225" s="290"/>
      <c r="G225" s="79"/>
      <c r="H225" s="326"/>
      <c r="I225" s="326"/>
      <c r="J225" s="80"/>
      <c r="K225" s="290"/>
      <c r="L225" s="342"/>
      <c r="M225" s="2"/>
      <c r="N225" s="83" t="s">
        <v>91</v>
      </c>
      <c r="O225" s="102">
        <f>SUM(O222:O224)</f>
        <v>0</v>
      </c>
      <c r="P225" s="397">
        <f>SUM(P222:P224)</f>
        <v>0</v>
      </c>
      <c r="Q225" s="77"/>
      <c r="R225" s="77"/>
      <c r="S225" s="77"/>
      <c r="T225" s="77"/>
      <c r="U225" s="4" t="s">
        <v>47</v>
      </c>
      <c r="V225" s="328">
        <f>ROUNDUP(V224*O227,2)</f>
        <v>0</v>
      </c>
      <c r="W225" s="425" t="str">
        <f t="shared" si="115"/>
        <v>N/A</v>
      </c>
      <c r="X225" s="7"/>
      <c r="Y225" s="7" t="s">
        <v>92</v>
      </c>
      <c r="Z225" s="2"/>
      <c r="AA225" s="304"/>
      <c r="AB225" s="7"/>
      <c r="AC225" s="4" t="s">
        <v>47</v>
      </c>
      <c r="AD225" s="328">
        <f>ROUNDUP(V225/(1-$AV$222),2)</f>
        <v>0</v>
      </c>
      <c r="AE225" s="425" t="str">
        <f t="shared" si="116"/>
        <v>N/A</v>
      </c>
      <c r="AF225" s="330"/>
      <c r="AG225" s="328">
        <f>IFERROR(V225*MAX(AG236:AG265),0)</f>
        <v>0</v>
      </c>
      <c r="AH225" s="449" t="str">
        <f t="shared" si="117"/>
        <v>N/A</v>
      </c>
      <c r="AI225" s="330"/>
      <c r="AJ225" s="328">
        <f>IFERROR(SUM(V225,AG225)*MAX(AJ236:AJ265),0)</f>
        <v>0</v>
      </c>
      <c r="AK225" s="425" t="str">
        <f t="shared" si="118"/>
        <v>N/A</v>
      </c>
      <c r="AL225" s="330"/>
      <c r="AM225" s="330"/>
      <c r="AN225" s="329">
        <f t="shared" si="120"/>
        <v>0</v>
      </c>
      <c r="AO225" s="425" t="str">
        <f t="shared" si="119"/>
        <v>N/A</v>
      </c>
      <c r="AP225" s="7"/>
      <c r="AQ225" s="342"/>
      <c r="AR225" s="290"/>
      <c r="AS225" s="402" t="s">
        <v>93</v>
      </c>
      <c r="AT225" s="290"/>
      <c r="AU225" s="81"/>
      <c r="AV225" s="298">
        <f>SUM(V231,AG231,AJ231)</f>
        <v>0</v>
      </c>
      <c r="AW225" s="418" t="str">
        <f>IFERROR(AV225/BusinessCurrencyTRM,"N/A")</f>
        <v>N/A</v>
      </c>
      <c r="AX225" s="290"/>
      <c r="AY225" s="342"/>
      <c r="AZ225" s="3"/>
      <c r="BA225" s="315"/>
      <c r="BB225" s="3"/>
      <c r="BC225" s="3"/>
      <c r="BD225" s="3"/>
      <c r="BE225" s="3"/>
      <c r="BF225" s="342"/>
      <c r="BG225" s="3"/>
      <c r="BH225" s="315"/>
      <c r="BI225" s="3"/>
      <c r="BJ225" s="3"/>
      <c r="BK225" s="3"/>
      <c r="BL225" s="3"/>
      <c r="BM225" s="342"/>
      <c r="BN225" s="3"/>
      <c r="BO225" s="315"/>
      <c r="BP225" s="3"/>
      <c r="BQ225" s="3"/>
      <c r="BR225" s="3"/>
      <c r="BS225" s="3"/>
      <c r="BT225" s="342"/>
      <c r="BU225" s="3"/>
      <c r="BV225" s="315"/>
      <c r="BW225" s="3"/>
      <c r="BX225" s="3"/>
      <c r="BY225" s="3"/>
      <c r="BZ225" s="3"/>
      <c r="CA225" s="342"/>
      <c r="CB225" s="342"/>
      <c r="CC225" s="342"/>
      <c r="CD225" s="342"/>
    </row>
    <row r="226" spans="1:82" s="325" customFormat="1" ht="15.6">
      <c r="A226" s="480"/>
      <c r="B226" s="507"/>
      <c r="C226" s="507"/>
      <c r="D226" s="324"/>
      <c r="E226" s="342"/>
      <c r="F226" s="290"/>
      <c r="G226" s="79"/>
      <c r="H226" s="326"/>
      <c r="I226" s="326"/>
      <c r="J226" s="80"/>
      <c r="K226" s="290"/>
      <c r="L226" s="342"/>
      <c r="M226" s="2"/>
      <c r="N226" s="2"/>
      <c r="O226" s="2"/>
      <c r="P226" s="32"/>
      <c r="Q226" s="77"/>
      <c r="R226" s="77"/>
      <c r="S226" s="77"/>
      <c r="T226" s="77"/>
      <c r="U226" s="4" t="s">
        <v>50</v>
      </c>
      <c r="V226" s="328">
        <f>IFERROR(SUMIF(PayRise!A:A,B220,PayRise!J:J),0)</f>
        <v>0</v>
      </c>
      <c r="W226" s="425" t="str">
        <f t="shared" si="115"/>
        <v>N/A</v>
      </c>
      <c r="X226" s="7"/>
      <c r="Y226" s="7" t="s">
        <v>94</v>
      </c>
      <c r="Z226" s="2"/>
      <c r="AA226" s="304"/>
      <c r="AB226" s="7"/>
      <c r="AC226" s="4" t="s">
        <v>50</v>
      </c>
      <c r="AD226" s="328">
        <f>IFERROR(SUMIF(PayRise!A:A,B220,PayRise!K:K),0)</f>
        <v>0</v>
      </c>
      <c r="AE226" s="425" t="str">
        <f t="shared" si="116"/>
        <v>N/A</v>
      </c>
      <c r="AF226" s="330"/>
      <c r="AG226" s="328">
        <f>IFERROR(SUMIF(PayRise!A:A,B220,PayRise!L:L),0)</f>
        <v>0</v>
      </c>
      <c r="AH226" s="445" t="str">
        <f t="shared" si="117"/>
        <v>N/A</v>
      </c>
      <c r="AI226" s="330"/>
      <c r="AJ226" s="446">
        <f>IFERROR(SUMIF(PayRise!A:A,B220,PayRise!M:M),0)</f>
        <v>0</v>
      </c>
      <c r="AK226" s="425" t="str">
        <f t="shared" si="118"/>
        <v>N/A</v>
      </c>
      <c r="AL226" s="330"/>
      <c r="AM226" s="330"/>
      <c r="AN226" s="329">
        <f t="shared" si="120"/>
        <v>0</v>
      </c>
      <c r="AO226" s="425" t="str">
        <f t="shared" si="119"/>
        <v>N/A</v>
      </c>
      <c r="AP226" s="7"/>
      <c r="AQ226" s="342"/>
      <c r="AR226" s="290"/>
      <c r="AS226" s="402" t="s">
        <v>95</v>
      </c>
      <c r="AT226" s="290"/>
      <c r="AU226" s="100"/>
      <c r="AV226" s="298">
        <f>AN231</f>
        <v>0</v>
      </c>
      <c r="AW226" s="418" t="str">
        <f>IFERROR(AV226/BusinessCurrencyTRM,"N/A")</f>
        <v>N/A</v>
      </c>
      <c r="AX226" s="290"/>
      <c r="AY226" s="342"/>
      <c r="AZ226" s="3"/>
      <c r="BA226" s="315"/>
      <c r="BB226" s="3"/>
      <c r="BC226" s="3"/>
      <c r="BD226" s="3"/>
      <c r="BE226" s="3"/>
      <c r="BF226" s="342"/>
      <c r="BG226" s="3"/>
      <c r="BH226" s="315"/>
      <c r="BI226" s="3"/>
      <c r="BJ226" s="3"/>
      <c r="BK226" s="3"/>
      <c r="BL226" s="3"/>
      <c r="BM226" s="342"/>
      <c r="BN226" s="3"/>
      <c r="BO226" s="315"/>
      <c r="BP226" s="3"/>
      <c r="BQ226" s="3"/>
      <c r="BR226" s="3"/>
      <c r="BS226" s="3"/>
      <c r="BT226" s="342"/>
      <c r="BU226" s="3"/>
      <c r="BV226" s="315"/>
      <c r="BW226" s="3"/>
      <c r="BX226" s="3"/>
      <c r="BY226" s="3"/>
      <c r="BZ226" s="3"/>
      <c r="CA226" s="342"/>
      <c r="CB226" s="342"/>
      <c r="CC226" s="342"/>
      <c r="CD226" s="342"/>
    </row>
    <row r="227" spans="1:82" s="325" customFormat="1" ht="15.6">
      <c r="A227" s="480"/>
      <c r="B227" s="507"/>
      <c r="C227" s="507"/>
      <c r="D227" s="324"/>
      <c r="E227" s="342"/>
      <c r="F227" s="290"/>
      <c r="G227" s="79"/>
      <c r="H227" s="326"/>
      <c r="I227" s="326"/>
      <c r="J227" s="80"/>
      <c r="K227" s="290"/>
      <c r="L227" s="342"/>
      <c r="M227" s="2"/>
      <c r="N227" s="13" t="str">
        <f>IF(Approach="By Hours", "N/A for ByHours", "% Risks")</f>
        <v>N/A for ByHours</v>
      </c>
      <c r="O227" s="331">
        <v>0</v>
      </c>
      <c r="P227" s="32"/>
      <c r="Q227" s="77"/>
      <c r="R227" s="77"/>
      <c r="S227" s="309"/>
      <c r="T227" s="309"/>
      <c r="U227" s="4" t="s">
        <v>55</v>
      </c>
      <c r="V227" s="328">
        <f>IFERROR(SUMIFS(OtherCosts!Q:Q,OtherCosts!A:A,B220,OtherCosts!B:B,"Hardware/Software"),0)</f>
        <v>0</v>
      </c>
      <c r="W227" s="425" t="str">
        <f t="shared" si="115"/>
        <v>N/A</v>
      </c>
      <c r="X227" s="7"/>
      <c r="Y227" s="7" t="s">
        <v>96</v>
      </c>
      <c r="Z227" s="2"/>
      <c r="AA227" s="304"/>
      <c r="AB227" s="7"/>
      <c r="AC227" s="4" t="s">
        <v>55</v>
      </c>
      <c r="AD227" s="328">
        <f>IFERROR(SUMIFS(OtherCosts!R:R,OtherCosts!A:A,B220,OtherCosts!B:B,"Hardware/Software"),0)</f>
        <v>0</v>
      </c>
      <c r="AE227" s="425" t="str">
        <f t="shared" si="116"/>
        <v>N/A</v>
      </c>
      <c r="AF227" s="330"/>
      <c r="AG227" s="328">
        <f>IFERROR(SUMIFS(OtherCosts!S:S,OtherCosts!A:A,B220,OtherCosts!B:B,"Hardware/Software"),0)</f>
        <v>0</v>
      </c>
      <c r="AH227" s="445" t="str">
        <f t="shared" si="117"/>
        <v>N/A</v>
      </c>
      <c r="AI227" s="330"/>
      <c r="AJ227" s="446">
        <f>IFERROR(SUMIFS(OtherCosts!T:T,OtherCosts!A:A,B220,OtherCosts!B:B,"Hardware/Software"),0)</f>
        <v>0</v>
      </c>
      <c r="AK227" s="425" t="str">
        <f t="shared" si="118"/>
        <v>N/A</v>
      </c>
      <c r="AL227" s="330"/>
      <c r="AM227" s="330"/>
      <c r="AN227" s="329">
        <f t="shared" si="120"/>
        <v>0</v>
      </c>
      <c r="AO227" s="425" t="str">
        <f t="shared" si="119"/>
        <v>N/A</v>
      </c>
      <c r="AP227" s="7"/>
      <c r="AQ227" s="342"/>
      <c r="AR227" s="290"/>
      <c r="AS227" s="402" t="s">
        <v>97</v>
      </c>
      <c r="AT227" s="290"/>
      <c r="AU227" s="100"/>
      <c r="AV227" s="298">
        <f>IFERROR(IF(O228&lt;1,AN231,AN231/O228),0)</f>
        <v>0</v>
      </c>
      <c r="AW227" s="418" t="str">
        <f>IFERROR(AV227/BusinessCurrencyTRM,"N/A")</f>
        <v>N/A</v>
      </c>
      <c r="AX227" s="290"/>
      <c r="AY227" s="342"/>
      <c r="AZ227" s="3"/>
      <c r="BA227" s="315"/>
      <c r="BB227" s="3"/>
      <c r="BC227" s="3"/>
      <c r="BD227" s="3"/>
      <c r="BE227" s="3"/>
      <c r="BF227" s="342"/>
      <c r="BG227" s="3"/>
      <c r="BH227" s="315"/>
      <c r="BI227" s="3"/>
      <c r="BJ227" s="3"/>
      <c r="BK227" s="3"/>
      <c r="BL227" s="3"/>
      <c r="BM227" s="342"/>
      <c r="BN227" s="3"/>
      <c r="BO227" s="315"/>
      <c r="BP227" s="3"/>
      <c r="BQ227" s="3"/>
      <c r="BR227" s="3"/>
      <c r="BS227" s="3"/>
      <c r="BT227" s="342"/>
      <c r="BU227" s="3"/>
      <c r="BV227" s="315"/>
      <c r="BW227" s="3"/>
      <c r="BX227" s="3"/>
      <c r="BY227" s="3"/>
      <c r="BZ227" s="3"/>
      <c r="CA227" s="342"/>
      <c r="CB227" s="342"/>
      <c r="CC227" s="342"/>
      <c r="CD227" s="342"/>
    </row>
    <row r="228" spans="1:82" s="325" customFormat="1" ht="15.6">
      <c r="A228" s="480"/>
      <c r="B228" s="507"/>
      <c r="C228" s="507"/>
      <c r="D228" s="324"/>
      <c r="E228" s="342"/>
      <c r="F228" s="290"/>
      <c r="G228" s="79"/>
      <c r="H228" s="326"/>
      <c r="I228" s="326"/>
      <c r="J228" s="80"/>
      <c r="K228" s="290"/>
      <c r="L228" s="342"/>
      <c r="M228" s="2"/>
      <c r="N228" s="13" t="str">
        <f>IF(Approach="By Hours", "N/A for ByHours", "Duration (Months) *")</f>
        <v>N/A for ByHours</v>
      </c>
      <c r="O228" s="332">
        <v>0</v>
      </c>
      <c r="P228" s="32"/>
      <c r="Q228" s="77"/>
      <c r="R228" s="77"/>
      <c r="S228" s="309"/>
      <c r="T228" s="309"/>
      <c r="U228" s="4" t="s">
        <v>58</v>
      </c>
      <c r="V228" s="328">
        <f>IFERROR(SUMIFS(OtherCosts!Q:Q,OtherCosts!A:A,B220,OtherCosts!B:B,"Vendor"),0)</f>
        <v>0</v>
      </c>
      <c r="W228" s="425" t="str">
        <f t="shared" si="115"/>
        <v>N/A</v>
      </c>
      <c r="X228" s="7"/>
      <c r="Y228" s="7" t="s">
        <v>98</v>
      </c>
      <c r="Z228" s="2"/>
      <c r="AA228" s="304"/>
      <c r="AB228" s="7"/>
      <c r="AC228" s="4" t="s">
        <v>58</v>
      </c>
      <c r="AD228" s="328">
        <f>IFERROR(SUMIFS(OtherCosts!R:R,OtherCosts!A:A,B220,OtherCosts!B:B,"Vendor"),0)</f>
        <v>0</v>
      </c>
      <c r="AE228" s="425" t="str">
        <f t="shared" si="116"/>
        <v>N/A</v>
      </c>
      <c r="AF228" s="330"/>
      <c r="AG228" s="328">
        <f>IFERROR(SUMIFS(OtherCosts!S:S,OtherCosts!A:A,B220,OtherCosts!B:B,"Vendor"),0)</f>
        <v>0</v>
      </c>
      <c r="AH228" s="445" t="str">
        <f t="shared" si="117"/>
        <v>N/A</v>
      </c>
      <c r="AI228" s="330"/>
      <c r="AJ228" s="446">
        <f>IFERROR(SUMIFS(OtherCosts!T:T,OtherCosts!A:A,B220,OtherCosts!B:B,"Vendor"),0)</f>
        <v>0</v>
      </c>
      <c r="AK228" s="425" t="str">
        <f t="shared" si="118"/>
        <v>N/A</v>
      </c>
      <c r="AL228" s="330"/>
      <c r="AM228" s="330"/>
      <c r="AN228" s="329">
        <f t="shared" si="120"/>
        <v>0</v>
      </c>
      <c r="AO228" s="425" t="str">
        <f t="shared" si="119"/>
        <v>N/A</v>
      </c>
      <c r="AP228" s="7"/>
      <c r="AQ228" s="342"/>
      <c r="AR228" s="290"/>
      <c r="AS228" s="402" t="s">
        <v>99</v>
      </c>
      <c r="AT228" s="290"/>
      <c r="AU228" s="100"/>
      <c r="AV228" s="298">
        <f>IFERROR(AN231/T234,0)</f>
        <v>0</v>
      </c>
      <c r="AW228" s="418" t="str">
        <f>IFERROR(AV228/BusinessCurrencyTRM,"N/A")</f>
        <v>N/A</v>
      </c>
      <c r="AX228" s="290"/>
      <c r="AY228" s="342"/>
      <c r="AZ228" s="3"/>
      <c r="BA228" s="315"/>
      <c r="BB228" s="3"/>
      <c r="BC228" s="3"/>
      <c r="BD228" s="3"/>
      <c r="BE228" s="3"/>
      <c r="BF228" s="342"/>
      <c r="BG228" s="3"/>
      <c r="BH228" s="315"/>
      <c r="BI228" s="3"/>
      <c r="BJ228" s="3"/>
      <c r="BK228" s="3"/>
      <c r="BL228" s="3"/>
      <c r="BM228" s="342"/>
      <c r="BN228" s="3"/>
      <c r="BO228" s="315"/>
      <c r="BP228" s="3"/>
      <c r="BQ228" s="3"/>
      <c r="BR228" s="3"/>
      <c r="BS228" s="3"/>
      <c r="BT228" s="342"/>
      <c r="BU228" s="3"/>
      <c r="BV228" s="315"/>
      <c r="BW228" s="3"/>
      <c r="BX228" s="3"/>
      <c r="BY228" s="3"/>
      <c r="BZ228" s="3"/>
      <c r="CA228" s="342"/>
      <c r="CB228" s="342"/>
      <c r="CC228" s="342"/>
      <c r="CD228" s="342"/>
    </row>
    <row r="229" spans="1:82" s="325" customFormat="1" ht="15.6">
      <c r="A229" s="480"/>
      <c r="B229" s="507"/>
      <c r="C229" s="507"/>
      <c r="D229" s="324"/>
      <c r="E229" s="342"/>
      <c r="F229" s="290"/>
      <c r="G229" s="79"/>
      <c r="H229" s="326"/>
      <c r="I229" s="326"/>
      <c r="J229" s="80"/>
      <c r="K229" s="290"/>
      <c r="L229" s="342"/>
      <c r="M229" s="2"/>
      <c r="N229" s="83"/>
      <c r="O229" s="333"/>
      <c r="P229" s="32"/>
      <c r="Q229" s="77"/>
      <c r="R229" s="77"/>
      <c r="S229" s="309"/>
      <c r="T229" s="309"/>
      <c r="U229" s="4" t="s">
        <v>61</v>
      </c>
      <c r="V229" s="328">
        <f>IFERROR(SUMIFS(OtherCosts!Q:Q,OtherCosts!A:A,B220,OtherCosts!B:B,"Insurance"),0)</f>
        <v>0</v>
      </c>
      <c r="W229" s="425" t="str">
        <f t="shared" si="115"/>
        <v>N/A</v>
      </c>
      <c r="X229" s="7"/>
      <c r="Y229" s="7" t="s">
        <v>100</v>
      </c>
      <c r="Z229" s="2"/>
      <c r="AA229" s="304"/>
      <c r="AB229" s="7"/>
      <c r="AC229" s="4" t="s">
        <v>61</v>
      </c>
      <c r="AD229" s="328">
        <f>IFERROR(SUMIFS(OtherCosts!R:R,OtherCosts!A:A,B220,OtherCosts!B:B,"Insurance"),0)</f>
        <v>0</v>
      </c>
      <c r="AE229" s="425" t="str">
        <f t="shared" si="116"/>
        <v>N/A</v>
      </c>
      <c r="AF229" s="330"/>
      <c r="AG229" s="328">
        <f>IFERROR(SUMIFS(OtherCosts!S:S,OtherCosts!A:A,B220,OtherCosts!B:B,"Insurance"),0)</f>
        <v>0</v>
      </c>
      <c r="AH229" s="445" t="str">
        <f t="shared" si="117"/>
        <v>N/A</v>
      </c>
      <c r="AI229" s="330"/>
      <c r="AJ229" s="446">
        <f>IFERROR(SUMIFS(OtherCosts!T:T,OtherCosts!A:A,B220,OtherCosts!B:B,"Insurance"),0)</f>
        <v>0</v>
      </c>
      <c r="AK229" s="425" t="str">
        <f t="shared" si="118"/>
        <v>N/A</v>
      </c>
      <c r="AL229" s="330"/>
      <c r="AM229" s="330"/>
      <c r="AN229" s="329">
        <f t="shared" si="120"/>
        <v>0</v>
      </c>
      <c r="AO229" s="425" t="str">
        <f t="shared" si="119"/>
        <v>N/A</v>
      </c>
      <c r="AP229" s="7"/>
      <c r="AQ229" s="342"/>
      <c r="AR229" s="290"/>
      <c r="AS229" s="290"/>
      <c r="AT229" s="81"/>
      <c r="AU229" s="81"/>
      <c r="AV229" s="81"/>
      <c r="AW229" s="81"/>
      <c r="AX229" s="290"/>
      <c r="AY229" s="342"/>
      <c r="AZ229" s="3"/>
      <c r="BA229" s="315"/>
      <c r="BB229" s="3"/>
      <c r="BC229" s="3"/>
      <c r="BD229" s="3"/>
      <c r="BE229" s="3"/>
      <c r="BF229" s="342"/>
      <c r="BG229" s="3"/>
      <c r="BH229" s="315"/>
      <c r="BI229" s="3"/>
      <c r="BJ229" s="3"/>
      <c r="BK229" s="3"/>
      <c r="BL229" s="3"/>
      <c r="BM229" s="342"/>
      <c r="BN229" s="3"/>
      <c r="BO229" s="315"/>
      <c r="BP229" s="3"/>
      <c r="BQ229" s="3"/>
      <c r="BR229" s="3"/>
      <c r="BS229" s="3"/>
      <c r="BT229" s="342"/>
      <c r="BU229" s="3"/>
      <c r="BV229" s="315"/>
      <c r="BW229" s="3"/>
      <c r="BX229" s="3"/>
      <c r="BY229" s="3"/>
      <c r="BZ229" s="3"/>
      <c r="CA229" s="342"/>
      <c r="CB229" s="342"/>
      <c r="CC229" s="342"/>
      <c r="CD229" s="342"/>
    </row>
    <row r="230" spans="1:82" s="325" customFormat="1" ht="16.149999999999999" thickBot="1">
      <c r="A230" s="480"/>
      <c r="B230" s="507"/>
      <c r="C230" s="507"/>
      <c r="D230" s="324"/>
      <c r="E230" s="342"/>
      <c r="F230" s="290"/>
      <c r="G230" s="79"/>
      <c r="H230" s="326"/>
      <c r="I230" s="326"/>
      <c r="J230" s="80"/>
      <c r="K230" s="290"/>
      <c r="L230" s="342"/>
      <c r="M230" s="7"/>
      <c r="N230" s="83"/>
      <c r="O230" s="333"/>
      <c r="P230" s="32"/>
      <c r="Q230" s="77"/>
      <c r="R230" s="77"/>
      <c r="S230" s="309"/>
      <c r="T230" s="309"/>
      <c r="U230" s="4" t="s">
        <v>64</v>
      </c>
      <c r="V230" s="328">
        <f>IFERROR(SUMIFS(OtherCosts!Q:Q,OtherCosts!A:A,B220,OtherCosts!B:B,"Other"),0)</f>
        <v>0</v>
      </c>
      <c r="W230" s="425" t="str">
        <f t="shared" si="115"/>
        <v>N/A</v>
      </c>
      <c r="X230" s="7"/>
      <c r="Y230" s="7" t="s">
        <v>101</v>
      </c>
      <c r="Z230" s="82"/>
      <c r="AA230" s="334"/>
      <c r="AB230" s="13"/>
      <c r="AC230" s="4" t="s">
        <v>64</v>
      </c>
      <c r="AD230" s="328">
        <f>IFERROR(SUMIFS(OtherCosts!R:R,OtherCosts!A:A,B220,OtherCosts!B:B,"Other"),0)</f>
        <v>0</v>
      </c>
      <c r="AE230" s="425" t="str">
        <f t="shared" si="116"/>
        <v>N/A</v>
      </c>
      <c r="AF230" s="83"/>
      <c r="AG230" s="328">
        <f>IFERROR(SUMIFS(OtherCosts!S:S,OtherCosts!A:A,B220,OtherCosts!B:B,"Other"),0)</f>
        <v>0</v>
      </c>
      <c r="AH230" s="447" t="str">
        <f t="shared" si="117"/>
        <v>N/A</v>
      </c>
      <c r="AI230" s="83"/>
      <c r="AJ230" s="448">
        <f>IFERROR(SUMIFS(OtherCosts!T:T,OtherCosts!A:A,B220,OtherCosts!B:B,"Other"),0)</f>
        <v>0</v>
      </c>
      <c r="AK230" s="425" t="str">
        <f t="shared" si="118"/>
        <v>N/A</v>
      </c>
      <c r="AL230" s="83"/>
      <c r="AM230" s="83"/>
      <c r="AN230" s="329">
        <f t="shared" si="120"/>
        <v>0</v>
      </c>
      <c r="AO230" s="425" t="str">
        <f t="shared" si="119"/>
        <v>N/A</v>
      </c>
      <c r="AP230" s="85"/>
      <c r="AQ230" s="342"/>
      <c r="AR230" s="290"/>
      <c r="AS230" s="290"/>
      <c r="AT230" s="13"/>
      <c r="AU230" s="81"/>
      <c r="AV230" s="81"/>
      <c r="AW230" s="81"/>
      <c r="AX230" s="290"/>
      <c r="AY230" s="342"/>
      <c r="AZ230" s="3"/>
      <c r="BA230" s="315"/>
      <c r="BB230" s="3"/>
      <c r="BC230" s="3"/>
      <c r="BD230" s="3"/>
      <c r="BE230" s="3"/>
      <c r="BF230" s="342"/>
      <c r="BG230" s="3"/>
      <c r="BH230" s="315"/>
      <c r="BI230" s="3"/>
      <c r="BJ230" s="3"/>
      <c r="BK230" s="3"/>
      <c r="BL230" s="3"/>
      <c r="BM230" s="342"/>
      <c r="BN230" s="3"/>
      <c r="BO230" s="315"/>
      <c r="BP230" s="3"/>
      <c r="BQ230" s="3"/>
      <c r="BR230" s="3"/>
      <c r="BS230" s="3"/>
      <c r="BT230" s="342"/>
      <c r="BU230" s="3"/>
      <c r="BV230" s="315"/>
      <c r="BW230" s="3"/>
      <c r="BX230" s="3"/>
      <c r="BY230" s="3"/>
      <c r="BZ230" s="3"/>
      <c r="CA230" s="342"/>
      <c r="CB230" s="342"/>
      <c r="CC230" s="342"/>
      <c r="CD230" s="342"/>
    </row>
    <row r="231" spans="1:82" s="325" customFormat="1" ht="16.149999999999999" thickTop="1">
      <c r="A231" s="480"/>
      <c r="B231" s="507"/>
      <c r="C231" s="507"/>
      <c r="D231" s="324"/>
      <c r="E231" s="342"/>
      <c r="F231" s="290"/>
      <c r="G231" s="79"/>
      <c r="H231" s="326"/>
      <c r="I231" s="326"/>
      <c r="J231" s="80"/>
      <c r="K231" s="290"/>
      <c r="L231" s="342"/>
      <c r="M231" s="7"/>
      <c r="N231" s="83"/>
      <c r="O231" s="333"/>
      <c r="P231" s="32"/>
      <c r="Q231" s="77"/>
      <c r="R231" s="77"/>
      <c r="S231" s="309"/>
      <c r="T231" s="309"/>
      <c r="U231" s="3" t="s">
        <v>35</v>
      </c>
      <c r="V231" s="86">
        <f>SUM(V224:V230)</f>
        <v>0</v>
      </c>
      <c r="W231" s="427" t="str">
        <f t="shared" si="115"/>
        <v>N/A</v>
      </c>
      <c r="X231" s="335"/>
      <c r="Y231" s="335"/>
      <c r="Z231" s="82"/>
      <c r="AA231" s="334"/>
      <c r="AB231" s="13"/>
      <c r="AC231" s="3" t="s">
        <v>35</v>
      </c>
      <c r="AD231" s="86">
        <f>SUM(AD224:AD230)</f>
        <v>0</v>
      </c>
      <c r="AE231" s="427" t="str">
        <f t="shared" si="116"/>
        <v>N/A</v>
      </c>
      <c r="AF231" s="83"/>
      <c r="AG231" s="86">
        <f>SUM(AG224:AG230)</f>
        <v>0</v>
      </c>
      <c r="AH231" s="444" t="str">
        <f t="shared" si="117"/>
        <v>N/A</v>
      </c>
      <c r="AI231" s="83"/>
      <c r="AJ231" s="86">
        <f>SUM(AJ224:AJ230)</f>
        <v>0</v>
      </c>
      <c r="AK231" s="427" t="str">
        <f t="shared" si="118"/>
        <v>N/A</v>
      </c>
      <c r="AL231" s="83"/>
      <c r="AM231" s="83"/>
      <c r="AN231" s="86">
        <f t="shared" si="120"/>
        <v>0</v>
      </c>
      <c r="AO231" s="427" t="str">
        <f t="shared" si="119"/>
        <v>N/A</v>
      </c>
      <c r="AP231" s="85"/>
      <c r="AQ231" s="342"/>
      <c r="AR231" s="290"/>
      <c r="AS231" s="290"/>
      <c r="AT231" s="13"/>
      <c r="AU231" s="81"/>
      <c r="AV231" s="81"/>
      <c r="AW231" s="81"/>
      <c r="AX231" s="290"/>
      <c r="AY231" s="342"/>
      <c r="AZ231" s="3"/>
      <c r="BA231" s="315"/>
      <c r="BB231" s="3"/>
      <c r="BC231" s="3"/>
      <c r="BD231" s="3"/>
      <c r="BE231" s="3"/>
      <c r="BF231" s="342"/>
      <c r="BG231" s="3"/>
      <c r="BH231" s="315"/>
      <c r="BI231" s="3"/>
      <c r="BJ231" s="3"/>
      <c r="BK231" s="3"/>
      <c r="BL231" s="3"/>
      <c r="BM231" s="342"/>
      <c r="BN231" s="3"/>
      <c r="BO231" s="315"/>
      <c r="BP231" s="3"/>
      <c r="BQ231" s="3"/>
      <c r="BR231" s="3"/>
      <c r="BS231" s="3"/>
      <c r="BT231" s="342"/>
      <c r="BU231" s="3"/>
      <c r="BV231" s="315"/>
      <c r="BW231" s="3"/>
      <c r="BX231" s="3"/>
      <c r="BY231" s="3"/>
      <c r="BZ231" s="3"/>
      <c r="CA231" s="342"/>
      <c r="CB231" s="342"/>
      <c r="CC231" s="342"/>
      <c r="CD231" s="342"/>
    </row>
    <row r="232" spans="1:82" s="325" customFormat="1" ht="15.6">
      <c r="A232" s="480"/>
      <c r="B232" s="507"/>
      <c r="C232" s="507"/>
      <c r="D232" s="324"/>
      <c r="E232" s="342"/>
      <c r="F232" s="290"/>
      <c r="G232" s="336"/>
      <c r="H232" s="336"/>
      <c r="I232" s="336"/>
      <c r="J232" s="336"/>
      <c r="K232" s="290"/>
      <c r="L232" s="342"/>
      <c r="M232" s="7"/>
      <c r="N232" s="83"/>
      <c r="O232" s="333"/>
      <c r="P232" s="77"/>
      <c r="Q232" s="77"/>
      <c r="R232" s="77"/>
      <c r="S232" s="77"/>
      <c r="T232" s="77"/>
      <c r="U232" s="3"/>
      <c r="V232" s="77"/>
      <c r="W232" s="77"/>
      <c r="X232" s="77"/>
      <c r="Y232" s="77"/>
      <c r="Z232" s="82"/>
      <c r="AA232" s="334"/>
      <c r="AB232" s="13"/>
      <c r="AC232" s="13"/>
      <c r="AD232" s="13"/>
      <c r="AE232" s="13"/>
      <c r="AF232" s="13"/>
      <c r="AG232" s="13"/>
      <c r="AH232" s="13"/>
      <c r="AI232" s="13"/>
      <c r="AJ232" s="13"/>
      <c r="AK232" s="13"/>
      <c r="AL232" s="13"/>
      <c r="AM232" s="13"/>
      <c r="AN232" s="327"/>
      <c r="AO232" s="327"/>
      <c r="AP232" s="85"/>
      <c r="AQ232" s="342"/>
      <c r="AR232" s="290"/>
      <c r="AS232" s="81"/>
      <c r="AT232" s="81"/>
      <c r="AU232" s="81"/>
      <c r="AV232" s="81"/>
      <c r="AW232" s="81"/>
      <c r="AX232" s="290"/>
      <c r="AY232" s="342"/>
      <c r="AZ232" s="3"/>
      <c r="BA232" s="315"/>
      <c r="BB232" s="3"/>
      <c r="BC232" s="3"/>
      <c r="BD232" s="3"/>
      <c r="BE232" s="3"/>
      <c r="BF232" s="342"/>
      <c r="BG232" s="3"/>
      <c r="BH232" s="315"/>
      <c r="BI232" s="3"/>
      <c r="BJ232" s="3"/>
      <c r="BK232" s="3"/>
      <c r="BL232" s="3"/>
      <c r="BM232" s="342"/>
      <c r="BN232" s="3"/>
      <c r="BO232" s="315"/>
      <c r="BP232" s="3"/>
      <c r="BQ232" s="3"/>
      <c r="BR232" s="3"/>
      <c r="BS232" s="3"/>
      <c r="BT232" s="342"/>
      <c r="BU232" s="3"/>
      <c r="BV232" s="315"/>
      <c r="BW232" s="3"/>
      <c r="BX232" s="3"/>
      <c r="BY232" s="3"/>
      <c r="BZ232" s="3"/>
      <c r="CA232" s="342"/>
      <c r="CB232" s="342"/>
      <c r="CC232" s="342"/>
      <c r="CD232" s="342"/>
    </row>
    <row r="233" spans="1:82" s="304" customFormat="1" hidden="1" outlineLevel="1">
      <c r="B233" s="320"/>
      <c r="C233" s="320"/>
      <c r="D233" s="391"/>
      <c r="F233" s="391"/>
      <c r="G233" s="391"/>
      <c r="H233" s="391"/>
      <c r="I233" s="391"/>
      <c r="J233" s="391"/>
      <c r="K233" s="391"/>
      <c r="N233" s="337"/>
      <c r="O233" s="337"/>
      <c r="S233" s="337"/>
      <c r="T233" s="320"/>
      <c r="U233" s="320"/>
      <c r="V233" s="320"/>
      <c r="W233" s="393"/>
      <c r="Z233" s="338"/>
      <c r="AO233" s="338"/>
      <c r="AP233" s="340"/>
      <c r="AR233" s="391"/>
      <c r="AS233" s="391"/>
      <c r="AT233" s="391"/>
      <c r="AU233" s="391"/>
      <c r="AV233" s="391"/>
      <c r="AW233" s="391"/>
      <c r="AX233" s="391"/>
      <c r="AZ233"/>
      <c r="BA233"/>
      <c r="BB233"/>
      <c r="BC233"/>
      <c r="BD233"/>
      <c r="BE233"/>
      <c r="BG233"/>
      <c r="BH233"/>
      <c r="BI233"/>
      <c r="BJ233"/>
      <c r="BK233"/>
      <c r="BL233"/>
      <c r="BN233"/>
      <c r="BO233"/>
      <c r="BP233"/>
      <c r="BQ233"/>
      <c r="BR233"/>
      <c r="BS233"/>
      <c r="BU233"/>
      <c r="BV233"/>
      <c r="BW233"/>
      <c r="BX233"/>
      <c r="BY233"/>
      <c r="BZ233"/>
    </row>
    <row r="234" spans="1:82" s="325" customFormat="1" ht="15.6" hidden="1" outlineLevel="1">
      <c r="A234" s="480"/>
      <c r="B234" s="341"/>
      <c r="C234" s="341"/>
      <c r="D234" s="290"/>
      <c r="E234" s="342"/>
      <c r="F234" s="290"/>
      <c r="G234" s="343">
        <f>ROUNDUP(SUM(G236:G265),2)</f>
        <v>0</v>
      </c>
      <c r="H234" s="344"/>
      <c r="I234" s="344"/>
      <c r="J234" s="345">
        <f>ROUNDUP(SUM(J236:J265),2)</f>
        <v>0</v>
      </c>
      <c r="K234" s="290"/>
      <c r="L234" s="342"/>
      <c r="M234" s="7"/>
      <c r="N234" s="7"/>
      <c r="O234" s="7"/>
      <c r="P234" s="7"/>
      <c r="Q234" s="7"/>
      <c r="R234" s="7"/>
      <c r="S234" s="7"/>
      <c r="T234" s="398">
        <f>ROUNDUP(SUM(T236:T265),2)</f>
        <v>0</v>
      </c>
      <c r="U234" s="7"/>
      <c r="V234" s="7"/>
      <c r="W234" s="87">
        <f>SUM(W236:W263)</f>
        <v>0</v>
      </c>
      <c r="X234" s="7"/>
      <c r="Y234" s="7" t="s">
        <v>102</v>
      </c>
      <c r="Z234" s="7"/>
      <c r="AA234" s="304"/>
      <c r="AB234" s="7"/>
      <c r="AC234" s="7"/>
      <c r="AD234" s="87">
        <f>SUM(AD236:AD265)</f>
        <v>0</v>
      </c>
      <c r="AE234" s="432">
        <f>IFERROR(1-($W234/$AD234),0)</f>
        <v>0</v>
      </c>
      <c r="AF234" s="7"/>
      <c r="AG234" s="7"/>
      <c r="AH234" s="88">
        <f>SUM(AH236:AH265)</f>
        <v>0</v>
      </c>
      <c r="AI234" s="7"/>
      <c r="AJ234" s="7"/>
      <c r="AK234" s="88">
        <f>ROUNDUP(SUM(AK236:AK265),2)</f>
        <v>0</v>
      </c>
      <c r="AL234" s="7"/>
      <c r="AM234" s="88">
        <f>SUM(AM236:AM265)</f>
        <v>0</v>
      </c>
      <c r="AN234" s="88">
        <f>SUM(AN236:AN265)</f>
        <v>0</v>
      </c>
      <c r="AO234" s="417" t="str">
        <f>BillingCountryCurrency</f>
        <v>USD</v>
      </c>
      <c r="AP234" s="7"/>
      <c r="AQ234" s="18"/>
      <c r="AR234" s="290"/>
      <c r="AS234" s="290"/>
      <c r="AT234" s="503">
        <f>SUM(AT236:AU265)</f>
        <v>0</v>
      </c>
      <c r="AU234" s="504"/>
      <c r="AV234" s="417" t="str">
        <f>BillingCountryCurrency</f>
        <v>USD</v>
      </c>
      <c r="AW234" s="417" t="str">
        <f>IF(ISBLANK(BusinessCurrency),"N/A",BusinessCurrency)</f>
        <v>N/A</v>
      </c>
      <c r="AX234" s="290"/>
      <c r="AY234" s="18"/>
      <c r="AZ234" s="3"/>
      <c r="BA234" s="315"/>
      <c r="BB234" s="3"/>
      <c r="BC234" s="3"/>
      <c r="BD234" s="3"/>
      <c r="BE234" s="3"/>
      <c r="BF234" s="18"/>
      <c r="BG234" s="3"/>
      <c r="BH234" s="315"/>
      <c r="BI234" s="3"/>
      <c r="BJ234" s="3"/>
      <c r="BK234" s="3"/>
      <c r="BL234" s="3"/>
      <c r="BM234" s="18"/>
      <c r="BN234" s="3"/>
      <c r="BO234" s="315"/>
      <c r="BP234" s="3"/>
      <c r="BQ234" s="3"/>
      <c r="BR234" s="3"/>
      <c r="BS234" s="3"/>
      <c r="BT234" s="18"/>
      <c r="BU234" s="3"/>
      <c r="BV234" s="315"/>
      <c r="BW234" s="3"/>
      <c r="BX234" s="3"/>
      <c r="BY234" s="3"/>
      <c r="BZ234" s="3"/>
      <c r="CA234" s="342"/>
      <c r="CB234" s="342"/>
      <c r="CC234" s="342"/>
      <c r="CD234" s="342"/>
    </row>
    <row r="235" spans="1:82" ht="15.6" hidden="1" outlineLevel="1">
      <c r="A235" s="7"/>
      <c r="B235" s="346"/>
      <c r="C235" s="346"/>
      <c r="D235" s="346"/>
      <c r="E235" s="342"/>
      <c r="F235" s="290"/>
      <c r="G235" s="347" t="s">
        <v>79</v>
      </c>
      <c r="H235" s="347" t="s">
        <v>103</v>
      </c>
      <c r="I235" s="347" t="s">
        <v>104</v>
      </c>
      <c r="J235" s="348" t="s">
        <v>91</v>
      </c>
      <c r="K235" s="290"/>
      <c r="L235" s="349"/>
      <c r="M235" s="7"/>
      <c r="N235" s="16" t="s">
        <v>105</v>
      </c>
      <c r="O235" s="16" t="s">
        <v>106</v>
      </c>
      <c r="P235" s="16" t="s">
        <v>107</v>
      </c>
      <c r="Q235" s="16" t="s">
        <v>108</v>
      </c>
      <c r="R235" s="16" t="s">
        <v>109</v>
      </c>
      <c r="S235" s="16" t="s">
        <v>110</v>
      </c>
      <c r="T235" s="16" t="s">
        <v>111</v>
      </c>
      <c r="U235" s="16" t="s">
        <v>112</v>
      </c>
      <c r="V235" s="350" t="s">
        <v>113</v>
      </c>
      <c r="W235" s="16" t="s">
        <v>114</v>
      </c>
      <c r="X235" s="16" t="s">
        <v>115</v>
      </c>
      <c r="Y235" s="16" t="s">
        <v>116</v>
      </c>
      <c r="Z235" s="6"/>
      <c r="AA235" s="304"/>
      <c r="AB235" s="7"/>
      <c r="AC235" s="351" t="s">
        <v>117</v>
      </c>
      <c r="AD235" s="352" t="s">
        <v>118</v>
      </c>
      <c r="AE235" s="89" t="s">
        <v>119</v>
      </c>
      <c r="AF235" s="7"/>
      <c r="AG235" s="89" t="s">
        <v>120</v>
      </c>
      <c r="AH235" s="353" t="s">
        <v>121</v>
      </c>
      <c r="AI235" s="7"/>
      <c r="AJ235" s="89" t="s">
        <v>122</v>
      </c>
      <c r="AK235" s="353" t="s">
        <v>123</v>
      </c>
      <c r="AL235" s="7"/>
      <c r="AM235" s="16" t="s">
        <v>118</v>
      </c>
      <c r="AN235" s="16" t="s">
        <v>124</v>
      </c>
      <c r="AO235" s="8" t="s">
        <v>125</v>
      </c>
      <c r="AP235" s="7"/>
      <c r="AQ235" s="18"/>
      <c r="AR235" s="290"/>
      <c r="AS235" s="8" t="s">
        <v>126</v>
      </c>
      <c r="AT235" s="505" t="s">
        <v>124</v>
      </c>
      <c r="AU235" s="506"/>
      <c r="AV235" s="8" t="s">
        <v>127</v>
      </c>
      <c r="AW235" s="8" t="s">
        <v>127</v>
      </c>
      <c r="AX235" s="290"/>
      <c r="AY235" s="18"/>
      <c r="AZ235" s="3"/>
      <c r="BA235" s="315"/>
      <c r="BB235" s="3"/>
      <c r="BC235" s="3"/>
      <c r="BD235" s="3"/>
      <c r="BE235" s="3"/>
      <c r="BF235" s="18"/>
      <c r="BG235" s="3"/>
      <c r="BH235" s="315"/>
      <c r="BI235" s="3"/>
      <c r="BJ235" s="3"/>
      <c r="BK235" s="3"/>
      <c r="BL235" s="3"/>
      <c r="BM235" s="18"/>
      <c r="BN235" s="3"/>
      <c r="BO235" s="315"/>
      <c r="BP235" s="3"/>
      <c r="BQ235" s="3"/>
      <c r="BR235" s="3"/>
      <c r="BS235" s="3"/>
      <c r="BT235" s="18"/>
      <c r="BU235" s="3"/>
      <c r="BV235" s="315"/>
      <c r="BW235" s="3"/>
      <c r="BX235" s="3"/>
      <c r="BY235" s="3"/>
      <c r="BZ235" s="3"/>
    </row>
    <row r="236" spans="1:82" ht="28.9" hidden="1" outlineLevel="1">
      <c r="A236" s="7"/>
      <c r="B236" s="354" t="s">
        <v>128</v>
      </c>
      <c r="C236" s="355"/>
      <c r="D236" s="356"/>
      <c r="E236" s="342"/>
      <c r="F236" s="290"/>
      <c r="G236" s="357">
        <v>0</v>
      </c>
      <c r="H236" s="358">
        <v>0</v>
      </c>
      <c r="I236" s="358">
        <v>0</v>
      </c>
      <c r="J236" s="359">
        <f>IFERROR(G236/(1-(H236+I236)),0)</f>
        <v>0</v>
      </c>
      <c r="K236" s="360"/>
      <c r="L236" s="349"/>
      <c r="M236" s="7"/>
      <c r="N236" s="12"/>
      <c r="O236" s="12"/>
      <c r="P236" s="12"/>
      <c r="Q236" s="361"/>
      <c r="R236" s="362"/>
      <c r="S236" s="363">
        <f t="shared" ref="S236:S265" si="121">IF(ISBLANK(P236),0,$O$228*20)</f>
        <v>0</v>
      </c>
      <c r="T236" s="364">
        <f t="shared" ref="T236:T265" si="122">IF(ISBLANK($P236),0,IF(Approach="Team-Based",$Q236*$R236*$S236*HoursPerDayTeamBased,$J236))</f>
        <v>0</v>
      </c>
      <c r="U236" s="365">
        <v>0</v>
      </c>
      <c r="V236" s="91">
        <f>ROUNDUP(IFERROR(INDEX(CostRateTbl[Cost Rate],MATCH(_xlfn.CONCAT(N236,O236,P236,"NA"),CostRateTbl[KeyCostRate],0)),0)*BillingCurrencyTRM*(1+U236),2)</f>
        <v>0</v>
      </c>
      <c r="W236" s="92">
        <f t="shared" ref="W236:W265" si="123">T236*V236</f>
        <v>0</v>
      </c>
      <c r="X236" s="366" t="e" cm="1">
        <f t="array" ref="X236">_xlfn.LET(
    _xlpm.valor, INDEX(CostRate!H:H, MATCH(1, (CostRate!A:A=N236)*1, 0)),
    _xlpm.posicion, MATCH(_xlpm.valor, FilterSL!$F$1:$Z$1, 0),
    _xlpm.direccionCompleta, ADDRESS(1, _xlpm.posicion + 5, 4),
    _xlpm.letraColumna, SUBSTITUTE(_xlpm.direccionCompleta, "1", ""),
    _xlpm.letraColumna
)</f>
        <v>#N/A</v>
      </c>
      <c r="Y236" s="366" t="e" cm="1">
        <f t="array" ref="Y236">_xlfn.LET(
    _xlpm.valor, INDEX(CostRate!I:I, MATCH(1, (CostRate!A:A=N236)*(CostRate!B:B=O236), 0)),
    _xlpm.posicion, MATCH(_xlpm.valor, FilterJP!$E$1:$FZ$1, 0),
    _xlpm.direccionCompleta, ADDRESS(1, _xlpm.posicion + 4, 4),
    _xlpm.letraColumna, SUBSTITUTE(_xlpm.direccionCompleta, "1", ""),
    _xlpm.letraColumna
)</f>
        <v>#N/A</v>
      </c>
      <c r="Z236" s="7"/>
      <c r="AA236" s="367"/>
      <c r="AB236" s="7"/>
      <c r="AC236" s="93">
        <f t="shared" ref="AC236:AC265" si="124">ROUNDUP($V236/(1-$AV$222),2)</f>
        <v>0</v>
      </c>
      <c r="AD236" s="94">
        <f>$T236*$AC236</f>
        <v>0</v>
      </c>
      <c r="AE236" s="109">
        <f>IFERROR(1-($W236/$AD236),0)</f>
        <v>0</v>
      </c>
      <c r="AF236" s="7"/>
      <c r="AG236" s="369">
        <f t="shared" ref="AG236:AG265" si="125">IFERROR(IF(OR(ISBLANK(N236),N236=CustomerCountry,COUNTIF($N236,"*xDC*")),0,10%),0)</f>
        <v>0</v>
      </c>
      <c r="AH236" s="368">
        <f t="shared" ref="AH236:AH265" si="126">W236*AG236</f>
        <v>0</v>
      </c>
      <c r="AI236" s="7"/>
      <c r="AJ236" s="369" cm="1">
        <f t="array" ref="AJ236">IFERROR(INDEX(WHT!$C$7:$W$18,MATCH(
_xlfn.SWITCH(N236,"xDC Medellin","Colombia","xDC Belo Horizonte","Brazil","xDC Guadalajara","Mexico","xDC Gurugram","India","xDC Leon","Spain","xDC San Jose","Costa Rica","xDC Warsaw","Poland",N236),
WHT!$B$7:$B$18,0),MATCH(CustomerCountry,WHT!$C$5:$W$5,0)),0)</f>
        <v>0</v>
      </c>
      <c r="AK236" s="368">
        <f t="shared" ref="AK236:AK265" si="127">(W236+AH236)*AJ236</f>
        <v>0</v>
      </c>
      <c r="AL236" s="7"/>
      <c r="AM236" s="95">
        <f>SUM($AD236,$AH236,$AK236)</f>
        <v>0</v>
      </c>
      <c r="AN236" s="95">
        <f t="shared" ref="AN236:AN265" si="128">AM236+IFERROR(SUM($AN$225:$AN$230)*AM236/$AM$234,0)</f>
        <v>0</v>
      </c>
      <c r="AO236" s="95">
        <f>IFERROR($AN236/$T236,0)</f>
        <v>0</v>
      </c>
      <c r="AP236" s="7"/>
      <c r="AQ236" s="18"/>
      <c r="AR236" s="290"/>
      <c r="AS236" s="467" t="s">
        <v>133</v>
      </c>
      <c r="AT236" s="501">
        <f t="shared" ref="AT236:AT264" si="129">IF(AS236="x",AM236+((SUM($AN$225:$AN$230)+SUMIF($AS$236:$AS$265,"&lt;&gt;x",$AM$236:$AM$265))*IFERROR(AM236/SUMIF($AS$236:$AS$265,"x",$AM$236:$AM$265),0)),0)</f>
        <v>0</v>
      </c>
      <c r="AU236" s="502"/>
      <c r="AV236" s="95">
        <f>IFERROR(AT236/T236,0)</f>
        <v>0</v>
      </c>
      <c r="AW236" s="469" t="str">
        <f t="shared" ref="AW236:AW265" si="130">IFERROR(AV236/BusinessCurrencyTRM,"N/A")</f>
        <v>N/A</v>
      </c>
      <c r="AX236" s="290"/>
      <c r="AY236" s="18"/>
      <c r="AZ236" s="3"/>
      <c r="BA236" s="315"/>
      <c r="BB236" s="3"/>
      <c r="BC236" s="3"/>
      <c r="BD236" s="3"/>
      <c r="BE236" s="3"/>
      <c r="BF236" s="18"/>
      <c r="BG236" s="3"/>
      <c r="BH236" s="315"/>
      <c r="BI236" s="3"/>
      <c r="BJ236" s="3"/>
      <c r="BK236" s="3"/>
      <c r="BL236" s="3"/>
      <c r="BM236" s="18"/>
      <c r="BN236" s="3"/>
      <c r="BO236" s="315"/>
      <c r="BP236" s="3"/>
      <c r="BQ236" s="3"/>
      <c r="BR236" s="3"/>
      <c r="BS236" s="3"/>
      <c r="BT236" s="18"/>
      <c r="BU236" s="3"/>
      <c r="BV236" s="315"/>
      <c r="BW236" s="3"/>
      <c r="BX236" s="3"/>
      <c r="BY236" s="3"/>
      <c r="BZ236" s="3"/>
    </row>
    <row r="237" spans="1:82" ht="15.6" hidden="1" outlineLevel="1">
      <c r="A237" s="7"/>
      <c r="B237" s="370"/>
      <c r="C237" s="355"/>
      <c r="D237" s="356"/>
      <c r="E237" s="342"/>
      <c r="F237" s="290"/>
      <c r="G237" s="357">
        <v>0</v>
      </c>
      <c r="H237" s="358">
        <v>0</v>
      </c>
      <c r="I237" s="358">
        <v>0</v>
      </c>
      <c r="J237" s="359">
        <f t="shared" ref="J237:J265" si="131">IFERROR(G237/(1-(H237+I237)),0)</f>
        <v>0</v>
      </c>
      <c r="K237" s="290"/>
      <c r="L237" s="349"/>
      <c r="M237" s="7"/>
      <c r="N237" s="12"/>
      <c r="O237" s="12"/>
      <c r="P237" s="12"/>
      <c r="Q237" s="361"/>
      <c r="R237" s="362"/>
      <c r="S237" s="363">
        <f t="shared" si="121"/>
        <v>0</v>
      </c>
      <c r="T237" s="364">
        <f t="shared" si="122"/>
        <v>0</v>
      </c>
      <c r="U237" s="365">
        <v>0</v>
      </c>
      <c r="V237" s="91">
        <f>ROUNDUP(IFERROR(INDEX(CostRateTbl[Cost Rate],MATCH(_xlfn.CONCAT(N237,O237,P237,"NA"),CostRateTbl[KeyCostRate],0)),0)*BillingCurrencyTRM*(1+U237),2)</f>
        <v>0</v>
      </c>
      <c r="W237" s="92">
        <f t="shared" si="123"/>
        <v>0</v>
      </c>
      <c r="X237" s="366" t="e" cm="1">
        <f t="array" ref="X237">_xlfn.LET(
    _xlpm.valor, INDEX(CostRate!H:H, MATCH(1, (CostRate!A:A=N237)*1, 0)),
    _xlpm.posicion, MATCH(_xlpm.valor, FilterSL!$F$1:$Z$1, 0),
    _xlpm.direccionCompleta, ADDRESS(1, _xlpm.posicion + 5, 4),
    _xlpm.letraColumna, SUBSTITUTE(_xlpm.direccionCompleta, "1", ""),
    _xlpm.letraColumna
)</f>
        <v>#N/A</v>
      </c>
      <c r="Y237" s="366" t="e" cm="1">
        <f t="array" ref="Y237">_xlfn.LET(
    _xlpm.valor, INDEX(CostRate!I:I, MATCH(1, (CostRate!A:A=N237)*(CostRate!B:B=O237), 0)),
    _xlpm.posicion, MATCH(_xlpm.valor, FilterJP!$E$1:$FZ$1, 0),
    _xlpm.direccionCompleta, ADDRESS(1, _xlpm.posicion + 4, 4),
    _xlpm.letraColumna, SUBSTITUTE(_xlpm.direccionCompleta, "1", ""),
    _xlpm.letraColumna
)</f>
        <v>#N/A</v>
      </c>
      <c r="Z237" s="7"/>
      <c r="AA237" s="367"/>
      <c r="AB237" s="7"/>
      <c r="AC237" s="93">
        <f t="shared" si="124"/>
        <v>0</v>
      </c>
      <c r="AD237" s="94">
        <f t="shared" ref="AD237:AD265" si="132">$T237*$AC237</f>
        <v>0</v>
      </c>
      <c r="AE237" s="109">
        <f t="shared" ref="AE237:AE265" si="133">IFERROR(1-($W237/$AD237),0)</f>
        <v>0</v>
      </c>
      <c r="AF237" s="7"/>
      <c r="AG237" s="369">
        <f t="shared" si="125"/>
        <v>0</v>
      </c>
      <c r="AH237" s="368">
        <f t="shared" si="126"/>
        <v>0</v>
      </c>
      <c r="AI237" s="7"/>
      <c r="AJ237" s="369" cm="1">
        <f t="array" ref="AJ237">IFERROR(INDEX(WHT!$C$7:$W$18,MATCH(
_xlfn.SWITCH(N237,"xDC Medellin","Colombia","xDC Belo Horizonte","Brazil","xDC Guadalajara","Mexico","xDC Gurugram","India","xDC Leon","Spain","xDC San Jose","Costa Rica","xDC Warsaw","Poland",N237),
WHT!$B$7:$B$18,0),MATCH(CustomerCountry,WHT!$C$5:$W$5,0)),0)</f>
        <v>0</v>
      </c>
      <c r="AK237" s="368">
        <f t="shared" si="127"/>
        <v>0</v>
      </c>
      <c r="AL237" s="7"/>
      <c r="AM237" s="95">
        <f t="shared" ref="AM237:AM265" si="134">SUM($AD237,$AH237,$AK237)</f>
        <v>0</v>
      </c>
      <c r="AN237" s="95">
        <f t="shared" si="128"/>
        <v>0</v>
      </c>
      <c r="AO237" s="95">
        <f t="shared" ref="AO237:AO265" si="135">IFERROR($AN237/$T237,0)</f>
        <v>0</v>
      </c>
      <c r="AP237" s="90"/>
      <c r="AQ237" s="18"/>
      <c r="AR237" s="290"/>
      <c r="AS237" s="467" t="s">
        <v>133</v>
      </c>
      <c r="AT237" s="501">
        <f t="shared" si="129"/>
        <v>0</v>
      </c>
      <c r="AU237" s="502"/>
      <c r="AV237" s="95">
        <f t="shared" ref="AV237:AV265" si="136">IFERROR(AT237/T237,0)</f>
        <v>0</v>
      </c>
      <c r="AW237" s="469" t="str">
        <f t="shared" si="130"/>
        <v>N/A</v>
      </c>
      <c r="AX237" s="290"/>
      <c r="AY237" s="18"/>
      <c r="AZ237" s="3"/>
      <c r="BA237" s="315"/>
      <c r="BB237" s="3"/>
      <c r="BC237" s="3"/>
      <c r="BD237" s="3"/>
      <c r="BE237" s="3"/>
      <c r="BF237" s="18"/>
      <c r="BG237" s="3"/>
      <c r="BH237" s="315"/>
      <c r="BI237" s="3"/>
      <c r="BJ237" s="3"/>
      <c r="BK237" s="3"/>
      <c r="BL237" s="3"/>
      <c r="BM237" s="18"/>
      <c r="BN237" s="3"/>
      <c r="BO237" s="315"/>
      <c r="BP237" s="3"/>
      <c r="BQ237" s="3"/>
      <c r="BR237" s="3"/>
      <c r="BS237" s="3"/>
      <c r="BT237" s="18"/>
      <c r="BU237" s="3"/>
      <c r="BV237" s="315"/>
      <c r="BW237" s="3"/>
      <c r="BX237" s="3"/>
      <c r="BY237" s="3"/>
      <c r="BZ237" s="3"/>
      <c r="CA237" s="371"/>
    </row>
    <row r="238" spans="1:82" ht="15.6" hidden="1" outlineLevel="1">
      <c r="A238" s="7"/>
      <c r="B238" s="370"/>
      <c r="C238" s="355"/>
      <c r="D238" s="356"/>
      <c r="E238" s="342"/>
      <c r="F238" s="290"/>
      <c r="G238" s="357">
        <v>0</v>
      </c>
      <c r="H238" s="358">
        <v>0</v>
      </c>
      <c r="I238" s="358">
        <v>0</v>
      </c>
      <c r="J238" s="359">
        <f t="shared" si="131"/>
        <v>0</v>
      </c>
      <c r="K238" s="290"/>
      <c r="L238" s="349"/>
      <c r="M238" s="7"/>
      <c r="N238" s="12"/>
      <c r="O238" s="12"/>
      <c r="P238" s="12"/>
      <c r="Q238" s="361"/>
      <c r="R238" s="362"/>
      <c r="S238" s="363">
        <f t="shared" si="121"/>
        <v>0</v>
      </c>
      <c r="T238" s="364">
        <f t="shared" si="122"/>
        <v>0</v>
      </c>
      <c r="U238" s="365">
        <v>0</v>
      </c>
      <c r="V238" s="91">
        <f>ROUNDUP(IFERROR(INDEX(CostRateTbl[Cost Rate],MATCH(_xlfn.CONCAT(N238,O238,P238,"NA"),CostRateTbl[KeyCostRate],0)),0)*BillingCurrencyTRM*(1+U238),2)</f>
        <v>0</v>
      </c>
      <c r="W238" s="92">
        <f t="shared" si="123"/>
        <v>0</v>
      </c>
      <c r="X238" s="366" t="e" cm="1">
        <f t="array" ref="X238">_xlfn.LET(
    _xlpm.valor, INDEX(CostRate!H:H, MATCH(1, (CostRate!A:A=N238)*1, 0)),
    _xlpm.posicion, MATCH(_xlpm.valor, FilterSL!$F$1:$Z$1, 0),
    _xlpm.direccionCompleta, ADDRESS(1, _xlpm.posicion + 5, 4),
    _xlpm.letraColumna, SUBSTITUTE(_xlpm.direccionCompleta, "1", ""),
    _xlpm.letraColumna
)</f>
        <v>#N/A</v>
      </c>
      <c r="Y238" s="366" t="e" cm="1">
        <f t="array" ref="Y238">_xlfn.LET(
    _xlpm.valor, INDEX(CostRate!I:I, MATCH(1, (CostRate!A:A=N238)*(CostRate!B:B=O238), 0)),
    _xlpm.posicion, MATCH(_xlpm.valor, FilterJP!$E$1:$FZ$1, 0),
    _xlpm.direccionCompleta, ADDRESS(1, _xlpm.posicion + 4, 4),
    _xlpm.letraColumna, SUBSTITUTE(_xlpm.direccionCompleta, "1", ""),
    _xlpm.letraColumna
)</f>
        <v>#N/A</v>
      </c>
      <c r="Z238" s="7"/>
      <c r="AA238" s="367"/>
      <c r="AB238" s="7"/>
      <c r="AC238" s="93">
        <f t="shared" si="124"/>
        <v>0</v>
      </c>
      <c r="AD238" s="94">
        <f t="shared" si="132"/>
        <v>0</v>
      </c>
      <c r="AE238" s="109">
        <f t="shared" si="133"/>
        <v>0</v>
      </c>
      <c r="AF238" s="7"/>
      <c r="AG238" s="369">
        <f t="shared" si="125"/>
        <v>0</v>
      </c>
      <c r="AH238" s="368">
        <f t="shared" si="126"/>
        <v>0</v>
      </c>
      <c r="AI238" s="7"/>
      <c r="AJ238" s="369" cm="1">
        <f t="array" ref="AJ238">IFERROR(INDEX(WHT!$C$7:$W$18,MATCH(
_xlfn.SWITCH(N238,"xDC Medellin","Colombia","xDC Belo Horizonte","Brazil","xDC Guadalajara","Mexico","xDC Gurugram","India","xDC Leon","Spain","xDC San Jose","Costa Rica","xDC Warsaw","Poland",N238),
WHT!$B$7:$B$18,0),MATCH(CustomerCountry,WHT!$C$5:$W$5,0)),0)</f>
        <v>0</v>
      </c>
      <c r="AK238" s="368">
        <f t="shared" si="127"/>
        <v>0</v>
      </c>
      <c r="AL238" s="7"/>
      <c r="AM238" s="95">
        <f t="shared" si="134"/>
        <v>0</v>
      </c>
      <c r="AN238" s="95">
        <f t="shared" si="128"/>
        <v>0</v>
      </c>
      <c r="AO238" s="95">
        <f t="shared" si="135"/>
        <v>0</v>
      </c>
      <c r="AP238" s="90"/>
      <c r="AQ238" s="18"/>
      <c r="AR238" s="290"/>
      <c r="AS238" s="467" t="s">
        <v>133</v>
      </c>
      <c r="AT238" s="501">
        <f t="shared" si="129"/>
        <v>0</v>
      </c>
      <c r="AU238" s="502"/>
      <c r="AV238" s="95">
        <f t="shared" si="136"/>
        <v>0</v>
      </c>
      <c r="AW238" s="469" t="str">
        <f t="shared" si="130"/>
        <v>N/A</v>
      </c>
      <c r="AX238" s="290"/>
      <c r="AY238" s="18"/>
      <c r="AZ238" s="3"/>
      <c r="BA238" s="315"/>
      <c r="BB238" s="3"/>
      <c r="BC238" s="3"/>
      <c r="BD238" s="3"/>
      <c r="BE238" s="3"/>
      <c r="BF238" s="18"/>
      <c r="BG238" s="3"/>
      <c r="BH238" s="315"/>
      <c r="BI238" s="3"/>
      <c r="BJ238" s="3"/>
      <c r="BK238" s="3"/>
      <c r="BL238" s="3"/>
      <c r="BM238" s="18"/>
      <c r="BN238" s="3"/>
      <c r="BO238" s="315"/>
      <c r="BP238" s="3"/>
      <c r="BQ238" s="3"/>
      <c r="BR238" s="3"/>
      <c r="BS238" s="3"/>
      <c r="BT238" s="18"/>
      <c r="BU238" s="3"/>
      <c r="BV238" s="315"/>
      <c r="BW238" s="3"/>
      <c r="BX238" s="3"/>
      <c r="BY238" s="3"/>
      <c r="BZ238" s="3"/>
    </row>
    <row r="239" spans="1:82" ht="15.6" hidden="1" outlineLevel="1">
      <c r="A239" s="7"/>
      <c r="B239" s="370"/>
      <c r="C239" s="355"/>
      <c r="D239" s="356"/>
      <c r="E239" s="342"/>
      <c r="F239" s="290"/>
      <c r="G239" s="357">
        <v>0</v>
      </c>
      <c r="H239" s="358">
        <v>0</v>
      </c>
      <c r="I239" s="358">
        <v>0</v>
      </c>
      <c r="J239" s="359">
        <f t="shared" si="131"/>
        <v>0</v>
      </c>
      <c r="K239" s="290"/>
      <c r="L239" s="349"/>
      <c r="M239" s="7"/>
      <c r="N239" s="12"/>
      <c r="O239" s="12"/>
      <c r="P239" s="12"/>
      <c r="Q239" s="361"/>
      <c r="R239" s="362"/>
      <c r="S239" s="363">
        <f t="shared" si="121"/>
        <v>0</v>
      </c>
      <c r="T239" s="364">
        <f t="shared" si="122"/>
        <v>0</v>
      </c>
      <c r="U239" s="365">
        <v>0</v>
      </c>
      <c r="V239" s="91">
        <f>ROUNDUP(IFERROR(INDEX(CostRateTbl[Cost Rate],MATCH(_xlfn.CONCAT(N239,O239,P239,"NA"),CostRateTbl[KeyCostRate],0)),0)*BillingCurrencyTRM*(1+U239),2)</f>
        <v>0</v>
      </c>
      <c r="W239" s="92">
        <f t="shared" si="123"/>
        <v>0</v>
      </c>
      <c r="X239" s="366" t="e" cm="1">
        <f t="array" ref="X239">_xlfn.LET(
    _xlpm.valor, INDEX(CostRate!H:H, MATCH(1, (CostRate!A:A=N239)*1, 0)),
    _xlpm.posicion, MATCH(_xlpm.valor, FilterSL!$F$1:$Z$1, 0),
    _xlpm.direccionCompleta, ADDRESS(1, _xlpm.posicion + 5, 4),
    _xlpm.letraColumna, SUBSTITUTE(_xlpm.direccionCompleta, "1", ""),
    _xlpm.letraColumna
)</f>
        <v>#N/A</v>
      </c>
      <c r="Y239" s="366" t="e" cm="1">
        <f t="array" ref="Y239">_xlfn.LET(
    _xlpm.valor, INDEX(CostRate!I:I, MATCH(1, (CostRate!A:A=N239)*(CostRate!B:B=O239), 0)),
    _xlpm.posicion, MATCH(_xlpm.valor, FilterJP!$E$1:$FZ$1, 0),
    _xlpm.direccionCompleta, ADDRESS(1, _xlpm.posicion + 4, 4),
    _xlpm.letraColumna, SUBSTITUTE(_xlpm.direccionCompleta, "1", ""),
    _xlpm.letraColumna
)</f>
        <v>#N/A</v>
      </c>
      <c r="Z239" s="7"/>
      <c r="AA239" s="367"/>
      <c r="AB239" s="7"/>
      <c r="AC239" s="93">
        <f t="shared" si="124"/>
        <v>0</v>
      </c>
      <c r="AD239" s="94">
        <f t="shared" si="132"/>
        <v>0</v>
      </c>
      <c r="AE239" s="109">
        <f t="shared" si="133"/>
        <v>0</v>
      </c>
      <c r="AF239" s="7"/>
      <c r="AG239" s="369">
        <f t="shared" si="125"/>
        <v>0</v>
      </c>
      <c r="AH239" s="368">
        <f t="shared" si="126"/>
        <v>0</v>
      </c>
      <c r="AI239" s="7"/>
      <c r="AJ239" s="369" cm="1">
        <f t="array" ref="AJ239">IFERROR(INDEX(WHT!$C$7:$W$18,MATCH(
_xlfn.SWITCH(N239,"xDC Medellin","Colombia","xDC Belo Horizonte","Brazil","xDC Guadalajara","Mexico","xDC Gurugram","India","xDC Leon","Spain","xDC San Jose","Costa Rica","xDC Warsaw","Poland",N239),
WHT!$B$7:$B$18,0),MATCH(CustomerCountry,WHT!$C$5:$W$5,0)),0)</f>
        <v>0</v>
      </c>
      <c r="AK239" s="368">
        <f t="shared" si="127"/>
        <v>0</v>
      </c>
      <c r="AL239" s="7"/>
      <c r="AM239" s="95">
        <f t="shared" si="134"/>
        <v>0</v>
      </c>
      <c r="AN239" s="95">
        <f t="shared" si="128"/>
        <v>0</v>
      </c>
      <c r="AO239" s="95">
        <f t="shared" si="135"/>
        <v>0</v>
      </c>
      <c r="AP239" s="90"/>
      <c r="AQ239" s="18"/>
      <c r="AR239" s="290"/>
      <c r="AS239" s="467" t="s">
        <v>133</v>
      </c>
      <c r="AT239" s="501">
        <f t="shared" si="129"/>
        <v>0</v>
      </c>
      <c r="AU239" s="502"/>
      <c r="AV239" s="95">
        <f t="shared" si="136"/>
        <v>0</v>
      </c>
      <c r="AW239" s="469" t="str">
        <f t="shared" si="130"/>
        <v>N/A</v>
      </c>
      <c r="AX239" s="290"/>
      <c r="AY239" s="18"/>
      <c r="AZ239" s="3"/>
      <c r="BA239" s="315"/>
      <c r="BB239" s="3"/>
      <c r="BC239" s="3"/>
      <c r="BD239" s="3"/>
      <c r="BE239" s="3"/>
      <c r="BF239" s="18"/>
      <c r="BG239" s="3"/>
      <c r="BH239" s="315"/>
      <c r="BI239" s="3"/>
      <c r="BJ239" s="3"/>
      <c r="BK239" s="3"/>
      <c r="BL239" s="3"/>
      <c r="BM239" s="18"/>
      <c r="BN239" s="3"/>
      <c r="BO239" s="315"/>
      <c r="BP239" s="3"/>
      <c r="BQ239" s="3"/>
      <c r="BR239" s="3"/>
      <c r="BS239" s="3"/>
      <c r="BT239" s="18"/>
      <c r="BU239" s="3"/>
      <c r="BV239" s="315"/>
      <c r="BW239" s="3"/>
      <c r="BX239" s="3"/>
      <c r="BY239" s="3"/>
      <c r="BZ239" s="3"/>
    </row>
    <row r="240" spans="1:82" ht="15.6" hidden="1" outlineLevel="1">
      <c r="A240" s="7"/>
      <c r="B240" s="370"/>
      <c r="C240" s="355"/>
      <c r="D240" s="356"/>
      <c r="E240" s="342"/>
      <c r="F240" s="290"/>
      <c r="G240" s="357">
        <v>0</v>
      </c>
      <c r="H240" s="358">
        <v>0</v>
      </c>
      <c r="I240" s="358">
        <v>0</v>
      </c>
      <c r="J240" s="359">
        <f t="shared" si="131"/>
        <v>0</v>
      </c>
      <c r="K240" s="290"/>
      <c r="L240" s="349"/>
      <c r="M240" s="7"/>
      <c r="N240" s="12"/>
      <c r="O240" s="12"/>
      <c r="P240" s="12"/>
      <c r="Q240" s="361"/>
      <c r="R240" s="362"/>
      <c r="S240" s="363">
        <f t="shared" si="121"/>
        <v>0</v>
      </c>
      <c r="T240" s="364">
        <f t="shared" si="122"/>
        <v>0</v>
      </c>
      <c r="U240" s="365">
        <v>0</v>
      </c>
      <c r="V240" s="91">
        <f>ROUNDUP(IFERROR(INDEX(CostRateTbl[Cost Rate],MATCH(_xlfn.CONCAT(N240,O240,P240,"NA"),CostRateTbl[KeyCostRate],0)),0)*BillingCurrencyTRM*(1+U240),2)</f>
        <v>0</v>
      </c>
      <c r="W240" s="92">
        <f t="shared" si="123"/>
        <v>0</v>
      </c>
      <c r="X240" s="366" t="e" cm="1">
        <f t="array" ref="X240">_xlfn.LET(
    _xlpm.valor, INDEX(CostRate!H:H, MATCH(1, (CostRate!A:A=N240)*1, 0)),
    _xlpm.posicion, MATCH(_xlpm.valor, FilterSL!$F$1:$Z$1, 0),
    _xlpm.direccionCompleta, ADDRESS(1, _xlpm.posicion + 5, 4),
    _xlpm.letraColumna, SUBSTITUTE(_xlpm.direccionCompleta, "1", ""),
    _xlpm.letraColumna
)</f>
        <v>#N/A</v>
      </c>
      <c r="Y240" s="366" t="e" cm="1">
        <f t="array" ref="Y240">_xlfn.LET(
    _xlpm.valor, INDEX(CostRate!I:I, MATCH(1, (CostRate!A:A=N240)*(CostRate!B:B=O240), 0)),
    _xlpm.posicion, MATCH(_xlpm.valor, FilterJP!$E$1:$FZ$1, 0),
    _xlpm.direccionCompleta, ADDRESS(1, _xlpm.posicion + 4, 4),
    _xlpm.letraColumna, SUBSTITUTE(_xlpm.direccionCompleta, "1", ""),
    _xlpm.letraColumna
)</f>
        <v>#N/A</v>
      </c>
      <c r="Z240" s="7"/>
      <c r="AA240" s="367"/>
      <c r="AB240" s="7"/>
      <c r="AC240" s="93">
        <f t="shared" si="124"/>
        <v>0</v>
      </c>
      <c r="AD240" s="94">
        <f t="shared" si="132"/>
        <v>0</v>
      </c>
      <c r="AE240" s="109">
        <f t="shared" si="133"/>
        <v>0</v>
      </c>
      <c r="AF240" s="7"/>
      <c r="AG240" s="369">
        <f t="shared" si="125"/>
        <v>0</v>
      </c>
      <c r="AH240" s="368">
        <f t="shared" si="126"/>
        <v>0</v>
      </c>
      <c r="AI240" s="7"/>
      <c r="AJ240" s="369" cm="1">
        <f t="array" ref="AJ240">IFERROR(INDEX(WHT!$C$7:$W$18,MATCH(
_xlfn.SWITCH(N240,"xDC Medellin","Colombia","xDC Belo Horizonte","Brazil","xDC Guadalajara","Mexico","xDC Gurugram","India","xDC Leon","Spain","xDC San Jose","Costa Rica","xDC Warsaw","Poland",N240),
WHT!$B$7:$B$18,0),MATCH(CustomerCountry,WHT!$C$5:$W$5,0)),0)</f>
        <v>0</v>
      </c>
      <c r="AK240" s="368">
        <f t="shared" si="127"/>
        <v>0</v>
      </c>
      <c r="AL240" s="7"/>
      <c r="AM240" s="95">
        <f t="shared" si="134"/>
        <v>0</v>
      </c>
      <c r="AN240" s="95">
        <f t="shared" si="128"/>
        <v>0</v>
      </c>
      <c r="AO240" s="95">
        <f t="shared" si="135"/>
        <v>0</v>
      </c>
      <c r="AP240" s="90"/>
      <c r="AQ240" s="18"/>
      <c r="AR240" s="290"/>
      <c r="AS240" s="467" t="s">
        <v>133</v>
      </c>
      <c r="AT240" s="501">
        <f t="shared" si="129"/>
        <v>0</v>
      </c>
      <c r="AU240" s="502"/>
      <c r="AV240" s="95">
        <f t="shared" si="136"/>
        <v>0</v>
      </c>
      <c r="AW240" s="469" t="str">
        <f t="shared" si="130"/>
        <v>N/A</v>
      </c>
      <c r="AX240" s="290"/>
      <c r="AY240" s="18"/>
      <c r="AZ240" s="3"/>
      <c r="BA240" s="315"/>
      <c r="BB240" s="3"/>
      <c r="BC240" s="3"/>
      <c r="BD240" s="3"/>
      <c r="BE240" s="3"/>
      <c r="BF240" s="18"/>
      <c r="BG240" s="3"/>
      <c r="BH240" s="315"/>
      <c r="BI240" s="3"/>
      <c r="BJ240" s="3"/>
      <c r="BK240" s="3"/>
      <c r="BL240" s="3"/>
      <c r="BM240" s="18"/>
      <c r="BN240" s="3"/>
      <c r="BO240" s="315"/>
      <c r="BP240" s="3"/>
      <c r="BQ240" s="3"/>
      <c r="BR240" s="3"/>
      <c r="BS240" s="3"/>
      <c r="BT240" s="18"/>
      <c r="BU240" s="3"/>
      <c r="BV240" s="315"/>
      <c r="BW240" s="3"/>
      <c r="BX240" s="3"/>
      <c r="BY240" s="3"/>
      <c r="BZ240" s="3"/>
    </row>
    <row r="241" spans="1:78" ht="15.6" hidden="1" outlineLevel="1">
      <c r="A241" s="7"/>
      <c r="B241" s="370"/>
      <c r="C241" s="355"/>
      <c r="D241" s="356"/>
      <c r="E241" s="342"/>
      <c r="F241" s="290"/>
      <c r="G241" s="357">
        <v>0</v>
      </c>
      <c r="H241" s="358">
        <v>0</v>
      </c>
      <c r="I241" s="358">
        <v>0</v>
      </c>
      <c r="J241" s="359">
        <f t="shared" si="131"/>
        <v>0</v>
      </c>
      <c r="K241" s="290"/>
      <c r="L241" s="349"/>
      <c r="M241" s="7"/>
      <c r="N241" s="12"/>
      <c r="O241" s="12"/>
      <c r="P241" s="12"/>
      <c r="Q241" s="361"/>
      <c r="R241" s="362"/>
      <c r="S241" s="363">
        <f t="shared" si="121"/>
        <v>0</v>
      </c>
      <c r="T241" s="364">
        <f t="shared" si="122"/>
        <v>0</v>
      </c>
      <c r="U241" s="365">
        <v>0</v>
      </c>
      <c r="V241" s="91">
        <f>ROUNDUP(IFERROR(INDEX(CostRateTbl[Cost Rate],MATCH(_xlfn.CONCAT(N241,O241,P241,"NA"),CostRateTbl[KeyCostRate],0)),0)*BillingCurrencyTRM*(1+U241),2)</f>
        <v>0</v>
      </c>
      <c r="W241" s="92">
        <f t="shared" si="123"/>
        <v>0</v>
      </c>
      <c r="X241" s="366" t="e" cm="1">
        <f t="array" ref="X241">_xlfn.LET(
    _xlpm.valor, INDEX(CostRate!H:H, MATCH(1, (CostRate!A:A=N241)*1, 0)),
    _xlpm.posicion, MATCH(_xlpm.valor, FilterSL!$F$1:$Z$1, 0),
    _xlpm.direccionCompleta, ADDRESS(1, _xlpm.posicion + 5, 4),
    _xlpm.letraColumna, SUBSTITUTE(_xlpm.direccionCompleta, "1", ""),
    _xlpm.letraColumna
)</f>
        <v>#N/A</v>
      </c>
      <c r="Y241" s="366" t="e" cm="1">
        <f t="array" ref="Y241">_xlfn.LET(
    _xlpm.valor, INDEX(CostRate!I:I, MATCH(1, (CostRate!A:A=N241)*(CostRate!B:B=O241), 0)),
    _xlpm.posicion, MATCH(_xlpm.valor, FilterJP!$E$1:$FZ$1, 0),
    _xlpm.direccionCompleta, ADDRESS(1, _xlpm.posicion + 4, 4),
    _xlpm.letraColumna, SUBSTITUTE(_xlpm.direccionCompleta, "1", ""),
    _xlpm.letraColumna
)</f>
        <v>#N/A</v>
      </c>
      <c r="Z241" s="7"/>
      <c r="AA241" s="367"/>
      <c r="AB241" s="7"/>
      <c r="AC241" s="93">
        <f t="shared" si="124"/>
        <v>0</v>
      </c>
      <c r="AD241" s="94">
        <f t="shared" si="132"/>
        <v>0</v>
      </c>
      <c r="AE241" s="109">
        <f t="shared" si="133"/>
        <v>0</v>
      </c>
      <c r="AF241" s="7"/>
      <c r="AG241" s="369">
        <f t="shared" si="125"/>
        <v>0</v>
      </c>
      <c r="AH241" s="368">
        <f t="shared" si="126"/>
        <v>0</v>
      </c>
      <c r="AI241" s="7"/>
      <c r="AJ241" s="369" cm="1">
        <f t="array" ref="AJ241">IFERROR(INDEX(WHT!$C$7:$W$18,MATCH(
_xlfn.SWITCH(N241,"xDC Medellin","Colombia","xDC Belo Horizonte","Brazil","xDC Guadalajara","Mexico","xDC Gurugram","India","xDC Leon","Spain","xDC San Jose","Costa Rica","xDC Warsaw","Poland",N241),
WHT!$B$7:$B$18,0),MATCH(CustomerCountry,WHT!$C$5:$W$5,0)),0)</f>
        <v>0</v>
      </c>
      <c r="AK241" s="368">
        <f t="shared" si="127"/>
        <v>0</v>
      </c>
      <c r="AL241" s="7"/>
      <c r="AM241" s="95">
        <f t="shared" si="134"/>
        <v>0</v>
      </c>
      <c r="AN241" s="95">
        <f t="shared" si="128"/>
        <v>0</v>
      </c>
      <c r="AO241" s="95">
        <f t="shared" si="135"/>
        <v>0</v>
      </c>
      <c r="AP241" s="90"/>
      <c r="AQ241" s="18"/>
      <c r="AR241" s="290"/>
      <c r="AS241" s="467" t="s">
        <v>133</v>
      </c>
      <c r="AT241" s="501">
        <f t="shared" si="129"/>
        <v>0</v>
      </c>
      <c r="AU241" s="502"/>
      <c r="AV241" s="95">
        <f t="shared" si="136"/>
        <v>0</v>
      </c>
      <c r="AW241" s="469" t="str">
        <f t="shared" si="130"/>
        <v>N/A</v>
      </c>
      <c r="AX241" s="290"/>
      <c r="AY241" s="18"/>
      <c r="AZ241" s="3"/>
      <c r="BA241" s="315"/>
      <c r="BB241" s="3"/>
      <c r="BC241" s="3"/>
      <c r="BD241" s="3"/>
      <c r="BE241" s="3"/>
      <c r="BF241" s="18"/>
      <c r="BG241" s="3"/>
      <c r="BH241" s="315"/>
      <c r="BI241" s="3"/>
      <c r="BJ241" s="3"/>
      <c r="BK241" s="3"/>
      <c r="BL241" s="3"/>
      <c r="BM241" s="18"/>
      <c r="BN241" s="3"/>
      <c r="BO241" s="315"/>
      <c r="BP241" s="3"/>
      <c r="BQ241" s="3"/>
      <c r="BR241" s="3"/>
      <c r="BS241" s="3"/>
      <c r="BT241" s="18"/>
      <c r="BU241" s="3"/>
      <c r="BV241" s="315"/>
      <c r="BW241" s="3"/>
      <c r="BX241" s="3"/>
      <c r="BY241" s="3"/>
      <c r="BZ241" s="3"/>
    </row>
    <row r="242" spans="1:78" ht="15.6" hidden="1" outlineLevel="1">
      <c r="A242" s="7"/>
      <c r="B242" s="370"/>
      <c r="C242" s="355"/>
      <c r="D242" s="356"/>
      <c r="E242" s="342"/>
      <c r="F242" s="290"/>
      <c r="G242" s="357">
        <v>0</v>
      </c>
      <c r="H242" s="358">
        <v>0</v>
      </c>
      <c r="I242" s="358">
        <v>0</v>
      </c>
      <c r="J242" s="359">
        <f t="shared" si="131"/>
        <v>0</v>
      </c>
      <c r="K242" s="290"/>
      <c r="L242" s="349"/>
      <c r="M242" s="7"/>
      <c r="N242" s="12"/>
      <c r="O242" s="12"/>
      <c r="P242" s="12"/>
      <c r="Q242" s="361"/>
      <c r="R242" s="362"/>
      <c r="S242" s="363">
        <f t="shared" si="121"/>
        <v>0</v>
      </c>
      <c r="T242" s="364">
        <f t="shared" si="122"/>
        <v>0</v>
      </c>
      <c r="U242" s="365">
        <v>0</v>
      </c>
      <c r="V242" s="91">
        <f>ROUNDUP(IFERROR(INDEX(CostRateTbl[Cost Rate],MATCH(_xlfn.CONCAT(N242,O242,P242,"NA"),CostRateTbl[KeyCostRate],0)),0)*BillingCurrencyTRM*(1+U242),2)</f>
        <v>0</v>
      </c>
      <c r="W242" s="92">
        <f t="shared" si="123"/>
        <v>0</v>
      </c>
      <c r="X242" s="366" t="e" cm="1">
        <f t="array" ref="X242">_xlfn.LET(
    _xlpm.valor, INDEX(CostRate!H:H, MATCH(1, (CostRate!A:A=N242)*1, 0)),
    _xlpm.posicion, MATCH(_xlpm.valor, FilterSL!$F$1:$Z$1, 0),
    _xlpm.direccionCompleta, ADDRESS(1, _xlpm.posicion + 5, 4),
    _xlpm.letraColumna, SUBSTITUTE(_xlpm.direccionCompleta, "1", ""),
    _xlpm.letraColumna
)</f>
        <v>#N/A</v>
      </c>
      <c r="Y242" s="366" t="e" cm="1">
        <f t="array" ref="Y242">_xlfn.LET(
    _xlpm.valor, INDEX(CostRate!I:I, MATCH(1, (CostRate!A:A=N242)*(CostRate!B:B=O242), 0)),
    _xlpm.posicion, MATCH(_xlpm.valor, FilterJP!$E$1:$FZ$1, 0),
    _xlpm.direccionCompleta, ADDRESS(1, _xlpm.posicion + 4, 4),
    _xlpm.letraColumna, SUBSTITUTE(_xlpm.direccionCompleta, "1", ""),
    _xlpm.letraColumna
)</f>
        <v>#N/A</v>
      </c>
      <c r="Z242" s="7"/>
      <c r="AA242" s="367"/>
      <c r="AB242" s="7"/>
      <c r="AC242" s="93">
        <f t="shared" si="124"/>
        <v>0</v>
      </c>
      <c r="AD242" s="94">
        <f t="shared" si="132"/>
        <v>0</v>
      </c>
      <c r="AE242" s="109">
        <f t="shared" si="133"/>
        <v>0</v>
      </c>
      <c r="AF242" s="7"/>
      <c r="AG242" s="369">
        <f t="shared" si="125"/>
        <v>0</v>
      </c>
      <c r="AH242" s="368">
        <f t="shared" si="126"/>
        <v>0</v>
      </c>
      <c r="AI242" s="7"/>
      <c r="AJ242" s="369" cm="1">
        <f t="array" ref="AJ242">IFERROR(INDEX(WHT!$C$7:$W$18,MATCH(
_xlfn.SWITCH(N242,"xDC Medellin","Colombia","xDC Belo Horizonte","Brazil","xDC Guadalajara","Mexico","xDC Gurugram","India","xDC Leon","Spain","xDC San Jose","Costa Rica","xDC Warsaw","Poland",N242),
WHT!$B$7:$B$18,0),MATCH(CustomerCountry,WHT!$C$5:$W$5,0)),0)</f>
        <v>0</v>
      </c>
      <c r="AK242" s="368">
        <f t="shared" si="127"/>
        <v>0</v>
      </c>
      <c r="AL242" s="7"/>
      <c r="AM242" s="95">
        <f t="shared" si="134"/>
        <v>0</v>
      </c>
      <c r="AN242" s="95">
        <f t="shared" si="128"/>
        <v>0</v>
      </c>
      <c r="AO242" s="95">
        <f t="shared" si="135"/>
        <v>0</v>
      </c>
      <c r="AP242" s="90"/>
      <c r="AQ242" s="18"/>
      <c r="AR242" s="290"/>
      <c r="AS242" s="467" t="s">
        <v>133</v>
      </c>
      <c r="AT242" s="501">
        <f t="shared" si="129"/>
        <v>0</v>
      </c>
      <c r="AU242" s="502"/>
      <c r="AV242" s="95">
        <f t="shared" si="136"/>
        <v>0</v>
      </c>
      <c r="AW242" s="469" t="str">
        <f t="shared" si="130"/>
        <v>N/A</v>
      </c>
      <c r="AX242" s="290"/>
      <c r="AY242" s="18"/>
      <c r="AZ242" s="3"/>
      <c r="BA242" s="315"/>
      <c r="BB242" s="3"/>
      <c r="BC242" s="3"/>
      <c r="BD242" s="3"/>
      <c r="BE242" s="3"/>
      <c r="BF242" s="18"/>
      <c r="BG242" s="3"/>
      <c r="BH242" s="315"/>
      <c r="BI242" s="3"/>
      <c r="BJ242" s="3"/>
      <c r="BK242" s="3"/>
      <c r="BL242" s="3"/>
      <c r="BM242" s="18"/>
      <c r="BN242" s="3"/>
      <c r="BO242" s="315"/>
      <c r="BP242" s="3"/>
      <c r="BQ242" s="3"/>
      <c r="BR242" s="3"/>
      <c r="BS242" s="3"/>
      <c r="BT242" s="18"/>
      <c r="BU242" s="3"/>
      <c r="BV242" s="315"/>
      <c r="BW242" s="3"/>
      <c r="BX242" s="3"/>
      <c r="BY242" s="3"/>
      <c r="BZ242" s="3"/>
    </row>
    <row r="243" spans="1:78" ht="15.6" hidden="1" outlineLevel="1">
      <c r="A243" s="7"/>
      <c r="B243" s="370"/>
      <c r="C243" s="355"/>
      <c r="D243" s="356"/>
      <c r="E243" s="342"/>
      <c r="F243" s="290"/>
      <c r="G243" s="357">
        <v>0</v>
      </c>
      <c r="H243" s="358">
        <v>0</v>
      </c>
      <c r="I243" s="358">
        <v>0</v>
      </c>
      <c r="J243" s="359">
        <f t="shared" si="131"/>
        <v>0</v>
      </c>
      <c r="K243" s="290"/>
      <c r="L243" s="349"/>
      <c r="M243" s="7"/>
      <c r="N243" s="12"/>
      <c r="O243" s="12"/>
      <c r="P243" s="12"/>
      <c r="Q243" s="361"/>
      <c r="R243" s="362"/>
      <c r="S243" s="363">
        <f t="shared" si="121"/>
        <v>0</v>
      </c>
      <c r="T243" s="364">
        <f t="shared" si="122"/>
        <v>0</v>
      </c>
      <c r="U243" s="365">
        <v>0</v>
      </c>
      <c r="V243" s="91">
        <f>ROUNDUP(IFERROR(INDEX(CostRateTbl[Cost Rate],MATCH(_xlfn.CONCAT(N243,O243,P243,"NA"),CostRateTbl[KeyCostRate],0)),0)*BillingCurrencyTRM*(1+U243),2)</f>
        <v>0</v>
      </c>
      <c r="W243" s="92">
        <f t="shared" si="123"/>
        <v>0</v>
      </c>
      <c r="X243" s="366" t="e" cm="1">
        <f t="array" ref="X243">_xlfn.LET(
    _xlpm.valor, INDEX(CostRate!H:H, MATCH(1, (CostRate!A:A=N243)*1, 0)),
    _xlpm.posicion, MATCH(_xlpm.valor, FilterSL!$F$1:$Z$1, 0),
    _xlpm.direccionCompleta, ADDRESS(1, _xlpm.posicion + 5, 4),
    _xlpm.letraColumna, SUBSTITUTE(_xlpm.direccionCompleta, "1", ""),
    _xlpm.letraColumna
)</f>
        <v>#N/A</v>
      </c>
      <c r="Y243" s="366" t="e" cm="1">
        <f t="array" ref="Y243">_xlfn.LET(
    _xlpm.valor, INDEX(CostRate!I:I, MATCH(1, (CostRate!A:A=N243)*(CostRate!B:B=O243), 0)),
    _xlpm.posicion, MATCH(_xlpm.valor, FilterJP!$E$1:$FZ$1, 0),
    _xlpm.direccionCompleta, ADDRESS(1, _xlpm.posicion + 4, 4),
    _xlpm.letraColumna, SUBSTITUTE(_xlpm.direccionCompleta, "1", ""),
    _xlpm.letraColumna
)</f>
        <v>#N/A</v>
      </c>
      <c r="Z243" s="7"/>
      <c r="AA243" s="367"/>
      <c r="AB243" s="7"/>
      <c r="AC243" s="93">
        <f t="shared" si="124"/>
        <v>0</v>
      </c>
      <c r="AD243" s="94">
        <f t="shared" si="132"/>
        <v>0</v>
      </c>
      <c r="AE243" s="109">
        <f t="shared" si="133"/>
        <v>0</v>
      </c>
      <c r="AF243" s="7"/>
      <c r="AG243" s="369">
        <f t="shared" si="125"/>
        <v>0</v>
      </c>
      <c r="AH243" s="368">
        <f t="shared" si="126"/>
        <v>0</v>
      </c>
      <c r="AI243" s="7"/>
      <c r="AJ243" s="369" cm="1">
        <f t="array" ref="AJ243">IFERROR(INDEX(WHT!$C$7:$W$18,MATCH(
_xlfn.SWITCH(N243,"xDC Medellin","Colombia","xDC Belo Horizonte","Brazil","xDC Guadalajara","Mexico","xDC Gurugram","India","xDC Leon","Spain","xDC San Jose","Costa Rica","xDC Warsaw","Poland",N243),
WHT!$B$7:$B$18,0),MATCH(CustomerCountry,WHT!$C$5:$W$5,0)),0)</f>
        <v>0</v>
      </c>
      <c r="AK243" s="368">
        <f t="shared" si="127"/>
        <v>0</v>
      </c>
      <c r="AL243" s="7"/>
      <c r="AM243" s="95">
        <f t="shared" si="134"/>
        <v>0</v>
      </c>
      <c r="AN243" s="95">
        <f t="shared" si="128"/>
        <v>0</v>
      </c>
      <c r="AO243" s="95">
        <f t="shared" si="135"/>
        <v>0</v>
      </c>
      <c r="AP243" s="90"/>
      <c r="AQ243" s="18"/>
      <c r="AR243" s="290"/>
      <c r="AS243" s="467" t="s">
        <v>133</v>
      </c>
      <c r="AT243" s="501">
        <f t="shared" si="129"/>
        <v>0</v>
      </c>
      <c r="AU243" s="502"/>
      <c r="AV243" s="95">
        <f t="shared" si="136"/>
        <v>0</v>
      </c>
      <c r="AW243" s="469" t="str">
        <f t="shared" si="130"/>
        <v>N/A</v>
      </c>
      <c r="AX243" s="290"/>
      <c r="AY243" s="18"/>
      <c r="AZ243" s="3"/>
      <c r="BA243" s="315"/>
      <c r="BB243" s="3"/>
      <c r="BC243" s="3"/>
      <c r="BD243" s="3"/>
      <c r="BE243" s="3"/>
      <c r="BF243" s="18"/>
      <c r="BG243" s="3"/>
      <c r="BH243" s="315"/>
      <c r="BI243" s="3"/>
      <c r="BJ243" s="3"/>
      <c r="BK243" s="3"/>
      <c r="BL243" s="3"/>
      <c r="BM243" s="18"/>
      <c r="BN243" s="3"/>
      <c r="BO243" s="315"/>
      <c r="BP243" s="3"/>
      <c r="BQ243" s="3"/>
      <c r="BR243" s="3"/>
      <c r="BS243" s="3"/>
      <c r="BT243" s="18"/>
      <c r="BU243" s="3"/>
      <c r="BV243" s="315"/>
      <c r="BW243" s="3"/>
      <c r="BX243" s="3"/>
      <c r="BY243" s="3"/>
      <c r="BZ243" s="3"/>
    </row>
    <row r="244" spans="1:78" ht="15.6" hidden="1" outlineLevel="1">
      <c r="A244" s="7"/>
      <c r="B244" s="370"/>
      <c r="C244" s="355"/>
      <c r="D244" s="356"/>
      <c r="E244" s="342"/>
      <c r="F244" s="290"/>
      <c r="G244" s="357">
        <v>0</v>
      </c>
      <c r="H244" s="358">
        <v>0</v>
      </c>
      <c r="I244" s="358">
        <v>0</v>
      </c>
      <c r="J244" s="359">
        <f t="shared" si="131"/>
        <v>0</v>
      </c>
      <c r="K244" s="290"/>
      <c r="L244" s="349"/>
      <c r="M244" s="7"/>
      <c r="N244" s="12"/>
      <c r="O244" s="12"/>
      <c r="P244" s="12"/>
      <c r="Q244" s="361"/>
      <c r="R244" s="362"/>
      <c r="S244" s="363">
        <f t="shared" si="121"/>
        <v>0</v>
      </c>
      <c r="T244" s="364">
        <f t="shared" si="122"/>
        <v>0</v>
      </c>
      <c r="U244" s="365">
        <v>0</v>
      </c>
      <c r="V244" s="91">
        <f>ROUNDUP(IFERROR(INDEX(CostRateTbl[Cost Rate],MATCH(_xlfn.CONCAT(N244,O244,P244,"NA"),CostRateTbl[KeyCostRate],0)),0)*BillingCurrencyTRM*(1+U244),2)</f>
        <v>0</v>
      </c>
      <c r="W244" s="92">
        <f t="shared" si="123"/>
        <v>0</v>
      </c>
      <c r="X244" s="366" t="e" cm="1">
        <f t="array" ref="X244">_xlfn.LET(
    _xlpm.valor, INDEX(CostRate!H:H, MATCH(1, (CostRate!A:A=N244)*1, 0)),
    _xlpm.posicion, MATCH(_xlpm.valor, FilterSL!$F$1:$Z$1, 0),
    _xlpm.direccionCompleta, ADDRESS(1, _xlpm.posicion + 5, 4),
    _xlpm.letraColumna, SUBSTITUTE(_xlpm.direccionCompleta, "1", ""),
    _xlpm.letraColumna
)</f>
        <v>#N/A</v>
      </c>
      <c r="Y244" s="366" t="e" cm="1">
        <f t="array" ref="Y244">_xlfn.LET(
    _xlpm.valor, INDEX(CostRate!I:I, MATCH(1, (CostRate!A:A=N244)*(CostRate!B:B=O244), 0)),
    _xlpm.posicion, MATCH(_xlpm.valor, FilterJP!$E$1:$FZ$1, 0),
    _xlpm.direccionCompleta, ADDRESS(1, _xlpm.posicion + 4, 4),
    _xlpm.letraColumna, SUBSTITUTE(_xlpm.direccionCompleta, "1", ""),
    _xlpm.letraColumna
)</f>
        <v>#N/A</v>
      </c>
      <c r="Z244" s="7"/>
      <c r="AA244" s="367"/>
      <c r="AB244" s="7"/>
      <c r="AC244" s="93">
        <f t="shared" si="124"/>
        <v>0</v>
      </c>
      <c r="AD244" s="94">
        <f t="shared" si="132"/>
        <v>0</v>
      </c>
      <c r="AE244" s="109">
        <f t="shared" si="133"/>
        <v>0</v>
      </c>
      <c r="AF244" s="7"/>
      <c r="AG244" s="369">
        <f t="shared" si="125"/>
        <v>0</v>
      </c>
      <c r="AH244" s="368">
        <f t="shared" si="126"/>
        <v>0</v>
      </c>
      <c r="AI244" s="7"/>
      <c r="AJ244" s="369" cm="1">
        <f t="array" ref="AJ244">IFERROR(INDEX(WHT!$C$7:$W$18,MATCH(
_xlfn.SWITCH(N244,"xDC Medellin","Colombia","xDC Belo Horizonte","Brazil","xDC Guadalajara","Mexico","xDC Gurugram","India","xDC Leon","Spain","xDC San Jose","Costa Rica","xDC Warsaw","Poland",N244),
WHT!$B$7:$B$18,0),MATCH(CustomerCountry,WHT!$C$5:$W$5,0)),0)</f>
        <v>0</v>
      </c>
      <c r="AK244" s="368">
        <f t="shared" si="127"/>
        <v>0</v>
      </c>
      <c r="AL244" s="7"/>
      <c r="AM244" s="95">
        <f t="shared" si="134"/>
        <v>0</v>
      </c>
      <c r="AN244" s="95">
        <f t="shared" si="128"/>
        <v>0</v>
      </c>
      <c r="AO244" s="95">
        <f t="shared" si="135"/>
        <v>0</v>
      </c>
      <c r="AP244" s="90"/>
      <c r="AQ244" s="18"/>
      <c r="AR244" s="290"/>
      <c r="AS244" s="467" t="s">
        <v>133</v>
      </c>
      <c r="AT244" s="501">
        <f t="shared" si="129"/>
        <v>0</v>
      </c>
      <c r="AU244" s="502"/>
      <c r="AV244" s="95">
        <f t="shared" si="136"/>
        <v>0</v>
      </c>
      <c r="AW244" s="469" t="str">
        <f t="shared" si="130"/>
        <v>N/A</v>
      </c>
      <c r="AX244" s="290"/>
      <c r="AY244" s="18"/>
      <c r="AZ244" s="3"/>
      <c r="BA244" s="315"/>
      <c r="BB244" s="3"/>
      <c r="BC244" s="3"/>
      <c r="BD244" s="3"/>
      <c r="BE244" s="3"/>
      <c r="BF244" s="18"/>
      <c r="BG244" s="3"/>
      <c r="BH244" s="315"/>
      <c r="BI244" s="3"/>
      <c r="BJ244" s="3"/>
      <c r="BK244" s="3"/>
      <c r="BL244" s="3"/>
      <c r="BM244" s="18"/>
      <c r="BN244" s="3"/>
      <c r="BO244" s="315"/>
      <c r="BP244" s="3"/>
      <c r="BQ244" s="3"/>
      <c r="BR244" s="3"/>
      <c r="BS244" s="3"/>
      <c r="BT244" s="18"/>
      <c r="BU244" s="3"/>
      <c r="BV244" s="315"/>
      <c r="BW244" s="3"/>
      <c r="BX244" s="3"/>
      <c r="BY244" s="3"/>
      <c r="BZ244" s="3"/>
    </row>
    <row r="245" spans="1:78" ht="15.6" hidden="1" outlineLevel="1">
      <c r="A245" s="7"/>
      <c r="B245" s="370"/>
      <c r="C245" s="355"/>
      <c r="D245" s="356"/>
      <c r="E245" s="342"/>
      <c r="F245" s="290"/>
      <c r="G245" s="357">
        <v>0</v>
      </c>
      <c r="H245" s="358">
        <v>0</v>
      </c>
      <c r="I245" s="358">
        <v>0</v>
      </c>
      <c r="J245" s="359">
        <f t="shared" si="131"/>
        <v>0</v>
      </c>
      <c r="K245" s="290"/>
      <c r="L245" s="349"/>
      <c r="M245" s="7"/>
      <c r="N245" s="12"/>
      <c r="O245" s="12"/>
      <c r="P245" s="12"/>
      <c r="Q245" s="361"/>
      <c r="R245" s="362"/>
      <c r="S245" s="363">
        <f t="shared" si="121"/>
        <v>0</v>
      </c>
      <c r="T245" s="364">
        <f t="shared" si="122"/>
        <v>0</v>
      </c>
      <c r="U245" s="365">
        <v>0</v>
      </c>
      <c r="V245" s="91">
        <f>ROUNDUP(IFERROR(INDEX(CostRateTbl[Cost Rate],MATCH(_xlfn.CONCAT(N245,O245,P245,"NA"),CostRateTbl[KeyCostRate],0)),0)*BillingCurrencyTRM*(1+U245),2)</f>
        <v>0</v>
      </c>
      <c r="W245" s="92">
        <f t="shared" si="123"/>
        <v>0</v>
      </c>
      <c r="X245" s="366" t="e" cm="1">
        <f t="array" ref="X245">_xlfn.LET(
    _xlpm.valor, INDEX(CostRate!H:H, MATCH(1, (CostRate!A:A=N245)*1, 0)),
    _xlpm.posicion, MATCH(_xlpm.valor, FilterSL!$F$1:$Z$1, 0),
    _xlpm.direccionCompleta, ADDRESS(1, _xlpm.posicion + 5, 4),
    _xlpm.letraColumna, SUBSTITUTE(_xlpm.direccionCompleta, "1", ""),
    _xlpm.letraColumna
)</f>
        <v>#N/A</v>
      </c>
      <c r="Y245" s="366" t="e" cm="1">
        <f t="array" ref="Y245">_xlfn.LET(
    _xlpm.valor, INDEX(CostRate!I:I, MATCH(1, (CostRate!A:A=N245)*(CostRate!B:B=O245), 0)),
    _xlpm.posicion, MATCH(_xlpm.valor, FilterJP!$E$1:$FZ$1, 0),
    _xlpm.direccionCompleta, ADDRESS(1, _xlpm.posicion + 4, 4),
    _xlpm.letraColumna, SUBSTITUTE(_xlpm.direccionCompleta, "1", ""),
    _xlpm.letraColumna
)</f>
        <v>#N/A</v>
      </c>
      <c r="Z245" s="7"/>
      <c r="AA245" s="367"/>
      <c r="AB245" s="7"/>
      <c r="AC245" s="93">
        <f t="shared" si="124"/>
        <v>0</v>
      </c>
      <c r="AD245" s="94">
        <f t="shared" si="132"/>
        <v>0</v>
      </c>
      <c r="AE245" s="109">
        <f t="shared" si="133"/>
        <v>0</v>
      </c>
      <c r="AF245" s="7"/>
      <c r="AG245" s="369">
        <f t="shared" si="125"/>
        <v>0</v>
      </c>
      <c r="AH245" s="368">
        <f t="shared" si="126"/>
        <v>0</v>
      </c>
      <c r="AI245" s="7"/>
      <c r="AJ245" s="369" cm="1">
        <f t="array" ref="AJ245">IFERROR(INDEX(WHT!$C$7:$W$18,MATCH(
_xlfn.SWITCH(N245,"xDC Medellin","Colombia","xDC Belo Horizonte","Brazil","xDC Guadalajara","Mexico","xDC Gurugram","India","xDC Leon","Spain","xDC San Jose","Costa Rica","xDC Warsaw","Poland",N245),
WHT!$B$7:$B$18,0),MATCH(CustomerCountry,WHT!$C$5:$W$5,0)),0)</f>
        <v>0</v>
      </c>
      <c r="AK245" s="368">
        <f t="shared" si="127"/>
        <v>0</v>
      </c>
      <c r="AL245" s="7"/>
      <c r="AM245" s="95">
        <f t="shared" si="134"/>
        <v>0</v>
      </c>
      <c r="AN245" s="95">
        <f t="shared" si="128"/>
        <v>0</v>
      </c>
      <c r="AO245" s="95">
        <f t="shared" si="135"/>
        <v>0</v>
      </c>
      <c r="AP245" s="90"/>
      <c r="AQ245" s="18"/>
      <c r="AR245" s="290"/>
      <c r="AS245" s="467" t="s">
        <v>133</v>
      </c>
      <c r="AT245" s="501">
        <f t="shared" si="129"/>
        <v>0</v>
      </c>
      <c r="AU245" s="502"/>
      <c r="AV245" s="95">
        <f t="shared" si="136"/>
        <v>0</v>
      </c>
      <c r="AW245" s="469" t="str">
        <f t="shared" si="130"/>
        <v>N/A</v>
      </c>
      <c r="AX245" s="290"/>
      <c r="AY245" s="18"/>
      <c r="AZ245" s="3"/>
      <c r="BA245" s="315"/>
      <c r="BB245" s="3"/>
      <c r="BC245" s="3"/>
      <c r="BD245" s="3"/>
      <c r="BE245" s="3"/>
      <c r="BF245" s="18"/>
      <c r="BG245" s="3"/>
      <c r="BH245" s="315"/>
      <c r="BI245" s="3"/>
      <c r="BJ245" s="3"/>
      <c r="BK245" s="3"/>
      <c r="BL245" s="3"/>
      <c r="BM245" s="18"/>
      <c r="BN245" s="3"/>
      <c r="BO245" s="315"/>
      <c r="BP245" s="3"/>
      <c r="BQ245" s="3"/>
      <c r="BR245" s="3"/>
      <c r="BS245" s="3"/>
      <c r="BT245" s="18"/>
      <c r="BU245" s="3"/>
      <c r="BV245" s="315"/>
      <c r="BW245" s="3"/>
      <c r="BX245" s="3"/>
      <c r="BY245" s="3"/>
      <c r="BZ245" s="3"/>
    </row>
    <row r="246" spans="1:78" ht="15.6" hidden="1" outlineLevel="1">
      <c r="A246" s="7"/>
      <c r="B246" s="370"/>
      <c r="C246" s="355"/>
      <c r="D246" s="356"/>
      <c r="E246" s="342"/>
      <c r="F246" s="290"/>
      <c r="G246" s="357">
        <v>0</v>
      </c>
      <c r="H246" s="358">
        <v>0</v>
      </c>
      <c r="I246" s="358">
        <v>0</v>
      </c>
      <c r="J246" s="359">
        <f t="shared" si="131"/>
        <v>0</v>
      </c>
      <c r="K246" s="290"/>
      <c r="L246" s="349"/>
      <c r="M246" s="7"/>
      <c r="N246" s="12"/>
      <c r="O246" s="12"/>
      <c r="P246" s="12"/>
      <c r="Q246" s="361"/>
      <c r="R246" s="362"/>
      <c r="S246" s="363">
        <f t="shared" si="121"/>
        <v>0</v>
      </c>
      <c r="T246" s="364">
        <f t="shared" si="122"/>
        <v>0</v>
      </c>
      <c r="U246" s="365">
        <v>0</v>
      </c>
      <c r="V246" s="91">
        <f>ROUNDUP(IFERROR(INDEX(CostRateTbl[Cost Rate],MATCH(_xlfn.CONCAT(N246,O246,P246,"NA"),CostRateTbl[KeyCostRate],0)),0)*BillingCurrencyTRM*(1+U246),2)</f>
        <v>0</v>
      </c>
      <c r="W246" s="92">
        <f t="shared" si="123"/>
        <v>0</v>
      </c>
      <c r="X246" s="366" t="e" cm="1">
        <f t="array" ref="X246">_xlfn.LET(
    _xlpm.valor, INDEX(CostRate!H:H, MATCH(1, (CostRate!A:A=N246)*1, 0)),
    _xlpm.posicion, MATCH(_xlpm.valor, FilterSL!$F$1:$Z$1, 0),
    _xlpm.direccionCompleta, ADDRESS(1, _xlpm.posicion + 5, 4),
    _xlpm.letraColumna, SUBSTITUTE(_xlpm.direccionCompleta, "1", ""),
    _xlpm.letraColumna
)</f>
        <v>#N/A</v>
      </c>
      <c r="Y246" s="366" t="e" cm="1">
        <f t="array" ref="Y246">_xlfn.LET(
    _xlpm.valor, INDEX(CostRate!I:I, MATCH(1, (CostRate!A:A=N246)*(CostRate!B:B=O246), 0)),
    _xlpm.posicion, MATCH(_xlpm.valor, FilterJP!$E$1:$FZ$1, 0),
    _xlpm.direccionCompleta, ADDRESS(1, _xlpm.posicion + 4, 4),
    _xlpm.letraColumna, SUBSTITUTE(_xlpm.direccionCompleta, "1", ""),
    _xlpm.letraColumna
)</f>
        <v>#N/A</v>
      </c>
      <c r="Z246" s="7"/>
      <c r="AA246" s="367"/>
      <c r="AB246" s="7"/>
      <c r="AC246" s="93">
        <f t="shared" si="124"/>
        <v>0</v>
      </c>
      <c r="AD246" s="94">
        <f t="shared" si="132"/>
        <v>0</v>
      </c>
      <c r="AE246" s="109">
        <f t="shared" si="133"/>
        <v>0</v>
      </c>
      <c r="AF246" s="7"/>
      <c r="AG246" s="369">
        <f t="shared" si="125"/>
        <v>0</v>
      </c>
      <c r="AH246" s="368">
        <f t="shared" si="126"/>
        <v>0</v>
      </c>
      <c r="AI246" s="7"/>
      <c r="AJ246" s="369" cm="1">
        <f t="array" ref="AJ246">IFERROR(INDEX(WHT!$C$7:$W$18,MATCH(
_xlfn.SWITCH(N246,"xDC Medellin","Colombia","xDC Belo Horizonte","Brazil","xDC Guadalajara","Mexico","xDC Gurugram","India","xDC Leon","Spain","xDC San Jose","Costa Rica","xDC Warsaw","Poland",N246),
WHT!$B$7:$B$18,0),MATCH(CustomerCountry,WHT!$C$5:$W$5,0)),0)</f>
        <v>0</v>
      </c>
      <c r="AK246" s="368">
        <f t="shared" si="127"/>
        <v>0</v>
      </c>
      <c r="AL246" s="7"/>
      <c r="AM246" s="95">
        <f t="shared" si="134"/>
        <v>0</v>
      </c>
      <c r="AN246" s="95">
        <f t="shared" si="128"/>
        <v>0</v>
      </c>
      <c r="AO246" s="95">
        <f t="shared" si="135"/>
        <v>0</v>
      </c>
      <c r="AP246" s="90"/>
      <c r="AQ246" s="18"/>
      <c r="AR246" s="290"/>
      <c r="AS246" s="467" t="s">
        <v>133</v>
      </c>
      <c r="AT246" s="501">
        <f t="shared" si="129"/>
        <v>0</v>
      </c>
      <c r="AU246" s="502"/>
      <c r="AV246" s="95">
        <f t="shared" si="136"/>
        <v>0</v>
      </c>
      <c r="AW246" s="469" t="str">
        <f t="shared" si="130"/>
        <v>N/A</v>
      </c>
      <c r="AX246" s="290"/>
      <c r="AY246" s="18"/>
      <c r="AZ246" s="3"/>
      <c r="BA246" s="315"/>
      <c r="BB246" s="3"/>
      <c r="BC246" s="3"/>
      <c r="BD246" s="3"/>
      <c r="BE246" s="3"/>
      <c r="BF246" s="18"/>
      <c r="BG246" s="3"/>
      <c r="BH246" s="315"/>
      <c r="BI246" s="3"/>
      <c r="BJ246" s="3"/>
      <c r="BK246" s="3"/>
      <c r="BL246" s="3"/>
      <c r="BM246" s="18"/>
      <c r="BN246" s="3"/>
      <c r="BO246" s="315"/>
      <c r="BP246" s="3"/>
      <c r="BQ246" s="3"/>
      <c r="BR246" s="3"/>
      <c r="BS246" s="3"/>
      <c r="BT246" s="18"/>
      <c r="BU246" s="3"/>
      <c r="BV246" s="315"/>
      <c r="BW246" s="3"/>
      <c r="BX246" s="3"/>
      <c r="BY246" s="3"/>
      <c r="BZ246" s="3"/>
    </row>
    <row r="247" spans="1:78" ht="15.6" hidden="1" outlineLevel="1">
      <c r="A247" s="7"/>
      <c r="B247" s="370"/>
      <c r="C247" s="355"/>
      <c r="D247" s="356"/>
      <c r="E247" s="342"/>
      <c r="F247" s="290"/>
      <c r="G247" s="357">
        <v>0</v>
      </c>
      <c r="H247" s="358">
        <v>0</v>
      </c>
      <c r="I247" s="358">
        <v>0</v>
      </c>
      <c r="J247" s="359">
        <f t="shared" si="131"/>
        <v>0</v>
      </c>
      <c r="K247" s="290"/>
      <c r="L247" s="349"/>
      <c r="M247" s="7"/>
      <c r="N247" s="12"/>
      <c r="O247" s="12"/>
      <c r="P247" s="12"/>
      <c r="Q247" s="361"/>
      <c r="R247" s="362"/>
      <c r="S247" s="363">
        <f t="shared" si="121"/>
        <v>0</v>
      </c>
      <c r="T247" s="364">
        <f t="shared" si="122"/>
        <v>0</v>
      </c>
      <c r="U247" s="365">
        <v>0</v>
      </c>
      <c r="V247" s="91">
        <f>ROUNDUP(IFERROR(INDEX(CostRateTbl[Cost Rate],MATCH(_xlfn.CONCAT(N247,O247,P247,"NA"),CostRateTbl[KeyCostRate],0)),0)*BillingCurrencyTRM*(1+U247),2)</f>
        <v>0</v>
      </c>
      <c r="W247" s="92">
        <f t="shared" si="123"/>
        <v>0</v>
      </c>
      <c r="X247" s="366" t="e" cm="1">
        <f t="array" ref="X247">_xlfn.LET(
    _xlpm.valor, INDEX(CostRate!H:H, MATCH(1, (CostRate!A:A=N247)*1, 0)),
    _xlpm.posicion, MATCH(_xlpm.valor, FilterSL!$F$1:$Z$1, 0),
    _xlpm.direccionCompleta, ADDRESS(1, _xlpm.posicion + 5, 4),
    _xlpm.letraColumna, SUBSTITUTE(_xlpm.direccionCompleta, "1", ""),
    _xlpm.letraColumna
)</f>
        <v>#N/A</v>
      </c>
      <c r="Y247" s="366" t="e" cm="1">
        <f t="array" ref="Y247">_xlfn.LET(
    _xlpm.valor, INDEX(CostRate!I:I, MATCH(1, (CostRate!A:A=N247)*(CostRate!B:B=O247), 0)),
    _xlpm.posicion, MATCH(_xlpm.valor, FilterJP!$E$1:$FZ$1, 0),
    _xlpm.direccionCompleta, ADDRESS(1, _xlpm.posicion + 4, 4),
    _xlpm.letraColumna, SUBSTITUTE(_xlpm.direccionCompleta, "1", ""),
    _xlpm.letraColumna
)</f>
        <v>#N/A</v>
      </c>
      <c r="Z247" s="7"/>
      <c r="AA247" s="367"/>
      <c r="AB247" s="7"/>
      <c r="AC247" s="93">
        <f t="shared" si="124"/>
        <v>0</v>
      </c>
      <c r="AD247" s="94">
        <f t="shared" si="132"/>
        <v>0</v>
      </c>
      <c r="AE247" s="109">
        <f t="shared" si="133"/>
        <v>0</v>
      </c>
      <c r="AF247" s="7"/>
      <c r="AG247" s="369">
        <f t="shared" si="125"/>
        <v>0</v>
      </c>
      <c r="AH247" s="368">
        <f t="shared" si="126"/>
        <v>0</v>
      </c>
      <c r="AI247" s="7"/>
      <c r="AJ247" s="369" cm="1">
        <f t="array" ref="AJ247">IFERROR(INDEX(WHT!$C$7:$W$18,MATCH(
_xlfn.SWITCH(N247,"xDC Medellin","Colombia","xDC Belo Horizonte","Brazil","xDC Guadalajara","Mexico","xDC Gurugram","India","xDC Leon","Spain","xDC San Jose","Costa Rica","xDC Warsaw","Poland",N247),
WHT!$B$7:$B$18,0),MATCH(CustomerCountry,WHT!$C$5:$W$5,0)),0)</f>
        <v>0</v>
      </c>
      <c r="AK247" s="368">
        <f t="shared" si="127"/>
        <v>0</v>
      </c>
      <c r="AL247" s="7"/>
      <c r="AM247" s="95">
        <f t="shared" si="134"/>
        <v>0</v>
      </c>
      <c r="AN247" s="95">
        <f t="shared" si="128"/>
        <v>0</v>
      </c>
      <c r="AO247" s="95">
        <f t="shared" si="135"/>
        <v>0</v>
      </c>
      <c r="AP247" s="90"/>
      <c r="AQ247" s="18"/>
      <c r="AR247" s="290"/>
      <c r="AS247" s="467" t="s">
        <v>133</v>
      </c>
      <c r="AT247" s="501">
        <f t="shared" si="129"/>
        <v>0</v>
      </c>
      <c r="AU247" s="502"/>
      <c r="AV247" s="95">
        <f t="shared" si="136"/>
        <v>0</v>
      </c>
      <c r="AW247" s="469" t="str">
        <f t="shared" si="130"/>
        <v>N/A</v>
      </c>
      <c r="AX247" s="290"/>
      <c r="AY247" s="18"/>
      <c r="AZ247" s="3"/>
      <c r="BA247" s="315"/>
      <c r="BB247" s="3"/>
      <c r="BC247" s="3"/>
      <c r="BD247" s="3"/>
      <c r="BE247" s="3"/>
      <c r="BF247" s="18"/>
      <c r="BG247" s="3"/>
      <c r="BH247" s="315"/>
      <c r="BI247" s="3"/>
      <c r="BJ247" s="3"/>
      <c r="BK247" s="3"/>
      <c r="BL247" s="3"/>
      <c r="BM247" s="18"/>
      <c r="BN247" s="3"/>
      <c r="BO247" s="315"/>
      <c r="BP247" s="3"/>
      <c r="BQ247" s="3"/>
      <c r="BR247" s="3"/>
      <c r="BS247" s="3"/>
      <c r="BT247" s="18"/>
      <c r="BU247" s="3"/>
      <c r="BV247" s="315"/>
      <c r="BW247" s="3"/>
      <c r="BX247" s="3"/>
      <c r="BY247" s="3"/>
      <c r="BZ247" s="3"/>
    </row>
    <row r="248" spans="1:78" ht="15.6" hidden="1" outlineLevel="1">
      <c r="A248" s="7"/>
      <c r="B248" s="370"/>
      <c r="C248" s="355"/>
      <c r="D248" s="356"/>
      <c r="E248" s="342"/>
      <c r="F248" s="290"/>
      <c r="G248" s="357">
        <v>0</v>
      </c>
      <c r="H248" s="358">
        <v>0</v>
      </c>
      <c r="I248" s="358">
        <v>0</v>
      </c>
      <c r="J248" s="359">
        <f t="shared" si="131"/>
        <v>0</v>
      </c>
      <c r="K248" s="290"/>
      <c r="L248" s="349"/>
      <c r="M248" s="7"/>
      <c r="N248" s="12"/>
      <c r="O248" s="12"/>
      <c r="P248" s="12"/>
      <c r="Q248" s="361"/>
      <c r="R248" s="362"/>
      <c r="S248" s="363">
        <f t="shared" si="121"/>
        <v>0</v>
      </c>
      <c r="T248" s="364">
        <f t="shared" si="122"/>
        <v>0</v>
      </c>
      <c r="U248" s="365">
        <v>0</v>
      </c>
      <c r="V248" s="91">
        <f>ROUNDUP(IFERROR(INDEX(CostRateTbl[Cost Rate],MATCH(_xlfn.CONCAT(N248,O248,P248,"NA"),CostRateTbl[KeyCostRate],0)),0)*BillingCurrencyTRM*(1+U248),2)</f>
        <v>0</v>
      </c>
      <c r="W248" s="92">
        <f t="shared" si="123"/>
        <v>0</v>
      </c>
      <c r="X248" s="366" t="e" cm="1">
        <f t="array" ref="X248">_xlfn.LET(
    _xlpm.valor, INDEX(CostRate!H:H, MATCH(1, (CostRate!A:A=N248)*1, 0)),
    _xlpm.posicion, MATCH(_xlpm.valor, FilterSL!$F$1:$Z$1, 0),
    _xlpm.direccionCompleta, ADDRESS(1, _xlpm.posicion + 5, 4),
    _xlpm.letraColumna, SUBSTITUTE(_xlpm.direccionCompleta, "1", ""),
    _xlpm.letraColumna
)</f>
        <v>#N/A</v>
      </c>
      <c r="Y248" s="366" t="e" cm="1">
        <f t="array" ref="Y248">_xlfn.LET(
    _xlpm.valor, INDEX(CostRate!I:I, MATCH(1, (CostRate!A:A=N248)*(CostRate!B:B=O248), 0)),
    _xlpm.posicion, MATCH(_xlpm.valor, FilterJP!$E$1:$FZ$1, 0),
    _xlpm.direccionCompleta, ADDRESS(1, _xlpm.posicion + 4, 4),
    _xlpm.letraColumna, SUBSTITUTE(_xlpm.direccionCompleta, "1", ""),
    _xlpm.letraColumna
)</f>
        <v>#N/A</v>
      </c>
      <c r="Z248" s="7"/>
      <c r="AA248" s="367"/>
      <c r="AB248" s="7"/>
      <c r="AC248" s="93">
        <f t="shared" si="124"/>
        <v>0</v>
      </c>
      <c r="AD248" s="94">
        <f t="shared" si="132"/>
        <v>0</v>
      </c>
      <c r="AE248" s="109">
        <f t="shared" si="133"/>
        <v>0</v>
      </c>
      <c r="AF248" s="7"/>
      <c r="AG248" s="369">
        <f t="shared" si="125"/>
        <v>0</v>
      </c>
      <c r="AH248" s="368">
        <f t="shared" si="126"/>
        <v>0</v>
      </c>
      <c r="AI248" s="7"/>
      <c r="AJ248" s="369" cm="1">
        <f t="array" ref="AJ248">IFERROR(INDEX(WHT!$C$7:$W$18,MATCH(
_xlfn.SWITCH(N248,"xDC Medellin","Colombia","xDC Belo Horizonte","Brazil","xDC Guadalajara","Mexico","xDC Gurugram","India","xDC Leon","Spain","xDC San Jose","Costa Rica","xDC Warsaw","Poland",N248),
WHT!$B$7:$B$18,0),MATCH(CustomerCountry,WHT!$C$5:$W$5,0)),0)</f>
        <v>0</v>
      </c>
      <c r="AK248" s="368">
        <f t="shared" si="127"/>
        <v>0</v>
      </c>
      <c r="AL248" s="7"/>
      <c r="AM248" s="95">
        <f t="shared" si="134"/>
        <v>0</v>
      </c>
      <c r="AN248" s="95">
        <f t="shared" si="128"/>
        <v>0</v>
      </c>
      <c r="AO248" s="95">
        <f t="shared" si="135"/>
        <v>0</v>
      </c>
      <c r="AP248" s="90"/>
      <c r="AQ248" s="18"/>
      <c r="AR248" s="290"/>
      <c r="AS248" s="467" t="s">
        <v>133</v>
      </c>
      <c r="AT248" s="501">
        <f t="shared" si="129"/>
        <v>0</v>
      </c>
      <c r="AU248" s="502"/>
      <c r="AV248" s="95">
        <f t="shared" si="136"/>
        <v>0</v>
      </c>
      <c r="AW248" s="469" t="str">
        <f t="shared" si="130"/>
        <v>N/A</v>
      </c>
      <c r="AX248" s="290"/>
      <c r="AY248" s="18"/>
      <c r="AZ248" s="3"/>
      <c r="BA248" s="315"/>
      <c r="BB248" s="3"/>
      <c r="BC248" s="3"/>
      <c r="BD248" s="3"/>
      <c r="BE248" s="3"/>
      <c r="BF248" s="18"/>
      <c r="BG248" s="3"/>
      <c r="BH248" s="315"/>
      <c r="BI248" s="3"/>
      <c r="BJ248" s="3"/>
      <c r="BK248" s="3"/>
      <c r="BL248" s="3"/>
      <c r="BM248" s="18"/>
      <c r="BN248" s="3"/>
      <c r="BO248" s="315"/>
      <c r="BP248" s="3"/>
      <c r="BQ248" s="3"/>
      <c r="BR248" s="3"/>
      <c r="BS248" s="3"/>
      <c r="BT248" s="18"/>
      <c r="BU248" s="3"/>
      <c r="BV248" s="315"/>
      <c r="BW248" s="3"/>
      <c r="BX248" s="3"/>
      <c r="BY248" s="3"/>
      <c r="BZ248" s="3"/>
    </row>
    <row r="249" spans="1:78" ht="15.6" hidden="1" outlineLevel="1">
      <c r="A249" s="7"/>
      <c r="B249" s="370"/>
      <c r="C249" s="355"/>
      <c r="D249" s="356"/>
      <c r="E249" s="342"/>
      <c r="F249" s="290"/>
      <c r="G249" s="357">
        <v>0</v>
      </c>
      <c r="H249" s="358">
        <v>0</v>
      </c>
      <c r="I249" s="358">
        <v>0</v>
      </c>
      <c r="J249" s="359">
        <f t="shared" si="131"/>
        <v>0</v>
      </c>
      <c r="K249" s="290"/>
      <c r="L249" s="349"/>
      <c r="M249" s="7"/>
      <c r="N249" s="12"/>
      <c r="O249" s="12"/>
      <c r="P249" s="12"/>
      <c r="Q249" s="361"/>
      <c r="R249" s="362"/>
      <c r="S249" s="363">
        <f t="shared" si="121"/>
        <v>0</v>
      </c>
      <c r="T249" s="364">
        <f t="shared" si="122"/>
        <v>0</v>
      </c>
      <c r="U249" s="365">
        <v>0</v>
      </c>
      <c r="V249" s="91">
        <f>ROUNDUP(IFERROR(INDEX(CostRateTbl[Cost Rate],MATCH(_xlfn.CONCAT(N249,O249,P249,"NA"),CostRateTbl[KeyCostRate],0)),0)*BillingCurrencyTRM*(1+U249),2)</f>
        <v>0</v>
      </c>
      <c r="W249" s="92">
        <f t="shared" si="123"/>
        <v>0</v>
      </c>
      <c r="X249" s="366" t="e" cm="1">
        <f t="array" ref="X249">_xlfn.LET(
    _xlpm.valor, INDEX(CostRate!H:H, MATCH(1, (CostRate!A:A=N249)*1, 0)),
    _xlpm.posicion, MATCH(_xlpm.valor, FilterSL!$F$1:$Z$1, 0),
    _xlpm.direccionCompleta, ADDRESS(1, _xlpm.posicion + 5, 4),
    _xlpm.letraColumna, SUBSTITUTE(_xlpm.direccionCompleta, "1", ""),
    _xlpm.letraColumna
)</f>
        <v>#N/A</v>
      </c>
      <c r="Y249" s="366" t="e" cm="1">
        <f t="array" ref="Y249">_xlfn.LET(
    _xlpm.valor, INDEX(CostRate!I:I, MATCH(1, (CostRate!A:A=N249)*(CostRate!B:B=O249), 0)),
    _xlpm.posicion, MATCH(_xlpm.valor, FilterJP!$E$1:$FZ$1, 0),
    _xlpm.direccionCompleta, ADDRESS(1, _xlpm.posicion + 4, 4),
    _xlpm.letraColumna, SUBSTITUTE(_xlpm.direccionCompleta, "1", ""),
    _xlpm.letraColumna
)</f>
        <v>#N/A</v>
      </c>
      <c r="Z249" s="7"/>
      <c r="AA249" s="367"/>
      <c r="AB249" s="7"/>
      <c r="AC249" s="93">
        <f t="shared" si="124"/>
        <v>0</v>
      </c>
      <c r="AD249" s="94">
        <f t="shared" si="132"/>
        <v>0</v>
      </c>
      <c r="AE249" s="109">
        <f t="shared" si="133"/>
        <v>0</v>
      </c>
      <c r="AF249" s="7"/>
      <c r="AG249" s="369">
        <f t="shared" si="125"/>
        <v>0</v>
      </c>
      <c r="AH249" s="368">
        <f t="shared" si="126"/>
        <v>0</v>
      </c>
      <c r="AI249" s="7"/>
      <c r="AJ249" s="369" cm="1">
        <f t="array" ref="AJ249">IFERROR(INDEX(WHT!$C$7:$W$18,MATCH(
_xlfn.SWITCH(N249,"xDC Medellin","Colombia","xDC Belo Horizonte","Brazil","xDC Guadalajara","Mexico","xDC Gurugram","India","xDC Leon","Spain","xDC San Jose","Costa Rica","xDC Warsaw","Poland",N249),
WHT!$B$7:$B$18,0),MATCH(CustomerCountry,WHT!$C$5:$W$5,0)),0)</f>
        <v>0</v>
      </c>
      <c r="AK249" s="368">
        <f t="shared" si="127"/>
        <v>0</v>
      </c>
      <c r="AL249" s="7"/>
      <c r="AM249" s="95">
        <f t="shared" si="134"/>
        <v>0</v>
      </c>
      <c r="AN249" s="95">
        <f t="shared" si="128"/>
        <v>0</v>
      </c>
      <c r="AO249" s="95">
        <f t="shared" si="135"/>
        <v>0</v>
      </c>
      <c r="AP249" s="90"/>
      <c r="AQ249" s="18"/>
      <c r="AR249" s="290"/>
      <c r="AS249" s="467" t="s">
        <v>133</v>
      </c>
      <c r="AT249" s="501">
        <f t="shared" si="129"/>
        <v>0</v>
      </c>
      <c r="AU249" s="502"/>
      <c r="AV249" s="95">
        <f t="shared" si="136"/>
        <v>0</v>
      </c>
      <c r="AW249" s="469" t="str">
        <f t="shared" si="130"/>
        <v>N/A</v>
      </c>
      <c r="AX249" s="290"/>
      <c r="AY249" s="18"/>
      <c r="AZ249" s="3"/>
      <c r="BA249" s="315"/>
      <c r="BB249" s="3"/>
      <c r="BC249" s="3"/>
      <c r="BD249" s="3"/>
      <c r="BE249" s="3"/>
      <c r="BF249" s="18"/>
      <c r="BG249" s="3"/>
      <c r="BH249" s="315"/>
      <c r="BI249" s="3"/>
      <c r="BJ249" s="3"/>
      <c r="BK249" s="3"/>
      <c r="BL249" s="3"/>
      <c r="BM249" s="18"/>
      <c r="BN249" s="3"/>
      <c r="BO249" s="315"/>
      <c r="BP249" s="3"/>
      <c r="BQ249" s="3"/>
      <c r="BR249" s="3"/>
      <c r="BS249" s="3"/>
      <c r="BT249" s="18"/>
      <c r="BU249" s="3"/>
      <c r="BV249" s="315"/>
      <c r="BW249" s="3"/>
      <c r="BX249" s="3"/>
      <c r="BY249" s="3"/>
      <c r="BZ249" s="3"/>
    </row>
    <row r="250" spans="1:78" ht="15.6" hidden="1" outlineLevel="1">
      <c r="A250" s="7"/>
      <c r="B250" s="370"/>
      <c r="C250" s="355"/>
      <c r="D250" s="356"/>
      <c r="E250" s="342"/>
      <c r="F250" s="290"/>
      <c r="G250" s="357">
        <v>0</v>
      </c>
      <c r="H250" s="358">
        <v>0</v>
      </c>
      <c r="I250" s="358">
        <v>0</v>
      </c>
      <c r="J250" s="359">
        <f t="shared" si="131"/>
        <v>0</v>
      </c>
      <c r="K250" s="290"/>
      <c r="L250" s="349"/>
      <c r="M250" s="7"/>
      <c r="N250" s="12"/>
      <c r="O250" s="12"/>
      <c r="P250" s="12"/>
      <c r="Q250" s="361"/>
      <c r="R250" s="362"/>
      <c r="S250" s="363">
        <f t="shared" si="121"/>
        <v>0</v>
      </c>
      <c r="T250" s="364">
        <f t="shared" si="122"/>
        <v>0</v>
      </c>
      <c r="U250" s="365">
        <v>0</v>
      </c>
      <c r="V250" s="91">
        <f>ROUNDUP(IFERROR(INDEX(CostRateTbl[Cost Rate],MATCH(_xlfn.CONCAT(N250,O250,P250,"NA"),CostRateTbl[KeyCostRate],0)),0)*BillingCurrencyTRM*(1+U250),2)</f>
        <v>0</v>
      </c>
      <c r="W250" s="92">
        <f t="shared" si="123"/>
        <v>0</v>
      </c>
      <c r="X250" s="366" t="e" cm="1">
        <f t="array" ref="X250">_xlfn.LET(
    _xlpm.valor, INDEX(CostRate!H:H, MATCH(1, (CostRate!A:A=N250)*1, 0)),
    _xlpm.posicion, MATCH(_xlpm.valor, FilterSL!$F$1:$Z$1, 0),
    _xlpm.direccionCompleta, ADDRESS(1, _xlpm.posicion + 5, 4),
    _xlpm.letraColumna, SUBSTITUTE(_xlpm.direccionCompleta, "1", ""),
    _xlpm.letraColumna
)</f>
        <v>#N/A</v>
      </c>
      <c r="Y250" s="366" t="e" cm="1">
        <f t="array" ref="Y250">_xlfn.LET(
    _xlpm.valor, INDEX(CostRate!I:I, MATCH(1, (CostRate!A:A=N250)*(CostRate!B:B=O250), 0)),
    _xlpm.posicion, MATCH(_xlpm.valor, FilterJP!$E$1:$FZ$1, 0),
    _xlpm.direccionCompleta, ADDRESS(1, _xlpm.posicion + 4, 4),
    _xlpm.letraColumna, SUBSTITUTE(_xlpm.direccionCompleta, "1", ""),
    _xlpm.letraColumna
)</f>
        <v>#N/A</v>
      </c>
      <c r="Z250" s="7"/>
      <c r="AA250" s="367"/>
      <c r="AB250" s="7"/>
      <c r="AC250" s="93">
        <f t="shared" si="124"/>
        <v>0</v>
      </c>
      <c r="AD250" s="94">
        <f t="shared" si="132"/>
        <v>0</v>
      </c>
      <c r="AE250" s="109">
        <f t="shared" si="133"/>
        <v>0</v>
      </c>
      <c r="AF250" s="7"/>
      <c r="AG250" s="369">
        <f t="shared" si="125"/>
        <v>0</v>
      </c>
      <c r="AH250" s="368">
        <f t="shared" si="126"/>
        <v>0</v>
      </c>
      <c r="AI250" s="7"/>
      <c r="AJ250" s="369" cm="1">
        <f t="array" ref="AJ250">IFERROR(INDEX(WHT!$C$7:$W$18,MATCH(
_xlfn.SWITCH(N250,"xDC Medellin","Colombia","xDC Belo Horizonte","Brazil","xDC Guadalajara","Mexico","xDC Gurugram","India","xDC Leon","Spain","xDC San Jose","Costa Rica","xDC Warsaw","Poland",N250),
WHT!$B$7:$B$18,0),MATCH(CustomerCountry,WHT!$C$5:$W$5,0)),0)</f>
        <v>0</v>
      </c>
      <c r="AK250" s="368">
        <f t="shared" si="127"/>
        <v>0</v>
      </c>
      <c r="AL250" s="7"/>
      <c r="AM250" s="95">
        <f t="shared" si="134"/>
        <v>0</v>
      </c>
      <c r="AN250" s="95">
        <f t="shared" si="128"/>
        <v>0</v>
      </c>
      <c r="AO250" s="95">
        <f t="shared" si="135"/>
        <v>0</v>
      </c>
      <c r="AP250" s="90"/>
      <c r="AQ250" s="18"/>
      <c r="AR250" s="290"/>
      <c r="AS250" s="467" t="s">
        <v>133</v>
      </c>
      <c r="AT250" s="501">
        <f t="shared" si="129"/>
        <v>0</v>
      </c>
      <c r="AU250" s="502"/>
      <c r="AV250" s="95">
        <f t="shared" si="136"/>
        <v>0</v>
      </c>
      <c r="AW250" s="469" t="str">
        <f t="shared" si="130"/>
        <v>N/A</v>
      </c>
      <c r="AX250" s="290"/>
      <c r="AY250" s="18"/>
      <c r="AZ250" s="3"/>
      <c r="BA250" s="315"/>
      <c r="BB250" s="3"/>
      <c r="BC250" s="3"/>
      <c r="BD250" s="3"/>
      <c r="BE250" s="3"/>
      <c r="BF250" s="18"/>
      <c r="BG250" s="3"/>
      <c r="BH250" s="315"/>
      <c r="BI250" s="3"/>
      <c r="BJ250" s="3"/>
      <c r="BK250" s="3"/>
      <c r="BL250" s="3"/>
      <c r="BM250" s="18"/>
      <c r="BN250" s="3"/>
      <c r="BO250" s="315"/>
      <c r="BP250" s="3"/>
      <c r="BQ250" s="3"/>
      <c r="BR250" s="3"/>
      <c r="BS250" s="3"/>
      <c r="BT250" s="18"/>
      <c r="BU250" s="3"/>
      <c r="BV250" s="315"/>
      <c r="BW250" s="3"/>
      <c r="BX250" s="3"/>
      <c r="BY250" s="3"/>
      <c r="BZ250" s="3"/>
    </row>
    <row r="251" spans="1:78" ht="15.6" hidden="1" outlineLevel="1">
      <c r="A251" s="7"/>
      <c r="B251" s="370"/>
      <c r="C251" s="355"/>
      <c r="D251" s="356"/>
      <c r="E251" s="342"/>
      <c r="F251" s="290"/>
      <c r="G251" s="357">
        <v>0</v>
      </c>
      <c r="H251" s="358">
        <v>0</v>
      </c>
      <c r="I251" s="358">
        <v>0</v>
      </c>
      <c r="J251" s="359">
        <f t="shared" si="131"/>
        <v>0</v>
      </c>
      <c r="K251" s="290"/>
      <c r="L251" s="349"/>
      <c r="M251" s="7"/>
      <c r="N251" s="12"/>
      <c r="O251" s="12"/>
      <c r="P251" s="12"/>
      <c r="Q251" s="361"/>
      <c r="R251" s="362"/>
      <c r="S251" s="363">
        <f t="shared" si="121"/>
        <v>0</v>
      </c>
      <c r="T251" s="364">
        <f t="shared" si="122"/>
        <v>0</v>
      </c>
      <c r="U251" s="365">
        <v>0</v>
      </c>
      <c r="V251" s="91">
        <f>ROUNDUP(IFERROR(INDEX(CostRateTbl[Cost Rate],MATCH(_xlfn.CONCAT(N251,O251,P251,"NA"),CostRateTbl[KeyCostRate],0)),0)*BillingCurrencyTRM*(1+U251),2)</f>
        <v>0</v>
      </c>
      <c r="W251" s="92">
        <f t="shared" si="123"/>
        <v>0</v>
      </c>
      <c r="X251" s="366" t="e" cm="1">
        <f t="array" ref="X251">_xlfn.LET(
    _xlpm.valor, INDEX(CostRate!H:H, MATCH(1, (CostRate!A:A=N251)*1, 0)),
    _xlpm.posicion, MATCH(_xlpm.valor, FilterSL!$F$1:$Z$1, 0),
    _xlpm.direccionCompleta, ADDRESS(1, _xlpm.posicion + 5, 4),
    _xlpm.letraColumna, SUBSTITUTE(_xlpm.direccionCompleta, "1", ""),
    _xlpm.letraColumna
)</f>
        <v>#N/A</v>
      </c>
      <c r="Y251" s="366" t="e" cm="1">
        <f t="array" ref="Y251">_xlfn.LET(
    _xlpm.valor, INDEX(CostRate!I:I, MATCH(1, (CostRate!A:A=N251)*(CostRate!B:B=O251), 0)),
    _xlpm.posicion, MATCH(_xlpm.valor, FilterJP!$E$1:$FZ$1, 0),
    _xlpm.direccionCompleta, ADDRESS(1, _xlpm.posicion + 4, 4),
    _xlpm.letraColumna, SUBSTITUTE(_xlpm.direccionCompleta, "1", ""),
    _xlpm.letraColumna
)</f>
        <v>#N/A</v>
      </c>
      <c r="Z251" s="7"/>
      <c r="AA251" s="367"/>
      <c r="AB251" s="7"/>
      <c r="AC251" s="93">
        <f t="shared" si="124"/>
        <v>0</v>
      </c>
      <c r="AD251" s="94">
        <f t="shared" si="132"/>
        <v>0</v>
      </c>
      <c r="AE251" s="109">
        <f t="shared" si="133"/>
        <v>0</v>
      </c>
      <c r="AF251" s="7"/>
      <c r="AG251" s="369">
        <f t="shared" si="125"/>
        <v>0</v>
      </c>
      <c r="AH251" s="368">
        <f t="shared" si="126"/>
        <v>0</v>
      </c>
      <c r="AI251" s="7"/>
      <c r="AJ251" s="369" cm="1">
        <f t="array" ref="AJ251">IFERROR(INDEX(WHT!$C$7:$W$18,MATCH(
_xlfn.SWITCH(N251,"xDC Medellin","Colombia","xDC Belo Horizonte","Brazil","xDC Guadalajara","Mexico","xDC Gurugram","India","xDC Leon","Spain","xDC San Jose","Costa Rica","xDC Warsaw","Poland",N251),
WHT!$B$7:$B$18,0),MATCH(CustomerCountry,WHT!$C$5:$W$5,0)),0)</f>
        <v>0</v>
      </c>
      <c r="AK251" s="368">
        <f t="shared" si="127"/>
        <v>0</v>
      </c>
      <c r="AL251" s="7"/>
      <c r="AM251" s="95">
        <f t="shared" si="134"/>
        <v>0</v>
      </c>
      <c r="AN251" s="95">
        <f t="shared" si="128"/>
        <v>0</v>
      </c>
      <c r="AO251" s="95">
        <f t="shared" si="135"/>
        <v>0</v>
      </c>
      <c r="AP251" s="90"/>
      <c r="AQ251" s="18"/>
      <c r="AR251" s="290"/>
      <c r="AS251" s="467" t="s">
        <v>133</v>
      </c>
      <c r="AT251" s="501">
        <f t="shared" si="129"/>
        <v>0</v>
      </c>
      <c r="AU251" s="502"/>
      <c r="AV251" s="95">
        <f t="shared" si="136"/>
        <v>0</v>
      </c>
      <c r="AW251" s="469" t="str">
        <f t="shared" si="130"/>
        <v>N/A</v>
      </c>
      <c r="AX251" s="290"/>
      <c r="AY251" s="18"/>
      <c r="AZ251" s="3"/>
      <c r="BA251" s="315"/>
      <c r="BB251" s="3"/>
      <c r="BC251" s="3"/>
      <c r="BD251" s="3"/>
      <c r="BE251" s="3"/>
      <c r="BF251" s="18"/>
      <c r="BG251" s="3"/>
      <c r="BH251" s="315"/>
      <c r="BI251" s="3"/>
      <c r="BJ251" s="3"/>
      <c r="BK251" s="3"/>
      <c r="BL251" s="3"/>
      <c r="BM251" s="18"/>
      <c r="BN251" s="3"/>
      <c r="BO251" s="315"/>
      <c r="BP251" s="3"/>
      <c r="BQ251" s="3"/>
      <c r="BR251" s="3"/>
      <c r="BS251" s="3"/>
      <c r="BT251" s="18"/>
      <c r="BU251" s="3"/>
      <c r="BV251" s="315"/>
      <c r="BW251" s="3"/>
      <c r="BX251" s="3"/>
      <c r="BY251" s="3"/>
      <c r="BZ251" s="3"/>
    </row>
    <row r="252" spans="1:78" ht="15.6" hidden="1" outlineLevel="1">
      <c r="A252" s="7"/>
      <c r="B252" s="370"/>
      <c r="C252" s="355"/>
      <c r="D252" s="356"/>
      <c r="E252" s="342"/>
      <c r="F252" s="290"/>
      <c r="G252" s="357">
        <v>0</v>
      </c>
      <c r="H252" s="358">
        <v>0</v>
      </c>
      <c r="I252" s="358">
        <v>0</v>
      </c>
      <c r="J252" s="359">
        <f t="shared" si="131"/>
        <v>0</v>
      </c>
      <c r="K252" s="290"/>
      <c r="L252" s="349"/>
      <c r="M252" s="7"/>
      <c r="N252" s="12"/>
      <c r="O252" s="12"/>
      <c r="P252" s="12"/>
      <c r="Q252" s="361"/>
      <c r="R252" s="362"/>
      <c r="S252" s="363">
        <f t="shared" si="121"/>
        <v>0</v>
      </c>
      <c r="T252" s="364">
        <f t="shared" si="122"/>
        <v>0</v>
      </c>
      <c r="U252" s="365">
        <v>0</v>
      </c>
      <c r="V252" s="91">
        <f>ROUNDUP(IFERROR(INDEX(CostRateTbl[Cost Rate],MATCH(_xlfn.CONCAT(N252,O252,P252,"NA"),CostRateTbl[KeyCostRate],0)),0)*BillingCurrencyTRM*(1+U252),2)</f>
        <v>0</v>
      </c>
      <c r="W252" s="92">
        <f t="shared" si="123"/>
        <v>0</v>
      </c>
      <c r="X252" s="366" t="e" cm="1">
        <f t="array" ref="X252">_xlfn.LET(
    _xlpm.valor, INDEX(CostRate!H:H, MATCH(1, (CostRate!A:A=N252)*1, 0)),
    _xlpm.posicion, MATCH(_xlpm.valor, FilterSL!$F$1:$Z$1, 0),
    _xlpm.direccionCompleta, ADDRESS(1, _xlpm.posicion + 5, 4),
    _xlpm.letraColumna, SUBSTITUTE(_xlpm.direccionCompleta, "1", ""),
    _xlpm.letraColumna
)</f>
        <v>#N/A</v>
      </c>
      <c r="Y252" s="366" t="e" cm="1">
        <f t="array" ref="Y252">_xlfn.LET(
    _xlpm.valor, INDEX(CostRate!I:I, MATCH(1, (CostRate!A:A=N252)*(CostRate!B:B=O252), 0)),
    _xlpm.posicion, MATCH(_xlpm.valor, FilterJP!$E$1:$FZ$1, 0),
    _xlpm.direccionCompleta, ADDRESS(1, _xlpm.posicion + 4, 4),
    _xlpm.letraColumna, SUBSTITUTE(_xlpm.direccionCompleta, "1", ""),
    _xlpm.letraColumna
)</f>
        <v>#N/A</v>
      </c>
      <c r="Z252" s="7"/>
      <c r="AA252" s="367"/>
      <c r="AB252" s="7"/>
      <c r="AC252" s="93">
        <f t="shared" si="124"/>
        <v>0</v>
      </c>
      <c r="AD252" s="94">
        <f t="shared" si="132"/>
        <v>0</v>
      </c>
      <c r="AE252" s="109">
        <f t="shared" si="133"/>
        <v>0</v>
      </c>
      <c r="AF252" s="7"/>
      <c r="AG252" s="369">
        <f t="shared" si="125"/>
        <v>0</v>
      </c>
      <c r="AH252" s="368">
        <f t="shared" si="126"/>
        <v>0</v>
      </c>
      <c r="AI252" s="7"/>
      <c r="AJ252" s="369" cm="1">
        <f t="array" ref="AJ252">IFERROR(INDEX(WHT!$C$7:$W$18,MATCH(
_xlfn.SWITCH(N252,"xDC Medellin","Colombia","xDC Belo Horizonte","Brazil","xDC Guadalajara","Mexico","xDC Gurugram","India","xDC Leon","Spain","xDC San Jose","Costa Rica","xDC Warsaw","Poland",N252),
WHT!$B$7:$B$18,0),MATCH(CustomerCountry,WHT!$C$5:$W$5,0)),0)</f>
        <v>0</v>
      </c>
      <c r="AK252" s="368">
        <f t="shared" si="127"/>
        <v>0</v>
      </c>
      <c r="AL252" s="7"/>
      <c r="AM252" s="95">
        <f t="shared" si="134"/>
        <v>0</v>
      </c>
      <c r="AN252" s="95">
        <f t="shared" si="128"/>
        <v>0</v>
      </c>
      <c r="AO252" s="95">
        <f t="shared" si="135"/>
        <v>0</v>
      </c>
      <c r="AP252" s="90"/>
      <c r="AQ252" s="18"/>
      <c r="AR252" s="290"/>
      <c r="AS252" s="467" t="s">
        <v>133</v>
      </c>
      <c r="AT252" s="501">
        <f t="shared" si="129"/>
        <v>0</v>
      </c>
      <c r="AU252" s="502"/>
      <c r="AV252" s="95">
        <f t="shared" si="136"/>
        <v>0</v>
      </c>
      <c r="AW252" s="469" t="str">
        <f t="shared" si="130"/>
        <v>N/A</v>
      </c>
      <c r="AX252" s="290"/>
      <c r="AY252" s="18"/>
      <c r="AZ252" s="3"/>
      <c r="BA252" s="315"/>
      <c r="BB252" s="3"/>
      <c r="BC252" s="3"/>
      <c r="BD252" s="3"/>
      <c r="BE252" s="3"/>
      <c r="BF252" s="18"/>
      <c r="BG252" s="3"/>
      <c r="BH252" s="315"/>
      <c r="BI252" s="3"/>
      <c r="BJ252" s="3"/>
      <c r="BK252" s="3"/>
      <c r="BL252" s="3"/>
      <c r="BM252" s="18"/>
      <c r="BN252" s="3"/>
      <c r="BO252" s="315"/>
      <c r="BP252" s="3"/>
      <c r="BQ252" s="3"/>
      <c r="BR252" s="3"/>
      <c r="BS252" s="3"/>
      <c r="BT252" s="18"/>
      <c r="BU252" s="3"/>
      <c r="BV252" s="315"/>
      <c r="BW252" s="3"/>
      <c r="BX252" s="3"/>
      <c r="BY252" s="3"/>
      <c r="BZ252" s="3"/>
    </row>
    <row r="253" spans="1:78" ht="15.6" hidden="1" outlineLevel="1">
      <c r="A253" s="7"/>
      <c r="B253" s="370"/>
      <c r="C253" s="355"/>
      <c r="D253" s="356"/>
      <c r="E253" s="342"/>
      <c r="F253" s="290"/>
      <c r="G253" s="357">
        <v>0</v>
      </c>
      <c r="H253" s="358">
        <v>0</v>
      </c>
      <c r="I253" s="358">
        <v>0</v>
      </c>
      <c r="J253" s="359">
        <f t="shared" si="131"/>
        <v>0</v>
      </c>
      <c r="K253" s="290"/>
      <c r="L253" s="349"/>
      <c r="M253" s="7"/>
      <c r="N253" s="12"/>
      <c r="O253" s="12"/>
      <c r="P253" s="12"/>
      <c r="Q253" s="361"/>
      <c r="R253" s="362"/>
      <c r="S253" s="363">
        <f t="shared" si="121"/>
        <v>0</v>
      </c>
      <c r="T253" s="364">
        <f t="shared" si="122"/>
        <v>0</v>
      </c>
      <c r="U253" s="365">
        <v>0</v>
      </c>
      <c r="V253" s="91">
        <f>ROUNDUP(IFERROR(INDEX(CostRateTbl[Cost Rate],MATCH(_xlfn.CONCAT(N253,O253,P253,"NA"),CostRateTbl[KeyCostRate],0)),0)*BillingCurrencyTRM*(1+U253),2)</f>
        <v>0</v>
      </c>
      <c r="W253" s="92">
        <f t="shared" si="123"/>
        <v>0</v>
      </c>
      <c r="X253" s="366" t="e" cm="1">
        <f t="array" ref="X253">_xlfn.LET(
    _xlpm.valor, INDEX(CostRate!H:H, MATCH(1, (CostRate!A:A=N253)*1, 0)),
    _xlpm.posicion, MATCH(_xlpm.valor, FilterSL!$F$1:$Z$1, 0),
    _xlpm.direccionCompleta, ADDRESS(1, _xlpm.posicion + 5, 4),
    _xlpm.letraColumna, SUBSTITUTE(_xlpm.direccionCompleta, "1", ""),
    _xlpm.letraColumna
)</f>
        <v>#N/A</v>
      </c>
      <c r="Y253" s="366" t="e" cm="1">
        <f t="array" ref="Y253">_xlfn.LET(
    _xlpm.valor, INDEX(CostRate!I:I, MATCH(1, (CostRate!A:A=N253)*(CostRate!B:B=O253), 0)),
    _xlpm.posicion, MATCH(_xlpm.valor, FilterJP!$E$1:$FZ$1, 0),
    _xlpm.direccionCompleta, ADDRESS(1, _xlpm.posicion + 4, 4),
    _xlpm.letraColumna, SUBSTITUTE(_xlpm.direccionCompleta, "1", ""),
    _xlpm.letraColumna
)</f>
        <v>#N/A</v>
      </c>
      <c r="Z253" s="7"/>
      <c r="AA253" s="367"/>
      <c r="AB253" s="7"/>
      <c r="AC253" s="93">
        <f t="shared" si="124"/>
        <v>0</v>
      </c>
      <c r="AD253" s="94">
        <f t="shared" si="132"/>
        <v>0</v>
      </c>
      <c r="AE253" s="109">
        <f t="shared" si="133"/>
        <v>0</v>
      </c>
      <c r="AF253" s="7"/>
      <c r="AG253" s="369">
        <f t="shared" si="125"/>
        <v>0</v>
      </c>
      <c r="AH253" s="368">
        <f t="shared" si="126"/>
        <v>0</v>
      </c>
      <c r="AI253" s="7"/>
      <c r="AJ253" s="369" cm="1">
        <f t="array" ref="AJ253">IFERROR(INDEX(WHT!$C$7:$W$18,MATCH(
_xlfn.SWITCH(N253,"xDC Medellin","Colombia","xDC Belo Horizonte","Brazil","xDC Guadalajara","Mexico","xDC Gurugram","India","xDC Leon","Spain","xDC San Jose","Costa Rica","xDC Warsaw","Poland",N253),
WHT!$B$7:$B$18,0),MATCH(CustomerCountry,WHT!$C$5:$W$5,0)),0)</f>
        <v>0</v>
      </c>
      <c r="AK253" s="368">
        <f t="shared" si="127"/>
        <v>0</v>
      </c>
      <c r="AL253" s="7"/>
      <c r="AM253" s="95">
        <f t="shared" si="134"/>
        <v>0</v>
      </c>
      <c r="AN253" s="95">
        <f t="shared" si="128"/>
        <v>0</v>
      </c>
      <c r="AO253" s="95">
        <f t="shared" si="135"/>
        <v>0</v>
      </c>
      <c r="AP253" s="90"/>
      <c r="AQ253" s="18"/>
      <c r="AR253" s="290"/>
      <c r="AS253" s="467" t="s">
        <v>133</v>
      </c>
      <c r="AT253" s="501">
        <f t="shared" si="129"/>
        <v>0</v>
      </c>
      <c r="AU253" s="502"/>
      <c r="AV253" s="95">
        <f t="shared" si="136"/>
        <v>0</v>
      </c>
      <c r="AW253" s="469" t="str">
        <f t="shared" si="130"/>
        <v>N/A</v>
      </c>
      <c r="AX253" s="290"/>
      <c r="AY253" s="18"/>
      <c r="AZ253" s="3"/>
      <c r="BA253" s="315"/>
      <c r="BB253" s="3"/>
      <c r="BC253" s="3"/>
      <c r="BD253" s="3"/>
      <c r="BE253" s="3"/>
      <c r="BF253" s="18"/>
      <c r="BG253" s="3"/>
      <c r="BH253" s="315"/>
      <c r="BI253" s="3"/>
      <c r="BJ253" s="3"/>
      <c r="BK253" s="3"/>
      <c r="BL253" s="3"/>
      <c r="BM253" s="18"/>
      <c r="BN253" s="3"/>
      <c r="BO253" s="315"/>
      <c r="BP253" s="3"/>
      <c r="BQ253" s="3"/>
      <c r="BR253" s="3"/>
      <c r="BS253" s="3"/>
      <c r="BT253" s="18"/>
      <c r="BU253" s="3"/>
      <c r="BV253" s="315"/>
      <c r="BW253" s="3"/>
      <c r="BX253" s="3"/>
      <c r="BY253" s="3"/>
      <c r="BZ253" s="3"/>
    </row>
    <row r="254" spans="1:78" ht="15.6" hidden="1" outlineLevel="1">
      <c r="A254" s="7"/>
      <c r="B254" s="370"/>
      <c r="C254" s="355"/>
      <c r="D254" s="356"/>
      <c r="E254" s="342"/>
      <c r="F254" s="290"/>
      <c r="G254" s="357">
        <v>0</v>
      </c>
      <c r="H254" s="358">
        <v>0</v>
      </c>
      <c r="I254" s="358">
        <v>0</v>
      </c>
      <c r="J254" s="359">
        <f t="shared" si="131"/>
        <v>0</v>
      </c>
      <c r="K254" s="290"/>
      <c r="L254" s="349"/>
      <c r="M254" s="7"/>
      <c r="N254" s="12"/>
      <c r="O254" s="12"/>
      <c r="P254" s="12"/>
      <c r="Q254" s="361"/>
      <c r="R254" s="362"/>
      <c r="S254" s="363">
        <f t="shared" si="121"/>
        <v>0</v>
      </c>
      <c r="T254" s="364">
        <f t="shared" si="122"/>
        <v>0</v>
      </c>
      <c r="U254" s="365">
        <v>0</v>
      </c>
      <c r="V254" s="91">
        <f>ROUNDUP(IFERROR(INDEX(CostRateTbl[Cost Rate],MATCH(_xlfn.CONCAT(N254,O254,P254,"NA"),CostRateTbl[KeyCostRate],0)),0)*BillingCurrencyTRM*(1+U254),2)</f>
        <v>0</v>
      </c>
      <c r="W254" s="92">
        <f t="shared" si="123"/>
        <v>0</v>
      </c>
      <c r="X254" s="366" t="e" cm="1">
        <f t="array" ref="X254">_xlfn.LET(
    _xlpm.valor, INDEX(CostRate!H:H, MATCH(1, (CostRate!A:A=N254)*1, 0)),
    _xlpm.posicion, MATCH(_xlpm.valor, FilterSL!$F$1:$Z$1, 0),
    _xlpm.direccionCompleta, ADDRESS(1, _xlpm.posicion + 5, 4),
    _xlpm.letraColumna, SUBSTITUTE(_xlpm.direccionCompleta, "1", ""),
    _xlpm.letraColumna
)</f>
        <v>#N/A</v>
      </c>
      <c r="Y254" s="366" t="e" cm="1">
        <f t="array" ref="Y254">_xlfn.LET(
    _xlpm.valor, INDEX(CostRate!I:I, MATCH(1, (CostRate!A:A=N254)*(CostRate!B:B=O254), 0)),
    _xlpm.posicion, MATCH(_xlpm.valor, FilterJP!$E$1:$FZ$1, 0),
    _xlpm.direccionCompleta, ADDRESS(1, _xlpm.posicion + 4, 4),
    _xlpm.letraColumna, SUBSTITUTE(_xlpm.direccionCompleta, "1", ""),
    _xlpm.letraColumna
)</f>
        <v>#N/A</v>
      </c>
      <c r="Z254" s="7"/>
      <c r="AA254" s="367"/>
      <c r="AB254" s="7"/>
      <c r="AC254" s="93">
        <f t="shared" si="124"/>
        <v>0</v>
      </c>
      <c r="AD254" s="94">
        <f t="shared" si="132"/>
        <v>0</v>
      </c>
      <c r="AE254" s="109">
        <f t="shared" si="133"/>
        <v>0</v>
      </c>
      <c r="AF254" s="7"/>
      <c r="AG254" s="369">
        <f t="shared" si="125"/>
        <v>0</v>
      </c>
      <c r="AH254" s="368">
        <f t="shared" si="126"/>
        <v>0</v>
      </c>
      <c r="AI254" s="7"/>
      <c r="AJ254" s="369" cm="1">
        <f t="array" ref="AJ254">IFERROR(INDEX(WHT!$C$7:$W$18,MATCH(
_xlfn.SWITCH(N254,"xDC Medellin","Colombia","xDC Belo Horizonte","Brazil","xDC Guadalajara","Mexico","xDC Gurugram","India","xDC Leon","Spain","xDC San Jose","Costa Rica","xDC Warsaw","Poland",N254),
WHT!$B$7:$B$18,0),MATCH(CustomerCountry,WHT!$C$5:$W$5,0)),0)</f>
        <v>0</v>
      </c>
      <c r="AK254" s="368">
        <f t="shared" si="127"/>
        <v>0</v>
      </c>
      <c r="AL254" s="7"/>
      <c r="AM254" s="95">
        <f t="shared" si="134"/>
        <v>0</v>
      </c>
      <c r="AN254" s="95">
        <f t="shared" si="128"/>
        <v>0</v>
      </c>
      <c r="AO254" s="95">
        <f t="shared" si="135"/>
        <v>0</v>
      </c>
      <c r="AP254" s="90"/>
      <c r="AQ254" s="18"/>
      <c r="AR254" s="290"/>
      <c r="AS254" s="467" t="s">
        <v>133</v>
      </c>
      <c r="AT254" s="501">
        <f t="shared" si="129"/>
        <v>0</v>
      </c>
      <c r="AU254" s="502"/>
      <c r="AV254" s="95">
        <f t="shared" si="136"/>
        <v>0</v>
      </c>
      <c r="AW254" s="469" t="str">
        <f t="shared" si="130"/>
        <v>N/A</v>
      </c>
      <c r="AX254" s="290"/>
      <c r="AY254" s="18"/>
      <c r="AZ254" s="3"/>
      <c r="BA254" s="315"/>
      <c r="BB254" s="3"/>
      <c r="BC254" s="3"/>
      <c r="BD254" s="3"/>
      <c r="BE254" s="3"/>
      <c r="BF254" s="18"/>
      <c r="BG254" s="3"/>
      <c r="BH254" s="315"/>
      <c r="BI254" s="3"/>
      <c r="BJ254" s="3"/>
      <c r="BK254" s="3"/>
      <c r="BL254" s="3"/>
      <c r="BM254" s="18"/>
      <c r="BN254" s="3"/>
      <c r="BO254" s="315"/>
      <c r="BP254" s="3"/>
      <c r="BQ254" s="3"/>
      <c r="BR254" s="3"/>
      <c r="BS254" s="3"/>
      <c r="BT254" s="18"/>
      <c r="BU254" s="3"/>
      <c r="BV254" s="315"/>
      <c r="BW254" s="3"/>
      <c r="BX254" s="3"/>
      <c r="BY254" s="3"/>
      <c r="BZ254" s="3"/>
    </row>
    <row r="255" spans="1:78" ht="15.6" hidden="1" outlineLevel="1">
      <c r="A255" s="7"/>
      <c r="B255" s="370"/>
      <c r="C255" s="355"/>
      <c r="D255" s="356"/>
      <c r="E255" s="342"/>
      <c r="F255" s="290"/>
      <c r="G255" s="357">
        <v>0</v>
      </c>
      <c r="H255" s="358">
        <v>0</v>
      </c>
      <c r="I255" s="358">
        <v>0</v>
      </c>
      <c r="J255" s="359">
        <f t="shared" si="131"/>
        <v>0</v>
      </c>
      <c r="K255" s="290"/>
      <c r="L255" s="349"/>
      <c r="M255" s="7"/>
      <c r="N255" s="12"/>
      <c r="O255" s="12"/>
      <c r="P255" s="12"/>
      <c r="Q255" s="361"/>
      <c r="R255" s="362"/>
      <c r="S255" s="363">
        <f t="shared" si="121"/>
        <v>0</v>
      </c>
      <c r="T255" s="364">
        <f t="shared" si="122"/>
        <v>0</v>
      </c>
      <c r="U255" s="365">
        <v>0</v>
      </c>
      <c r="V255" s="91">
        <f>ROUNDUP(IFERROR(INDEX(CostRateTbl[Cost Rate],MATCH(_xlfn.CONCAT(N255,O255,P255,"NA"),CostRateTbl[KeyCostRate],0)),0)*BillingCurrencyTRM*(1+U255),2)</f>
        <v>0</v>
      </c>
      <c r="W255" s="92">
        <f t="shared" si="123"/>
        <v>0</v>
      </c>
      <c r="X255" s="366" t="e" cm="1">
        <f t="array" ref="X255">_xlfn.LET(
    _xlpm.valor, INDEX(CostRate!H:H, MATCH(1, (CostRate!A:A=N255)*1, 0)),
    _xlpm.posicion, MATCH(_xlpm.valor, FilterSL!$F$1:$Z$1, 0),
    _xlpm.direccionCompleta, ADDRESS(1, _xlpm.posicion + 5, 4),
    _xlpm.letraColumna, SUBSTITUTE(_xlpm.direccionCompleta, "1", ""),
    _xlpm.letraColumna
)</f>
        <v>#N/A</v>
      </c>
      <c r="Y255" s="366" t="e" cm="1">
        <f t="array" ref="Y255">_xlfn.LET(
    _xlpm.valor, INDEX(CostRate!I:I, MATCH(1, (CostRate!A:A=N255)*(CostRate!B:B=O255), 0)),
    _xlpm.posicion, MATCH(_xlpm.valor, FilterJP!$E$1:$FZ$1, 0),
    _xlpm.direccionCompleta, ADDRESS(1, _xlpm.posicion + 4, 4),
    _xlpm.letraColumna, SUBSTITUTE(_xlpm.direccionCompleta, "1", ""),
    _xlpm.letraColumna
)</f>
        <v>#N/A</v>
      </c>
      <c r="Z255" s="7"/>
      <c r="AA255" s="367"/>
      <c r="AB255" s="7"/>
      <c r="AC255" s="93">
        <f t="shared" si="124"/>
        <v>0</v>
      </c>
      <c r="AD255" s="94">
        <f t="shared" si="132"/>
        <v>0</v>
      </c>
      <c r="AE255" s="109">
        <f t="shared" si="133"/>
        <v>0</v>
      </c>
      <c r="AF255" s="7"/>
      <c r="AG255" s="369">
        <f t="shared" si="125"/>
        <v>0</v>
      </c>
      <c r="AH255" s="368">
        <f t="shared" si="126"/>
        <v>0</v>
      </c>
      <c r="AI255" s="7"/>
      <c r="AJ255" s="369" cm="1">
        <f t="array" ref="AJ255">IFERROR(INDEX(WHT!$C$7:$W$18,MATCH(
_xlfn.SWITCH(N255,"xDC Medellin","Colombia","xDC Belo Horizonte","Brazil","xDC Guadalajara","Mexico","xDC Gurugram","India","xDC Leon","Spain","xDC San Jose","Costa Rica","xDC Warsaw","Poland",N255),
WHT!$B$7:$B$18,0),MATCH(CustomerCountry,WHT!$C$5:$W$5,0)),0)</f>
        <v>0</v>
      </c>
      <c r="AK255" s="368">
        <f t="shared" si="127"/>
        <v>0</v>
      </c>
      <c r="AL255" s="7"/>
      <c r="AM255" s="95">
        <f t="shared" si="134"/>
        <v>0</v>
      </c>
      <c r="AN255" s="95">
        <f t="shared" si="128"/>
        <v>0</v>
      </c>
      <c r="AO255" s="95">
        <f t="shared" si="135"/>
        <v>0</v>
      </c>
      <c r="AP255" s="90"/>
      <c r="AQ255" s="18"/>
      <c r="AR255" s="290"/>
      <c r="AS255" s="467" t="s">
        <v>133</v>
      </c>
      <c r="AT255" s="501">
        <f t="shared" si="129"/>
        <v>0</v>
      </c>
      <c r="AU255" s="502"/>
      <c r="AV255" s="95">
        <f t="shared" si="136"/>
        <v>0</v>
      </c>
      <c r="AW255" s="469" t="str">
        <f t="shared" si="130"/>
        <v>N/A</v>
      </c>
      <c r="AX255" s="290"/>
      <c r="AY255" s="18"/>
      <c r="AZ255" s="3"/>
      <c r="BA255" s="315"/>
      <c r="BB255" s="3"/>
      <c r="BC255" s="3"/>
      <c r="BD255" s="3"/>
      <c r="BE255" s="3"/>
      <c r="BF255" s="18"/>
      <c r="BG255" s="3"/>
      <c r="BH255" s="315"/>
      <c r="BI255" s="3"/>
      <c r="BJ255" s="3"/>
      <c r="BK255" s="3"/>
      <c r="BL255" s="3"/>
      <c r="BM255" s="18"/>
      <c r="BN255" s="3"/>
      <c r="BO255" s="315"/>
      <c r="BP255" s="3"/>
      <c r="BQ255" s="3"/>
      <c r="BR255" s="3"/>
      <c r="BS255" s="3"/>
      <c r="BT255" s="18"/>
      <c r="BU255" s="3"/>
      <c r="BV255" s="315"/>
      <c r="BW255" s="3"/>
      <c r="BX255" s="3"/>
      <c r="BY255" s="3"/>
      <c r="BZ255" s="3"/>
    </row>
    <row r="256" spans="1:78" ht="15.6" hidden="1" outlineLevel="1">
      <c r="A256" s="7"/>
      <c r="B256" s="370"/>
      <c r="C256" s="355"/>
      <c r="D256" s="356"/>
      <c r="E256" s="342"/>
      <c r="F256" s="290"/>
      <c r="G256" s="357">
        <v>0</v>
      </c>
      <c r="H256" s="358">
        <v>0</v>
      </c>
      <c r="I256" s="358">
        <v>0</v>
      </c>
      <c r="J256" s="359">
        <f t="shared" si="131"/>
        <v>0</v>
      </c>
      <c r="K256" s="290"/>
      <c r="L256" s="349"/>
      <c r="M256" s="7"/>
      <c r="N256" s="12"/>
      <c r="O256" s="12"/>
      <c r="P256" s="12"/>
      <c r="Q256" s="361"/>
      <c r="R256" s="362"/>
      <c r="S256" s="363">
        <f t="shared" si="121"/>
        <v>0</v>
      </c>
      <c r="T256" s="364">
        <f t="shared" si="122"/>
        <v>0</v>
      </c>
      <c r="U256" s="365">
        <v>0</v>
      </c>
      <c r="V256" s="91">
        <f>ROUNDUP(IFERROR(INDEX(CostRateTbl[Cost Rate],MATCH(_xlfn.CONCAT(N256,O256,P256,"NA"),CostRateTbl[KeyCostRate],0)),0)*BillingCurrencyTRM*(1+U256),2)</f>
        <v>0</v>
      </c>
      <c r="W256" s="92">
        <f t="shared" si="123"/>
        <v>0</v>
      </c>
      <c r="X256" s="366" t="e" cm="1">
        <f t="array" ref="X256">_xlfn.LET(
    _xlpm.valor, INDEX(CostRate!H:H, MATCH(1, (CostRate!A:A=N256)*1, 0)),
    _xlpm.posicion, MATCH(_xlpm.valor, FilterSL!$F$1:$Z$1, 0),
    _xlpm.direccionCompleta, ADDRESS(1, _xlpm.posicion + 5, 4),
    _xlpm.letraColumna, SUBSTITUTE(_xlpm.direccionCompleta, "1", ""),
    _xlpm.letraColumna
)</f>
        <v>#N/A</v>
      </c>
      <c r="Y256" s="366" t="e" cm="1">
        <f t="array" ref="Y256">_xlfn.LET(
    _xlpm.valor, INDEX(CostRate!I:I, MATCH(1, (CostRate!A:A=N256)*(CostRate!B:B=O256), 0)),
    _xlpm.posicion, MATCH(_xlpm.valor, FilterJP!$E$1:$FZ$1, 0),
    _xlpm.direccionCompleta, ADDRESS(1, _xlpm.posicion + 4, 4),
    _xlpm.letraColumna, SUBSTITUTE(_xlpm.direccionCompleta, "1", ""),
    _xlpm.letraColumna
)</f>
        <v>#N/A</v>
      </c>
      <c r="Z256" s="7"/>
      <c r="AA256" s="367"/>
      <c r="AB256" s="7"/>
      <c r="AC256" s="93">
        <f t="shared" si="124"/>
        <v>0</v>
      </c>
      <c r="AD256" s="94">
        <f t="shared" si="132"/>
        <v>0</v>
      </c>
      <c r="AE256" s="109">
        <f t="shared" si="133"/>
        <v>0</v>
      </c>
      <c r="AF256" s="7"/>
      <c r="AG256" s="369">
        <f t="shared" si="125"/>
        <v>0</v>
      </c>
      <c r="AH256" s="368">
        <f t="shared" si="126"/>
        <v>0</v>
      </c>
      <c r="AI256" s="7"/>
      <c r="AJ256" s="369" cm="1">
        <f t="array" ref="AJ256">IFERROR(INDEX(WHT!$C$7:$W$18,MATCH(
_xlfn.SWITCH(N256,"xDC Medellin","Colombia","xDC Belo Horizonte","Brazil","xDC Guadalajara","Mexico","xDC Gurugram","India","xDC Leon","Spain","xDC San Jose","Costa Rica","xDC Warsaw","Poland",N256),
WHT!$B$7:$B$18,0),MATCH(CustomerCountry,WHT!$C$5:$W$5,0)),0)</f>
        <v>0</v>
      </c>
      <c r="AK256" s="368">
        <f t="shared" si="127"/>
        <v>0</v>
      </c>
      <c r="AL256" s="7"/>
      <c r="AM256" s="95">
        <f t="shared" si="134"/>
        <v>0</v>
      </c>
      <c r="AN256" s="95">
        <f t="shared" si="128"/>
        <v>0</v>
      </c>
      <c r="AO256" s="95">
        <f t="shared" si="135"/>
        <v>0</v>
      </c>
      <c r="AP256" s="90"/>
      <c r="AQ256" s="18"/>
      <c r="AR256" s="290"/>
      <c r="AS256" s="467" t="s">
        <v>133</v>
      </c>
      <c r="AT256" s="501">
        <f t="shared" si="129"/>
        <v>0</v>
      </c>
      <c r="AU256" s="502"/>
      <c r="AV256" s="95">
        <f t="shared" si="136"/>
        <v>0</v>
      </c>
      <c r="AW256" s="469" t="str">
        <f t="shared" si="130"/>
        <v>N/A</v>
      </c>
      <c r="AX256" s="290"/>
      <c r="AY256" s="18"/>
      <c r="AZ256" s="3"/>
      <c r="BA256" s="315"/>
      <c r="BB256" s="3"/>
      <c r="BC256" s="3"/>
      <c r="BD256" s="3"/>
      <c r="BE256" s="3"/>
      <c r="BF256" s="18"/>
      <c r="BG256" s="3"/>
      <c r="BH256" s="315"/>
      <c r="BI256" s="3"/>
      <c r="BJ256" s="3"/>
      <c r="BK256" s="3"/>
      <c r="BL256" s="3"/>
      <c r="BM256" s="18"/>
      <c r="BN256" s="3"/>
      <c r="BO256" s="315"/>
      <c r="BP256" s="3"/>
      <c r="BQ256" s="3"/>
      <c r="BR256" s="3"/>
      <c r="BS256" s="3"/>
      <c r="BT256" s="18"/>
      <c r="BU256" s="3"/>
      <c r="BV256" s="315"/>
      <c r="BW256" s="3"/>
      <c r="BX256" s="3"/>
      <c r="BY256" s="3"/>
      <c r="BZ256" s="3"/>
    </row>
    <row r="257" spans="1:82" ht="15.6" hidden="1" outlineLevel="1">
      <c r="A257" s="7"/>
      <c r="B257" s="370"/>
      <c r="C257" s="355"/>
      <c r="D257" s="356"/>
      <c r="E257" s="342"/>
      <c r="F257" s="290"/>
      <c r="G257" s="357">
        <v>0</v>
      </c>
      <c r="H257" s="358">
        <v>0</v>
      </c>
      <c r="I257" s="358">
        <v>0</v>
      </c>
      <c r="J257" s="359">
        <f t="shared" si="131"/>
        <v>0</v>
      </c>
      <c r="K257" s="290"/>
      <c r="L257" s="349"/>
      <c r="M257" s="7"/>
      <c r="N257" s="12"/>
      <c r="O257" s="12"/>
      <c r="P257" s="12"/>
      <c r="Q257" s="361"/>
      <c r="R257" s="362"/>
      <c r="S257" s="363">
        <f t="shared" si="121"/>
        <v>0</v>
      </c>
      <c r="T257" s="364">
        <f t="shared" si="122"/>
        <v>0</v>
      </c>
      <c r="U257" s="365">
        <v>0</v>
      </c>
      <c r="V257" s="91">
        <f>ROUNDUP(IFERROR(INDEX(CostRateTbl[Cost Rate],MATCH(_xlfn.CONCAT(N257,O257,P257,"NA"),CostRateTbl[KeyCostRate],0)),0)*BillingCurrencyTRM*(1+U257),2)</f>
        <v>0</v>
      </c>
      <c r="W257" s="92">
        <f t="shared" si="123"/>
        <v>0</v>
      </c>
      <c r="X257" s="366" t="e" cm="1">
        <f t="array" ref="X257">_xlfn.LET(
    _xlpm.valor, INDEX(CostRate!H:H, MATCH(1, (CostRate!A:A=N257)*1, 0)),
    _xlpm.posicion, MATCH(_xlpm.valor, FilterSL!$F$1:$Z$1, 0),
    _xlpm.direccionCompleta, ADDRESS(1, _xlpm.posicion + 5, 4),
    _xlpm.letraColumna, SUBSTITUTE(_xlpm.direccionCompleta, "1", ""),
    _xlpm.letraColumna
)</f>
        <v>#N/A</v>
      </c>
      <c r="Y257" s="366" t="e" cm="1">
        <f t="array" ref="Y257">_xlfn.LET(
    _xlpm.valor, INDEX(CostRate!I:I, MATCH(1, (CostRate!A:A=N257)*(CostRate!B:B=O257), 0)),
    _xlpm.posicion, MATCH(_xlpm.valor, FilterJP!$E$1:$FZ$1, 0),
    _xlpm.direccionCompleta, ADDRESS(1, _xlpm.posicion + 4, 4),
    _xlpm.letraColumna, SUBSTITUTE(_xlpm.direccionCompleta, "1", ""),
    _xlpm.letraColumna
)</f>
        <v>#N/A</v>
      </c>
      <c r="Z257" s="7"/>
      <c r="AA257" s="367"/>
      <c r="AB257" s="7"/>
      <c r="AC257" s="93">
        <f t="shared" si="124"/>
        <v>0</v>
      </c>
      <c r="AD257" s="94">
        <f t="shared" si="132"/>
        <v>0</v>
      </c>
      <c r="AE257" s="109">
        <f t="shared" si="133"/>
        <v>0</v>
      </c>
      <c r="AF257" s="7"/>
      <c r="AG257" s="369">
        <f t="shared" si="125"/>
        <v>0</v>
      </c>
      <c r="AH257" s="368">
        <f t="shared" si="126"/>
        <v>0</v>
      </c>
      <c r="AI257" s="7"/>
      <c r="AJ257" s="369" cm="1">
        <f t="array" ref="AJ257">IFERROR(INDEX(WHT!$C$7:$W$18,MATCH(
_xlfn.SWITCH(N257,"xDC Medellin","Colombia","xDC Belo Horizonte","Brazil","xDC Guadalajara","Mexico","xDC Gurugram","India","xDC Leon","Spain","xDC San Jose","Costa Rica","xDC Warsaw","Poland",N257),
WHT!$B$7:$B$18,0),MATCH(CustomerCountry,WHT!$C$5:$W$5,0)),0)</f>
        <v>0</v>
      </c>
      <c r="AK257" s="368">
        <f t="shared" si="127"/>
        <v>0</v>
      </c>
      <c r="AL257" s="7"/>
      <c r="AM257" s="95">
        <f t="shared" si="134"/>
        <v>0</v>
      </c>
      <c r="AN257" s="95">
        <f t="shared" si="128"/>
        <v>0</v>
      </c>
      <c r="AO257" s="95">
        <f t="shared" si="135"/>
        <v>0</v>
      </c>
      <c r="AP257" s="90"/>
      <c r="AQ257" s="18"/>
      <c r="AR257" s="290"/>
      <c r="AS257" s="467" t="s">
        <v>133</v>
      </c>
      <c r="AT257" s="501">
        <f t="shared" si="129"/>
        <v>0</v>
      </c>
      <c r="AU257" s="502"/>
      <c r="AV257" s="95">
        <f t="shared" si="136"/>
        <v>0</v>
      </c>
      <c r="AW257" s="469" t="str">
        <f t="shared" si="130"/>
        <v>N/A</v>
      </c>
      <c r="AX257" s="290"/>
      <c r="AY257" s="18"/>
      <c r="AZ257" s="3"/>
      <c r="BA257" s="315"/>
      <c r="BB257" s="3"/>
      <c r="BC257" s="3"/>
      <c r="BD257" s="3"/>
      <c r="BE257" s="3"/>
      <c r="BF257" s="18"/>
      <c r="BG257" s="3"/>
      <c r="BH257" s="315"/>
      <c r="BI257" s="3"/>
      <c r="BJ257" s="3"/>
      <c r="BK257" s="3"/>
      <c r="BL257" s="3"/>
      <c r="BM257" s="18"/>
      <c r="BN257" s="3"/>
      <c r="BO257" s="315"/>
      <c r="BP257" s="3"/>
      <c r="BQ257" s="3"/>
      <c r="BR257" s="3"/>
      <c r="BS257" s="3"/>
      <c r="BT257" s="18"/>
      <c r="BU257" s="3"/>
      <c r="BV257" s="315"/>
      <c r="BW257" s="3"/>
      <c r="BX257" s="3"/>
      <c r="BY257" s="3"/>
      <c r="BZ257" s="3"/>
    </row>
    <row r="258" spans="1:82" ht="15.6" hidden="1" outlineLevel="1">
      <c r="A258" s="7"/>
      <c r="B258" s="370"/>
      <c r="C258" s="355"/>
      <c r="D258" s="356"/>
      <c r="E258" s="342"/>
      <c r="F258" s="290"/>
      <c r="G258" s="357">
        <v>0</v>
      </c>
      <c r="H258" s="358">
        <v>0</v>
      </c>
      <c r="I258" s="358">
        <v>0</v>
      </c>
      <c r="J258" s="359">
        <f t="shared" si="131"/>
        <v>0</v>
      </c>
      <c r="K258" s="290"/>
      <c r="L258" s="349"/>
      <c r="M258" s="7"/>
      <c r="N258" s="12"/>
      <c r="O258" s="12"/>
      <c r="P258" s="12"/>
      <c r="Q258" s="361"/>
      <c r="R258" s="362"/>
      <c r="S258" s="363">
        <f t="shared" si="121"/>
        <v>0</v>
      </c>
      <c r="T258" s="364">
        <f t="shared" si="122"/>
        <v>0</v>
      </c>
      <c r="U258" s="365">
        <v>0</v>
      </c>
      <c r="V258" s="91">
        <f>ROUNDUP(IFERROR(INDEX(CostRateTbl[Cost Rate],MATCH(_xlfn.CONCAT(N258,O258,P258,"NA"),CostRateTbl[KeyCostRate],0)),0)*BillingCurrencyTRM*(1+U258),2)</f>
        <v>0</v>
      </c>
      <c r="W258" s="92">
        <f t="shared" si="123"/>
        <v>0</v>
      </c>
      <c r="X258" s="366" t="e" cm="1">
        <f t="array" ref="X258">_xlfn.LET(
    _xlpm.valor, INDEX(CostRate!H:H, MATCH(1, (CostRate!A:A=N258)*1, 0)),
    _xlpm.posicion, MATCH(_xlpm.valor, FilterSL!$F$1:$Z$1, 0),
    _xlpm.direccionCompleta, ADDRESS(1, _xlpm.posicion + 5, 4),
    _xlpm.letraColumna, SUBSTITUTE(_xlpm.direccionCompleta, "1", ""),
    _xlpm.letraColumna
)</f>
        <v>#N/A</v>
      </c>
      <c r="Y258" s="366" t="e" cm="1">
        <f t="array" ref="Y258">_xlfn.LET(
    _xlpm.valor, INDEX(CostRate!I:I, MATCH(1, (CostRate!A:A=N258)*(CostRate!B:B=O258), 0)),
    _xlpm.posicion, MATCH(_xlpm.valor, FilterJP!$E$1:$FZ$1, 0),
    _xlpm.direccionCompleta, ADDRESS(1, _xlpm.posicion + 4, 4),
    _xlpm.letraColumna, SUBSTITUTE(_xlpm.direccionCompleta, "1", ""),
    _xlpm.letraColumna
)</f>
        <v>#N/A</v>
      </c>
      <c r="Z258" s="7"/>
      <c r="AA258" s="367"/>
      <c r="AB258" s="7"/>
      <c r="AC258" s="93">
        <f t="shared" si="124"/>
        <v>0</v>
      </c>
      <c r="AD258" s="94">
        <f t="shared" si="132"/>
        <v>0</v>
      </c>
      <c r="AE258" s="109">
        <f t="shared" si="133"/>
        <v>0</v>
      </c>
      <c r="AF258" s="7"/>
      <c r="AG258" s="369">
        <f t="shared" si="125"/>
        <v>0</v>
      </c>
      <c r="AH258" s="368">
        <f t="shared" si="126"/>
        <v>0</v>
      </c>
      <c r="AI258" s="7"/>
      <c r="AJ258" s="369" cm="1">
        <f t="array" ref="AJ258">IFERROR(INDEX(WHT!$C$7:$W$18,MATCH(
_xlfn.SWITCH(N258,"xDC Medellin","Colombia","xDC Belo Horizonte","Brazil","xDC Guadalajara","Mexico","xDC Gurugram","India","xDC Leon","Spain","xDC San Jose","Costa Rica","xDC Warsaw","Poland",N258),
WHT!$B$7:$B$18,0),MATCH(CustomerCountry,WHT!$C$5:$W$5,0)),0)</f>
        <v>0</v>
      </c>
      <c r="AK258" s="368">
        <f t="shared" si="127"/>
        <v>0</v>
      </c>
      <c r="AL258" s="7"/>
      <c r="AM258" s="95">
        <f t="shared" si="134"/>
        <v>0</v>
      </c>
      <c r="AN258" s="95">
        <f t="shared" si="128"/>
        <v>0</v>
      </c>
      <c r="AO258" s="95">
        <f t="shared" si="135"/>
        <v>0</v>
      </c>
      <c r="AP258" s="90"/>
      <c r="AQ258" s="18"/>
      <c r="AR258" s="290"/>
      <c r="AS258" s="467" t="s">
        <v>133</v>
      </c>
      <c r="AT258" s="501">
        <f t="shared" si="129"/>
        <v>0</v>
      </c>
      <c r="AU258" s="502"/>
      <c r="AV258" s="95">
        <f t="shared" si="136"/>
        <v>0</v>
      </c>
      <c r="AW258" s="469" t="str">
        <f t="shared" si="130"/>
        <v>N/A</v>
      </c>
      <c r="AX258" s="290"/>
      <c r="AY258" s="18"/>
      <c r="AZ258" s="3"/>
      <c r="BA258" s="315"/>
      <c r="BB258" s="3"/>
      <c r="BC258" s="3"/>
      <c r="BD258" s="3"/>
      <c r="BE258" s="3"/>
      <c r="BF258" s="18"/>
      <c r="BG258" s="3"/>
      <c r="BH258" s="315"/>
      <c r="BI258" s="3"/>
      <c r="BJ258" s="3"/>
      <c r="BK258" s="3"/>
      <c r="BL258" s="3"/>
      <c r="BM258" s="18"/>
      <c r="BN258" s="3"/>
      <c r="BO258" s="315"/>
      <c r="BP258" s="3"/>
      <c r="BQ258" s="3"/>
      <c r="BR258" s="3"/>
      <c r="BS258" s="3"/>
      <c r="BT258" s="18"/>
      <c r="BU258" s="3"/>
      <c r="BV258" s="315"/>
      <c r="BW258" s="3"/>
      <c r="BX258" s="3"/>
      <c r="BY258" s="3"/>
      <c r="BZ258" s="3"/>
    </row>
    <row r="259" spans="1:82" ht="15.6" hidden="1" outlineLevel="1">
      <c r="A259" s="7"/>
      <c r="B259" s="370"/>
      <c r="C259" s="355"/>
      <c r="D259" s="356"/>
      <c r="E259" s="342"/>
      <c r="F259" s="290"/>
      <c r="G259" s="357">
        <v>0</v>
      </c>
      <c r="H259" s="358">
        <v>0</v>
      </c>
      <c r="I259" s="358">
        <v>0</v>
      </c>
      <c r="J259" s="359">
        <f t="shared" si="131"/>
        <v>0</v>
      </c>
      <c r="K259" s="290"/>
      <c r="L259" s="349"/>
      <c r="M259" s="7"/>
      <c r="N259" s="12"/>
      <c r="O259" s="12"/>
      <c r="P259" s="12"/>
      <c r="Q259" s="361"/>
      <c r="R259" s="362"/>
      <c r="S259" s="363">
        <f t="shared" si="121"/>
        <v>0</v>
      </c>
      <c r="T259" s="364">
        <f t="shared" si="122"/>
        <v>0</v>
      </c>
      <c r="U259" s="365">
        <v>0</v>
      </c>
      <c r="V259" s="91">
        <f>ROUNDUP(IFERROR(INDEX(CostRateTbl[Cost Rate],MATCH(_xlfn.CONCAT(N259,O259,P259,"NA"),CostRateTbl[KeyCostRate],0)),0)*BillingCurrencyTRM*(1+U259),2)</f>
        <v>0</v>
      </c>
      <c r="W259" s="92">
        <f t="shared" si="123"/>
        <v>0</v>
      </c>
      <c r="X259" s="366" t="e" cm="1">
        <f t="array" ref="X259">_xlfn.LET(
    _xlpm.valor, INDEX(CostRate!H:H, MATCH(1, (CostRate!A:A=N259)*1, 0)),
    _xlpm.posicion, MATCH(_xlpm.valor, FilterSL!$F$1:$Z$1, 0),
    _xlpm.direccionCompleta, ADDRESS(1, _xlpm.posicion + 5, 4),
    _xlpm.letraColumna, SUBSTITUTE(_xlpm.direccionCompleta, "1", ""),
    _xlpm.letraColumna
)</f>
        <v>#N/A</v>
      </c>
      <c r="Y259" s="366" t="e" cm="1">
        <f t="array" ref="Y259">_xlfn.LET(
    _xlpm.valor, INDEX(CostRate!I:I, MATCH(1, (CostRate!A:A=N259)*(CostRate!B:B=O259), 0)),
    _xlpm.posicion, MATCH(_xlpm.valor, FilterJP!$E$1:$FZ$1, 0),
    _xlpm.direccionCompleta, ADDRESS(1, _xlpm.posicion + 4, 4),
    _xlpm.letraColumna, SUBSTITUTE(_xlpm.direccionCompleta, "1", ""),
    _xlpm.letraColumna
)</f>
        <v>#N/A</v>
      </c>
      <c r="Z259" s="7"/>
      <c r="AA259" s="367"/>
      <c r="AB259" s="7"/>
      <c r="AC259" s="93">
        <f t="shared" si="124"/>
        <v>0</v>
      </c>
      <c r="AD259" s="94">
        <f t="shared" si="132"/>
        <v>0</v>
      </c>
      <c r="AE259" s="109">
        <f t="shared" si="133"/>
        <v>0</v>
      </c>
      <c r="AF259" s="7"/>
      <c r="AG259" s="369">
        <f t="shared" si="125"/>
        <v>0</v>
      </c>
      <c r="AH259" s="368">
        <f t="shared" si="126"/>
        <v>0</v>
      </c>
      <c r="AI259" s="7"/>
      <c r="AJ259" s="369" cm="1">
        <f t="array" ref="AJ259">IFERROR(INDEX(WHT!$C$7:$W$18,MATCH(
_xlfn.SWITCH(N259,"xDC Medellin","Colombia","xDC Belo Horizonte","Brazil","xDC Guadalajara","Mexico","xDC Gurugram","India","xDC Leon","Spain","xDC San Jose","Costa Rica","xDC Warsaw","Poland",N259),
WHT!$B$7:$B$18,0),MATCH(CustomerCountry,WHT!$C$5:$W$5,0)),0)</f>
        <v>0</v>
      </c>
      <c r="AK259" s="368">
        <f t="shared" si="127"/>
        <v>0</v>
      </c>
      <c r="AL259" s="7"/>
      <c r="AM259" s="95">
        <f t="shared" si="134"/>
        <v>0</v>
      </c>
      <c r="AN259" s="95">
        <f t="shared" si="128"/>
        <v>0</v>
      </c>
      <c r="AO259" s="95">
        <f t="shared" si="135"/>
        <v>0</v>
      </c>
      <c r="AP259" s="90"/>
      <c r="AQ259" s="18"/>
      <c r="AR259" s="290"/>
      <c r="AS259" s="467" t="s">
        <v>133</v>
      </c>
      <c r="AT259" s="501">
        <f t="shared" si="129"/>
        <v>0</v>
      </c>
      <c r="AU259" s="502"/>
      <c r="AV259" s="95">
        <f t="shared" si="136"/>
        <v>0</v>
      </c>
      <c r="AW259" s="469" t="str">
        <f t="shared" si="130"/>
        <v>N/A</v>
      </c>
      <c r="AX259" s="290"/>
      <c r="AY259" s="18"/>
      <c r="AZ259" s="3"/>
      <c r="BA259" s="315"/>
      <c r="BB259" s="3"/>
      <c r="BC259" s="3"/>
      <c r="BD259" s="3"/>
      <c r="BE259" s="3"/>
      <c r="BF259" s="18"/>
      <c r="BG259" s="3"/>
      <c r="BH259" s="315"/>
      <c r="BI259" s="3"/>
      <c r="BJ259" s="3"/>
      <c r="BK259" s="3"/>
      <c r="BL259" s="3"/>
      <c r="BM259" s="18"/>
      <c r="BN259" s="3"/>
      <c r="BO259" s="315"/>
      <c r="BP259" s="3"/>
      <c r="BQ259" s="3"/>
      <c r="BR259" s="3"/>
      <c r="BS259" s="3"/>
      <c r="BT259" s="18"/>
      <c r="BU259" s="3"/>
      <c r="BV259" s="315"/>
      <c r="BW259" s="3"/>
      <c r="BX259" s="3"/>
      <c r="BY259" s="3"/>
      <c r="BZ259" s="3"/>
    </row>
    <row r="260" spans="1:82" ht="15.6" hidden="1" outlineLevel="1">
      <c r="A260" s="7"/>
      <c r="B260" s="370"/>
      <c r="C260" s="355"/>
      <c r="D260" s="356"/>
      <c r="E260" s="342"/>
      <c r="F260" s="290"/>
      <c r="G260" s="357">
        <v>0</v>
      </c>
      <c r="H260" s="358">
        <v>0</v>
      </c>
      <c r="I260" s="358">
        <v>0</v>
      </c>
      <c r="J260" s="359">
        <f t="shared" si="131"/>
        <v>0</v>
      </c>
      <c r="K260" s="290"/>
      <c r="L260" s="349"/>
      <c r="M260" s="7"/>
      <c r="N260" s="12"/>
      <c r="O260" s="12"/>
      <c r="P260" s="12"/>
      <c r="Q260" s="361"/>
      <c r="R260" s="362"/>
      <c r="S260" s="363">
        <f t="shared" si="121"/>
        <v>0</v>
      </c>
      <c r="T260" s="364">
        <f t="shared" si="122"/>
        <v>0</v>
      </c>
      <c r="U260" s="365">
        <v>0</v>
      </c>
      <c r="V260" s="91">
        <f>ROUNDUP(IFERROR(INDEX(CostRateTbl[Cost Rate],MATCH(_xlfn.CONCAT(N260,O260,P260,"NA"),CostRateTbl[KeyCostRate],0)),0)*BillingCurrencyTRM*(1+U260),2)</f>
        <v>0</v>
      </c>
      <c r="W260" s="92">
        <f t="shared" si="123"/>
        <v>0</v>
      </c>
      <c r="X260" s="366" t="e" cm="1">
        <f t="array" ref="X260">_xlfn.LET(
    _xlpm.valor, INDEX(CostRate!H:H, MATCH(1, (CostRate!A:A=N260)*1, 0)),
    _xlpm.posicion, MATCH(_xlpm.valor, FilterSL!$F$1:$Z$1, 0),
    _xlpm.direccionCompleta, ADDRESS(1, _xlpm.posicion + 5, 4),
    _xlpm.letraColumna, SUBSTITUTE(_xlpm.direccionCompleta, "1", ""),
    _xlpm.letraColumna
)</f>
        <v>#N/A</v>
      </c>
      <c r="Y260" s="366" t="e" cm="1">
        <f t="array" ref="Y260">_xlfn.LET(
    _xlpm.valor, INDEX(CostRate!I:I, MATCH(1, (CostRate!A:A=N260)*(CostRate!B:B=O260), 0)),
    _xlpm.posicion, MATCH(_xlpm.valor, FilterJP!$E$1:$FZ$1, 0),
    _xlpm.direccionCompleta, ADDRESS(1, _xlpm.posicion + 4, 4),
    _xlpm.letraColumna, SUBSTITUTE(_xlpm.direccionCompleta, "1", ""),
    _xlpm.letraColumna
)</f>
        <v>#N/A</v>
      </c>
      <c r="Z260" s="7"/>
      <c r="AA260" s="367"/>
      <c r="AB260" s="7"/>
      <c r="AC260" s="93">
        <f t="shared" si="124"/>
        <v>0</v>
      </c>
      <c r="AD260" s="94">
        <f t="shared" si="132"/>
        <v>0</v>
      </c>
      <c r="AE260" s="109">
        <f t="shared" si="133"/>
        <v>0</v>
      </c>
      <c r="AF260" s="7"/>
      <c r="AG260" s="369">
        <f t="shared" si="125"/>
        <v>0</v>
      </c>
      <c r="AH260" s="368">
        <f t="shared" si="126"/>
        <v>0</v>
      </c>
      <c r="AI260" s="7"/>
      <c r="AJ260" s="369" cm="1">
        <f t="array" ref="AJ260">IFERROR(INDEX(WHT!$C$7:$W$18,MATCH(
_xlfn.SWITCH(N260,"xDC Medellin","Colombia","xDC Belo Horizonte","Brazil","xDC Guadalajara","Mexico","xDC Gurugram","India","xDC Leon","Spain","xDC San Jose","Costa Rica","xDC Warsaw","Poland",N260),
WHT!$B$7:$B$18,0),MATCH(CustomerCountry,WHT!$C$5:$W$5,0)),0)</f>
        <v>0</v>
      </c>
      <c r="AK260" s="368">
        <f t="shared" si="127"/>
        <v>0</v>
      </c>
      <c r="AL260" s="7"/>
      <c r="AM260" s="95">
        <f t="shared" si="134"/>
        <v>0</v>
      </c>
      <c r="AN260" s="95">
        <f t="shared" si="128"/>
        <v>0</v>
      </c>
      <c r="AO260" s="95">
        <f t="shared" si="135"/>
        <v>0</v>
      </c>
      <c r="AP260" s="90"/>
      <c r="AQ260" s="18"/>
      <c r="AR260" s="290"/>
      <c r="AS260" s="467" t="s">
        <v>133</v>
      </c>
      <c r="AT260" s="501">
        <f t="shared" si="129"/>
        <v>0</v>
      </c>
      <c r="AU260" s="502"/>
      <c r="AV260" s="95">
        <f t="shared" si="136"/>
        <v>0</v>
      </c>
      <c r="AW260" s="469" t="str">
        <f t="shared" si="130"/>
        <v>N/A</v>
      </c>
      <c r="AX260" s="290"/>
      <c r="AY260" s="18"/>
      <c r="AZ260" s="3"/>
      <c r="BA260" s="315"/>
      <c r="BB260" s="3"/>
      <c r="BC260" s="3"/>
      <c r="BD260" s="3"/>
      <c r="BE260" s="3"/>
      <c r="BF260" s="18"/>
      <c r="BG260" s="3"/>
      <c r="BH260" s="315"/>
      <c r="BI260" s="3"/>
      <c r="BJ260" s="3"/>
      <c r="BK260" s="3"/>
      <c r="BL260" s="3"/>
      <c r="BM260" s="18"/>
      <c r="BN260" s="3"/>
      <c r="BO260" s="315"/>
      <c r="BP260" s="3"/>
      <c r="BQ260" s="3"/>
      <c r="BR260" s="3"/>
      <c r="BS260" s="3"/>
      <c r="BT260" s="18"/>
      <c r="BU260" s="3"/>
      <c r="BV260" s="315"/>
      <c r="BW260" s="3"/>
      <c r="BX260" s="3"/>
      <c r="BY260" s="3"/>
      <c r="BZ260" s="3"/>
    </row>
    <row r="261" spans="1:82" ht="15.6" hidden="1" outlineLevel="1">
      <c r="A261" s="7"/>
      <c r="B261" s="370"/>
      <c r="C261" s="355"/>
      <c r="D261" s="356"/>
      <c r="E261" s="342"/>
      <c r="F261" s="290"/>
      <c r="G261" s="357">
        <v>0</v>
      </c>
      <c r="H261" s="358">
        <v>0</v>
      </c>
      <c r="I261" s="358">
        <v>0</v>
      </c>
      <c r="J261" s="359">
        <f t="shared" si="131"/>
        <v>0</v>
      </c>
      <c r="K261" s="290"/>
      <c r="L261" s="349"/>
      <c r="M261" s="7"/>
      <c r="N261" s="12"/>
      <c r="O261" s="12"/>
      <c r="P261" s="12"/>
      <c r="Q261" s="361"/>
      <c r="R261" s="362"/>
      <c r="S261" s="363">
        <f t="shared" si="121"/>
        <v>0</v>
      </c>
      <c r="T261" s="364">
        <f t="shared" si="122"/>
        <v>0</v>
      </c>
      <c r="U261" s="365">
        <v>0</v>
      </c>
      <c r="V261" s="91">
        <f>ROUNDUP(IFERROR(INDEX(CostRateTbl[Cost Rate],MATCH(_xlfn.CONCAT(N261,O261,P261,"NA"),CostRateTbl[KeyCostRate],0)),0)*BillingCurrencyTRM*(1+U261),2)</f>
        <v>0</v>
      </c>
      <c r="W261" s="92">
        <f t="shared" si="123"/>
        <v>0</v>
      </c>
      <c r="X261" s="366" t="e" cm="1">
        <f t="array" ref="X261">_xlfn.LET(
    _xlpm.valor, INDEX(CostRate!H:H, MATCH(1, (CostRate!A:A=N261)*1, 0)),
    _xlpm.posicion, MATCH(_xlpm.valor, FilterSL!$F$1:$Z$1, 0),
    _xlpm.direccionCompleta, ADDRESS(1, _xlpm.posicion + 5, 4),
    _xlpm.letraColumna, SUBSTITUTE(_xlpm.direccionCompleta, "1", ""),
    _xlpm.letraColumna
)</f>
        <v>#N/A</v>
      </c>
      <c r="Y261" s="366" t="e" cm="1">
        <f t="array" ref="Y261">_xlfn.LET(
    _xlpm.valor, INDEX(CostRate!I:I, MATCH(1, (CostRate!A:A=N261)*(CostRate!B:B=O261), 0)),
    _xlpm.posicion, MATCH(_xlpm.valor, FilterJP!$E$1:$FZ$1, 0),
    _xlpm.direccionCompleta, ADDRESS(1, _xlpm.posicion + 4, 4),
    _xlpm.letraColumna, SUBSTITUTE(_xlpm.direccionCompleta, "1", ""),
    _xlpm.letraColumna
)</f>
        <v>#N/A</v>
      </c>
      <c r="Z261" s="7"/>
      <c r="AA261" s="367"/>
      <c r="AB261" s="7"/>
      <c r="AC261" s="93">
        <f t="shared" si="124"/>
        <v>0</v>
      </c>
      <c r="AD261" s="94">
        <f t="shared" si="132"/>
        <v>0</v>
      </c>
      <c r="AE261" s="109">
        <f t="shared" si="133"/>
        <v>0</v>
      </c>
      <c r="AF261" s="7"/>
      <c r="AG261" s="369">
        <f t="shared" si="125"/>
        <v>0</v>
      </c>
      <c r="AH261" s="368">
        <f t="shared" si="126"/>
        <v>0</v>
      </c>
      <c r="AI261" s="7"/>
      <c r="AJ261" s="369" cm="1">
        <f t="array" ref="AJ261">IFERROR(INDEX(WHT!$C$7:$W$18,MATCH(
_xlfn.SWITCH(N261,"xDC Medellin","Colombia","xDC Belo Horizonte","Brazil","xDC Guadalajara","Mexico","xDC Gurugram","India","xDC Leon","Spain","xDC San Jose","Costa Rica","xDC Warsaw","Poland",N261),
WHT!$B$7:$B$18,0),MATCH(CustomerCountry,WHT!$C$5:$W$5,0)),0)</f>
        <v>0</v>
      </c>
      <c r="AK261" s="368">
        <f t="shared" si="127"/>
        <v>0</v>
      </c>
      <c r="AL261" s="7"/>
      <c r="AM261" s="95">
        <f t="shared" si="134"/>
        <v>0</v>
      </c>
      <c r="AN261" s="95">
        <f t="shared" si="128"/>
        <v>0</v>
      </c>
      <c r="AO261" s="95">
        <f t="shared" si="135"/>
        <v>0</v>
      </c>
      <c r="AP261" s="90"/>
      <c r="AQ261" s="18"/>
      <c r="AR261" s="290"/>
      <c r="AS261" s="467" t="s">
        <v>133</v>
      </c>
      <c r="AT261" s="501">
        <f t="shared" si="129"/>
        <v>0</v>
      </c>
      <c r="AU261" s="502"/>
      <c r="AV261" s="95">
        <f t="shared" si="136"/>
        <v>0</v>
      </c>
      <c r="AW261" s="469" t="str">
        <f t="shared" si="130"/>
        <v>N/A</v>
      </c>
      <c r="AX261" s="290"/>
      <c r="AY261" s="18"/>
      <c r="AZ261" s="3"/>
      <c r="BA261" s="315"/>
      <c r="BB261" s="3"/>
      <c r="BC261" s="3"/>
      <c r="BD261" s="3"/>
      <c r="BE261" s="3"/>
      <c r="BF261" s="18"/>
      <c r="BG261" s="3"/>
      <c r="BH261" s="315"/>
      <c r="BI261" s="3"/>
      <c r="BJ261" s="3"/>
      <c r="BK261" s="3"/>
      <c r="BL261" s="3"/>
      <c r="BM261" s="18"/>
      <c r="BN261" s="3"/>
      <c r="BO261" s="315"/>
      <c r="BP261" s="3"/>
      <c r="BQ261" s="3"/>
      <c r="BR261" s="3"/>
      <c r="BS261" s="3"/>
      <c r="BT261" s="18"/>
      <c r="BU261" s="3"/>
      <c r="BV261" s="315"/>
      <c r="BW261" s="3"/>
      <c r="BX261" s="3"/>
      <c r="BY261" s="3"/>
      <c r="BZ261" s="3"/>
    </row>
    <row r="262" spans="1:82" ht="15.6" hidden="1" outlineLevel="1">
      <c r="A262" s="7"/>
      <c r="B262" s="370"/>
      <c r="C262" s="355"/>
      <c r="D262" s="356"/>
      <c r="E262" s="342"/>
      <c r="F262" s="290"/>
      <c r="G262" s="357">
        <v>0</v>
      </c>
      <c r="H262" s="358">
        <v>0</v>
      </c>
      <c r="I262" s="358">
        <v>0</v>
      </c>
      <c r="J262" s="359">
        <f t="shared" si="131"/>
        <v>0</v>
      </c>
      <c r="K262" s="290"/>
      <c r="L262" s="349"/>
      <c r="M262" s="7"/>
      <c r="N262" s="12"/>
      <c r="O262" s="12"/>
      <c r="P262" s="12"/>
      <c r="Q262" s="361"/>
      <c r="R262" s="362"/>
      <c r="S262" s="363">
        <f t="shared" si="121"/>
        <v>0</v>
      </c>
      <c r="T262" s="364">
        <f t="shared" si="122"/>
        <v>0</v>
      </c>
      <c r="U262" s="365">
        <v>0</v>
      </c>
      <c r="V262" s="91">
        <f>ROUNDUP(IFERROR(INDEX(CostRateTbl[Cost Rate],MATCH(_xlfn.CONCAT(N262,O262,P262,"NA"),CostRateTbl[KeyCostRate],0)),0)*BillingCurrencyTRM*(1+U262),2)</f>
        <v>0</v>
      </c>
      <c r="W262" s="92">
        <f t="shared" si="123"/>
        <v>0</v>
      </c>
      <c r="X262" s="366" t="e" cm="1">
        <f t="array" ref="X262">_xlfn.LET(
    _xlpm.valor, INDEX(CostRate!H:H, MATCH(1, (CostRate!A:A=N262)*1, 0)),
    _xlpm.posicion, MATCH(_xlpm.valor, FilterSL!$F$1:$Z$1, 0),
    _xlpm.direccionCompleta, ADDRESS(1, _xlpm.posicion + 5, 4),
    _xlpm.letraColumna, SUBSTITUTE(_xlpm.direccionCompleta, "1", ""),
    _xlpm.letraColumna
)</f>
        <v>#N/A</v>
      </c>
      <c r="Y262" s="366" t="e" cm="1">
        <f t="array" ref="Y262">_xlfn.LET(
    _xlpm.valor, INDEX(CostRate!I:I, MATCH(1, (CostRate!A:A=N262)*(CostRate!B:B=O262), 0)),
    _xlpm.posicion, MATCH(_xlpm.valor, FilterJP!$E$1:$FZ$1, 0),
    _xlpm.direccionCompleta, ADDRESS(1, _xlpm.posicion + 4, 4),
    _xlpm.letraColumna, SUBSTITUTE(_xlpm.direccionCompleta, "1", ""),
    _xlpm.letraColumna
)</f>
        <v>#N/A</v>
      </c>
      <c r="Z262" s="7"/>
      <c r="AA262" s="367"/>
      <c r="AB262" s="7"/>
      <c r="AC262" s="93">
        <f t="shared" si="124"/>
        <v>0</v>
      </c>
      <c r="AD262" s="94">
        <f t="shared" si="132"/>
        <v>0</v>
      </c>
      <c r="AE262" s="109">
        <f t="shared" si="133"/>
        <v>0</v>
      </c>
      <c r="AF262" s="7"/>
      <c r="AG262" s="369">
        <f t="shared" si="125"/>
        <v>0</v>
      </c>
      <c r="AH262" s="368">
        <f t="shared" si="126"/>
        <v>0</v>
      </c>
      <c r="AI262" s="7"/>
      <c r="AJ262" s="369" cm="1">
        <f t="array" ref="AJ262">IFERROR(INDEX(WHT!$C$7:$W$18,MATCH(
_xlfn.SWITCH(N262,"xDC Medellin","Colombia","xDC Belo Horizonte","Brazil","xDC Guadalajara","Mexico","xDC Gurugram","India","xDC Leon","Spain","xDC San Jose","Costa Rica","xDC Warsaw","Poland",N262),
WHT!$B$7:$B$18,0),MATCH(CustomerCountry,WHT!$C$5:$W$5,0)),0)</f>
        <v>0</v>
      </c>
      <c r="AK262" s="368">
        <f t="shared" si="127"/>
        <v>0</v>
      </c>
      <c r="AL262" s="7"/>
      <c r="AM262" s="95">
        <f t="shared" si="134"/>
        <v>0</v>
      </c>
      <c r="AN262" s="95">
        <f t="shared" si="128"/>
        <v>0</v>
      </c>
      <c r="AO262" s="95">
        <f t="shared" si="135"/>
        <v>0</v>
      </c>
      <c r="AP262" s="90"/>
      <c r="AQ262" s="18"/>
      <c r="AR262" s="290"/>
      <c r="AS262" s="467" t="s">
        <v>133</v>
      </c>
      <c r="AT262" s="501">
        <f t="shared" si="129"/>
        <v>0</v>
      </c>
      <c r="AU262" s="502"/>
      <c r="AV262" s="95">
        <f t="shared" si="136"/>
        <v>0</v>
      </c>
      <c r="AW262" s="469" t="str">
        <f t="shared" si="130"/>
        <v>N/A</v>
      </c>
      <c r="AX262" s="290"/>
      <c r="AY262" s="18"/>
      <c r="AZ262" s="3"/>
      <c r="BA262" s="315"/>
      <c r="BB262" s="3"/>
      <c r="BC262" s="3"/>
      <c r="BD262" s="3"/>
      <c r="BE262" s="3"/>
      <c r="BF262" s="18"/>
      <c r="BG262" s="3"/>
      <c r="BH262" s="315"/>
      <c r="BI262" s="3"/>
      <c r="BJ262" s="3"/>
      <c r="BK262" s="3"/>
      <c r="BL262" s="3"/>
      <c r="BM262" s="18"/>
      <c r="BN262" s="3"/>
      <c r="BO262" s="315"/>
      <c r="BP262" s="3"/>
      <c r="BQ262" s="3"/>
      <c r="BR262" s="3"/>
      <c r="BS262" s="3"/>
      <c r="BT262" s="18"/>
      <c r="BU262" s="3"/>
      <c r="BV262" s="315"/>
      <c r="BW262" s="3"/>
      <c r="BX262" s="3"/>
      <c r="BY262" s="3"/>
      <c r="BZ262" s="3"/>
    </row>
    <row r="263" spans="1:82" ht="15.6" hidden="1" outlineLevel="1">
      <c r="A263" s="7"/>
      <c r="B263" s="370"/>
      <c r="C263" s="355"/>
      <c r="D263" s="356"/>
      <c r="E263" s="342"/>
      <c r="F263" s="290"/>
      <c r="G263" s="357">
        <v>0</v>
      </c>
      <c r="H263" s="358">
        <v>0</v>
      </c>
      <c r="I263" s="358">
        <v>0</v>
      </c>
      <c r="J263" s="359">
        <f t="shared" si="131"/>
        <v>0</v>
      </c>
      <c r="K263" s="290"/>
      <c r="L263" s="349"/>
      <c r="M263" s="7"/>
      <c r="N263" s="12"/>
      <c r="O263" s="12"/>
      <c r="P263" s="12"/>
      <c r="Q263" s="361"/>
      <c r="R263" s="362"/>
      <c r="S263" s="363">
        <f t="shared" si="121"/>
        <v>0</v>
      </c>
      <c r="T263" s="364">
        <f t="shared" si="122"/>
        <v>0</v>
      </c>
      <c r="U263" s="365">
        <v>0</v>
      </c>
      <c r="V263" s="91">
        <f>ROUNDUP(IFERROR(INDEX(CostRateTbl[Cost Rate],MATCH(_xlfn.CONCAT(N263,O263,P263,"NA"),CostRateTbl[KeyCostRate],0)),0)*BillingCurrencyTRM*(1+U263),2)</f>
        <v>0</v>
      </c>
      <c r="W263" s="92">
        <f t="shared" si="123"/>
        <v>0</v>
      </c>
      <c r="X263" s="366" t="e" cm="1">
        <f t="array" ref="X263">_xlfn.LET(
    _xlpm.valor, INDEX(CostRate!H:H, MATCH(1, (CostRate!A:A=N263)*1, 0)),
    _xlpm.posicion, MATCH(_xlpm.valor, FilterSL!$F$1:$Z$1, 0),
    _xlpm.direccionCompleta, ADDRESS(1, _xlpm.posicion + 5, 4),
    _xlpm.letraColumna, SUBSTITUTE(_xlpm.direccionCompleta, "1", ""),
    _xlpm.letraColumna
)</f>
        <v>#N/A</v>
      </c>
      <c r="Y263" s="366" t="e" cm="1">
        <f t="array" ref="Y263">_xlfn.LET(
    _xlpm.valor, INDEX(CostRate!I:I, MATCH(1, (CostRate!A:A=N263)*(CostRate!B:B=O263), 0)),
    _xlpm.posicion, MATCH(_xlpm.valor, FilterJP!$E$1:$FZ$1, 0),
    _xlpm.direccionCompleta, ADDRESS(1, _xlpm.posicion + 4, 4),
    _xlpm.letraColumna, SUBSTITUTE(_xlpm.direccionCompleta, "1", ""),
    _xlpm.letraColumna
)</f>
        <v>#N/A</v>
      </c>
      <c r="Z263" s="7"/>
      <c r="AA263" s="367"/>
      <c r="AB263" s="7"/>
      <c r="AC263" s="93">
        <f t="shared" si="124"/>
        <v>0</v>
      </c>
      <c r="AD263" s="94">
        <f t="shared" si="132"/>
        <v>0</v>
      </c>
      <c r="AE263" s="109">
        <f t="shared" si="133"/>
        <v>0</v>
      </c>
      <c r="AF263" s="7"/>
      <c r="AG263" s="369">
        <f t="shared" si="125"/>
        <v>0</v>
      </c>
      <c r="AH263" s="368">
        <f t="shared" si="126"/>
        <v>0</v>
      </c>
      <c r="AI263" s="7"/>
      <c r="AJ263" s="369" cm="1">
        <f t="array" ref="AJ263">IFERROR(INDEX(WHT!$C$7:$W$18,MATCH(
_xlfn.SWITCH(N263,"xDC Medellin","Colombia","xDC Belo Horizonte","Brazil","xDC Guadalajara","Mexico","xDC Gurugram","India","xDC Leon","Spain","xDC San Jose","Costa Rica","xDC Warsaw","Poland",N263),
WHT!$B$7:$B$18,0),MATCH(CustomerCountry,WHT!$C$5:$W$5,0)),0)</f>
        <v>0</v>
      </c>
      <c r="AK263" s="368">
        <f t="shared" si="127"/>
        <v>0</v>
      </c>
      <c r="AL263" s="7"/>
      <c r="AM263" s="95">
        <f t="shared" si="134"/>
        <v>0</v>
      </c>
      <c r="AN263" s="95">
        <f t="shared" si="128"/>
        <v>0</v>
      </c>
      <c r="AO263" s="95">
        <f t="shared" si="135"/>
        <v>0</v>
      </c>
      <c r="AP263" s="90"/>
      <c r="AQ263" s="18"/>
      <c r="AR263" s="290"/>
      <c r="AS263" s="467" t="s">
        <v>133</v>
      </c>
      <c r="AT263" s="501">
        <f t="shared" si="129"/>
        <v>0</v>
      </c>
      <c r="AU263" s="502"/>
      <c r="AV263" s="95">
        <f t="shared" si="136"/>
        <v>0</v>
      </c>
      <c r="AW263" s="469" t="str">
        <f t="shared" si="130"/>
        <v>N/A</v>
      </c>
      <c r="AX263" s="290"/>
      <c r="AY263" s="18"/>
      <c r="AZ263" s="3"/>
      <c r="BA263" s="315"/>
      <c r="BB263" s="3"/>
      <c r="BC263" s="3"/>
      <c r="BD263" s="3"/>
      <c r="BE263" s="3"/>
      <c r="BF263" s="18"/>
      <c r="BG263" s="3"/>
      <c r="BH263" s="315"/>
      <c r="BI263" s="3"/>
      <c r="BJ263" s="3"/>
      <c r="BK263" s="3"/>
      <c r="BL263" s="3"/>
      <c r="BM263" s="18"/>
      <c r="BN263" s="3"/>
      <c r="BO263" s="315"/>
      <c r="BP263" s="3"/>
      <c r="BQ263" s="3"/>
      <c r="BR263" s="3"/>
      <c r="BS263" s="3"/>
      <c r="BT263" s="18"/>
      <c r="BU263" s="3"/>
      <c r="BV263" s="315"/>
      <c r="BW263" s="3"/>
      <c r="BX263" s="3"/>
      <c r="BY263" s="3"/>
      <c r="BZ263" s="3"/>
    </row>
    <row r="264" spans="1:82" ht="15.6" hidden="1" outlineLevel="1">
      <c r="A264" s="7"/>
      <c r="B264" s="370"/>
      <c r="C264" s="355"/>
      <c r="D264" s="356"/>
      <c r="E264" s="342"/>
      <c r="F264" s="290"/>
      <c r="G264" s="373">
        <v>0</v>
      </c>
      <c r="H264" s="374">
        <v>0</v>
      </c>
      <c r="I264" s="374">
        <v>0</v>
      </c>
      <c r="J264" s="375">
        <f t="shared" si="131"/>
        <v>0</v>
      </c>
      <c r="K264" s="290"/>
      <c r="L264" s="349"/>
      <c r="M264" s="7"/>
      <c r="N264" s="12"/>
      <c r="O264" s="12"/>
      <c r="P264" s="12"/>
      <c r="Q264" s="361"/>
      <c r="R264" s="362"/>
      <c r="S264" s="363">
        <f t="shared" si="121"/>
        <v>0</v>
      </c>
      <c r="T264" s="364">
        <f t="shared" si="122"/>
        <v>0</v>
      </c>
      <c r="U264" s="365">
        <v>0</v>
      </c>
      <c r="V264" s="91">
        <f>ROUNDUP(IFERROR(INDEX(CostRateTbl[Cost Rate],MATCH(_xlfn.CONCAT(N264,O264,P264,"NA"),CostRateTbl[KeyCostRate],0)),0)*BillingCurrencyTRM*(1+U264),2)</f>
        <v>0</v>
      </c>
      <c r="W264" s="92">
        <f t="shared" si="123"/>
        <v>0</v>
      </c>
      <c r="X264" s="366" t="e" cm="1">
        <f t="array" ref="X264">_xlfn.LET(
    _xlpm.valor, INDEX(CostRate!H:H, MATCH(1, (CostRate!A:A=N264)*1, 0)),
    _xlpm.posicion, MATCH(_xlpm.valor, FilterSL!$F$1:$Z$1, 0),
    _xlpm.direccionCompleta, ADDRESS(1, _xlpm.posicion + 5, 4),
    _xlpm.letraColumna, SUBSTITUTE(_xlpm.direccionCompleta, "1", ""),
    _xlpm.letraColumna
)</f>
        <v>#N/A</v>
      </c>
      <c r="Y264" s="366" t="e" cm="1">
        <f t="array" ref="Y264">_xlfn.LET(
    _xlpm.valor, INDEX(CostRate!I:I, MATCH(1, (CostRate!A:A=N264)*(CostRate!B:B=O264), 0)),
    _xlpm.posicion, MATCH(_xlpm.valor, FilterJP!$E$1:$FZ$1, 0),
    _xlpm.direccionCompleta, ADDRESS(1, _xlpm.posicion + 4, 4),
    _xlpm.letraColumna, SUBSTITUTE(_xlpm.direccionCompleta, "1", ""),
    _xlpm.letraColumna
)</f>
        <v>#N/A</v>
      </c>
      <c r="Z264" s="7"/>
      <c r="AA264" s="367"/>
      <c r="AB264" s="7"/>
      <c r="AC264" s="93">
        <f t="shared" si="124"/>
        <v>0</v>
      </c>
      <c r="AD264" s="94">
        <f t="shared" si="132"/>
        <v>0</v>
      </c>
      <c r="AE264" s="109">
        <f t="shared" si="133"/>
        <v>0</v>
      </c>
      <c r="AF264" s="7"/>
      <c r="AG264" s="369">
        <f t="shared" si="125"/>
        <v>0</v>
      </c>
      <c r="AH264" s="368">
        <f t="shared" si="126"/>
        <v>0</v>
      </c>
      <c r="AI264" s="7"/>
      <c r="AJ264" s="369" cm="1">
        <f t="array" ref="AJ264">IFERROR(INDEX(WHT!$C$7:$W$18,MATCH(
_xlfn.SWITCH(N264,"xDC Medellin","Colombia","xDC Belo Horizonte","Brazil","xDC Guadalajara","Mexico","xDC Gurugram","India","xDC Leon","Spain","xDC San Jose","Costa Rica","xDC Warsaw","Poland",N264),
WHT!$B$7:$B$18,0),MATCH(CustomerCountry,WHT!$C$5:$W$5,0)),0)</f>
        <v>0</v>
      </c>
      <c r="AK264" s="368">
        <f t="shared" si="127"/>
        <v>0</v>
      </c>
      <c r="AL264" s="7"/>
      <c r="AM264" s="95">
        <f t="shared" si="134"/>
        <v>0</v>
      </c>
      <c r="AN264" s="95">
        <f t="shared" si="128"/>
        <v>0</v>
      </c>
      <c r="AO264" s="95">
        <f t="shared" si="135"/>
        <v>0</v>
      </c>
      <c r="AP264" s="90"/>
      <c r="AQ264" s="18"/>
      <c r="AR264" s="290"/>
      <c r="AS264" s="467" t="s">
        <v>133</v>
      </c>
      <c r="AT264" s="501">
        <f t="shared" si="129"/>
        <v>0</v>
      </c>
      <c r="AU264" s="502"/>
      <c r="AV264" s="95">
        <f t="shared" si="136"/>
        <v>0</v>
      </c>
      <c r="AW264" s="469" t="str">
        <f t="shared" si="130"/>
        <v>N/A</v>
      </c>
      <c r="AX264" s="290"/>
      <c r="AY264" s="18"/>
      <c r="AZ264" s="3"/>
      <c r="BA264" s="315"/>
      <c r="BB264" s="3"/>
      <c r="BC264" s="3"/>
      <c r="BD264" s="3"/>
      <c r="BE264" s="3"/>
      <c r="BF264" s="18"/>
      <c r="BG264" s="3"/>
      <c r="BH264" s="315"/>
      <c r="BI264" s="3"/>
      <c r="BJ264" s="3"/>
      <c r="BK264" s="3"/>
      <c r="BL264" s="3"/>
      <c r="BM264" s="18"/>
      <c r="BN264" s="3"/>
      <c r="BO264" s="315"/>
      <c r="BP264" s="3"/>
      <c r="BQ264" s="3"/>
      <c r="BR264" s="3"/>
      <c r="BS264" s="3"/>
      <c r="BT264" s="18"/>
      <c r="BU264" s="3"/>
      <c r="BV264" s="315"/>
      <c r="BW264" s="3"/>
      <c r="BX264" s="3"/>
      <c r="BY264" s="3"/>
      <c r="BZ264" s="3"/>
    </row>
    <row r="265" spans="1:82" ht="15.6" hidden="1" outlineLevel="1">
      <c r="A265" s="7"/>
      <c r="B265" s="372"/>
      <c r="C265" s="355"/>
      <c r="D265" s="356"/>
      <c r="E265" s="342"/>
      <c r="F265" s="290"/>
      <c r="G265" s="373">
        <v>0</v>
      </c>
      <c r="H265" s="374">
        <v>0</v>
      </c>
      <c r="I265" s="374">
        <v>0</v>
      </c>
      <c r="J265" s="375">
        <f t="shared" si="131"/>
        <v>0</v>
      </c>
      <c r="K265" s="290"/>
      <c r="L265" s="349"/>
      <c r="M265" s="7"/>
      <c r="N265" s="12"/>
      <c r="O265" s="12"/>
      <c r="P265" s="12"/>
      <c r="Q265" s="361"/>
      <c r="R265" s="362"/>
      <c r="S265" s="363">
        <f t="shared" si="121"/>
        <v>0</v>
      </c>
      <c r="T265" s="364">
        <f t="shared" si="122"/>
        <v>0</v>
      </c>
      <c r="U265" s="365">
        <v>0</v>
      </c>
      <c r="V265" s="91">
        <f>ROUNDUP(IFERROR(INDEX(CostRateTbl[Cost Rate],MATCH(_xlfn.CONCAT(N265,O265,P265,"NA"),CostRateTbl[KeyCostRate],0)),0)*BillingCurrencyTRM*(1+U265),2)</f>
        <v>0</v>
      </c>
      <c r="W265" s="92">
        <f t="shared" si="123"/>
        <v>0</v>
      </c>
      <c r="X265" s="366" t="e" cm="1">
        <f t="array" ref="X265">_xlfn.LET(
    _xlpm.valor, INDEX(CostRate!H:H, MATCH(1, (CostRate!A:A=N265)*1, 0)),
    _xlpm.posicion, MATCH(_xlpm.valor, FilterSL!$F$1:$Z$1, 0),
    _xlpm.direccionCompleta, ADDRESS(1, _xlpm.posicion + 5, 4),
    _xlpm.letraColumna, SUBSTITUTE(_xlpm.direccionCompleta, "1", ""),
    _xlpm.letraColumna
)</f>
        <v>#N/A</v>
      </c>
      <c r="Y265" s="366" t="e" cm="1">
        <f t="array" ref="Y265">_xlfn.LET(
    _xlpm.valor, INDEX(CostRate!I:I, MATCH(1, (CostRate!A:A=N265)*(CostRate!B:B=O265), 0)),
    _xlpm.posicion, MATCH(_xlpm.valor, FilterJP!$E$1:$FZ$1, 0),
    _xlpm.direccionCompleta, ADDRESS(1, _xlpm.posicion + 4, 4),
    _xlpm.letraColumna, SUBSTITUTE(_xlpm.direccionCompleta, "1", ""),
    _xlpm.letraColumna
)</f>
        <v>#N/A</v>
      </c>
      <c r="Z265" s="7"/>
      <c r="AA265" s="367"/>
      <c r="AB265" s="7"/>
      <c r="AC265" s="93">
        <f t="shared" si="124"/>
        <v>0</v>
      </c>
      <c r="AD265" s="94">
        <f t="shared" si="132"/>
        <v>0</v>
      </c>
      <c r="AE265" s="109">
        <f t="shared" si="133"/>
        <v>0</v>
      </c>
      <c r="AF265" s="7"/>
      <c r="AG265" s="369">
        <f t="shared" si="125"/>
        <v>0</v>
      </c>
      <c r="AH265" s="368">
        <f t="shared" si="126"/>
        <v>0</v>
      </c>
      <c r="AI265" s="7"/>
      <c r="AJ265" s="369" cm="1">
        <f t="array" ref="AJ265">IFERROR(INDEX(WHT!$C$7:$W$18,MATCH(
_xlfn.SWITCH(N265,"xDC Medellin","Colombia","xDC Belo Horizonte","Brazil","xDC Guadalajara","Mexico","xDC Gurugram","India","xDC Leon","Spain","xDC San Jose","Costa Rica","xDC Warsaw","Poland",N265),
WHT!$B$7:$B$18,0),MATCH(CustomerCountry,WHT!$C$5:$W$5,0)),0)</f>
        <v>0</v>
      </c>
      <c r="AK265" s="368">
        <f t="shared" si="127"/>
        <v>0</v>
      </c>
      <c r="AL265" s="7"/>
      <c r="AM265" s="95">
        <f t="shared" si="134"/>
        <v>0</v>
      </c>
      <c r="AN265" s="95">
        <f t="shared" si="128"/>
        <v>0</v>
      </c>
      <c r="AO265" s="95">
        <f t="shared" si="135"/>
        <v>0</v>
      </c>
      <c r="AP265" s="90"/>
      <c r="AQ265" s="18"/>
      <c r="AR265" s="290"/>
      <c r="AS265" s="467" t="s">
        <v>133</v>
      </c>
      <c r="AT265" s="501">
        <f>IF(AS265="x",AM265+((SUM($AN$225:$AN$230)+SUMIF($AS$236:$AS$265,"&lt;&gt;x",$AM$236:$AM$265))*IFERROR(AM265/SUMIF($AS$236:$AS$265,"x",$AM$236:$AM$265),0)),0)</f>
        <v>0</v>
      </c>
      <c r="AU265" s="502"/>
      <c r="AV265" s="95">
        <f t="shared" si="136"/>
        <v>0</v>
      </c>
      <c r="AW265" s="469" t="str">
        <f t="shared" si="130"/>
        <v>N/A</v>
      </c>
      <c r="AX265" s="290"/>
      <c r="AY265" s="18"/>
      <c r="AZ265" s="3"/>
      <c r="BA265" s="315"/>
      <c r="BB265" s="3"/>
      <c r="BC265" s="3"/>
      <c r="BD265" s="3"/>
      <c r="BE265" s="3"/>
      <c r="BF265" s="18"/>
      <c r="BG265" s="3"/>
      <c r="BH265" s="315"/>
      <c r="BI265" s="3"/>
      <c r="BJ265" s="3"/>
      <c r="BK265" s="3"/>
      <c r="BL265" s="3"/>
      <c r="BM265" s="18"/>
      <c r="BN265" s="3"/>
      <c r="BO265" s="315"/>
      <c r="BP265" s="3"/>
      <c r="BQ265" s="3"/>
      <c r="BR265" s="3"/>
      <c r="BS265" s="3"/>
      <c r="BT265" s="18"/>
      <c r="BU265" s="3"/>
      <c r="BV265" s="315"/>
      <c r="BW265" s="3"/>
      <c r="BX265" s="3"/>
      <c r="BY265" s="3"/>
      <c r="BZ265" s="3"/>
    </row>
    <row r="266" spans="1:82" ht="15.6" hidden="1" outlineLevel="1">
      <c r="A266" s="7"/>
      <c r="B266" s="376"/>
      <c r="C266" s="376"/>
      <c r="D266" s="376"/>
      <c r="E266" s="342"/>
      <c r="F266" s="290"/>
      <c r="G266" s="290"/>
      <c r="H266" s="290"/>
      <c r="I266" s="290"/>
      <c r="J266" s="290"/>
      <c r="K266" s="290"/>
      <c r="L266" s="18"/>
      <c r="M266" s="7"/>
      <c r="N266" s="7"/>
      <c r="O266" s="7"/>
      <c r="P266" s="7"/>
      <c r="Q266" s="7"/>
      <c r="R266" s="7"/>
      <c r="S266" s="294"/>
      <c r="T266" s="294"/>
      <c r="U266" s="294"/>
      <c r="V266" s="294"/>
      <c r="W266" s="294"/>
      <c r="X266" s="7"/>
      <c r="Y266" s="7"/>
      <c r="Z266" s="294"/>
      <c r="AA266" s="377"/>
      <c r="AB266" s="294"/>
      <c r="AC266" s="294"/>
      <c r="AD266" s="294"/>
      <c r="AE266" s="294"/>
      <c r="AF266" s="7"/>
      <c r="AG266" s="294"/>
      <c r="AH266" s="294"/>
      <c r="AI266" s="7"/>
      <c r="AJ266" s="294"/>
      <c r="AK266" s="294"/>
      <c r="AL266" s="7"/>
      <c r="AM266" s="294"/>
      <c r="AN266" s="294"/>
      <c r="AO266" s="294"/>
      <c r="AP266" s="294"/>
      <c r="AQ266" s="18"/>
      <c r="AR266" s="378"/>
      <c r="AS266" s="378"/>
      <c r="AT266" s="378"/>
      <c r="AU266" s="81"/>
      <c r="AV266" s="378"/>
      <c r="AW266" s="7"/>
      <c r="AX266" s="378"/>
      <c r="AY266" s="18"/>
      <c r="AZ266" s="3"/>
      <c r="BA266" s="315"/>
      <c r="BB266" s="3"/>
      <c r="BC266" s="3"/>
      <c r="BD266" s="3"/>
      <c r="BE266" s="3"/>
      <c r="BF266" s="18"/>
      <c r="BG266" s="3"/>
      <c r="BH266" s="315"/>
      <c r="BI266" s="3"/>
      <c r="BJ266" s="3"/>
      <c r="BK266" s="3"/>
      <c r="BL266" s="3"/>
      <c r="BM266" s="18"/>
      <c r="BN266" s="3"/>
      <c r="BO266" s="315"/>
      <c r="BP266" s="3"/>
      <c r="BQ266" s="3"/>
      <c r="BR266" s="3"/>
      <c r="BS266" s="3"/>
      <c r="BT266" s="18"/>
      <c r="BU266" s="3"/>
      <c r="BV266" s="315"/>
      <c r="BW266" s="3"/>
      <c r="BX266" s="3"/>
      <c r="BY266" s="3"/>
      <c r="BZ266" s="3"/>
    </row>
    <row r="267" spans="1:82" s="389" customFormat="1" collapsed="1">
      <c r="A267" s="390"/>
      <c r="B267" s="390"/>
      <c r="C267" s="390"/>
      <c r="D267" s="390"/>
      <c r="E267" s="390"/>
      <c r="F267" s="390"/>
      <c r="G267" s="390"/>
      <c r="H267" s="390"/>
      <c r="I267" s="390"/>
      <c r="J267" s="390"/>
      <c r="K267" s="390"/>
      <c r="L267" s="390"/>
      <c r="M267" s="392"/>
      <c r="N267" s="392"/>
      <c r="O267" s="392"/>
      <c r="P267" s="392"/>
      <c r="Q267" s="392"/>
      <c r="R267" s="392"/>
      <c r="S267" s="392"/>
      <c r="T267" s="392"/>
      <c r="U267" s="392"/>
      <c r="V267" s="392"/>
      <c r="W267" s="392"/>
      <c r="X267" s="392"/>
      <c r="Y267" s="392"/>
      <c r="Z267" s="392"/>
      <c r="AA267" s="320"/>
      <c r="AB267" s="321"/>
      <c r="AC267" s="322"/>
      <c r="AD267" s="322"/>
      <c r="AE267" s="322"/>
      <c r="AF267" s="322"/>
      <c r="AG267" s="322"/>
      <c r="AH267" s="322"/>
      <c r="AI267" s="322"/>
      <c r="AJ267" s="323"/>
      <c r="AK267" s="322"/>
      <c r="AL267" s="322"/>
      <c r="AM267" s="322"/>
      <c r="AN267" s="323"/>
      <c r="AO267" s="323"/>
      <c r="AP267" s="323"/>
      <c r="AR267" s="390"/>
      <c r="AS267" s="390"/>
      <c r="AT267" s="390"/>
      <c r="AU267" s="390"/>
      <c r="AV267" s="390"/>
      <c r="AW267" s="390"/>
      <c r="AX267" s="390"/>
      <c r="AZ267" s="390"/>
      <c r="BA267" s="390"/>
      <c r="BB267" s="390"/>
      <c r="BC267" s="390"/>
      <c r="BD267" s="390"/>
      <c r="BE267" s="390"/>
      <c r="BF267" s="390"/>
      <c r="BG267" s="390"/>
      <c r="BH267" s="390"/>
      <c r="BI267" s="390"/>
      <c r="BJ267" s="390"/>
      <c r="BK267" s="390"/>
      <c r="BL267" s="390"/>
      <c r="BM267" s="390"/>
      <c r="BN267" s="390"/>
      <c r="BO267" s="390"/>
      <c r="BP267" s="390"/>
      <c r="BQ267" s="390"/>
      <c r="BR267" s="390"/>
      <c r="BS267" s="390"/>
      <c r="BT267" s="390"/>
      <c r="BU267" s="390"/>
      <c r="BV267" s="390"/>
      <c r="BW267" s="390"/>
      <c r="BX267" s="390"/>
      <c r="BY267" s="390"/>
      <c r="BZ267" s="390"/>
      <c r="CA267" s="390"/>
      <c r="CB267" s="390"/>
      <c r="CC267" s="390"/>
      <c r="CD267" s="390"/>
    </row>
    <row r="268" spans="1:82" s="325" customFormat="1" ht="15.6">
      <c r="A268" s="480"/>
      <c r="B268" s="507" t="s">
        <v>165</v>
      </c>
      <c r="C268" s="507"/>
      <c r="D268" s="324"/>
      <c r="E268" s="342"/>
      <c r="F268" s="290"/>
      <c r="G268" s="79"/>
      <c r="H268" s="326"/>
      <c r="I268" s="326"/>
      <c r="J268" s="80"/>
      <c r="K268" s="290"/>
      <c r="L268" s="342"/>
      <c r="M268" s="2"/>
      <c r="N268" s="7"/>
      <c r="O268" s="7"/>
      <c r="P268" s="77"/>
      <c r="Q268" s="77"/>
      <c r="R268" s="77"/>
      <c r="S268" s="77"/>
      <c r="T268" s="77"/>
      <c r="U268" s="77"/>
      <c r="V268" s="77"/>
      <c r="W268" s="77"/>
      <c r="X268" s="77"/>
      <c r="Y268" s="77"/>
      <c r="Z268" s="2"/>
      <c r="AA268" s="304"/>
      <c r="AB268" s="7"/>
      <c r="AC268" s="13"/>
      <c r="AD268" s="13"/>
      <c r="AE268" s="13"/>
      <c r="AF268" s="13"/>
      <c r="AG268" s="13"/>
      <c r="AH268" s="13"/>
      <c r="AI268" s="13"/>
      <c r="AJ268" s="70"/>
      <c r="AK268" s="70"/>
      <c r="AL268" s="13"/>
      <c r="AM268" s="13"/>
      <c r="AN268" s="70"/>
      <c r="AO268" s="70"/>
      <c r="AP268" s="7"/>
      <c r="AQ268" s="342"/>
      <c r="AR268" s="290"/>
      <c r="AS268" s="290"/>
      <c r="AT268" s="290"/>
      <c r="AU268" s="290"/>
      <c r="AV268" s="290"/>
      <c r="AW268" s="290"/>
      <c r="AX268" s="290"/>
      <c r="AY268" s="342"/>
      <c r="AZ268" s="3"/>
      <c r="BA268" s="315"/>
      <c r="BB268" s="3"/>
      <c r="BC268" s="3"/>
      <c r="BD268" s="3"/>
      <c r="BE268" s="3"/>
      <c r="BF268" s="342"/>
      <c r="BG268" s="3"/>
      <c r="BH268" s="315"/>
      <c r="BI268" s="3"/>
      <c r="BJ268" s="3"/>
      <c r="BK268" s="3"/>
      <c r="BL268" s="3"/>
      <c r="BM268" s="342"/>
      <c r="BN268" s="3"/>
      <c r="BO268" s="315"/>
      <c r="BP268" s="3"/>
      <c r="BQ268" s="3"/>
      <c r="BR268" s="3"/>
      <c r="BS268" s="3"/>
      <c r="BT268" s="342"/>
      <c r="BU268" s="3"/>
      <c r="BV268" s="315"/>
      <c r="BW268" s="3"/>
      <c r="BX268" s="3"/>
      <c r="BY268" s="3"/>
      <c r="BZ268" s="3"/>
      <c r="CA268" s="342"/>
      <c r="CB268" s="342"/>
      <c r="CC268" s="342"/>
      <c r="CD268" s="342"/>
    </row>
    <row r="269" spans="1:82" s="325" customFormat="1" ht="15.6">
      <c r="A269" s="480"/>
      <c r="B269" s="507"/>
      <c r="C269" s="507"/>
      <c r="D269" s="324"/>
      <c r="E269" s="342"/>
      <c r="F269" s="290"/>
      <c r="G269" s="79"/>
      <c r="H269" s="326"/>
      <c r="I269" s="326"/>
      <c r="J269" s="80"/>
      <c r="K269" s="290"/>
      <c r="L269" s="342"/>
      <c r="M269" s="2"/>
      <c r="N269" s="13" t="s">
        <v>78</v>
      </c>
      <c r="O269" s="395" t="s">
        <v>79</v>
      </c>
      <c r="P269" s="395" t="s">
        <v>80</v>
      </c>
      <c r="Q269" s="77"/>
      <c r="R269" s="77"/>
      <c r="S269" s="77"/>
      <c r="T269" s="77"/>
      <c r="U269" s="13" t="s">
        <v>81</v>
      </c>
      <c r="V269" s="428" t="str">
        <f>_xlfn.CONCAT("DELIVERY COST (",BillingCountryCurrency,")")</f>
        <v>DELIVERY COST (USD)</v>
      </c>
      <c r="W269" s="428" t="str">
        <f>_xlfn.CONCAT("DELIVERY COST (",IF(ISBLANK(BusinessCurrency),"N/A",BusinessCurrency),")")</f>
        <v>DELIVERY COST (N/A)</v>
      </c>
      <c r="X269" s="77"/>
      <c r="Y269" s="77"/>
      <c r="Z269" s="2"/>
      <c r="AA269" s="304"/>
      <c r="AB269" s="7"/>
      <c r="AC269" s="13" t="s">
        <v>82</v>
      </c>
      <c r="AD269" s="428" t="str">
        <f>_xlfn.CONCAT("PRICING (",BillingCountryCurrency,")")</f>
        <v>PRICING (USD)</v>
      </c>
      <c r="AE269" s="428" t="str">
        <f>_xlfn.CONCAT("PRICING (",IF(ISBLANK(BusinessCurrency),"N/A",BusinessCurrency),")")</f>
        <v>PRICING (N/A)</v>
      </c>
      <c r="AF269" s="70" t="s">
        <v>14</v>
      </c>
      <c r="AG269" s="428" t="str">
        <f>_xlfn.CONCAT("Intercompany (",BillingCountryCurrency,")")</f>
        <v>Intercompany (USD)</v>
      </c>
      <c r="AH269" s="428" t="str">
        <f>_xlfn.CONCAT("Intercompany (",IF(ISBLANK(BusinessCurrency),"N/A",BusinessCurrency),")")</f>
        <v>Intercompany (N/A)</v>
      </c>
      <c r="AI269" s="70" t="s">
        <v>14</v>
      </c>
      <c r="AJ269" s="428" t="str">
        <f>_xlfn.CONCAT("WHT (",BillingCountryCurrency,")")</f>
        <v>WHT (USD)</v>
      </c>
      <c r="AK269" s="428" t="str">
        <f>_xlfn.CONCAT("WHT (",IF(ISBLANK(BusinessCurrency),"N/A",BusinessCurrency),")")</f>
        <v>WHT (N/A)</v>
      </c>
      <c r="AL269" s="70"/>
      <c r="AM269" s="70" t="s">
        <v>15</v>
      </c>
      <c r="AN269" s="428" t="str">
        <f>_xlfn.CONCAT("SUBTOTAL PRICE (",BillingCountryCurrency,")")</f>
        <v>SUBTOTAL PRICE (USD)</v>
      </c>
      <c r="AO269" s="428" t="str">
        <f>_xlfn.CONCAT("SUBTOTAL PRICE (",IF(ISBLANK(BusinessCurrency),"N/A",BusinessCurrency),")")</f>
        <v>SUBTOTAL PRICE (N/A)</v>
      </c>
      <c r="AP269" s="7"/>
      <c r="AQ269" s="342"/>
      <c r="AR269" s="290"/>
      <c r="AS269" s="13" t="s">
        <v>83</v>
      </c>
      <c r="AT269" s="290"/>
      <c r="AU269" s="100"/>
      <c r="AV269" s="417"/>
      <c r="AW269" s="417"/>
      <c r="AX269" s="290"/>
      <c r="AY269" s="342"/>
      <c r="AZ269" s="3"/>
      <c r="BA269" s="315"/>
      <c r="BB269" s="3"/>
      <c r="BC269" s="3"/>
      <c r="BD269" s="3"/>
      <c r="BE269" s="3"/>
      <c r="BF269" s="342"/>
      <c r="BG269" s="3"/>
      <c r="BH269" s="315"/>
      <c r="BI269" s="3"/>
      <c r="BJ269" s="3"/>
      <c r="BK269" s="3"/>
      <c r="BL269" s="3"/>
      <c r="BM269" s="342"/>
      <c r="BN269" s="3"/>
      <c r="BO269" s="315"/>
      <c r="BP269" s="3"/>
      <c r="BQ269" s="3"/>
      <c r="BR269" s="3"/>
      <c r="BS269" s="3"/>
      <c r="BT269" s="342"/>
      <c r="BU269" s="3"/>
      <c r="BV269" s="315"/>
      <c r="BW269" s="3"/>
      <c r="BX269" s="3"/>
      <c r="BY269" s="3"/>
      <c r="BZ269" s="3"/>
      <c r="CA269" s="342"/>
      <c r="CB269" s="342"/>
      <c r="CC269" s="342"/>
      <c r="CD269" s="342"/>
    </row>
    <row r="270" spans="1:82" s="325" customFormat="1" ht="15.6">
      <c r="A270" s="480"/>
      <c r="B270" s="507"/>
      <c r="C270" s="507"/>
      <c r="D270" s="324"/>
      <c r="E270" s="342"/>
      <c r="F270" s="290"/>
      <c r="G270" s="79"/>
      <c r="H270" s="326"/>
      <c r="I270" s="326"/>
      <c r="J270" s="80"/>
      <c r="K270" s="290"/>
      <c r="L270" s="342"/>
      <c r="M270" s="2"/>
      <c r="N270" s="79" t="s">
        <v>84</v>
      </c>
      <c r="O270" s="103">
        <f>SUMIF($P284:$P313,"&lt;&gt;*Project Management*",$T284:$T313)</f>
        <v>0</v>
      </c>
      <c r="P270" s="396">
        <f>IFERROR(O270/O273,0)</f>
        <v>0</v>
      </c>
      <c r="Q270" s="82"/>
      <c r="R270" s="77"/>
      <c r="S270" s="77"/>
      <c r="T270" s="77"/>
      <c r="U270" s="4" t="s">
        <v>24</v>
      </c>
      <c r="V270" s="328">
        <f>SUMIF(P284:P313,"&lt;&gt;*Project Management*",W284:W313)</f>
        <v>0</v>
      </c>
      <c r="W270" s="425" t="str">
        <f t="shared" ref="W270:W279" si="137">IFERROR(V270/BusinessCurrencyTRM,"N/A")</f>
        <v>N/A</v>
      </c>
      <c r="X270" s="7"/>
      <c r="Y270" s="7" t="s">
        <v>85</v>
      </c>
      <c r="Z270" s="2"/>
      <c r="AA270" s="304"/>
      <c r="AB270" s="7"/>
      <c r="AC270" s="4" t="s">
        <v>24</v>
      </c>
      <c r="AD270" s="329">
        <f>SUMIF(P284:P313,"&lt;&gt;*Project Management*",AD284:AD313)</f>
        <v>0</v>
      </c>
      <c r="AE270" s="425" t="str">
        <f t="shared" ref="AE270:AE279" si="138">IFERROR(AD270/BusinessCurrencyTRM,"N/A")</f>
        <v>N/A</v>
      </c>
      <c r="AF270" s="330"/>
      <c r="AG270" s="328">
        <f>SUMIF(P284:P313,"&lt;&gt;*Project Management*",AH284:AH313)</f>
        <v>0</v>
      </c>
      <c r="AH270" s="449" t="str">
        <f t="shared" ref="AH270:AH279" si="139">IFERROR(AG270/BusinessCurrencyTRM,"N/A")</f>
        <v>N/A</v>
      </c>
      <c r="AI270" s="330"/>
      <c r="AJ270" s="328">
        <f>SUMIF(P284:P313,"&lt;&gt;*Project Management*",AK284:AK313)</f>
        <v>0</v>
      </c>
      <c r="AK270" s="425" t="str">
        <f t="shared" ref="AK270:AK279" si="140">IFERROR(AJ270/BusinessCurrencyTRM,"N/A")</f>
        <v>N/A</v>
      </c>
      <c r="AL270" s="330"/>
      <c r="AM270" s="330"/>
      <c r="AN270" s="329">
        <f>SUM(AD270,AG270,AJ270)</f>
        <v>0</v>
      </c>
      <c r="AO270" s="425" t="str">
        <f t="shared" ref="AO270:AO279" si="141">IFERROR(AN270/BusinessCurrencyTRM,"N/A")</f>
        <v>N/A</v>
      </c>
      <c r="AP270" s="7"/>
      <c r="AQ270" s="342"/>
      <c r="AR270" s="290"/>
      <c r="AS270" s="402" t="s">
        <v>86</v>
      </c>
      <c r="AT270" s="290"/>
      <c r="AU270" s="81"/>
      <c r="AV270" s="508">
        <v>0.35</v>
      </c>
      <c r="AW270" s="508"/>
      <c r="AX270" s="290"/>
      <c r="AY270" s="342"/>
      <c r="AZ270" s="3"/>
      <c r="BA270" s="315"/>
      <c r="BB270" s="3"/>
      <c r="BC270" s="3"/>
      <c r="BD270" s="3"/>
      <c r="BE270" s="3"/>
      <c r="BF270" s="342"/>
      <c r="BG270" s="3"/>
      <c r="BH270" s="315"/>
      <c r="BI270" s="3"/>
      <c r="BJ270" s="3"/>
      <c r="BK270" s="3"/>
      <c r="BL270" s="3"/>
      <c r="BM270" s="342"/>
      <c r="BN270" s="3"/>
      <c r="BO270" s="315"/>
      <c r="BP270" s="3"/>
      <c r="BQ270" s="3"/>
      <c r="BR270" s="3"/>
      <c r="BS270" s="3"/>
      <c r="BT270" s="342"/>
      <c r="BU270" s="3"/>
      <c r="BV270" s="315"/>
      <c r="BW270" s="3"/>
      <c r="BX270" s="3"/>
      <c r="BY270" s="3"/>
      <c r="BZ270" s="3"/>
      <c r="CA270" s="342"/>
      <c r="CB270" s="342"/>
      <c r="CC270" s="342"/>
      <c r="CD270" s="342"/>
    </row>
    <row r="271" spans="1:82" s="325" customFormat="1" ht="16.149999999999999" thickBot="1">
      <c r="A271" s="480"/>
      <c r="B271" s="507"/>
      <c r="C271" s="507"/>
      <c r="D271" s="324"/>
      <c r="E271" s="342"/>
      <c r="F271" s="290"/>
      <c r="G271" s="79"/>
      <c r="H271" s="326"/>
      <c r="I271" s="326"/>
      <c r="J271" s="80"/>
      <c r="K271" s="290"/>
      <c r="L271" s="342"/>
      <c r="M271" s="2"/>
      <c r="N271" s="79" t="s">
        <v>87</v>
      </c>
      <c r="O271" s="103">
        <f>SUMIF($P284:$P313,"=*Project Management*",$T284:T313)</f>
        <v>0</v>
      </c>
      <c r="P271" s="396">
        <f>IFERROR(O271/O273,0)</f>
        <v>0</v>
      </c>
      <c r="Q271" s="82"/>
      <c r="R271" s="77"/>
      <c r="S271" s="77"/>
      <c r="T271" s="77"/>
      <c r="U271" s="4" t="s">
        <v>30</v>
      </c>
      <c r="V271" s="328">
        <f>SUMIF(P284:P313,"=*Project Management*",W284:W313)</f>
        <v>0</v>
      </c>
      <c r="W271" s="425" t="str">
        <f t="shared" si="137"/>
        <v>N/A</v>
      </c>
      <c r="X271" s="7"/>
      <c r="Y271" s="7" t="s">
        <v>88</v>
      </c>
      <c r="Z271" s="2"/>
      <c r="AA271" s="304"/>
      <c r="AB271" s="7"/>
      <c r="AC271" s="4" t="s">
        <v>30</v>
      </c>
      <c r="AD271" s="329">
        <f>SUMIF(P284:P313,"=*Project Management*",AD284:AD313)</f>
        <v>0</v>
      </c>
      <c r="AE271" s="425" t="str">
        <f t="shared" si="138"/>
        <v>N/A</v>
      </c>
      <c r="AF271" s="330"/>
      <c r="AG271" s="328">
        <f>SUMIF(P284:P313,"=*Project Management*",AH284:AH313)</f>
        <v>0</v>
      </c>
      <c r="AH271" s="447" t="str">
        <f t="shared" si="139"/>
        <v>N/A</v>
      </c>
      <c r="AI271" s="330"/>
      <c r="AJ271" s="448">
        <f>SUMIF(P284:P313,"=*Project Management*",AK284:AK313)</f>
        <v>0</v>
      </c>
      <c r="AK271" s="425" t="str">
        <f t="shared" si="140"/>
        <v>N/A</v>
      </c>
      <c r="AL271" s="330"/>
      <c r="AM271" s="330"/>
      <c r="AN271" s="329">
        <f t="shared" ref="AN271:AN279" si="142">SUM(AD271,AG271,AJ271)</f>
        <v>0</v>
      </c>
      <c r="AO271" s="425" t="str">
        <f t="shared" si="141"/>
        <v>N/A</v>
      </c>
      <c r="AP271" s="7"/>
      <c r="AQ271" s="342"/>
      <c r="AR271" s="290"/>
      <c r="AS271" s="402" t="s">
        <v>89</v>
      </c>
      <c r="AT271" s="290"/>
      <c r="AU271" s="81"/>
      <c r="AV271" s="509">
        <f>IFERROR(1-AV273/AV274,0)</f>
        <v>0</v>
      </c>
      <c r="AW271" s="509"/>
      <c r="AX271" s="290"/>
      <c r="AY271" s="342"/>
      <c r="AZ271" s="3"/>
      <c r="BA271" s="315"/>
      <c r="BB271" s="3"/>
      <c r="BC271" s="3"/>
      <c r="BD271" s="3"/>
      <c r="BE271" s="3"/>
      <c r="BF271" s="342"/>
      <c r="BG271" s="3"/>
      <c r="BH271" s="315"/>
      <c r="BI271" s="3"/>
      <c r="BJ271" s="3"/>
      <c r="BK271" s="3"/>
      <c r="BL271" s="3"/>
      <c r="BM271" s="342"/>
      <c r="BN271" s="3"/>
      <c r="BO271" s="315"/>
      <c r="BP271" s="3"/>
      <c r="BQ271" s="3"/>
      <c r="BR271" s="3"/>
      <c r="BS271" s="3"/>
      <c r="BT271" s="342"/>
      <c r="BU271" s="3"/>
      <c r="BV271" s="315"/>
      <c r="BW271" s="3"/>
      <c r="BX271" s="3"/>
      <c r="BY271" s="3"/>
      <c r="BZ271" s="3"/>
      <c r="CA271" s="342"/>
      <c r="CB271" s="342"/>
      <c r="CC271" s="342"/>
      <c r="CD271" s="342"/>
    </row>
    <row r="272" spans="1:82" s="325" customFormat="1" ht="16.899999999999999" thickTop="1" thickBot="1">
      <c r="A272" s="480"/>
      <c r="B272" s="507"/>
      <c r="C272" s="507"/>
      <c r="D272" s="324"/>
      <c r="E272" s="342"/>
      <c r="F272" s="290"/>
      <c r="G272" s="79"/>
      <c r="H272" s="326"/>
      <c r="I272" s="326"/>
      <c r="J272" s="80"/>
      <c r="K272" s="290"/>
      <c r="L272" s="342"/>
      <c r="M272" s="2"/>
      <c r="N272" s="79" t="s">
        <v>90</v>
      </c>
      <c r="O272" s="103">
        <f>IF(Approach="Team-Based",SUM(O270:O271)*$O275,$J282-$G282)</f>
        <v>0</v>
      </c>
      <c r="P272" s="396">
        <f>IFERROR(O272/O273,0)</f>
        <v>0</v>
      </c>
      <c r="Q272" s="77"/>
      <c r="R272" s="77"/>
      <c r="S272" s="77"/>
      <c r="T272" s="77"/>
      <c r="U272" s="13" t="s">
        <v>35</v>
      </c>
      <c r="V272" s="84">
        <f>SUM(V270:V271)</f>
        <v>0</v>
      </c>
      <c r="W272" s="426" t="str">
        <f t="shared" si="137"/>
        <v>N/A</v>
      </c>
      <c r="X272" s="77"/>
      <c r="Y272" s="77"/>
      <c r="Z272" s="2"/>
      <c r="AA272" s="304"/>
      <c r="AB272" s="7"/>
      <c r="AC272" s="13" t="s">
        <v>35</v>
      </c>
      <c r="AD272" s="84">
        <f>SUM(AD270:AD271)</f>
        <v>0</v>
      </c>
      <c r="AE272" s="426" t="str">
        <f t="shared" si="138"/>
        <v>N/A</v>
      </c>
      <c r="AF272" s="330"/>
      <c r="AG272" s="84">
        <f>SUM(AG270:AG271)</f>
        <v>0</v>
      </c>
      <c r="AH272" s="450" t="str">
        <f t="shared" si="139"/>
        <v>N/A</v>
      </c>
      <c r="AI272" s="330"/>
      <c r="AJ272" s="84">
        <f>SUM(AJ270:AJ271)</f>
        <v>0</v>
      </c>
      <c r="AK272" s="426" t="str">
        <f t="shared" si="140"/>
        <v>N/A</v>
      </c>
      <c r="AL272" s="330"/>
      <c r="AM272" s="330"/>
      <c r="AN272" s="84">
        <f t="shared" si="142"/>
        <v>0</v>
      </c>
      <c r="AO272" s="426" t="str">
        <f t="shared" si="141"/>
        <v>N/A</v>
      </c>
      <c r="AP272" s="7"/>
      <c r="AQ272" s="342"/>
      <c r="AR272" s="290"/>
      <c r="AS272" s="81"/>
      <c r="AT272" s="81"/>
      <c r="AU272" s="81"/>
      <c r="AV272" s="417" t="str">
        <f>BillingCountryCurrency</f>
        <v>USD</v>
      </c>
      <c r="AW272" s="417" t="str">
        <f>IF(ISBLANK(BusinessCurrency),"N/A",BusinessCurrency)</f>
        <v>N/A</v>
      </c>
      <c r="AX272" s="290"/>
      <c r="AY272" s="342"/>
      <c r="AZ272" s="3"/>
      <c r="BA272" s="315"/>
      <c r="BB272" s="3"/>
      <c r="BC272" s="3"/>
      <c r="BD272" s="3"/>
      <c r="BE272" s="3"/>
      <c r="BF272" s="342"/>
      <c r="BG272" s="3"/>
      <c r="BH272" s="315"/>
      <c r="BI272" s="3"/>
      <c r="BJ272" s="3"/>
      <c r="BK272" s="3"/>
      <c r="BL272" s="3"/>
      <c r="BM272" s="342"/>
      <c r="BN272" s="3"/>
      <c r="BO272" s="315"/>
      <c r="BP272" s="3"/>
      <c r="BQ272" s="3"/>
      <c r="BR272" s="3"/>
      <c r="BS272" s="3"/>
      <c r="BT272" s="342"/>
      <c r="BU272" s="3"/>
      <c r="BV272" s="315"/>
      <c r="BW272" s="3"/>
      <c r="BX272" s="3"/>
      <c r="BY272" s="3"/>
      <c r="BZ272" s="3"/>
      <c r="CA272" s="342"/>
      <c r="CB272" s="342"/>
      <c r="CC272" s="342"/>
      <c r="CD272" s="342"/>
    </row>
    <row r="273" spans="1:82" s="325" customFormat="1" ht="16.149999999999999" thickTop="1">
      <c r="A273" s="480"/>
      <c r="B273" s="507"/>
      <c r="C273" s="507"/>
      <c r="D273" s="324"/>
      <c r="E273" s="342"/>
      <c r="F273" s="290"/>
      <c r="G273" s="79"/>
      <c r="H273" s="326"/>
      <c r="I273" s="326"/>
      <c r="J273" s="80"/>
      <c r="K273" s="290"/>
      <c r="L273" s="342"/>
      <c r="M273" s="2"/>
      <c r="N273" s="83" t="s">
        <v>91</v>
      </c>
      <c r="O273" s="102">
        <f>SUM(O270:O272)</f>
        <v>0</v>
      </c>
      <c r="P273" s="397">
        <f>SUM(P270:P272)</f>
        <v>0</v>
      </c>
      <c r="Q273" s="77"/>
      <c r="R273" s="77"/>
      <c r="S273" s="77"/>
      <c r="T273" s="77"/>
      <c r="U273" s="4" t="s">
        <v>47</v>
      </c>
      <c r="V273" s="328">
        <f>ROUNDUP(V272*O275,2)</f>
        <v>0</v>
      </c>
      <c r="W273" s="425" t="str">
        <f t="shared" si="137"/>
        <v>N/A</v>
      </c>
      <c r="X273" s="7"/>
      <c r="Y273" s="7" t="s">
        <v>92</v>
      </c>
      <c r="Z273" s="2"/>
      <c r="AA273" s="304"/>
      <c r="AB273" s="7"/>
      <c r="AC273" s="4" t="s">
        <v>47</v>
      </c>
      <c r="AD273" s="328">
        <f>ROUNDUP(V273/(1-$AV$270),2)</f>
        <v>0</v>
      </c>
      <c r="AE273" s="425" t="str">
        <f t="shared" si="138"/>
        <v>N/A</v>
      </c>
      <c r="AF273" s="330"/>
      <c r="AG273" s="328">
        <f>IFERROR(V273*MAX(AG284:AG313),0)</f>
        <v>0</v>
      </c>
      <c r="AH273" s="449" t="str">
        <f t="shared" si="139"/>
        <v>N/A</v>
      </c>
      <c r="AI273" s="330"/>
      <c r="AJ273" s="328">
        <f>IFERROR(SUM(V273,AG273)*MAX(AJ284:AJ313),0)</f>
        <v>0</v>
      </c>
      <c r="AK273" s="425" t="str">
        <f t="shared" si="140"/>
        <v>N/A</v>
      </c>
      <c r="AL273" s="330"/>
      <c r="AM273" s="330"/>
      <c r="AN273" s="329">
        <f t="shared" si="142"/>
        <v>0</v>
      </c>
      <c r="AO273" s="425" t="str">
        <f t="shared" si="141"/>
        <v>N/A</v>
      </c>
      <c r="AP273" s="7"/>
      <c r="AQ273" s="342"/>
      <c r="AR273" s="290"/>
      <c r="AS273" s="402" t="s">
        <v>93</v>
      </c>
      <c r="AT273" s="290"/>
      <c r="AU273" s="81"/>
      <c r="AV273" s="298">
        <f>SUM(V279,AG279,AJ279)</f>
        <v>0</v>
      </c>
      <c r="AW273" s="418" t="str">
        <f>IFERROR(AV273/BusinessCurrencyTRM,"N/A")</f>
        <v>N/A</v>
      </c>
      <c r="AX273" s="290"/>
      <c r="AY273" s="342"/>
      <c r="AZ273" s="3"/>
      <c r="BA273" s="315"/>
      <c r="BB273" s="3"/>
      <c r="BC273" s="3"/>
      <c r="BD273" s="3"/>
      <c r="BE273" s="3"/>
      <c r="BF273" s="342"/>
      <c r="BG273" s="3"/>
      <c r="BH273" s="315"/>
      <c r="BI273" s="3"/>
      <c r="BJ273" s="3"/>
      <c r="BK273" s="3"/>
      <c r="BL273" s="3"/>
      <c r="BM273" s="342"/>
      <c r="BN273" s="3"/>
      <c r="BO273" s="315"/>
      <c r="BP273" s="3"/>
      <c r="BQ273" s="3"/>
      <c r="BR273" s="3"/>
      <c r="BS273" s="3"/>
      <c r="BT273" s="342"/>
      <c r="BU273" s="3"/>
      <c r="BV273" s="315"/>
      <c r="BW273" s="3"/>
      <c r="BX273" s="3"/>
      <c r="BY273" s="3"/>
      <c r="BZ273" s="3"/>
      <c r="CA273" s="342"/>
      <c r="CB273" s="342"/>
      <c r="CC273" s="342"/>
      <c r="CD273" s="342"/>
    </row>
    <row r="274" spans="1:82" s="325" customFormat="1" ht="15.6">
      <c r="A274" s="480"/>
      <c r="B274" s="507"/>
      <c r="C274" s="507"/>
      <c r="D274" s="324"/>
      <c r="E274" s="342"/>
      <c r="F274" s="290"/>
      <c r="G274" s="79"/>
      <c r="H274" s="326"/>
      <c r="I274" s="326"/>
      <c r="J274" s="80"/>
      <c r="K274" s="290"/>
      <c r="L274" s="342"/>
      <c r="M274" s="2"/>
      <c r="N274" s="2"/>
      <c r="O274" s="2"/>
      <c r="P274" s="32"/>
      <c r="Q274" s="77"/>
      <c r="R274" s="77"/>
      <c r="S274" s="77"/>
      <c r="T274" s="77"/>
      <c r="U274" s="4" t="s">
        <v>50</v>
      </c>
      <c r="V274" s="328">
        <f>IFERROR(SUMIF(PayRise!A:A,B268,PayRise!J:J),0)</f>
        <v>0</v>
      </c>
      <c r="W274" s="425" t="str">
        <f t="shared" si="137"/>
        <v>N/A</v>
      </c>
      <c r="X274" s="7"/>
      <c r="Y274" s="7" t="s">
        <v>94</v>
      </c>
      <c r="Z274" s="2"/>
      <c r="AA274" s="304"/>
      <c r="AB274" s="7"/>
      <c r="AC274" s="4" t="s">
        <v>50</v>
      </c>
      <c r="AD274" s="328">
        <f>IFERROR(SUMIF(PayRise!A:A,B268,PayRise!K:K),0)</f>
        <v>0</v>
      </c>
      <c r="AE274" s="425" t="str">
        <f t="shared" si="138"/>
        <v>N/A</v>
      </c>
      <c r="AF274" s="330"/>
      <c r="AG274" s="328">
        <f>IFERROR(SUMIF(PayRise!A:A,B268,PayRise!L:L),0)</f>
        <v>0</v>
      </c>
      <c r="AH274" s="445" t="str">
        <f t="shared" si="139"/>
        <v>N/A</v>
      </c>
      <c r="AI274" s="330"/>
      <c r="AJ274" s="446">
        <f>IFERROR(SUMIF(PayRise!A:A,B268,PayRise!M:M),0)</f>
        <v>0</v>
      </c>
      <c r="AK274" s="425" t="str">
        <f t="shared" si="140"/>
        <v>N/A</v>
      </c>
      <c r="AL274" s="330"/>
      <c r="AM274" s="330"/>
      <c r="AN274" s="329">
        <f t="shared" si="142"/>
        <v>0</v>
      </c>
      <c r="AO274" s="425" t="str">
        <f t="shared" si="141"/>
        <v>N/A</v>
      </c>
      <c r="AP274" s="7"/>
      <c r="AQ274" s="342"/>
      <c r="AR274" s="290"/>
      <c r="AS274" s="402" t="s">
        <v>95</v>
      </c>
      <c r="AT274" s="290"/>
      <c r="AU274" s="100"/>
      <c r="AV274" s="298">
        <f>AN279</f>
        <v>0</v>
      </c>
      <c r="AW274" s="418" t="str">
        <f>IFERROR(AV274/BusinessCurrencyTRM,"N/A")</f>
        <v>N/A</v>
      </c>
      <c r="AX274" s="290"/>
      <c r="AY274" s="342"/>
      <c r="AZ274" s="3"/>
      <c r="BA274" s="315"/>
      <c r="BB274" s="3"/>
      <c r="BC274" s="3"/>
      <c r="BD274" s="3"/>
      <c r="BE274" s="3"/>
      <c r="BF274" s="342"/>
      <c r="BG274" s="3"/>
      <c r="BH274" s="315"/>
      <c r="BI274" s="3"/>
      <c r="BJ274" s="3"/>
      <c r="BK274" s="3"/>
      <c r="BL274" s="3"/>
      <c r="BM274" s="342"/>
      <c r="BN274" s="3"/>
      <c r="BO274" s="315"/>
      <c r="BP274" s="3"/>
      <c r="BQ274" s="3"/>
      <c r="BR274" s="3"/>
      <c r="BS274" s="3"/>
      <c r="BT274" s="342"/>
      <c r="BU274" s="3"/>
      <c r="BV274" s="315"/>
      <c r="BW274" s="3"/>
      <c r="BX274" s="3"/>
      <c r="BY274" s="3"/>
      <c r="BZ274" s="3"/>
      <c r="CA274" s="342"/>
      <c r="CB274" s="342"/>
      <c r="CC274" s="342"/>
      <c r="CD274" s="342"/>
    </row>
    <row r="275" spans="1:82" s="325" customFormat="1" ht="15.6">
      <c r="A275" s="480"/>
      <c r="B275" s="507"/>
      <c r="C275" s="507"/>
      <c r="D275" s="324"/>
      <c r="E275" s="342"/>
      <c r="F275" s="290"/>
      <c r="G275" s="79"/>
      <c r="H275" s="326"/>
      <c r="I275" s="326"/>
      <c r="J275" s="80"/>
      <c r="K275" s="290"/>
      <c r="L275" s="342"/>
      <c r="M275" s="2"/>
      <c r="N275" s="13" t="str">
        <f>IF(Approach="By Hours", "N/A for ByHours", "% Risks")</f>
        <v>N/A for ByHours</v>
      </c>
      <c r="O275" s="331">
        <v>0</v>
      </c>
      <c r="P275" s="32"/>
      <c r="Q275" s="77"/>
      <c r="R275" s="77"/>
      <c r="S275" s="309"/>
      <c r="T275" s="309"/>
      <c r="U275" s="4" t="s">
        <v>55</v>
      </c>
      <c r="V275" s="328">
        <f>IFERROR(SUMIFS(OtherCosts!Q:Q,OtherCosts!A:A,B268,OtherCosts!B:B,"Hardware/Software"),0)</f>
        <v>0</v>
      </c>
      <c r="W275" s="425" t="str">
        <f t="shared" si="137"/>
        <v>N/A</v>
      </c>
      <c r="X275" s="7"/>
      <c r="Y275" s="7" t="s">
        <v>96</v>
      </c>
      <c r="Z275" s="2"/>
      <c r="AA275" s="304"/>
      <c r="AB275" s="7"/>
      <c r="AC275" s="4" t="s">
        <v>55</v>
      </c>
      <c r="AD275" s="328">
        <f>IFERROR(SUMIFS(OtherCosts!R:R,OtherCosts!A:A,B268,OtherCosts!B:B,"Hardware/Software"),0)</f>
        <v>0</v>
      </c>
      <c r="AE275" s="425" t="str">
        <f t="shared" si="138"/>
        <v>N/A</v>
      </c>
      <c r="AF275" s="330"/>
      <c r="AG275" s="328">
        <f>IFERROR(SUMIFS(OtherCosts!S:S,OtherCosts!A:A,B268,OtherCosts!B:B,"Hardware/Software"),0)</f>
        <v>0</v>
      </c>
      <c r="AH275" s="445" t="str">
        <f t="shared" si="139"/>
        <v>N/A</v>
      </c>
      <c r="AI275" s="330"/>
      <c r="AJ275" s="446">
        <f>IFERROR(SUMIFS(OtherCosts!T:T,OtherCosts!A:A,B268,OtherCosts!B:B,"Hardware/Software"),0)</f>
        <v>0</v>
      </c>
      <c r="AK275" s="425" t="str">
        <f t="shared" si="140"/>
        <v>N/A</v>
      </c>
      <c r="AL275" s="330"/>
      <c r="AM275" s="330"/>
      <c r="AN275" s="329">
        <f t="shared" si="142"/>
        <v>0</v>
      </c>
      <c r="AO275" s="425" t="str">
        <f t="shared" si="141"/>
        <v>N/A</v>
      </c>
      <c r="AP275" s="7"/>
      <c r="AQ275" s="342"/>
      <c r="AR275" s="290"/>
      <c r="AS275" s="402" t="s">
        <v>97</v>
      </c>
      <c r="AT275" s="290"/>
      <c r="AU275" s="100"/>
      <c r="AV275" s="298">
        <f>IFERROR(IF(O276&lt;1,AN279,AN279/O276),0)</f>
        <v>0</v>
      </c>
      <c r="AW275" s="418" t="str">
        <f>IFERROR(AV275/BusinessCurrencyTRM,"N/A")</f>
        <v>N/A</v>
      </c>
      <c r="AX275" s="290"/>
      <c r="AY275" s="342"/>
      <c r="AZ275" s="3"/>
      <c r="BA275" s="315"/>
      <c r="BB275" s="3"/>
      <c r="BC275" s="3"/>
      <c r="BD275" s="3"/>
      <c r="BE275" s="3"/>
      <c r="BF275" s="342"/>
      <c r="BG275" s="3"/>
      <c r="BH275" s="315"/>
      <c r="BI275" s="3"/>
      <c r="BJ275" s="3"/>
      <c r="BK275" s="3"/>
      <c r="BL275" s="3"/>
      <c r="BM275" s="342"/>
      <c r="BN275" s="3"/>
      <c r="BO275" s="315"/>
      <c r="BP275" s="3"/>
      <c r="BQ275" s="3"/>
      <c r="BR275" s="3"/>
      <c r="BS275" s="3"/>
      <c r="BT275" s="342"/>
      <c r="BU275" s="3"/>
      <c r="BV275" s="315"/>
      <c r="BW275" s="3"/>
      <c r="BX275" s="3"/>
      <c r="BY275" s="3"/>
      <c r="BZ275" s="3"/>
      <c r="CA275" s="342"/>
      <c r="CB275" s="342"/>
      <c r="CC275" s="342"/>
      <c r="CD275" s="342"/>
    </row>
    <row r="276" spans="1:82" s="325" customFormat="1" ht="15.6">
      <c r="A276" s="480"/>
      <c r="B276" s="507"/>
      <c r="C276" s="507"/>
      <c r="D276" s="324"/>
      <c r="E276" s="342"/>
      <c r="F276" s="290"/>
      <c r="G276" s="79"/>
      <c r="H276" s="326"/>
      <c r="I276" s="326"/>
      <c r="J276" s="80"/>
      <c r="K276" s="290"/>
      <c r="L276" s="342"/>
      <c r="M276" s="2"/>
      <c r="N276" s="13" t="str">
        <f>IF(Approach="By Hours", "N/A for ByHours", "Duration (Months) *")</f>
        <v>N/A for ByHours</v>
      </c>
      <c r="O276" s="332">
        <v>0</v>
      </c>
      <c r="P276" s="32"/>
      <c r="Q276" s="77"/>
      <c r="R276" s="77"/>
      <c r="S276" s="309"/>
      <c r="T276" s="309"/>
      <c r="U276" s="4" t="s">
        <v>58</v>
      </c>
      <c r="V276" s="328">
        <f>IFERROR(SUMIFS(OtherCosts!Q:Q,OtherCosts!A:A,B268,OtherCosts!B:B,"Vendor"),0)</f>
        <v>0</v>
      </c>
      <c r="W276" s="425" t="str">
        <f t="shared" si="137"/>
        <v>N/A</v>
      </c>
      <c r="X276" s="7"/>
      <c r="Y276" s="7" t="s">
        <v>98</v>
      </c>
      <c r="Z276" s="2"/>
      <c r="AA276" s="304"/>
      <c r="AB276" s="7"/>
      <c r="AC276" s="4" t="s">
        <v>58</v>
      </c>
      <c r="AD276" s="328">
        <f>IFERROR(SUMIFS(OtherCosts!R:R,OtherCosts!A:A,B268,OtherCosts!B:B,"Vendor"),0)</f>
        <v>0</v>
      </c>
      <c r="AE276" s="425" t="str">
        <f t="shared" si="138"/>
        <v>N/A</v>
      </c>
      <c r="AF276" s="330"/>
      <c r="AG276" s="328">
        <f>IFERROR(SUMIFS(OtherCosts!S:S,OtherCosts!A:A,B268,OtherCosts!B:B,"Vendor"),0)</f>
        <v>0</v>
      </c>
      <c r="AH276" s="445" t="str">
        <f t="shared" si="139"/>
        <v>N/A</v>
      </c>
      <c r="AI276" s="330"/>
      <c r="AJ276" s="446">
        <f>IFERROR(SUMIFS(OtherCosts!T:T,OtherCosts!A:A,B268,OtherCosts!B:B,"Vendor"),0)</f>
        <v>0</v>
      </c>
      <c r="AK276" s="425" t="str">
        <f t="shared" si="140"/>
        <v>N/A</v>
      </c>
      <c r="AL276" s="330"/>
      <c r="AM276" s="330"/>
      <c r="AN276" s="329">
        <f t="shared" si="142"/>
        <v>0</v>
      </c>
      <c r="AO276" s="425" t="str">
        <f t="shared" si="141"/>
        <v>N/A</v>
      </c>
      <c r="AP276" s="7"/>
      <c r="AQ276" s="342"/>
      <c r="AR276" s="290"/>
      <c r="AS276" s="402" t="s">
        <v>99</v>
      </c>
      <c r="AT276" s="290"/>
      <c r="AU276" s="100"/>
      <c r="AV276" s="298">
        <f>IFERROR(AN279/T282,0)</f>
        <v>0</v>
      </c>
      <c r="AW276" s="418" t="str">
        <f>IFERROR(AV276/BusinessCurrencyTRM,"N/A")</f>
        <v>N/A</v>
      </c>
      <c r="AX276" s="290"/>
      <c r="AY276" s="342"/>
      <c r="AZ276" s="3"/>
      <c r="BA276" s="315"/>
      <c r="BB276" s="3"/>
      <c r="BC276" s="3"/>
      <c r="BD276" s="3"/>
      <c r="BE276" s="3"/>
      <c r="BF276" s="342"/>
      <c r="BG276" s="3"/>
      <c r="BH276" s="315"/>
      <c r="BI276" s="3"/>
      <c r="BJ276" s="3"/>
      <c r="BK276" s="3"/>
      <c r="BL276" s="3"/>
      <c r="BM276" s="342"/>
      <c r="BN276" s="3"/>
      <c r="BO276" s="315"/>
      <c r="BP276" s="3"/>
      <c r="BQ276" s="3"/>
      <c r="BR276" s="3"/>
      <c r="BS276" s="3"/>
      <c r="BT276" s="342"/>
      <c r="BU276" s="3"/>
      <c r="BV276" s="315"/>
      <c r="BW276" s="3"/>
      <c r="BX276" s="3"/>
      <c r="BY276" s="3"/>
      <c r="BZ276" s="3"/>
      <c r="CA276" s="342"/>
      <c r="CB276" s="342"/>
      <c r="CC276" s="342"/>
      <c r="CD276" s="342"/>
    </row>
    <row r="277" spans="1:82" s="325" customFormat="1" ht="15.6">
      <c r="A277" s="480"/>
      <c r="B277" s="507"/>
      <c r="C277" s="507"/>
      <c r="D277" s="324"/>
      <c r="E277" s="342"/>
      <c r="F277" s="290"/>
      <c r="G277" s="79"/>
      <c r="H277" s="326"/>
      <c r="I277" s="326"/>
      <c r="J277" s="80"/>
      <c r="K277" s="290"/>
      <c r="L277" s="342"/>
      <c r="M277" s="2"/>
      <c r="N277" s="83"/>
      <c r="O277" s="333"/>
      <c r="P277" s="32"/>
      <c r="Q277" s="77"/>
      <c r="R277" s="77"/>
      <c r="S277" s="309"/>
      <c r="T277" s="309"/>
      <c r="U277" s="4" t="s">
        <v>61</v>
      </c>
      <c r="V277" s="328">
        <f>IFERROR(SUMIFS(OtherCosts!Q:Q,OtherCosts!A:A,B268,OtherCosts!B:B,"Insurance"),0)</f>
        <v>0</v>
      </c>
      <c r="W277" s="425" t="str">
        <f t="shared" si="137"/>
        <v>N/A</v>
      </c>
      <c r="X277" s="7"/>
      <c r="Y277" s="7" t="s">
        <v>100</v>
      </c>
      <c r="Z277" s="2"/>
      <c r="AA277" s="304"/>
      <c r="AB277" s="7"/>
      <c r="AC277" s="4" t="s">
        <v>61</v>
      </c>
      <c r="AD277" s="328">
        <f>IFERROR(SUMIFS(OtherCosts!R:R,OtherCosts!A:A,B268,OtherCosts!B:B,"Insurance"),0)</f>
        <v>0</v>
      </c>
      <c r="AE277" s="425" t="str">
        <f t="shared" si="138"/>
        <v>N/A</v>
      </c>
      <c r="AF277" s="330"/>
      <c r="AG277" s="328">
        <f>IFERROR(SUMIFS(OtherCosts!S:S,OtherCosts!A:A,B268,OtherCosts!B:B,"Insurance"),0)</f>
        <v>0</v>
      </c>
      <c r="AH277" s="445" t="str">
        <f t="shared" si="139"/>
        <v>N/A</v>
      </c>
      <c r="AI277" s="330"/>
      <c r="AJ277" s="446">
        <f>IFERROR(SUMIFS(OtherCosts!T:T,OtherCosts!A:A,B268,OtherCosts!B:B,"Insurance"),0)</f>
        <v>0</v>
      </c>
      <c r="AK277" s="425" t="str">
        <f t="shared" si="140"/>
        <v>N/A</v>
      </c>
      <c r="AL277" s="330"/>
      <c r="AM277" s="330"/>
      <c r="AN277" s="329">
        <f t="shared" si="142"/>
        <v>0</v>
      </c>
      <c r="AO277" s="425" t="str">
        <f t="shared" si="141"/>
        <v>N/A</v>
      </c>
      <c r="AP277" s="7"/>
      <c r="AQ277" s="342"/>
      <c r="AR277" s="290"/>
      <c r="AS277" s="290"/>
      <c r="AT277" s="81"/>
      <c r="AU277" s="81"/>
      <c r="AV277" s="81"/>
      <c r="AW277" s="81"/>
      <c r="AX277" s="290"/>
      <c r="AY277" s="342"/>
      <c r="AZ277" s="3"/>
      <c r="BA277" s="315"/>
      <c r="BB277" s="3"/>
      <c r="BC277" s="3"/>
      <c r="BD277" s="3"/>
      <c r="BE277" s="3"/>
      <c r="BF277" s="342"/>
      <c r="BG277" s="3"/>
      <c r="BH277" s="315"/>
      <c r="BI277" s="3"/>
      <c r="BJ277" s="3"/>
      <c r="BK277" s="3"/>
      <c r="BL277" s="3"/>
      <c r="BM277" s="342"/>
      <c r="BN277" s="3"/>
      <c r="BO277" s="315"/>
      <c r="BP277" s="3"/>
      <c r="BQ277" s="3"/>
      <c r="BR277" s="3"/>
      <c r="BS277" s="3"/>
      <c r="BT277" s="342"/>
      <c r="BU277" s="3"/>
      <c r="BV277" s="315"/>
      <c r="BW277" s="3"/>
      <c r="BX277" s="3"/>
      <c r="BY277" s="3"/>
      <c r="BZ277" s="3"/>
      <c r="CA277" s="342"/>
      <c r="CB277" s="342"/>
      <c r="CC277" s="342"/>
      <c r="CD277" s="342"/>
    </row>
    <row r="278" spans="1:82" s="325" customFormat="1" ht="16.149999999999999" thickBot="1">
      <c r="A278" s="480"/>
      <c r="B278" s="507"/>
      <c r="C278" s="507"/>
      <c r="D278" s="324"/>
      <c r="E278" s="342"/>
      <c r="F278" s="290"/>
      <c r="G278" s="79"/>
      <c r="H278" s="326"/>
      <c r="I278" s="326"/>
      <c r="J278" s="80"/>
      <c r="K278" s="290"/>
      <c r="L278" s="342"/>
      <c r="M278" s="7"/>
      <c r="N278" s="83"/>
      <c r="O278" s="333"/>
      <c r="P278" s="32"/>
      <c r="Q278" s="77"/>
      <c r="R278" s="77"/>
      <c r="S278" s="309"/>
      <c r="T278" s="309"/>
      <c r="U278" s="4" t="s">
        <v>64</v>
      </c>
      <c r="V278" s="328">
        <f>IFERROR(SUMIFS(OtherCosts!Q:Q,OtherCosts!A:A,B268,OtherCosts!B:B,"Other"),0)</f>
        <v>0</v>
      </c>
      <c r="W278" s="425" t="str">
        <f t="shared" si="137"/>
        <v>N/A</v>
      </c>
      <c r="X278" s="7"/>
      <c r="Y278" s="7" t="s">
        <v>101</v>
      </c>
      <c r="Z278" s="82"/>
      <c r="AA278" s="334"/>
      <c r="AB278" s="13"/>
      <c r="AC278" s="4" t="s">
        <v>64</v>
      </c>
      <c r="AD278" s="328">
        <f>IFERROR(SUMIFS(OtherCosts!R:R,OtherCosts!A:A,B268,OtherCosts!B:B,"Other"),0)</f>
        <v>0</v>
      </c>
      <c r="AE278" s="425" t="str">
        <f t="shared" si="138"/>
        <v>N/A</v>
      </c>
      <c r="AF278" s="83"/>
      <c r="AG278" s="328">
        <f>IFERROR(SUMIFS(OtherCosts!S:S,OtherCosts!A:A,B268,OtherCosts!B:B,"Other"),0)</f>
        <v>0</v>
      </c>
      <c r="AH278" s="447" t="str">
        <f t="shared" si="139"/>
        <v>N/A</v>
      </c>
      <c r="AI278" s="83"/>
      <c r="AJ278" s="448">
        <f>IFERROR(SUMIFS(OtherCosts!T:T,OtherCosts!A:A,B268,OtherCosts!B:B,"Other"),0)</f>
        <v>0</v>
      </c>
      <c r="AK278" s="425" t="str">
        <f t="shared" si="140"/>
        <v>N/A</v>
      </c>
      <c r="AL278" s="83"/>
      <c r="AM278" s="83"/>
      <c r="AN278" s="329">
        <f t="shared" si="142"/>
        <v>0</v>
      </c>
      <c r="AO278" s="425" t="str">
        <f t="shared" si="141"/>
        <v>N/A</v>
      </c>
      <c r="AP278" s="85"/>
      <c r="AQ278" s="342"/>
      <c r="AR278" s="290"/>
      <c r="AS278" s="290"/>
      <c r="AT278" s="13"/>
      <c r="AU278" s="81"/>
      <c r="AV278" s="81"/>
      <c r="AW278" s="81"/>
      <c r="AX278" s="290"/>
      <c r="AY278" s="342"/>
      <c r="AZ278" s="3"/>
      <c r="BA278" s="315"/>
      <c r="BB278" s="3"/>
      <c r="BC278" s="3"/>
      <c r="BD278" s="3"/>
      <c r="BE278" s="3"/>
      <c r="BF278" s="342"/>
      <c r="BG278" s="3"/>
      <c r="BH278" s="315"/>
      <c r="BI278" s="3"/>
      <c r="BJ278" s="3"/>
      <c r="BK278" s="3"/>
      <c r="BL278" s="3"/>
      <c r="BM278" s="342"/>
      <c r="BN278" s="3"/>
      <c r="BO278" s="315"/>
      <c r="BP278" s="3"/>
      <c r="BQ278" s="3"/>
      <c r="BR278" s="3"/>
      <c r="BS278" s="3"/>
      <c r="BT278" s="342"/>
      <c r="BU278" s="3"/>
      <c r="BV278" s="315"/>
      <c r="BW278" s="3"/>
      <c r="BX278" s="3"/>
      <c r="BY278" s="3"/>
      <c r="BZ278" s="3"/>
      <c r="CA278" s="342"/>
      <c r="CB278" s="342"/>
      <c r="CC278" s="342"/>
      <c r="CD278" s="342"/>
    </row>
    <row r="279" spans="1:82" s="325" customFormat="1" ht="16.149999999999999" thickTop="1">
      <c r="A279" s="480"/>
      <c r="B279" s="507"/>
      <c r="C279" s="507"/>
      <c r="D279" s="324"/>
      <c r="E279" s="342"/>
      <c r="F279" s="290"/>
      <c r="G279" s="79"/>
      <c r="H279" s="326"/>
      <c r="I279" s="326"/>
      <c r="J279" s="80"/>
      <c r="K279" s="290"/>
      <c r="L279" s="342"/>
      <c r="M279" s="7"/>
      <c r="N279" s="83"/>
      <c r="O279" s="333"/>
      <c r="P279" s="32"/>
      <c r="Q279" s="77"/>
      <c r="R279" s="77"/>
      <c r="S279" s="309"/>
      <c r="T279" s="309"/>
      <c r="U279" s="3" t="s">
        <v>35</v>
      </c>
      <c r="V279" s="86">
        <f>SUM(V272:V278)</f>
        <v>0</v>
      </c>
      <c r="W279" s="427" t="str">
        <f t="shared" si="137"/>
        <v>N/A</v>
      </c>
      <c r="X279" s="335"/>
      <c r="Y279" s="335"/>
      <c r="Z279" s="82"/>
      <c r="AA279" s="334"/>
      <c r="AB279" s="13"/>
      <c r="AC279" s="3" t="s">
        <v>35</v>
      </c>
      <c r="AD279" s="86">
        <f>SUM(AD272:AD278)</f>
        <v>0</v>
      </c>
      <c r="AE279" s="427" t="str">
        <f t="shared" si="138"/>
        <v>N/A</v>
      </c>
      <c r="AF279" s="83"/>
      <c r="AG279" s="86">
        <f>SUM(AG272:AG278)</f>
        <v>0</v>
      </c>
      <c r="AH279" s="444" t="str">
        <f t="shared" si="139"/>
        <v>N/A</v>
      </c>
      <c r="AI279" s="83"/>
      <c r="AJ279" s="86">
        <f>SUM(AJ272:AJ278)</f>
        <v>0</v>
      </c>
      <c r="AK279" s="427" t="str">
        <f t="shared" si="140"/>
        <v>N/A</v>
      </c>
      <c r="AL279" s="83"/>
      <c r="AM279" s="83"/>
      <c r="AN279" s="86">
        <f t="shared" si="142"/>
        <v>0</v>
      </c>
      <c r="AO279" s="427" t="str">
        <f t="shared" si="141"/>
        <v>N/A</v>
      </c>
      <c r="AP279" s="85"/>
      <c r="AQ279" s="342"/>
      <c r="AR279" s="290"/>
      <c r="AS279" s="290"/>
      <c r="AT279" s="13"/>
      <c r="AU279" s="81"/>
      <c r="AV279" s="81"/>
      <c r="AW279" s="81"/>
      <c r="AX279" s="290"/>
      <c r="AY279" s="342"/>
      <c r="AZ279" s="3"/>
      <c r="BA279" s="315"/>
      <c r="BB279" s="3"/>
      <c r="BC279" s="3"/>
      <c r="BD279" s="3"/>
      <c r="BE279" s="3"/>
      <c r="BF279" s="342"/>
      <c r="BG279" s="3"/>
      <c r="BH279" s="315"/>
      <c r="BI279" s="3"/>
      <c r="BJ279" s="3"/>
      <c r="BK279" s="3"/>
      <c r="BL279" s="3"/>
      <c r="BM279" s="342"/>
      <c r="BN279" s="3"/>
      <c r="BO279" s="315"/>
      <c r="BP279" s="3"/>
      <c r="BQ279" s="3"/>
      <c r="BR279" s="3"/>
      <c r="BS279" s="3"/>
      <c r="BT279" s="342"/>
      <c r="BU279" s="3"/>
      <c r="BV279" s="315"/>
      <c r="BW279" s="3"/>
      <c r="BX279" s="3"/>
      <c r="BY279" s="3"/>
      <c r="BZ279" s="3"/>
      <c r="CA279" s="342"/>
      <c r="CB279" s="342"/>
      <c r="CC279" s="342"/>
      <c r="CD279" s="342"/>
    </row>
    <row r="280" spans="1:82" s="325" customFormat="1" ht="15.6">
      <c r="A280" s="480"/>
      <c r="B280" s="507"/>
      <c r="C280" s="507"/>
      <c r="D280" s="324"/>
      <c r="E280" s="342"/>
      <c r="F280" s="290"/>
      <c r="G280" s="336"/>
      <c r="H280" s="336"/>
      <c r="I280" s="336"/>
      <c r="J280" s="336"/>
      <c r="K280" s="290"/>
      <c r="L280" s="342"/>
      <c r="M280" s="7"/>
      <c r="N280" s="83"/>
      <c r="O280" s="333"/>
      <c r="P280" s="77"/>
      <c r="Q280" s="77"/>
      <c r="R280" s="77"/>
      <c r="S280" s="77"/>
      <c r="T280" s="77"/>
      <c r="U280" s="3"/>
      <c r="V280" s="77"/>
      <c r="W280" s="77"/>
      <c r="X280" s="77"/>
      <c r="Y280" s="77"/>
      <c r="Z280" s="82"/>
      <c r="AA280" s="334"/>
      <c r="AB280" s="13"/>
      <c r="AC280" s="13"/>
      <c r="AD280" s="13"/>
      <c r="AE280" s="13"/>
      <c r="AF280" s="13"/>
      <c r="AG280" s="13"/>
      <c r="AH280" s="13"/>
      <c r="AI280" s="13"/>
      <c r="AJ280" s="13"/>
      <c r="AK280" s="13"/>
      <c r="AL280" s="13"/>
      <c r="AM280" s="13"/>
      <c r="AN280" s="327"/>
      <c r="AO280" s="327"/>
      <c r="AP280" s="85"/>
      <c r="AQ280" s="342"/>
      <c r="AR280" s="290"/>
      <c r="AS280" s="81"/>
      <c r="AT280" s="81"/>
      <c r="AU280" s="81"/>
      <c r="AV280" s="81"/>
      <c r="AW280" s="81"/>
      <c r="AX280" s="290"/>
      <c r="AY280" s="342"/>
      <c r="AZ280" s="3"/>
      <c r="BA280" s="315"/>
      <c r="BB280" s="3"/>
      <c r="BC280" s="3"/>
      <c r="BD280" s="3"/>
      <c r="BE280" s="3"/>
      <c r="BF280" s="342"/>
      <c r="BG280" s="3"/>
      <c r="BH280" s="315"/>
      <c r="BI280" s="3"/>
      <c r="BJ280" s="3"/>
      <c r="BK280" s="3"/>
      <c r="BL280" s="3"/>
      <c r="BM280" s="342"/>
      <c r="BN280" s="3"/>
      <c r="BO280" s="315"/>
      <c r="BP280" s="3"/>
      <c r="BQ280" s="3"/>
      <c r="BR280" s="3"/>
      <c r="BS280" s="3"/>
      <c r="BT280" s="342"/>
      <c r="BU280" s="3"/>
      <c r="BV280" s="315"/>
      <c r="BW280" s="3"/>
      <c r="BX280" s="3"/>
      <c r="BY280" s="3"/>
      <c r="BZ280" s="3"/>
      <c r="CA280" s="342"/>
      <c r="CB280" s="342"/>
      <c r="CC280" s="342"/>
      <c r="CD280" s="342"/>
    </row>
    <row r="281" spans="1:82" s="304" customFormat="1" hidden="1" outlineLevel="1">
      <c r="B281" s="320"/>
      <c r="C281" s="320"/>
      <c r="D281" s="391"/>
      <c r="F281" s="391"/>
      <c r="G281" s="391"/>
      <c r="H281" s="391"/>
      <c r="I281" s="391"/>
      <c r="J281" s="391"/>
      <c r="K281" s="391"/>
      <c r="N281" s="337"/>
      <c r="O281" s="337"/>
      <c r="S281" s="337"/>
      <c r="T281" s="320"/>
      <c r="U281" s="320"/>
      <c r="V281" s="320"/>
      <c r="W281" s="393"/>
      <c r="Z281" s="338"/>
      <c r="AO281" s="338"/>
      <c r="AP281" s="340"/>
      <c r="AR281" s="391"/>
      <c r="AS281" s="391"/>
      <c r="AT281" s="391"/>
      <c r="AU281" s="391"/>
      <c r="AV281" s="391"/>
      <c r="AW281" s="391"/>
      <c r="AX281" s="391"/>
      <c r="AZ281"/>
      <c r="BA281"/>
      <c r="BB281"/>
      <c r="BC281"/>
      <c r="BD281"/>
      <c r="BE281"/>
      <c r="BG281"/>
      <c r="BH281"/>
      <c r="BI281"/>
      <c r="BJ281"/>
      <c r="BK281"/>
      <c r="BL281"/>
      <c r="BN281"/>
      <c r="BO281"/>
      <c r="BP281"/>
      <c r="BQ281"/>
      <c r="BR281"/>
      <c r="BS281"/>
      <c r="BU281"/>
      <c r="BV281"/>
      <c r="BW281"/>
      <c r="BX281"/>
      <c r="BY281"/>
      <c r="BZ281"/>
    </row>
    <row r="282" spans="1:82" s="325" customFormat="1" ht="15.6" hidden="1" outlineLevel="1">
      <c r="A282" s="480"/>
      <c r="B282" s="341"/>
      <c r="C282" s="341"/>
      <c r="D282" s="290"/>
      <c r="E282" s="342"/>
      <c r="F282" s="290"/>
      <c r="G282" s="343">
        <f>ROUNDUP(SUM(G284:G313),2)</f>
        <v>0</v>
      </c>
      <c r="H282" s="344"/>
      <c r="I282" s="344"/>
      <c r="J282" s="345">
        <f>ROUNDUP(SUM(J284:J313),2)</f>
        <v>0</v>
      </c>
      <c r="K282" s="290"/>
      <c r="L282" s="342"/>
      <c r="M282" s="7"/>
      <c r="N282" s="7"/>
      <c r="O282" s="7"/>
      <c r="P282" s="7"/>
      <c r="Q282" s="7"/>
      <c r="R282" s="7"/>
      <c r="S282" s="7"/>
      <c r="T282" s="398">
        <f>ROUNDUP(SUM(T284:T313),2)</f>
        <v>0</v>
      </c>
      <c r="U282" s="7"/>
      <c r="V282" s="7"/>
      <c r="W282" s="87">
        <f>SUM(W284:W311)</f>
        <v>0</v>
      </c>
      <c r="X282" s="7"/>
      <c r="Y282" s="7" t="s">
        <v>102</v>
      </c>
      <c r="Z282" s="7"/>
      <c r="AA282" s="304"/>
      <c r="AB282" s="7"/>
      <c r="AC282" s="7"/>
      <c r="AD282" s="87">
        <f>SUM(AD284:AD313)</f>
        <v>0</v>
      </c>
      <c r="AE282" s="432">
        <f>IFERROR(1-($W282/$AD282),0)</f>
        <v>0</v>
      </c>
      <c r="AF282" s="7"/>
      <c r="AG282" s="7"/>
      <c r="AH282" s="88">
        <f>SUM(AH284:AH313)</f>
        <v>0</v>
      </c>
      <c r="AI282" s="7"/>
      <c r="AJ282" s="7"/>
      <c r="AK282" s="88">
        <f>ROUNDUP(SUM(AK284:AK313),2)</f>
        <v>0</v>
      </c>
      <c r="AL282" s="7"/>
      <c r="AM282" s="88">
        <f>SUM(AM284:AM313)</f>
        <v>0</v>
      </c>
      <c r="AN282" s="88">
        <f>SUM(AN284:AN313)</f>
        <v>0</v>
      </c>
      <c r="AO282" s="417" t="str">
        <f>BillingCountryCurrency</f>
        <v>USD</v>
      </c>
      <c r="AP282" s="7"/>
      <c r="AQ282" s="18"/>
      <c r="AR282" s="290"/>
      <c r="AS282" s="290"/>
      <c r="AT282" s="503">
        <f>SUM(AT284:AU313)</f>
        <v>0</v>
      </c>
      <c r="AU282" s="504"/>
      <c r="AV282" s="417" t="str">
        <f>BillingCountryCurrency</f>
        <v>USD</v>
      </c>
      <c r="AW282" s="417" t="str">
        <f>IF(ISBLANK(BusinessCurrency),"N/A",BusinessCurrency)</f>
        <v>N/A</v>
      </c>
      <c r="AX282" s="290"/>
      <c r="AY282" s="18"/>
      <c r="AZ282" s="3"/>
      <c r="BA282" s="315"/>
      <c r="BB282" s="3"/>
      <c r="BC282" s="3"/>
      <c r="BD282" s="3"/>
      <c r="BE282" s="3"/>
      <c r="BF282" s="18"/>
      <c r="BG282" s="3"/>
      <c r="BH282" s="315"/>
      <c r="BI282" s="3"/>
      <c r="BJ282" s="3"/>
      <c r="BK282" s="3"/>
      <c r="BL282" s="3"/>
      <c r="BM282" s="18"/>
      <c r="BN282" s="3"/>
      <c r="BO282" s="315"/>
      <c r="BP282" s="3"/>
      <c r="BQ282" s="3"/>
      <c r="BR282" s="3"/>
      <c r="BS282" s="3"/>
      <c r="BT282" s="18"/>
      <c r="BU282" s="3"/>
      <c r="BV282" s="315"/>
      <c r="BW282" s="3"/>
      <c r="BX282" s="3"/>
      <c r="BY282" s="3"/>
      <c r="BZ282" s="3"/>
      <c r="CA282" s="342"/>
      <c r="CB282" s="342"/>
      <c r="CC282" s="342"/>
      <c r="CD282" s="342"/>
    </row>
    <row r="283" spans="1:82" ht="15.6" hidden="1" outlineLevel="1">
      <c r="A283" s="7"/>
      <c r="B283" s="346"/>
      <c r="C283" s="346"/>
      <c r="D283" s="346"/>
      <c r="E283" s="342"/>
      <c r="F283" s="290"/>
      <c r="G283" s="347" t="s">
        <v>79</v>
      </c>
      <c r="H283" s="347" t="s">
        <v>103</v>
      </c>
      <c r="I283" s="347" t="s">
        <v>104</v>
      </c>
      <c r="J283" s="348" t="s">
        <v>91</v>
      </c>
      <c r="K283" s="290"/>
      <c r="L283" s="349"/>
      <c r="M283" s="7"/>
      <c r="N283" s="16" t="s">
        <v>105</v>
      </c>
      <c r="O283" s="16" t="s">
        <v>106</v>
      </c>
      <c r="P283" s="16" t="s">
        <v>107</v>
      </c>
      <c r="Q283" s="16" t="s">
        <v>108</v>
      </c>
      <c r="R283" s="16" t="s">
        <v>109</v>
      </c>
      <c r="S283" s="16" t="s">
        <v>110</v>
      </c>
      <c r="T283" s="16" t="s">
        <v>111</v>
      </c>
      <c r="U283" s="16" t="s">
        <v>112</v>
      </c>
      <c r="V283" s="350" t="s">
        <v>113</v>
      </c>
      <c r="W283" s="16" t="s">
        <v>114</v>
      </c>
      <c r="X283" s="16" t="s">
        <v>115</v>
      </c>
      <c r="Y283" s="16" t="s">
        <v>116</v>
      </c>
      <c r="Z283" s="6"/>
      <c r="AA283" s="304"/>
      <c r="AB283" s="7"/>
      <c r="AC283" s="351" t="s">
        <v>117</v>
      </c>
      <c r="AD283" s="352" t="s">
        <v>118</v>
      </c>
      <c r="AE283" s="89" t="s">
        <v>119</v>
      </c>
      <c r="AF283" s="7"/>
      <c r="AG283" s="89" t="s">
        <v>120</v>
      </c>
      <c r="AH283" s="353" t="s">
        <v>121</v>
      </c>
      <c r="AI283" s="7"/>
      <c r="AJ283" s="89" t="s">
        <v>122</v>
      </c>
      <c r="AK283" s="353" t="s">
        <v>123</v>
      </c>
      <c r="AL283" s="7"/>
      <c r="AM283" s="16" t="s">
        <v>118</v>
      </c>
      <c r="AN283" s="16" t="s">
        <v>124</v>
      </c>
      <c r="AO283" s="8" t="s">
        <v>125</v>
      </c>
      <c r="AP283" s="7"/>
      <c r="AQ283" s="18"/>
      <c r="AR283" s="290"/>
      <c r="AS283" s="8" t="s">
        <v>126</v>
      </c>
      <c r="AT283" s="505" t="s">
        <v>124</v>
      </c>
      <c r="AU283" s="506"/>
      <c r="AV283" s="8" t="s">
        <v>127</v>
      </c>
      <c r="AW283" s="8" t="s">
        <v>127</v>
      </c>
      <c r="AX283" s="290"/>
      <c r="AY283" s="18"/>
      <c r="AZ283" s="3"/>
      <c r="BA283" s="315"/>
      <c r="BB283" s="3"/>
      <c r="BC283" s="3"/>
      <c r="BD283" s="3"/>
      <c r="BE283" s="3"/>
      <c r="BF283" s="18"/>
      <c r="BG283" s="3"/>
      <c r="BH283" s="315"/>
      <c r="BI283" s="3"/>
      <c r="BJ283" s="3"/>
      <c r="BK283" s="3"/>
      <c r="BL283" s="3"/>
      <c r="BM283" s="18"/>
      <c r="BN283" s="3"/>
      <c r="BO283" s="315"/>
      <c r="BP283" s="3"/>
      <c r="BQ283" s="3"/>
      <c r="BR283" s="3"/>
      <c r="BS283" s="3"/>
      <c r="BT283" s="18"/>
      <c r="BU283" s="3"/>
      <c r="BV283" s="315"/>
      <c r="BW283" s="3"/>
      <c r="BX283" s="3"/>
      <c r="BY283" s="3"/>
      <c r="BZ283" s="3"/>
    </row>
    <row r="284" spans="1:82" ht="28.9" hidden="1" outlineLevel="1">
      <c r="A284" s="7"/>
      <c r="B284" s="354" t="s">
        <v>128</v>
      </c>
      <c r="C284" s="355"/>
      <c r="D284" s="356"/>
      <c r="E284" s="342"/>
      <c r="F284" s="290"/>
      <c r="G284" s="357">
        <v>0</v>
      </c>
      <c r="H284" s="358">
        <v>0</v>
      </c>
      <c r="I284" s="358">
        <v>0</v>
      </c>
      <c r="J284" s="359">
        <f>IFERROR(G284/(1-(H284+I284)),0)</f>
        <v>0</v>
      </c>
      <c r="K284" s="360"/>
      <c r="L284" s="349"/>
      <c r="M284" s="7"/>
      <c r="N284" s="12"/>
      <c r="O284" s="12"/>
      <c r="P284" s="12"/>
      <c r="Q284" s="361"/>
      <c r="R284" s="362"/>
      <c r="S284" s="363">
        <f t="shared" ref="S284:S313" si="143">IF(ISBLANK(P284),0,$O$276*20)</f>
        <v>0</v>
      </c>
      <c r="T284" s="364">
        <f t="shared" ref="T284:T313" si="144">IF(ISBLANK($P284),0,IF(Approach="Team-Based",$Q284*$R284*$S284*HoursPerDayTeamBased,$J284))</f>
        <v>0</v>
      </c>
      <c r="U284" s="365">
        <v>0</v>
      </c>
      <c r="V284" s="91">
        <f>ROUNDUP(IFERROR(INDEX(CostRateTbl[Cost Rate],MATCH(_xlfn.CONCAT(N284,O284,P284,"NA"),CostRateTbl[KeyCostRate],0)),0)*BillingCurrencyTRM*(1+U284),2)</f>
        <v>0</v>
      </c>
      <c r="W284" s="92">
        <f t="shared" ref="W284:W313" si="145">T284*V284</f>
        <v>0</v>
      </c>
      <c r="X284" s="366" t="e" cm="1">
        <f t="array" ref="X284">_xlfn.LET(
    _xlpm.valor, INDEX(CostRate!H:H, MATCH(1, (CostRate!A:A=N284)*1, 0)),
    _xlpm.posicion, MATCH(_xlpm.valor, FilterSL!$F$1:$Z$1, 0),
    _xlpm.direccionCompleta, ADDRESS(1, _xlpm.posicion + 5, 4),
    _xlpm.letraColumna, SUBSTITUTE(_xlpm.direccionCompleta, "1", ""),
    _xlpm.letraColumna
)</f>
        <v>#N/A</v>
      </c>
      <c r="Y284" s="366" t="e" cm="1">
        <f t="array" ref="Y284">_xlfn.LET(
    _xlpm.valor, INDEX(CostRate!I:I, MATCH(1, (CostRate!A:A=N284)*(CostRate!B:B=O284), 0)),
    _xlpm.posicion, MATCH(_xlpm.valor, FilterJP!$E$1:$FZ$1, 0),
    _xlpm.direccionCompleta, ADDRESS(1, _xlpm.posicion + 4, 4),
    _xlpm.letraColumna, SUBSTITUTE(_xlpm.direccionCompleta, "1", ""),
    _xlpm.letraColumna
)</f>
        <v>#N/A</v>
      </c>
      <c r="Z284" s="7"/>
      <c r="AA284" s="367"/>
      <c r="AB284" s="7"/>
      <c r="AC284" s="93">
        <f t="shared" ref="AC284:AC313" si="146">ROUNDUP($V284/(1-$AV$270),2)</f>
        <v>0</v>
      </c>
      <c r="AD284" s="94">
        <f>$T284*$AC284</f>
        <v>0</v>
      </c>
      <c r="AE284" s="109">
        <f>IFERROR(1-($W284/$AD284),0)</f>
        <v>0</v>
      </c>
      <c r="AF284" s="7"/>
      <c r="AG284" s="369">
        <f t="shared" ref="AG284:AG313" si="147">IFERROR(IF(OR(ISBLANK(N284),N284=CustomerCountry,COUNTIF($N284,"*xDC*")),0,10%),0)</f>
        <v>0</v>
      </c>
      <c r="AH284" s="368">
        <f t="shared" ref="AH284:AH313" si="148">W284*AG284</f>
        <v>0</v>
      </c>
      <c r="AI284" s="7"/>
      <c r="AJ284" s="369" cm="1">
        <f t="array" ref="AJ284">IFERROR(INDEX(WHT!$C$7:$W$18,MATCH(
_xlfn.SWITCH(N284,"xDC Medellin","Colombia","xDC Belo Horizonte","Brazil","xDC Guadalajara","Mexico","xDC Gurugram","India","xDC Leon","Spain","xDC San Jose","Costa Rica","xDC Warsaw","Poland",N284),
WHT!$B$7:$B$18,0),MATCH(CustomerCountry,WHT!$C$5:$W$5,0)),0)</f>
        <v>0</v>
      </c>
      <c r="AK284" s="368">
        <f t="shared" ref="AK284:AK313" si="149">(W284+AH284)*AJ284</f>
        <v>0</v>
      </c>
      <c r="AL284" s="7"/>
      <c r="AM284" s="95">
        <f>SUM($AD284,$AH284,$AK284)</f>
        <v>0</v>
      </c>
      <c r="AN284" s="95">
        <f t="shared" ref="AN284:AN313" si="150">AM284+IFERROR(SUM($AN$273:$AN$278)*AM284/$AM$282,0)</f>
        <v>0</v>
      </c>
      <c r="AO284" s="95">
        <f>IFERROR($AN284/$T284,0)</f>
        <v>0</v>
      </c>
      <c r="AP284" s="7"/>
      <c r="AQ284" s="18"/>
      <c r="AR284" s="290"/>
      <c r="AS284" s="467" t="s">
        <v>133</v>
      </c>
      <c r="AT284" s="501">
        <f t="shared" ref="AT284:AT312" si="151">IF(AS284="x",AM284+((SUM($AN$273:$AN$278)+SUMIF($AS$284:$AS$313,"&lt;&gt;x",$AM$284:$AM$313))*IFERROR(AM284/SUMIF($AS$284:$AS$313,"x",$AM$284:$AM$313),0)),0)</f>
        <v>0</v>
      </c>
      <c r="AU284" s="502"/>
      <c r="AV284" s="95">
        <f>IFERROR(AT284/T284,0)</f>
        <v>0</v>
      </c>
      <c r="AW284" s="469" t="str">
        <f t="shared" ref="AW284:AW313" si="152">IFERROR(AV284/BusinessCurrencyTRM,"N/A")</f>
        <v>N/A</v>
      </c>
      <c r="AX284" s="290"/>
      <c r="AY284" s="18"/>
      <c r="AZ284" s="3"/>
      <c r="BA284" s="315"/>
      <c r="BB284" s="3"/>
      <c r="BC284" s="3"/>
      <c r="BD284" s="3"/>
      <c r="BE284" s="3"/>
      <c r="BF284" s="18"/>
      <c r="BG284" s="3"/>
      <c r="BH284" s="315"/>
      <c r="BI284" s="3"/>
      <c r="BJ284" s="3"/>
      <c r="BK284" s="3"/>
      <c r="BL284" s="3"/>
      <c r="BM284" s="18"/>
      <c r="BN284" s="3"/>
      <c r="BO284" s="315"/>
      <c r="BP284" s="3"/>
      <c r="BQ284" s="3"/>
      <c r="BR284" s="3"/>
      <c r="BS284" s="3"/>
      <c r="BT284" s="18"/>
      <c r="BU284" s="3"/>
      <c r="BV284" s="315"/>
      <c r="BW284" s="3"/>
      <c r="BX284" s="3"/>
      <c r="BY284" s="3"/>
      <c r="BZ284" s="3"/>
    </row>
    <row r="285" spans="1:82" ht="15.6" hidden="1" outlineLevel="1">
      <c r="A285" s="7"/>
      <c r="B285" s="370"/>
      <c r="C285" s="355"/>
      <c r="D285" s="356"/>
      <c r="E285" s="342"/>
      <c r="F285" s="290"/>
      <c r="G285" s="357">
        <v>0</v>
      </c>
      <c r="H285" s="358">
        <v>0</v>
      </c>
      <c r="I285" s="358">
        <v>0</v>
      </c>
      <c r="J285" s="359">
        <f t="shared" ref="J285:J313" si="153">IFERROR(G285/(1-(H285+I285)),0)</f>
        <v>0</v>
      </c>
      <c r="K285" s="290"/>
      <c r="L285" s="349"/>
      <c r="M285" s="7"/>
      <c r="N285" s="12"/>
      <c r="O285" s="12"/>
      <c r="P285" s="12"/>
      <c r="Q285" s="361"/>
      <c r="R285" s="362"/>
      <c r="S285" s="363">
        <f t="shared" si="143"/>
        <v>0</v>
      </c>
      <c r="T285" s="364">
        <f t="shared" si="144"/>
        <v>0</v>
      </c>
      <c r="U285" s="365">
        <v>0</v>
      </c>
      <c r="V285" s="91">
        <f>ROUNDUP(IFERROR(INDEX(CostRateTbl[Cost Rate],MATCH(_xlfn.CONCAT(N285,O285,P285,"NA"),CostRateTbl[KeyCostRate],0)),0)*BillingCurrencyTRM*(1+U285),2)</f>
        <v>0</v>
      </c>
      <c r="W285" s="92">
        <f t="shared" si="145"/>
        <v>0</v>
      </c>
      <c r="X285" s="366" t="e" cm="1">
        <f t="array" ref="X285">_xlfn.LET(
    _xlpm.valor, INDEX(CostRate!H:H, MATCH(1, (CostRate!A:A=N285)*1, 0)),
    _xlpm.posicion, MATCH(_xlpm.valor, FilterSL!$F$1:$Z$1, 0),
    _xlpm.direccionCompleta, ADDRESS(1, _xlpm.posicion + 5, 4),
    _xlpm.letraColumna, SUBSTITUTE(_xlpm.direccionCompleta, "1", ""),
    _xlpm.letraColumna
)</f>
        <v>#N/A</v>
      </c>
      <c r="Y285" s="366" t="e" cm="1">
        <f t="array" ref="Y285">_xlfn.LET(
    _xlpm.valor, INDEX(CostRate!I:I, MATCH(1, (CostRate!A:A=N285)*(CostRate!B:B=O285), 0)),
    _xlpm.posicion, MATCH(_xlpm.valor, FilterJP!$E$1:$FZ$1, 0),
    _xlpm.direccionCompleta, ADDRESS(1, _xlpm.posicion + 4, 4),
    _xlpm.letraColumna, SUBSTITUTE(_xlpm.direccionCompleta, "1", ""),
    _xlpm.letraColumna
)</f>
        <v>#N/A</v>
      </c>
      <c r="Z285" s="7"/>
      <c r="AA285" s="367"/>
      <c r="AB285" s="7"/>
      <c r="AC285" s="93">
        <f t="shared" si="146"/>
        <v>0</v>
      </c>
      <c r="AD285" s="94">
        <f t="shared" ref="AD285:AD313" si="154">$T285*$AC285</f>
        <v>0</v>
      </c>
      <c r="AE285" s="109">
        <f t="shared" ref="AE285:AE313" si="155">IFERROR(1-($W285/$AD285),0)</f>
        <v>0</v>
      </c>
      <c r="AF285" s="7"/>
      <c r="AG285" s="369">
        <f t="shared" si="147"/>
        <v>0</v>
      </c>
      <c r="AH285" s="368">
        <f t="shared" si="148"/>
        <v>0</v>
      </c>
      <c r="AI285" s="7"/>
      <c r="AJ285" s="369" cm="1">
        <f t="array" ref="AJ285">IFERROR(INDEX(WHT!$C$7:$W$18,MATCH(
_xlfn.SWITCH(N285,"xDC Medellin","Colombia","xDC Belo Horizonte","Brazil","xDC Guadalajara","Mexico","xDC Gurugram","India","xDC Leon","Spain","xDC San Jose","Costa Rica","xDC Warsaw","Poland",N285),
WHT!$B$7:$B$18,0),MATCH(CustomerCountry,WHT!$C$5:$W$5,0)),0)</f>
        <v>0</v>
      </c>
      <c r="AK285" s="368">
        <f t="shared" si="149"/>
        <v>0</v>
      </c>
      <c r="AL285" s="7"/>
      <c r="AM285" s="95">
        <f t="shared" ref="AM285:AM313" si="156">SUM($AD285,$AH285,$AK285)</f>
        <v>0</v>
      </c>
      <c r="AN285" s="95">
        <f t="shared" si="150"/>
        <v>0</v>
      </c>
      <c r="AO285" s="95">
        <f t="shared" ref="AO285:AO313" si="157">IFERROR($AN285/$T285,0)</f>
        <v>0</v>
      </c>
      <c r="AP285" s="90"/>
      <c r="AQ285" s="18"/>
      <c r="AR285" s="290"/>
      <c r="AS285" s="467" t="s">
        <v>133</v>
      </c>
      <c r="AT285" s="501">
        <f t="shared" si="151"/>
        <v>0</v>
      </c>
      <c r="AU285" s="502"/>
      <c r="AV285" s="95">
        <f t="shared" ref="AV285:AV313" si="158">IFERROR(AT285/T285,0)</f>
        <v>0</v>
      </c>
      <c r="AW285" s="469" t="str">
        <f t="shared" si="152"/>
        <v>N/A</v>
      </c>
      <c r="AX285" s="290"/>
      <c r="AY285" s="18"/>
      <c r="AZ285" s="3"/>
      <c r="BA285" s="315"/>
      <c r="BB285" s="3"/>
      <c r="BC285" s="3"/>
      <c r="BD285" s="3"/>
      <c r="BE285" s="3"/>
      <c r="BF285" s="18"/>
      <c r="BG285" s="3"/>
      <c r="BH285" s="315"/>
      <c r="BI285" s="3"/>
      <c r="BJ285" s="3"/>
      <c r="BK285" s="3"/>
      <c r="BL285" s="3"/>
      <c r="BM285" s="18"/>
      <c r="BN285" s="3"/>
      <c r="BO285" s="315"/>
      <c r="BP285" s="3"/>
      <c r="BQ285" s="3"/>
      <c r="BR285" s="3"/>
      <c r="BS285" s="3"/>
      <c r="BT285" s="18"/>
      <c r="BU285" s="3"/>
      <c r="BV285" s="315"/>
      <c r="BW285" s="3"/>
      <c r="BX285" s="3"/>
      <c r="BY285" s="3"/>
      <c r="BZ285" s="3"/>
      <c r="CA285" s="371"/>
    </row>
    <row r="286" spans="1:82" ht="15.6" hidden="1" outlineLevel="1">
      <c r="A286" s="7"/>
      <c r="B286" s="370"/>
      <c r="C286" s="355"/>
      <c r="D286" s="356"/>
      <c r="E286" s="342"/>
      <c r="F286" s="290"/>
      <c r="G286" s="357">
        <v>0</v>
      </c>
      <c r="H286" s="358">
        <v>0</v>
      </c>
      <c r="I286" s="358">
        <v>0</v>
      </c>
      <c r="J286" s="359">
        <f t="shared" si="153"/>
        <v>0</v>
      </c>
      <c r="K286" s="290"/>
      <c r="L286" s="349"/>
      <c r="M286" s="7"/>
      <c r="N286" s="12"/>
      <c r="O286" s="12"/>
      <c r="P286" s="12"/>
      <c r="Q286" s="361"/>
      <c r="R286" s="362"/>
      <c r="S286" s="363">
        <f t="shared" si="143"/>
        <v>0</v>
      </c>
      <c r="T286" s="364">
        <f t="shared" si="144"/>
        <v>0</v>
      </c>
      <c r="U286" s="365">
        <v>0</v>
      </c>
      <c r="V286" s="91">
        <f>ROUNDUP(IFERROR(INDEX(CostRateTbl[Cost Rate],MATCH(_xlfn.CONCAT(N286,O286,P286,"NA"),CostRateTbl[KeyCostRate],0)),0)*BillingCurrencyTRM*(1+U286),2)</f>
        <v>0</v>
      </c>
      <c r="W286" s="92">
        <f t="shared" si="145"/>
        <v>0</v>
      </c>
      <c r="X286" s="366" t="e" cm="1">
        <f t="array" ref="X286">_xlfn.LET(
    _xlpm.valor, INDEX(CostRate!H:H, MATCH(1, (CostRate!A:A=N286)*1, 0)),
    _xlpm.posicion, MATCH(_xlpm.valor, FilterSL!$F$1:$Z$1, 0),
    _xlpm.direccionCompleta, ADDRESS(1, _xlpm.posicion + 5, 4),
    _xlpm.letraColumna, SUBSTITUTE(_xlpm.direccionCompleta, "1", ""),
    _xlpm.letraColumna
)</f>
        <v>#N/A</v>
      </c>
      <c r="Y286" s="366" t="e" cm="1">
        <f t="array" ref="Y286">_xlfn.LET(
    _xlpm.valor, INDEX(CostRate!I:I, MATCH(1, (CostRate!A:A=N286)*(CostRate!B:B=O286), 0)),
    _xlpm.posicion, MATCH(_xlpm.valor, FilterJP!$E$1:$FZ$1, 0),
    _xlpm.direccionCompleta, ADDRESS(1, _xlpm.posicion + 4, 4),
    _xlpm.letraColumna, SUBSTITUTE(_xlpm.direccionCompleta, "1", ""),
    _xlpm.letraColumna
)</f>
        <v>#N/A</v>
      </c>
      <c r="Z286" s="7"/>
      <c r="AA286" s="367"/>
      <c r="AB286" s="7"/>
      <c r="AC286" s="93">
        <f t="shared" si="146"/>
        <v>0</v>
      </c>
      <c r="AD286" s="94">
        <f t="shared" si="154"/>
        <v>0</v>
      </c>
      <c r="AE286" s="109">
        <f t="shared" si="155"/>
        <v>0</v>
      </c>
      <c r="AF286" s="7"/>
      <c r="AG286" s="369">
        <f t="shared" si="147"/>
        <v>0</v>
      </c>
      <c r="AH286" s="368">
        <f t="shared" si="148"/>
        <v>0</v>
      </c>
      <c r="AI286" s="7"/>
      <c r="AJ286" s="369" cm="1">
        <f t="array" ref="AJ286">IFERROR(INDEX(WHT!$C$7:$W$18,MATCH(
_xlfn.SWITCH(N286,"xDC Medellin","Colombia","xDC Belo Horizonte","Brazil","xDC Guadalajara","Mexico","xDC Gurugram","India","xDC Leon","Spain","xDC San Jose","Costa Rica","xDC Warsaw","Poland",N286),
WHT!$B$7:$B$18,0),MATCH(CustomerCountry,WHT!$C$5:$W$5,0)),0)</f>
        <v>0</v>
      </c>
      <c r="AK286" s="368">
        <f t="shared" si="149"/>
        <v>0</v>
      </c>
      <c r="AL286" s="7"/>
      <c r="AM286" s="95">
        <f t="shared" si="156"/>
        <v>0</v>
      </c>
      <c r="AN286" s="95">
        <f t="shared" si="150"/>
        <v>0</v>
      </c>
      <c r="AO286" s="95">
        <f t="shared" si="157"/>
        <v>0</v>
      </c>
      <c r="AP286" s="90"/>
      <c r="AQ286" s="18"/>
      <c r="AR286" s="290"/>
      <c r="AS286" s="467" t="s">
        <v>133</v>
      </c>
      <c r="AT286" s="501">
        <f t="shared" si="151"/>
        <v>0</v>
      </c>
      <c r="AU286" s="502"/>
      <c r="AV286" s="95">
        <f t="shared" si="158"/>
        <v>0</v>
      </c>
      <c r="AW286" s="469" t="str">
        <f t="shared" si="152"/>
        <v>N/A</v>
      </c>
      <c r="AX286" s="290"/>
      <c r="AY286" s="18"/>
      <c r="AZ286" s="3"/>
      <c r="BA286" s="315"/>
      <c r="BB286" s="3"/>
      <c r="BC286" s="3"/>
      <c r="BD286" s="3"/>
      <c r="BE286" s="3"/>
      <c r="BF286" s="18"/>
      <c r="BG286" s="3"/>
      <c r="BH286" s="315"/>
      <c r="BI286" s="3"/>
      <c r="BJ286" s="3"/>
      <c r="BK286" s="3"/>
      <c r="BL286" s="3"/>
      <c r="BM286" s="18"/>
      <c r="BN286" s="3"/>
      <c r="BO286" s="315"/>
      <c r="BP286" s="3"/>
      <c r="BQ286" s="3"/>
      <c r="BR286" s="3"/>
      <c r="BS286" s="3"/>
      <c r="BT286" s="18"/>
      <c r="BU286" s="3"/>
      <c r="BV286" s="315"/>
      <c r="BW286" s="3"/>
      <c r="BX286" s="3"/>
      <c r="BY286" s="3"/>
      <c r="BZ286" s="3"/>
    </row>
    <row r="287" spans="1:82" ht="15.6" hidden="1" outlineLevel="1">
      <c r="A287" s="7"/>
      <c r="B287" s="370"/>
      <c r="C287" s="355"/>
      <c r="D287" s="356"/>
      <c r="E287" s="342"/>
      <c r="F287" s="290"/>
      <c r="G287" s="357">
        <v>0</v>
      </c>
      <c r="H287" s="358">
        <v>0</v>
      </c>
      <c r="I287" s="358">
        <v>0</v>
      </c>
      <c r="J287" s="359">
        <f t="shared" si="153"/>
        <v>0</v>
      </c>
      <c r="K287" s="290"/>
      <c r="L287" s="349"/>
      <c r="M287" s="7"/>
      <c r="N287" s="12"/>
      <c r="O287" s="12"/>
      <c r="P287" s="12"/>
      <c r="Q287" s="361"/>
      <c r="R287" s="362"/>
      <c r="S287" s="363">
        <f t="shared" si="143"/>
        <v>0</v>
      </c>
      <c r="T287" s="364">
        <f t="shared" si="144"/>
        <v>0</v>
      </c>
      <c r="U287" s="365">
        <v>0</v>
      </c>
      <c r="V287" s="91">
        <f>ROUNDUP(IFERROR(INDEX(CostRateTbl[Cost Rate],MATCH(_xlfn.CONCAT(N287,O287,P287,"NA"),CostRateTbl[KeyCostRate],0)),0)*BillingCurrencyTRM*(1+U287),2)</f>
        <v>0</v>
      </c>
      <c r="W287" s="92">
        <f t="shared" si="145"/>
        <v>0</v>
      </c>
      <c r="X287" s="366" t="e" cm="1">
        <f t="array" ref="X287">_xlfn.LET(
    _xlpm.valor, INDEX(CostRate!H:H, MATCH(1, (CostRate!A:A=N287)*1, 0)),
    _xlpm.posicion, MATCH(_xlpm.valor, FilterSL!$F$1:$Z$1, 0),
    _xlpm.direccionCompleta, ADDRESS(1, _xlpm.posicion + 5, 4),
    _xlpm.letraColumna, SUBSTITUTE(_xlpm.direccionCompleta, "1", ""),
    _xlpm.letraColumna
)</f>
        <v>#N/A</v>
      </c>
      <c r="Y287" s="366" t="e" cm="1">
        <f t="array" ref="Y287">_xlfn.LET(
    _xlpm.valor, INDEX(CostRate!I:I, MATCH(1, (CostRate!A:A=N287)*(CostRate!B:B=O287), 0)),
    _xlpm.posicion, MATCH(_xlpm.valor, FilterJP!$E$1:$FZ$1, 0),
    _xlpm.direccionCompleta, ADDRESS(1, _xlpm.posicion + 4, 4),
    _xlpm.letraColumna, SUBSTITUTE(_xlpm.direccionCompleta, "1", ""),
    _xlpm.letraColumna
)</f>
        <v>#N/A</v>
      </c>
      <c r="Z287" s="7"/>
      <c r="AA287" s="367"/>
      <c r="AB287" s="7"/>
      <c r="AC287" s="93">
        <f t="shared" si="146"/>
        <v>0</v>
      </c>
      <c r="AD287" s="94">
        <f t="shared" si="154"/>
        <v>0</v>
      </c>
      <c r="AE287" s="109">
        <f t="shared" si="155"/>
        <v>0</v>
      </c>
      <c r="AF287" s="7"/>
      <c r="AG287" s="369">
        <f t="shared" si="147"/>
        <v>0</v>
      </c>
      <c r="AH287" s="368">
        <f t="shared" si="148"/>
        <v>0</v>
      </c>
      <c r="AI287" s="7"/>
      <c r="AJ287" s="369" cm="1">
        <f t="array" ref="AJ287">IFERROR(INDEX(WHT!$C$7:$W$18,MATCH(
_xlfn.SWITCH(N287,"xDC Medellin","Colombia","xDC Belo Horizonte","Brazil","xDC Guadalajara","Mexico","xDC Gurugram","India","xDC Leon","Spain","xDC San Jose","Costa Rica","xDC Warsaw","Poland",N287),
WHT!$B$7:$B$18,0),MATCH(CustomerCountry,WHT!$C$5:$W$5,0)),0)</f>
        <v>0</v>
      </c>
      <c r="AK287" s="368">
        <f t="shared" si="149"/>
        <v>0</v>
      </c>
      <c r="AL287" s="7"/>
      <c r="AM287" s="95">
        <f t="shared" si="156"/>
        <v>0</v>
      </c>
      <c r="AN287" s="95">
        <f t="shared" si="150"/>
        <v>0</v>
      </c>
      <c r="AO287" s="95">
        <f t="shared" si="157"/>
        <v>0</v>
      </c>
      <c r="AP287" s="90"/>
      <c r="AQ287" s="18"/>
      <c r="AR287" s="290"/>
      <c r="AS287" s="467" t="s">
        <v>133</v>
      </c>
      <c r="AT287" s="501">
        <f t="shared" si="151"/>
        <v>0</v>
      </c>
      <c r="AU287" s="502"/>
      <c r="AV287" s="95">
        <f t="shared" si="158"/>
        <v>0</v>
      </c>
      <c r="AW287" s="469" t="str">
        <f t="shared" si="152"/>
        <v>N/A</v>
      </c>
      <c r="AX287" s="290"/>
      <c r="AY287" s="18"/>
      <c r="AZ287" s="3"/>
      <c r="BA287" s="315"/>
      <c r="BB287" s="3"/>
      <c r="BC287" s="3"/>
      <c r="BD287" s="3"/>
      <c r="BE287" s="3"/>
      <c r="BF287" s="18"/>
      <c r="BG287" s="3"/>
      <c r="BH287" s="315"/>
      <c r="BI287" s="3"/>
      <c r="BJ287" s="3"/>
      <c r="BK287" s="3"/>
      <c r="BL287" s="3"/>
      <c r="BM287" s="18"/>
      <c r="BN287" s="3"/>
      <c r="BO287" s="315"/>
      <c r="BP287" s="3"/>
      <c r="BQ287" s="3"/>
      <c r="BR287" s="3"/>
      <c r="BS287" s="3"/>
      <c r="BT287" s="18"/>
      <c r="BU287" s="3"/>
      <c r="BV287" s="315"/>
      <c r="BW287" s="3"/>
      <c r="BX287" s="3"/>
      <c r="BY287" s="3"/>
      <c r="BZ287" s="3"/>
    </row>
    <row r="288" spans="1:82" ht="15.6" hidden="1" outlineLevel="1">
      <c r="A288" s="7"/>
      <c r="B288" s="370"/>
      <c r="C288" s="355"/>
      <c r="D288" s="356"/>
      <c r="E288" s="342"/>
      <c r="F288" s="290"/>
      <c r="G288" s="357">
        <v>0</v>
      </c>
      <c r="H288" s="358">
        <v>0</v>
      </c>
      <c r="I288" s="358">
        <v>0</v>
      </c>
      <c r="J288" s="359">
        <f t="shared" si="153"/>
        <v>0</v>
      </c>
      <c r="K288" s="290"/>
      <c r="L288" s="349"/>
      <c r="M288" s="7"/>
      <c r="N288" s="12"/>
      <c r="O288" s="12"/>
      <c r="P288" s="12"/>
      <c r="Q288" s="361"/>
      <c r="R288" s="362"/>
      <c r="S288" s="363">
        <f t="shared" si="143"/>
        <v>0</v>
      </c>
      <c r="T288" s="364">
        <f t="shared" si="144"/>
        <v>0</v>
      </c>
      <c r="U288" s="365">
        <v>0</v>
      </c>
      <c r="V288" s="91">
        <f>ROUNDUP(IFERROR(INDEX(CostRateTbl[Cost Rate],MATCH(_xlfn.CONCAT(N288,O288,P288,"NA"),CostRateTbl[KeyCostRate],0)),0)*BillingCurrencyTRM*(1+U288),2)</f>
        <v>0</v>
      </c>
      <c r="W288" s="92">
        <f t="shared" si="145"/>
        <v>0</v>
      </c>
      <c r="X288" s="366" t="e" cm="1">
        <f t="array" ref="X288">_xlfn.LET(
    _xlpm.valor, INDEX(CostRate!H:H, MATCH(1, (CostRate!A:A=N288)*1, 0)),
    _xlpm.posicion, MATCH(_xlpm.valor, FilterSL!$F$1:$Z$1, 0),
    _xlpm.direccionCompleta, ADDRESS(1, _xlpm.posicion + 5, 4),
    _xlpm.letraColumna, SUBSTITUTE(_xlpm.direccionCompleta, "1", ""),
    _xlpm.letraColumna
)</f>
        <v>#N/A</v>
      </c>
      <c r="Y288" s="366" t="e" cm="1">
        <f t="array" ref="Y288">_xlfn.LET(
    _xlpm.valor, INDEX(CostRate!I:I, MATCH(1, (CostRate!A:A=N288)*(CostRate!B:B=O288), 0)),
    _xlpm.posicion, MATCH(_xlpm.valor, FilterJP!$E$1:$FZ$1, 0),
    _xlpm.direccionCompleta, ADDRESS(1, _xlpm.posicion + 4, 4),
    _xlpm.letraColumna, SUBSTITUTE(_xlpm.direccionCompleta, "1", ""),
    _xlpm.letraColumna
)</f>
        <v>#N/A</v>
      </c>
      <c r="Z288" s="7"/>
      <c r="AA288" s="367"/>
      <c r="AB288" s="7"/>
      <c r="AC288" s="93">
        <f t="shared" si="146"/>
        <v>0</v>
      </c>
      <c r="AD288" s="94">
        <f t="shared" si="154"/>
        <v>0</v>
      </c>
      <c r="AE288" s="109">
        <f t="shared" si="155"/>
        <v>0</v>
      </c>
      <c r="AF288" s="7"/>
      <c r="AG288" s="369">
        <f t="shared" si="147"/>
        <v>0</v>
      </c>
      <c r="AH288" s="368">
        <f t="shared" si="148"/>
        <v>0</v>
      </c>
      <c r="AI288" s="7"/>
      <c r="AJ288" s="369" cm="1">
        <f t="array" ref="AJ288">IFERROR(INDEX(WHT!$C$7:$W$18,MATCH(
_xlfn.SWITCH(N288,"xDC Medellin","Colombia","xDC Belo Horizonte","Brazil","xDC Guadalajara","Mexico","xDC Gurugram","India","xDC Leon","Spain","xDC San Jose","Costa Rica","xDC Warsaw","Poland",N288),
WHT!$B$7:$B$18,0),MATCH(CustomerCountry,WHT!$C$5:$W$5,0)),0)</f>
        <v>0</v>
      </c>
      <c r="AK288" s="368">
        <f t="shared" si="149"/>
        <v>0</v>
      </c>
      <c r="AL288" s="7"/>
      <c r="AM288" s="95">
        <f t="shared" si="156"/>
        <v>0</v>
      </c>
      <c r="AN288" s="95">
        <f t="shared" si="150"/>
        <v>0</v>
      </c>
      <c r="AO288" s="95">
        <f t="shared" si="157"/>
        <v>0</v>
      </c>
      <c r="AP288" s="90"/>
      <c r="AQ288" s="18"/>
      <c r="AR288" s="290"/>
      <c r="AS288" s="467" t="s">
        <v>133</v>
      </c>
      <c r="AT288" s="501">
        <f t="shared" si="151"/>
        <v>0</v>
      </c>
      <c r="AU288" s="502"/>
      <c r="AV288" s="95">
        <f t="shared" si="158"/>
        <v>0</v>
      </c>
      <c r="AW288" s="469" t="str">
        <f t="shared" si="152"/>
        <v>N/A</v>
      </c>
      <c r="AX288" s="290"/>
      <c r="AY288" s="18"/>
      <c r="AZ288" s="3"/>
      <c r="BA288" s="315"/>
      <c r="BB288" s="3"/>
      <c r="BC288" s="3"/>
      <c r="BD288" s="3"/>
      <c r="BE288" s="3"/>
      <c r="BF288" s="18"/>
      <c r="BG288" s="3"/>
      <c r="BH288" s="315"/>
      <c r="BI288" s="3"/>
      <c r="BJ288" s="3"/>
      <c r="BK288" s="3"/>
      <c r="BL288" s="3"/>
      <c r="BM288" s="18"/>
      <c r="BN288" s="3"/>
      <c r="BO288" s="315"/>
      <c r="BP288" s="3"/>
      <c r="BQ288" s="3"/>
      <c r="BR288" s="3"/>
      <c r="BS288" s="3"/>
      <c r="BT288" s="18"/>
      <c r="BU288" s="3"/>
      <c r="BV288" s="315"/>
      <c r="BW288" s="3"/>
      <c r="BX288" s="3"/>
      <c r="BY288" s="3"/>
      <c r="BZ288" s="3"/>
    </row>
    <row r="289" spans="1:78" ht="15.6" hidden="1" outlineLevel="1">
      <c r="A289" s="7"/>
      <c r="B289" s="370"/>
      <c r="C289" s="355"/>
      <c r="D289" s="356"/>
      <c r="E289" s="342"/>
      <c r="F289" s="290"/>
      <c r="G289" s="357">
        <v>0</v>
      </c>
      <c r="H289" s="358">
        <v>0</v>
      </c>
      <c r="I289" s="358">
        <v>0</v>
      </c>
      <c r="J289" s="359">
        <f t="shared" si="153"/>
        <v>0</v>
      </c>
      <c r="K289" s="290"/>
      <c r="L289" s="349"/>
      <c r="M289" s="7"/>
      <c r="N289" s="12"/>
      <c r="O289" s="12"/>
      <c r="P289" s="12"/>
      <c r="Q289" s="361"/>
      <c r="R289" s="362"/>
      <c r="S289" s="363">
        <f t="shared" si="143"/>
        <v>0</v>
      </c>
      <c r="T289" s="364">
        <f t="shared" si="144"/>
        <v>0</v>
      </c>
      <c r="U289" s="365">
        <v>0</v>
      </c>
      <c r="V289" s="91">
        <f>ROUNDUP(IFERROR(INDEX(CostRateTbl[Cost Rate],MATCH(_xlfn.CONCAT(N289,O289,P289,"NA"),CostRateTbl[KeyCostRate],0)),0)*BillingCurrencyTRM*(1+U289),2)</f>
        <v>0</v>
      </c>
      <c r="W289" s="92">
        <f t="shared" si="145"/>
        <v>0</v>
      </c>
      <c r="X289" s="366" t="e" cm="1">
        <f t="array" ref="X289">_xlfn.LET(
    _xlpm.valor, INDEX(CostRate!H:H, MATCH(1, (CostRate!A:A=N289)*1, 0)),
    _xlpm.posicion, MATCH(_xlpm.valor, FilterSL!$F$1:$Z$1, 0),
    _xlpm.direccionCompleta, ADDRESS(1, _xlpm.posicion + 5, 4),
    _xlpm.letraColumna, SUBSTITUTE(_xlpm.direccionCompleta, "1", ""),
    _xlpm.letraColumna
)</f>
        <v>#N/A</v>
      </c>
      <c r="Y289" s="366" t="e" cm="1">
        <f t="array" ref="Y289">_xlfn.LET(
    _xlpm.valor, INDEX(CostRate!I:I, MATCH(1, (CostRate!A:A=N289)*(CostRate!B:B=O289), 0)),
    _xlpm.posicion, MATCH(_xlpm.valor, FilterJP!$E$1:$FZ$1, 0),
    _xlpm.direccionCompleta, ADDRESS(1, _xlpm.posicion + 4, 4),
    _xlpm.letraColumna, SUBSTITUTE(_xlpm.direccionCompleta, "1", ""),
    _xlpm.letraColumna
)</f>
        <v>#N/A</v>
      </c>
      <c r="Z289" s="7"/>
      <c r="AA289" s="367"/>
      <c r="AB289" s="7"/>
      <c r="AC289" s="93">
        <f t="shared" si="146"/>
        <v>0</v>
      </c>
      <c r="AD289" s="94">
        <f t="shared" si="154"/>
        <v>0</v>
      </c>
      <c r="AE289" s="109">
        <f t="shared" si="155"/>
        <v>0</v>
      </c>
      <c r="AF289" s="7"/>
      <c r="AG289" s="369">
        <f t="shared" si="147"/>
        <v>0</v>
      </c>
      <c r="AH289" s="368">
        <f t="shared" si="148"/>
        <v>0</v>
      </c>
      <c r="AI289" s="7"/>
      <c r="AJ289" s="369" cm="1">
        <f t="array" ref="AJ289">IFERROR(INDEX(WHT!$C$7:$W$18,MATCH(
_xlfn.SWITCH(N289,"xDC Medellin","Colombia","xDC Belo Horizonte","Brazil","xDC Guadalajara","Mexico","xDC Gurugram","India","xDC Leon","Spain","xDC San Jose","Costa Rica","xDC Warsaw","Poland",N289),
WHT!$B$7:$B$18,0),MATCH(CustomerCountry,WHT!$C$5:$W$5,0)),0)</f>
        <v>0</v>
      </c>
      <c r="AK289" s="368">
        <f t="shared" si="149"/>
        <v>0</v>
      </c>
      <c r="AL289" s="7"/>
      <c r="AM289" s="95">
        <f t="shared" si="156"/>
        <v>0</v>
      </c>
      <c r="AN289" s="95">
        <f t="shared" si="150"/>
        <v>0</v>
      </c>
      <c r="AO289" s="95">
        <f t="shared" si="157"/>
        <v>0</v>
      </c>
      <c r="AP289" s="90"/>
      <c r="AQ289" s="18"/>
      <c r="AR289" s="290"/>
      <c r="AS289" s="467" t="s">
        <v>133</v>
      </c>
      <c r="AT289" s="501">
        <f t="shared" si="151"/>
        <v>0</v>
      </c>
      <c r="AU289" s="502"/>
      <c r="AV289" s="95">
        <f t="shared" si="158"/>
        <v>0</v>
      </c>
      <c r="AW289" s="469" t="str">
        <f t="shared" si="152"/>
        <v>N/A</v>
      </c>
      <c r="AX289" s="290"/>
      <c r="AY289" s="18"/>
      <c r="AZ289" s="3"/>
      <c r="BA289" s="315"/>
      <c r="BB289" s="3"/>
      <c r="BC289" s="3"/>
      <c r="BD289" s="3"/>
      <c r="BE289" s="3"/>
      <c r="BF289" s="18"/>
      <c r="BG289" s="3"/>
      <c r="BH289" s="315"/>
      <c r="BI289" s="3"/>
      <c r="BJ289" s="3"/>
      <c r="BK289" s="3"/>
      <c r="BL289" s="3"/>
      <c r="BM289" s="18"/>
      <c r="BN289" s="3"/>
      <c r="BO289" s="315"/>
      <c r="BP289" s="3"/>
      <c r="BQ289" s="3"/>
      <c r="BR289" s="3"/>
      <c r="BS289" s="3"/>
      <c r="BT289" s="18"/>
      <c r="BU289" s="3"/>
      <c r="BV289" s="315"/>
      <c r="BW289" s="3"/>
      <c r="BX289" s="3"/>
      <c r="BY289" s="3"/>
      <c r="BZ289" s="3"/>
    </row>
    <row r="290" spans="1:78" ht="15.6" hidden="1" outlineLevel="1">
      <c r="A290" s="7"/>
      <c r="B290" s="370"/>
      <c r="C290" s="355"/>
      <c r="D290" s="356"/>
      <c r="E290" s="342"/>
      <c r="F290" s="290"/>
      <c r="G290" s="357">
        <v>0</v>
      </c>
      <c r="H290" s="358">
        <v>0</v>
      </c>
      <c r="I290" s="358">
        <v>0</v>
      </c>
      <c r="J290" s="359">
        <f t="shared" si="153"/>
        <v>0</v>
      </c>
      <c r="K290" s="290"/>
      <c r="L290" s="349"/>
      <c r="M290" s="7"/>
      <c r="N290" s="12"/>
      <c r="O290" s="12"/>
      <c r="P290" s="12"/>
      <c r="Q290" s="361"/>
      <c r="R290" s="362"/>
      <c r="S290" s="363">
        <f t="shared" si="143"/>
        <v>0</v>
      </c>
      <c r="T290" s="364">
        <f t="shared" si="144"/>
        <v>0</v>
      </c>
      <c r="U290" s="365">
        <v>0</v>
      </c>
      <c r="V290" s="91">
        <f>ROUNDUP(IFERROR(INDEX(CostRateTbl[Cost Rate],MATCH(_xlfn.CONCAT(N290,O290,P290,"NA"),CostRateTbl[KeyCostRate],0)),0)*BillingCurrencyTRM*(1+U290),2)</f>
        <v>0</v>
      </c>
      <c r="W290" s="92">
        <f t="shared" si="145"/>
        <v>0</v>
      </c>
      <c r="X290" s="366" t="e" cm="1">
        <f t="array" ref="X290">_xlfn.LET(
    _xlpm.valor, INDEX(CostRate!H:H, MATCH(1, (CostRate!A:A=N290)*1, 0)),
    _xlpm.posicion, MATCH(_xlpm.valor, FilterSL!$F$1:$Z$1, 0),
    _xlpm.direccionCompleta, ADDRESS(1, _xlpm.posicion + 5, 4),
    _xlpm.letraColumna, SUBSTITUTE(_xlpm.direccionCompleta, "1", ""),
    _xlpm.letraColumna
)</f>
        <v>#N/A</v>
      </c>
      <c r="Y290" s="366" t="e" cm="1">
        <f t="array" ref="Y290">_xlfn.LET(
    _xlpm.valor, INDEX(CostRate!I:I, MATCH(1, (CostRate!A:A=N290)*(CostRate!B:B=O290), 0)),
    _xlpm.posicion, MATCH(_xlpm.valor, FilterJP!$E$1:$FZ$1, 0),
    _xlpm.direccionCompleta, ADDRESS(1, _xlpm.posicion + 4, 4),
    _xlpm.letraColumna, SUBSTITUTE(_xlpm.direccionCompleta, "1", ""),
    _xlpm.letraColumna
)</f>
        <v>#N/A</v>
      </c>
      <c r="Z290" s="7"/>
      <c r="AA290" s="367"/>
      <c r="AB290" s="7"/>
      <c r="AC290" s="93">
        <f t="shared" si="146"/>
        <v>0</v>
      </c>
      <c r="AD290" s="94">
        <f t="shared" si="154"/>
        <v>0</v>
      </c>
      <c r="AE290" s="109">
        <f t="shared" si="155"/>
        <v>0</v>
      </c>
      <c r="AF290" s="7"/>
      <c r="AG290" s="369">
        <f t="shared" si="147"/>
        <v>0</v>
      </c>
      <c r="AH290" s="368">
        <f t="shared" si="148"/>
        <v>0</v>
      </c>
      <c r="AI290" s="7"/>
      <c r="AJ290" s="369" cm="1">
        <f t="array" ref="AJ290">IFERROR(INDEX(WHT!$C$7:$W$18,MATCH(
_xlfn.SWITCH(N290,"xDC Medellin","Colombia","xDC Belo Horizonte","Brazil","xDC Guadalajara","Mexico","xDC Gurugram","India","xDC Leon","Spain","xDC San Jose","Costa Rica","xDC Warsaw","Poland",N290),
WHT!$B$7:$B$18,0),MATCH(CustomerCountry,WHT!$C$5:$W$5,0)),0)</f>
        <v>0</v>
      </c>
      <c r="AK290" s="368">
        <f t="shared" si="149"/>
        <v>0</v>
      </c>
      <c r="AL290" s="7"/>
      <c r="AM290" s="95">
        <f t="shared" si="156"/>
        <v>0</v>
      </c>
      <c r="AN290" s="95">
        <f t="shared" si="150"/>
        <v>0</v>
      </c>
      <c r="AO290" s="95">
        <f t="shared" si="157"/>
        <v>0</v>
      </c>
      <c r="AP290" s="90"/>
      <c r="AQ290" s="18"/>
      <c r="AR290" s="290"/>
      <c r="AS290" s="467" t="s">
        <v>133</v>
      </c>
      <c r="AT290" s="501">
        <f t="shared" si="151"/>
        <v>0</v>
      </c>
      <c r="AU290" s="502"/>
      <c r="AV290" s="95">
        <f t="shared" si="158"/>
        <v>0</v>
      </c>
      <c r="AW290" s="469" t="str">
        <f t="shared" si="152"/>
        <v>N/A</v>
      </c>
      <c r="AX290" s="290"/>
      <c r="AY290" s="18"/>
      <c r="AZ290" s="3"/>
      <c r="BA290" s="315"/>
      <c r="BB290" s="3"/>
      <c r="BC290" s="3"/>
      <c r="BD290" s="3"/>
      <c r="BE290" s="3"/>
      <c r="BF290" s="18"/>
      <c r="BG290" s="3"/>
      <c r="BH290" s="315"/>
      <c r="BI290" s="3"/>
      <c r="BJ290" s="3"/>
      <c r="BK290" s="3"/>
      <c r="BL290" s="3"/>
      <c r="BM290" s="18"/>
      <c r="BN290" s="3"/>
      <c r="BO290" s="315"/>
      <c r="BP290" s="3"/>
      <c r="BQ290" s="3"/>
      <c r="BR290" s="3"/>
      <c r="BS290" s="3"/>
      <c r="BT290" s="18"/>
      <c r="BU290" s="3"/>
      <c r="BV290" s="315"/>
      <c r="BW290" s="3"/>
      <c r="BX290" s="3"/>
      <c r="BY290" s="3"/>
      <c r="BZ290" s="3"/>
    </row>
    <row r="291" spans="1:78" ht="15.6" hidden="1" outlineLevel="1">
      <c r="A291" s="7"/>
      <c r="B291" s="370"/>
      <c r="C291" s="355"/>
      <c r="D291" s="356"/>
      <c r="E291" s="342"/>
      <c r="F291" s="290"/>
      <c r="G291" s="357">
        <v>0</v>
      </c>
      <c r="H291" s="358">
        <v>0</v>
      </c>
      <c r="I291" s="358">
        <v>0</v>
      </c>
      <c r="J291" s="359">
        <f t="shared" si="153"/>
        <v>0</v>
      </c>
      <c r="K291" s="290"/>
      <c r="L291" s="349"/>
      <c r="M291" s="7"/>
      <c r="N291" s="12"/>
      <c r="O291" s="12"/>
      <c r="P291" s="12"/>
      <c r="Q291" s="361"/>
      <c r="R291" s="362"/>
      <c r="S291" s="363">
        <f t="shared" si="143"/>
        <v>0</v>
      </c>
      <c r="T291" s="364">
        <f t="shared" si="144"/>
        <v>0</v>
      </c>
      <c r="U291" s="365">
        <v>0</v>
      </c>
      <c r="V291" s="91">
        <f>ROUNDUP(IFERROR(INDEX(CostRateTbl[Cost Rate],MATCH(_xlfn.CONCAT(N291,O291,P291,"NA"),CostRateTbl[KeyCostRate],0)),0)*BillingCurrencyTRM*(1+U291),2)</f>
        <v>0</v>
      </c>
      <c r="W291" s="92">
        <f t="shared" si="145"/>
        <v>0</v>
      </c>
      <c r="X291" s="366" t="e" cm="1">
        <f t="array" ref="X291">_xlfn.LET(
    _xlpm.valor, INDEX(CostRate!H:H, MATCH(1, (CostRate!A:A=N291)*1, 0)),
    _xlpm.posicion, MATCH(_xlpm.valor, FilterSL!$F$1:$Z$1, 0),
    _xlpm.direccionCompleta, ADDRESS(1, _xlpm.posicion + 5, 4),
    _xlpm.letraColumna, SUBSTITUTE(_xlpm.direccionCompleta, "1", ""),
    _xlpm.letraColumna
)</f>
        <v>#N/A</v>
      </c>
      <c r="Y291" s="366" t="e" cm="1">
        <f t="array" ref="Y291">_xlfn.LET(
    _xlpm.valor, INDEX(CostRate!I:I, MATCH(1, (CostRate!A:A=N291)*(CostRate!B:B=O291), 0)),
    _xlpm.posicion, MATCH(_xlpm.valor, FilterJP!$E$1:$FZ$1, 0),
    _xlpm.direccionCompleta, ADDRESS(1, _xlpm.posicion + 4, 4),
    _xlpm.letraColumna, SUBSTITUTE(_xlpm.direccionCompleta, "1", ""),
    _xlpm.letraColumna
)</f>
        <v>#N/A</v>
      </c>
      <c r="Z291" s="7"/>
      <c r="AA291" s="367"/>
      <c r="AB291" s="7"/>
      <c r="AC291" s="93">
        <f t="shared" si="146"/>
        <v>0</v>
      </c>
      <c r="AD291" s="94">
        <f t="shared" si="154"/>
        <v>0</v>
      </c>
      <c r="AE291" s="109">
        <f t="shared" si="155"/>
        <v>0</v>
      </c>
      <c r="AF291" s="7"/>
      <c r="AG291" s="369">
        <f t="shared" si="147"/>
        <v>0</v>
      </c>
      <c r="AH291" s="368">
        <f t="shared" si="148"/>
        <v>0</v>
      </c>
      <c r="AI291" s="7"/>
      <c r="AJ291" s="369" cm="1">
        <f t="array" ref="AJ291">IFERROR(INDEX(WHT!$C$7:$W$18,MATCH(
_xlfn.SWITCH(N291,"xDC Medellin","Colombia","xDC Belo Horizonte","Brazil","xDC Guadalajara","Mexico","xDC Gurugram","India","xDC Leon","Spain","xDC San Jose","Costa Rica","xDC Warsaw","Poland",N291),
WHT!$B$7:$B$18,0),MATCH(CustomerCountry,WHT!$C$5:$W$5,0)),0)</f>
        <v>0</v>
      </c>
      <c r="AK291" s="368">
        <f t="shared" si="149"/>
        <v>0</v>
      </c>
      <c r="AL291" s="7"/>
      <c r="AM291" s="95">
        <f t="shared" si="156"/>
        <v>0</v>
      </c>
      <c r="AN291" s="95">
        <f t="shared" si="150"/>
        <v>0</v>
      </c>
      <c r="AO291" s="95">
        <f t="shared" si="157"/>
        <v>0</v>
      </c>
      <c r="AP291" s="90"/>
      <c r="AQ291" s="18"/>
      <c r="AR291" s="290"/>
      <c r="AS291" s="467" t="s">
        <v>133</v>
      </c>
      <c r="AT291" s="501">
        <f t="shared" si="151"/>
        <v>0</v>
      </c>
      <c r="AU291" s="502"/>
      <c r="AV291" s="95">
        <f t="shared" si="158"/>
        <v>0</v>
      </c>
      <c r="AW291" s="469" t="str">
        <f t="shared" si="152"/>
        <v>N/A</v>
      </c>
      <c r="AX291" s="290"/>
      <c r="AY291" s="18"/>
      <c r="AZ291" s="3"/>
      <c r="BA291" s="315"/>
      <c r="BB291" s="3"/>
      <c r="BC291" s="3"/>
      <c r="BD291" s="3"/>
      <c r="BE291" s="3"/>
      <c r="BF291" s="18"/>
      <c r="BG291" s="3"/>
      <c r="BH291" s="315"/>
      <c r="BI291" s="3"/>
      <c r="BJ291" s="3"/>
      <c r="BK291" s="3"/>
      <c r="BL291" s="3"/>
      <c r="BM291" s="18"/>
      <c r="BN291" s="3"/>
      <c r="BO291" s="315"/>
      <c r="BP291" s="3"/>
      <c r="BQ291" s="3"/>
      <c r="BR291" s="3"/>
      <c r="BS291" s="3"/>
      <c r="BT291" s="18"/>
      <c r="BU291" s="3"/>
      <c r="BV291" s="315"/>
      <c r="BW291" s="3"/>
      <c r="BX291" s="3"/>
      <c r="BY291" s="3"/>
      <c r="BZ291" s="3"/>
    </row>
    <row r="292" spans="1:78" ht="15.6" hidden="1" outlineLevel="1">
      <c r="A292" s="7"/>
      <c r="B292" s="370"/>
      <c r="C292" s="355"/>
      <c r="D292" s="356"/>
      <c r="E292" s="342"/>
      <c r="F292" s="290"/>
      <c r="G292" s="357">
        <v>0</v>
      </c>
      <c r="H292" s="358">
        <v>0</v>
      </c>
      <c r="I292" s="358">
        <v>0</v>
      </c>
      <c r="J292" s="359">
        <f t="shared" si="153"/>
        <v>0</v>
      </c>
      <c r="K292" s="290"/>
      <c r="L292" s="349"/>
      <c r="M292" s="7"/>
      <c r="N292" s="12"/>
      <c r="O292" s="12"/>
      <c r="P292" s="12"/>
      <c r="Q292" s="361"/>
      <c r="R292" s="362"/>
      <c r="S292" s="363">
        <f t="shared" si="143"/>
        <v>0</v>
      </c>
      <c r="T292" s="364">
        <f t="shared" si="144"/>
        <v>0</v>
      </c>
      <c r="U292" s="365">
        <v>0</v>
      </c>
      <c r="V292" s="91">
        <f>ROUNDUP(IFERROR(INDEX(CostRateTbl[Cost Rate],MATCH(_xlfn.CONCAT(N292,O292,P292,"NA"),CostRateTbl[KeyCostRate],0)),0)*BillingCurrencyTRM*(1+U292),2)</f>
        <v>0</v>
      </c>
      <c r="W292" s="92">
        <f t="shared" si="145"/>
        <v>0</v>
      </c>
      <c r="X292" s="366" t="e" cm="1">
        <f t="array" ref="X292">_xlfn.LET(
    _xlpm.valor, INDEX(CostRate!H:H, MATCH(1, (CostRate!A:A=N292)*1, 0)),
    _xlpm.posicion, MATCH(_xlpm.valor, FilterSL!$F$1:$Z$1, 0),
    _xlpm.direccionCompleta, ADDRESS(1, _xlpm.posicion + 5, 4),
    _xlpm.letraColumna, SUBSTITUTE(_xlpm.direccionCompleta, "1", ""),
    _xlpm.letraColumna
)</f>
        <v>#N/A</v>
      </c>
      <c r="Y292" s="366" t="e" cm="1">
        <f t="array" ref="Y292">_xlfn.LET(
    _xlpm.valor, INDEX(CostRate!I:I, MATCH(1, (CostRate!A:A=N292)*(CostRate!B:B=O292), 0)),
    _xlpm.posicion, MATCH(_xlpm.valor, FilterJP!$E$1:$FZ$1, 0),
    _xlpm.direccionCompleta, ADDRESS(1, _xlpm.posicion + 4, 4),
    _xlpm.letraColumna, SUBSTITUTE(_xlpm.direccionCompleta, "1", ""),
    _xlpm.letraColumna
)</f>
        <v>#N/A</v>
      </c>
      <c r="Z292" s="7"/>
      <c r="AA292" s="367"/>
      <c r="AB292" s="7"/>
      <c r="AC292" s="93">
        <f t="shared" si="146"/>
        <v>0</v>
      </c>
      <c r="AD292" s="94">
        <f t="shared" si="154"/>
        <v>0</v>
      </c>
      <c r="AE292" s="109">
        <f t="shared" si="155"/>
        <v>0</v>
      </c>
      <c r="AF292" s="7"/>
      <c r="AG292" s="369">
        <f t="shared" si="147"/>
        <v>0</v>
      </c>
      <c r="AH292" s="368">
        <f t="shared" si="148"/>
        <v>0</v>
      </c>
      <c r="AI292" s="7"/>
      <c r="AJ292" s="369" cm="1">
        <f t="array" ref="AJ292">IFERROR(INDEX(WHT!$C$7:$W$18,MATCH(
_xlfn.SWITCH(N292,"xDC Medellin","Colombia","xDC Belo Horizonte","Brazil","xDC Guadalajara","Mexico","xDC Gurugram","India","xDC Leon","Spain","xDC San Jose","Costa Rica","xDC Warsaw","Poland",N292),
WHT!$B$7:$B$18,0),MATCH(CustomerCountry,WHT!$C$5:$W$5,0)),0)</f>
        <v>0</v>
      </c>
      <c r="AK292" s="368">
        <f t="shared" si="149"/>
        <v>0</v>
      </c>
      <c r="AL292" s="7"/>
      <c r="AM292" s="95">
        <f t="shared" si="156"/>
        <v>0</v>
      </c>
      <c r="AN292" s="95">
        <f t="shared" si="150"/>
        <v>0</v>
      </c>
      <c r="AO292" s="95">
        <f t="shared" si="157"/>
        <v>0</v>
      </c>
      <c r="AP292" s="90"/>
      <c r="AQ292" s="18"/>
      <c r="AR292" s="290"/>
      <c r="AS292" s="467" t="s">
        <v>133</v>
      </c>
      <c r="AT292" s="501">
        <f t="shared" si="151"/>
        <v>0</v>
      </c>
      <c r="AU292" s="502"/>
      <c r="AV292" s="95">
        <f t="shared" si="158"/>
        <v>0</v>
      </c>
      <c r="AW292" s="469" t="str">
        <f t="shared" si="152"/>
        <v>N/A</v>
      </c>
      <c r="AX292" s="290"/>
      <c r="AY292" s="18"/>
      <c r="AZ292" s="3"/>
      <c r="BA292" s="315"/>
      <c r="BB292" s="3"/>
      <c r="BC292" s="3"/>
      <c r="BD292" s="3"/>
      <c r="BE292" s="3"/>
      <c r="BF292" s="18"/>
      <c r="BG292" s="3"/>
      <c r="BH292" s="315"/>
      <c r="BI292" s="3"/>
      <c r="BJ292" s="3"/>
      <c r="BK292" s="3"/>
      <c r="BL292" s="3"/>
      <c r="BM292" s="18"/>
      <c r="BN292" s="3"/>
      <c r="BO292" s="315"/>
      <c r="BP292" s="3"/>
      <c r="BQ292" s="3"/>
      <c r="BR292" s="3"/>
      <c r="BS292" s="3"/>
      <c r="BT292" s="18"/>
      <c r="BU292" s="3"/>
      <c r="BV292" s="315"/>
      <c r="BW292" s="3"/>
      <c r="BX292" s="3"/>
      <c r="BY292" s="3"/>
      <c r="BZ292" s="3"/>
    </row>
    <row r="293" spans="1:78" ht="15.6" hidden="1" outlineLevel="1">
      <c r="A293" s="7"/>
      <c r="B293" s="370"/>
      <c r="C293" s="355"/>
      <c r="D293" s="356"/>
      <c r="E293" s="342"/>
      <c r="F293" s="290"/>
      <c r="G293" s="357">
        <v>0</v>
      </c>
      <c r="H293" s="358">
        <v>0</v>
      </c>
      <c r="I293" s="358">
        <v>0</v>
      </c>
      <c r="J293" s="359">
        <f t="shared" si="153"/>
        <v>0</v>
      </c>
      <c r="K293" s="290"/>
      <c r="L293" s="349"/>
      <c r="M293" s="7"/>
      <c r="N293" s="12"/>
      <c r="O293" s="12"/>
      <c r="P293" s="12"/>
      <c r="Q293" s="361"/>
      <c r="R293" s="362"/>
      <c r="S293" s="363">
        <f t="shared" si="143"/>
        <v>0</v>
      </c>
      <c r="T293" s="364">
        <f t="shared" si="144"/>
        <v>0</v>
      </c>
      <c r="U293" s="365">
        <v>0</v>
      </c>
      <c r="V293" s="91">
        <f>ROUNDUP(IFERROR(INDEX(CostRateTbl[Cost Rate],MATCH(_xlfn.CONCAT(N293,O293,P293,"NA"),CostRateTbl[KeyCostRate],0)),0)*BillingCurrencyTRM*(1+U293),2)</f>
        <v>0</v>
      </c>
      <c r="W293" s="92">
        <f t="shared" si="145"/>
        <v>0</v>
      </c>
      <c r="X293" s="366" t="e" cm="1">
        <f t="array" ref="X293">_xlfn.LET(
    _xlpm.valor, INDEX(CostRate!H:H, MATCH(1, (CostRate!A:A=N293)*1, 0)),
    _xlpm.posicion, MATCH(_xlpm.valor, FilterSL!$F$1:$Z$1, 0),
    _xlpm.direccionCompleta, ADDRESS(1, _xlpm.posicion + 5, 4),
    _xlpm.letraColumna, SUBSTITUTE(_xlpm.direccionCompleta, "1", ""),
    _xlpm.letraColumna
)</f>
        <v>#N/A</v>
      </c>
      <c r="Y293" s="366" t="e" cm="1">
        <f t="array" ref="Y293">_xlfn.LET(
    _xlpm.valor, INDEX(CostRate!I:I, MATCH(1, (CostRate!A:A=N293)*(CostRate!B:B=O293), 0)),
    _xlpm.posicion, MATCH(_xlpm.valor, FilterJP!$E$1:$FZ$1, 0),
    _xlpm.direccionCompleta, ADDRESS(1, _xlpm.posicion + 4, 4),
    _xlpm.letraColumna, SUBSTITUTE(_xlpm.direccionCompleta, "1", ""),
    _xlpm.letraColumna
)</f>
        <v>#N/A</v>
      </c>
      <c r="Z293" s="7"/>
      <c r="AA293" s="367"/>
      <c r="AB293" s="7"/>
      <c r="AC293" s="93">
        <f t="shared" si="146"/>
        <v>0</v>
      </c>
      <c r="AD293" s="94">
        <f t="shared" si="154"/>
        <v>0</v>
      </c>
      <c r="AE293" s="109">
        <f t="shared" si="155"/>
        <v>0</v>
      </c>
      <c r="AF293" s="7"/>
      <c r="AG293" s="369">
        <f t="shared" si="147"/>
        <v>0</v>
      </c>
      <c r="AH293" s="368">
        <f t="shared" si="148"/>
        <v>0</v>
      </c>
      <c r="AI293" s="7"/>
      <c r="AJ293" s="369" cm="1">
        <f t="array" ref="AJ293">IFERROR(INDEX(WHT!$C$7:$W$18,MATCH(
_xlfn.SWITCH(N293,"xDC Medellin","Colombia","xDC Belo Horizonte","Brazil","xDC Guadalajara","Mexico","xDC Gurugram","India","xDC Leon","Spain","xDC San Jose","Costa Rica","xDC Warsaw","Poland",N293),
WHT!$B$7:$B$18,0),MATCH(CustomerCountry,WHT!$C$5:$W$5,0)),0)</f>
        <v>0</v>
      </c>
      <c r="AK293" s="368">
        <f t="shared" si="149"/>
        <v>0</v>
      </c>
      <c r="AL293" s="7"/>
      <c r="AM293" s="95">
        <f t="shared" si="156"/>
        <v>0</v>
      </c>
      <c r="AN293" s="95">
        <f t="shared" si="150"/>
        <v>0</v>
      </c>
      <c r="AO293" s="95">
        <f t="shared" si="157"/>
        <v>0</v>
      </c>
      <c r="AP293" s="90"/>
      <c r="AQ293" s="18"/>
      <c r="AR293" s="290"/>
      <c r="AS293" s="467" t="s">
        <v>133</v>
      </c>
      <c r="AT293" s="501">
        <f t="shared" si="151"/>
        <v>0</v>
      </c>
      <c r="AU293" s="502"/>
      <c r="AV293" s="95">
        <f t="shared" si="158"/>
        <v>0</v>
      </c>
      <c r="AW293" s="469" t="str">
        <f t="shared" si="152"/>
        <v>N/A</v>
      </c>
      <c r="AX293" s="290"/>
      <c r="AY293" s="18"/>
      <c r="AZ293" s="3"/>
      <c r="BA293" s="315"/>
      <c r="BB293" s="3"/>
      <c r="BC293" s="3"/>
      <c r="BD293" s="3"/>
      <c r="BE293" s="3"/>
      <c r="BF293" s="18"/>
      <c r="BG293" s="3"/>
      <c r="BH293" s="315"/>
      <c r="BI293" s="3"/>
      <c r="BJ293" s="3"/>
      <c r="BK293" s="3"/>
      <c r="BL293" s="3"/>
      <c r="BM293" s="18"/>
      <c r="BN293" s="3"/>
      <c r="BO293" s="315"/>
      <c r="BP293" s="3"/>
      <c r="BQ293" s="3"/>
      <c r="BR293" s="3"/>
      <c r="BS293" s="3"/>
      <c r="BT293" s="18"/>
      <c r="BU293" s="3"/>
      <c r="BV293" s="315"/>
      <c r="BW293" s="3"/>
      <c r="BX293" s="3"/>
      <c r="BY293" s="3"/>
      <c r="BZ293" s="3"/>
    </row>
    <row r="294" spans="1:78" ht="15.6" hidden="1" outlineLevel="1">
      <c r="A294" s="7"/>
      <c r="B294" s="370"/>
      <c r="C294" s="355"/>
      <c r="D294" s="356"/>
      <c r="E294" s="342"/>
      <c r="F294" s="290"/>
      <c r="G294" s="357">
        <v>0</v>
      </c>
      <c r="H294" s="358">
        <v>0</v>
      </c>
      <c r="I294" s="358">
        <v>0</v>
      </c>
      <c r="J294" s="359">
        <f t="shared" si="153"/>
        <v>0</v>
      </c>
      <c r="K294" s="290"/>
      <c r="L294" s="349"/>
      <c r="M294" s="7"/>
      <c r="N294" s="12"/>
      <c r="O294" s="12"/>
      <c r="P294" s="12"/>
      <c r="Q294" s="361"/>
      <c r="R294" s="362"/>
      <c r="S294" s="363">
        <f t="shared" si="143"/>
        <v>0</v>
      </c>
      <c r="T294" s="364">
        <f t="shared" si="144"/>
        <v>0</v>
      </c>
      <c r="U294" s="365">
        <v>0</v>
      </c>
      <c r="V294" s="91">
        <f>ROUNDUP(IFERROR(INDEX(CostRateTbl[Cost Rate],MATCH(_xlfn.CONCAT(N294,O294,P294,"NA"),CostRateTbl[KeyCostRate],0)),0)*BillingCurrencyTRM*(1+U294),2)</f>
        <v>0</v>
      </c>
      <c r="W294" s="92">
        <f t="shared" si="145"/>
        <v>0</v>
      </c>
      <c r="X294" s="366" t="e" cm="1">
        <f t="array" ref="X294">_xlfn.LET(
    _xlpm.valor, INDEX(CostRate!H:H, MATCH(1, (CostRate!A:A=N294)*1, 0)),
    _xlpm.posicion, MATCH(_xlpm.valor, FilterSL!$F$1:$Z$1, 0),
    _xlpm.direccionCompleta, ADDRESS(1, _xlpm.posicion + 5, 4),
    _xlpm.letraColumna, SUBSTITUTE(_xlpm.direccionCompleta, "1", ""),
    _xlpm.letraColumna
)</f>
        <v>#N/A</v>
      </c>
      <c r="Y294" s="366" t="e" cm="1">
        <f t="array" ref="Y294">_xlfn.LET(
    _xlpm.valor, INDEX(CostRate!I:I, MATCH(1, (CostRate!A:A=N294)*(CostRate!B:B=O294), 0)),
    _xlpm.posicion, MATCH(_xlpm.valor, FilterJP!$E$1:$FZ$1, 0),
    _xlpm.direccionCompleta, ADDRESS(1, _xlpm.posicion + 4, 4),
    _xlpm.letraColumna, SUBSTITUTE(_xlpm.direccionCompleta, "1", ""),
    _xlpm.letraColumna
)</f>
        <v>#N/A</v>
      </c>
      <c r="Z294" s="7"/>
      <c r="AA294" s="367"/>
      <c r="AB294" s="7"/>
      <c r="AC294" s="93">
        <f t="shared" si="146"/>
        <v>0</v>
      </c>
      <c r="AD294" s="94">
        <f t="shared" si="154"/>
        <v>0</v>
      </c>
      <c r="AE294" s="109">
        <f t="shared" si="155"/>
        <v>0</v>
      </c>
      <c r="AF294" s="7"/>
      <c r="AG294" s="369">
        <f t="shared" si="147"/>
        <v>0</v>
      </c>
      <c r="AH294" s="368">
        <f t="shared" si="148"/>
        <v>0</v>
      </c>
      <c r="AI294" s="7"/>
      <c r="AJ294" s="369" cm="1">
        <f t="array" ref="AJ294">IFERROR(INDEX(WHT!$C$7:$W$18,MATCH(
_xlfn.SWITCH(N294,"xDC Medellin","Colombia","xDC Belo Horizonte","Brazil","xDC Guadalajara","Mexico","xDC Gurugram","India","xDC Leon","Spain","xDC San Jose","Costa Rica","xDC Warsaw","Poland",N294),
WHT!$B$7:$B$18,0),MATCH(CustomerCountry,WHT!$C$5:$W$5,0)),0)</f>
        <v>0</v>
      </c>
      <c r="AK294" s="368">
        <f t="shared" si="149"/>
        <v>0</v>
      </c>
      <c r="AL294" s="7"/>
      <c r="AM294" s="95">
        <f t="shared" si="156"/>
        <v>0</v>
      </c>
      <c r="AN294" s="95">
        <f t="shared" si="150"/>
        <v>0</v>
      </c>
      <c r="AO294" s="95">
        <f t="shared" si="157"/>
        <v>0</v>
      </c>
      <c r="AP294" s="90"/>
      <c r="AQ294" s="18"/>
      <c r="AR294" s="290"/>
      <c r="AS294" s="467" t="s">
        <v>133</v>
      </c>
      <c r="AT294" s="501">
        <f t="shared" si="151"/>
        <v>0</v>
      </c>
      <c r="AU294" s="502"/>
      <c r="AV294" s="95">
        <f t="shared" si="158"/>
        <v>0</v>
      </c>
      <c r="AW294" s="469" t="str">
        <f t="shared" si="152"/>
        <v>N/A</v>
      </c>
      <c r="AX294" s="290"/>
      <c r="AY294" s="18"/>
      <c r="AZ294" s="3"/>
      <c r="BA294" s="315"/>
      <c r="BB294" s="3"/>
      <c r="BC294" s="3"/>
      <c r="BD294" s="3"/>
      <c r="BE294" s="3"/>
      <c r="BF294" s="18"/>
      <c r="BG294" s="3"/>
      <c r="BH294" s="315"/>
      <c r="BI294" s="3"/>
      <c r="BJ294" s="3"/>
      <c r="BK294" s="3"/>
      <c r="BL294" s="3"/>
      <c r="BM294" s="18"/>
      <c r="BN294" s="3"/>
      <c r="BO294" s="315"/>
      <c r="BP294" s="3"/>
      <c r="BQ294" s="3"/>
      <c r="BR294" s="3"/>
      <c r="BS294" s="3"/>
      <c r="BT294" s="18"/>
      <c r="BU294" s="3"/>
      <c r="BV294" s="315"/>
      <c r="BW294" s="3"/>
      <c r="BX294" s="3"/>
      <c r="BY294" s="3"/>
      <c r="BZ294" s="3"/>
    </row>
    <row r="295" spans="1:78" ht="15.6" hidden="1" outlineLevel="1">
      <c r="A295" s="7"/>
      <c r="B295" s="370"/>
      <c r="C295" s="355"/>
      <c r="D295" s="356"/>
      <c r="E295" s="342"/>
      <c r="F295" s="290"/>
      <c r="G295" s="357">
        <v>0</v>
      </c>
      <c r="H295" s="358">
        <v>0</v>
      </c>
      <c r="I295" s="358">
        <v>0</v>
      </c>
      <c r="J295" s="359">
        <f t="shared" si="153"/>
        <v>0</v>
      </c>
      <c r="K295" s="290"/>
      <c r="L295" s="349"/>
      <c r="M295" s="7"/>
      <c r="N295" s="12"/>
      <c r="O295" s="12"/>
      <c r="P295" s="12"/>
      <c r="Q295" s="361"/>
      <c r="R295" s="362"/>
      <c r="S295" s="363">
        <f t="shared" si="143"/>
        <v>0</v>
      </c>
      <c r="T295" s="364">
        <f t="shared" si="144"/>
        <v>0</v>
      </c>
      <c r="U295" s="365">
        <v>0</v>
      </c>
      <c r="V295" s="91">
        <f>ROUNDUP(IFERROR(INDEX(CostRateTbl[Cost Rate],MATCH(_xlfn.CONCAT(N295,O295,P295,"NA"),CostRateTbl[KeyCostRate],0)),0)*BillingCurrencyTRM*(1+U295),2)</f>
        <v>0</v>
      </c>
      <c r="W295" s="92">
        <f t="shared" si="145"/>
        <v>0</v>
      </c>
      <c r="X295" s="366" t="e" cm="1">
        <f t="array" ref="X295">_xlfn.LET(
    _xlpm.valor, INDEX(CostRate!H:H, MATCH(1, (CostRate!A:A=N295)*1, 0)),
    _xlpm.posicion, MATCH(_xlpm.valor, FilterSL!$F$1:$Z$1, 0),
    _xlpm.direccionCompleta, ADDRESS(1, _xlpm.posicion + 5, 4),
    _xlpm.letraColumna, SUBSTITUTE(_xlpm.direccionCompleta, "1", ""),
    _xlpm.letraColumna
)</f>
        <v>#N/A</v>
      </c>
      <c r="Y295" s="366" t="e" cm="1">
        <f t="array" ref="Y295">_xlfn.LET(
    _xlpm.valor, INDEX(CostRate!I:I, MATCH(1, (CostRate!A:A=N295)*(CostRate!B:B=O295), 0)),
    _xlpm.posicion, MATCH(_xlpm.valor, FilterJP!$E$1:$FZ$1, 0),
    _xlpm.direccionCompleta, ADDRESS(1, _xlpm.posicion + 4, 4),
    _xlpm.letraColumna, SUBSTITUTE(_xlpm.direccionCompleta, "1", ""),
    _xlpm.letraColumna
)</f>
        <v>#N/A</v>
      </c>
      <c r="Z295" s="7"/>
      <c r="AA295" s="367"/>
      <c r="AB295" s="7"/>
      <c r="AC295" s="93">
        <f t="shared" si="146"/>
        <v>0</v>
      </c>
      <c r="AD295" s="94">
        <f t="shared" si="154"/>
        <v>0</v>
      </c>
      <c r="AE295" s="109">
        <f t="shared" si="155"/>
        <v>0</v>
      </c>
      <c r="AF295" s="7"/>
      <c r="AG295" s="369">
        <f t="shared" si="147"/>
        <v>0</v>
      </c>
      <c r="AH295" s="368">
        <f t="shared" si="148"/>
        <v>0</v>
      </c>
      <c r="AI295" s="7"/>
      <c r="AJ295" s="369" cm="1">
        <f t="array" ref="AJ295">IFERROR(INDEX(WHT!$C$7:$W$18,MATCH(
_xlfn.SWITCH(N295,"xDC Medellin","Colombia","xDC Belo Horizonte","Brazil","xDC Guadalajara","Mexico","xDC Gurugram","India","xDC Leon","Spain","xDC San Jose","Costa Rica","xDC Warsaw","Poland",N295),
WHT!$B$7:$B$18,0),MATCH(CustomerCountry,WHT!$C$5:$W$5,0)),0)</f>
        <v>0</v>
      </c>
      <c r="AK295" s="368">
        <f t="shared" si="149"/>
        <v>0</v>
      </c>
      <c r="AL295" s="7"/>
      <c r="AM295" s="95">
        <f t="shared" si="156"/>
        <v>0</v>
      </c>
      <c r="AN295" s="95">
        <f t="shared" si="150"/>
        <v>0</v>
      </c>
      <c r="AO295" s="95">
        <f t="shared" si="157"/>
        <v>0</v>
      </c>
      <c r="AP295" s="90"/>
      <c r="AQ295" s="18"/>
      <c r="AR295" s="290"/>
      <c r="AS295" s="467" t="s">
        <v>133</v>
      </c>
      <c r="AT295" s="501">
        <f t="shared" si="151"/>
        <v>0</v>
      </c>
      <c r="AU295" s="502"/>
      <c r="AV295" s="95">
        <f t="shared" si="158"/>
        <v>0</v>
      </c>
      <c r="AW295" s="469" t="str">
        <f t="shared" si="152"/>
        <v>N/A</v>
      </c>
      <c r="AX295" s="290"/>
      <c r="AY295" s="18"/>
      <c r="AZ295" s="3"/>
      <c r="BA295" s="315"/>
      <c r="BB295" s="3"/>
      <c r="BC295" s="3"/>
      <c r="BD295" s="3"/>
      <c r="BE295" s="3"/>
      <c r="BF295" s="18"/>
      <c r="BG295" s="3"/>
      <c r="BH295" s="315"/>
      <c r="BI295" s="3"/>
      <c r="BJ295" s="3"/>
      <c r="BK295" s="3"/>
      <c r="BL295" s="3"/>
      <c r="BM295" s="18"/>
      <c r="BN295" s="3"/>
      <c r="BO295" s="315"/>
      <c r="BP295" s="3"/>
      <c r="BQ295" s="3"/>
      <c r="BR295" s="3"/>
      <c r="BS295" s="3"/>
      <c r="BT295" s="18"/>
      <c r="BU295" s="3"/>
      <c r="BV295" s="315"/>
      <c r="BW295" s="3"/>
      <c r="BX295" s="3"/>
      <c r="BY295" s="3"/>
      <c r="BZ295" s="3"/>
    </row>
    <row r="296" spans="1:78" ht="15.6" hidden="1" outlineLevel="1">
      <c r="A296" s="7"/>
      <c r="B296" s="370"/>
      <c r="C296" s="355"/>
      <c r="D296" s="356"/>
      <c r="E296" s="342"/>
      <c r="F296" s="290"/>
      <c r="G296" s="357">
        <v>0</v>
      </c>
      <c r="H296" s="358">
        <v>0</v>
      </c>
      <c r="I296" s="358">
        <v>0</v>
      </c>
      <c r="J296" s="359">
        <f t="shared" si="153"/>
        <v>0</v>
      </c>
      <c r="K296" s="290"/>
      <c r="L296" s="349"/>
      <c r="M296" s="7"/>
      <c r="N296" s="12"/>
      <c r="O296" s="12"/>
      <c r="P296" s="12"/>
      <c r="Q296" s="361"/>
      <c r="R296" s="362"/>
      <c r="S296" s="363">
        <f t="shared" si="143"/>
        <v>0</v>
      </c>
      <c r="T296" s="364">
        <f t="shared" si="144"/>
        <v>0</v>
      </c>
      <c r="U296" s="365">
        <v>0</v>
      </c>
      <c r="V296" s="91">
        <f>ROUNDUP(IFERROR(INDEX(CostRateTbl[Cost Rate],MATCH(_xlfn.CONCAT(N296,O296,P296,"NA"),CostRateTbl[KeyCostRate],0)),0)*BillingCurrencyTRM*(1+U296),2)</f>
        <v>0</v>
      </c>
      <c r="W296" s="92">
        <f t="shared" si="145"/>
        <v>0</v>
      </c>
      <c r="X296" s="366" t="e" cm="1">
        <f t="array" ref="X296">_xlfn.LET(
    _xlpm.valor, INDEX(CostRate!H:H, MATCH(1, (CostRate!A:A=N296)*1, 0)),
    _xlpm.posicion, MATCH(_xlpm.valor, FilterSL!$F$1:$Z$1, 0),
    _xlpm.direccionCompleta, ADDRESS(1, _xlpm.posicion + 5, 4),
    _xlpm.letraColumna, SUBSTITUTE(_xlpm.direccionCompleta, "1", ""),
    _xlpm.letraColumna
)</f>
        <v>#N/A</v>
      </c>
      <c r="Y296" s="366" t="e" cm="1">
        <f t="array" ref="Y296">_xlfn.LET(
    _xlpm.valor, INDEX(CostRate!I:I, MATCH(1, (CostRate!A:A=N296)*(CostRate!B:B=O296), 0)),
    _xlpm.posicion, MATCH(_xlpm.valor, FilterJP!$E$1:$FZ$1, 0),
    _xlpm.direccionCompleta, ADDRESS(1, _xlpm.posicion + 4, 4),
    _xlpm.letraColumna, SUBSTITUTE(_xlpm.direccionCompleta, "1", ""),
    _xlpm.letraColumna
)</f>
        <v>#N/A</v>
      </c>
      <c r="Z296" s="7"/>
      <c r="AA296" s="367"/>
      <c r="AB296" s="7"/>
      <c r="AC296" s="93">
        <f t="shared" si="146"/>
        <v>0</v>
      </c>
      <c r="AD296" s="94">
        <f t="shared" si="154"/>
        <v>0</v>
      </c>
      <c r="AE296" s="109">
        <f t="shared" si="155"/>
        <v>0</v>
      </c>
      <c r="AF296" s="7"/>
      <c r="AG296" s="369">
        <f t="shared" si="147"/>
        <v>0</v>
      </c>
      <c r="AH296" s="368">
        <f t="shared" si="148"/>
        <v>0</v>
      </c>
      <c r="AI296" s="7"/>
      <c r="AJ296" s="369" cm="1">
        <f t="array" ref="AJ296">IFERROR(INDEX(WHT!$C$7:$W$18,MATCH(
_xlfn.SWITCH(N296,"xDC Medellin","Colombia","xDC Belo Horizonte","Brazil","xDC Guadalajara","Mexico","xDC Gurugram","India","xDC Leon","Spain","xDC San Jose","Costa Rica","xDC Warsaw","Poland",N296),
WHT!$B$7:$B$18,0),MATCH(CustomerCountry,WHT!$C$5:$W$5,0)),0)</f>
        <v>0</v>
      </c>
      <c r="AK296" s="368">
        <f t="shared" si="149"/>
        <v>0</v>
      </c>
      <c r="AL296" s="7"/>
      <c r="AM296" s="95">
        <f t="shared" si="156"/>
        <v>0</v>
      </c>
      <c r="AN296" s="95">
        <f t="shared" si="150"/>
        <v>0</v>
      </c>
      <c r="AO296" s="95">
        <f t="shared" si="157"/>
        <v>0</v>
      </c>
      <c r="AP296" s="90"/>
      <c r="AQ296" s="18"/>
      <c r="AR296" s="290"/>
      <c r="AS296" s="467" t="s">
        <v>133</v>
      </c>
      <c r="AT296" s="501">
        <f t="shared" si="151"/>
        <v>0</v>
      </c>
      <c r="AU296" s="502"/>
      <c r="AV296" s="95">
        <f t="shared" si="158"/>
        <v>0</v>
      </c>
      <c r="AW296" s="469" t="str">
        <f t="shared" si="152"/>
        <v>N/A</v>
      </c>
      <c r="AX296" s="290"/>
      <c r="AY296" s="18"/>
      <c r="AZ296" s="3"/>
      <c r="BA296" s="315"/>
      <c r="BB296" s="3"/>
      <c r="BC296" s="3"/>
      <c r="BD296" s="3"/>
      <c r="BE296" s="3"/>
      <c r="BF296" s="18"/>
      <c r="BG296" s="3"/>
      <c r="BH296" s="315"/>
      <c r="BI296" s="3"/>
      <c r="BJ296" s="3"/>
      <c r="BK296" s="3"/>
      <c r="BL296" s="3"/>
      <c r="BM296" s="18"/>
      <c r="BN296" s="3"/>
      <c r="BO296" s="315"/>
      <c r="BP296" s="3"/>
      <c r="BQ296" s="3"/>
      <c r="BR296" s="3"/>
      <c r="BS296" s="3"/>
      <c r="BT296" s="18"/>
      <c r="BU296" s="3"/>
      <c r="BV296" s="315"/>
      <c r="BW296" s="3"/>
      <c r="BX296" s="3"/>
      <c r="BY296" s="3"/>
      <c r="BZ296" s="3"/>
    </row>
    <row r="297" spans="1:78" ht="15.6" hidden="1" outlineLevel="1">
      <c r="A297" s="7"/>
      <c r="B297" s="370"/>
      <c r="C297" s="355"/>
      <c r="D297" s="356"/>
      <c r="E297" s="342"/>
      <c r="F297" s="290"/>
      <c r="G297" s="357">
        <v>0</v>
      </c>
      <c r="H297" s="358">
        <v>0</v>
      </c>
      <c r="I297" s="358">
        <v>0</v>
      </c>
      <c r="J297" s="359">
        <f t="shared" si="153"/>
        <v>0</v>
      </c>
      <c r="K297" s="290"/>
      <c r="L297" s="349"/>
      <c r="M297" s="7"/>
      <c r="N297" s="12"/>
      <c r="O297" s="12"/>
      <c r="P297" s="12"/>
      <c r="Q297" s="361"/>
      <c r="R297" s="362"/>
      <c r="S297" s="363">
        <f t="shared" si="143"/>
        <v>0</v>
      </c>
      <c r="T297" s="364">
        <f t="shared" si="144"/>
        <v>0</v>
      </c>
      <c r="U297" s="365">
        <v>0</v>
      </c>
      <c r="V297" s="91">
        <f>ROUNDUP(IFERROR(INDEX(CostRateTbl[Cost Rate],MATCH(_xlfn.CONCAT(N297,O297,P297,"NA"),CostRateTbl[KeyCostRate],0)),0)*BillingCurrencyTRM*(1+U297),2)</f>
        <v>0</v>
      </c>
      <c r="W297" s="92">
        <f t="shared" si="145"/>
        <v>0</v>
      </c>
      <c r="X297" s="366" t="e" cm="1">
        <f t="array" ref="X297">_xlfn.LET(
    _xlpm.valor, INDEX(CostRate!H:H, MATCH(1, (CostRate!A:A=N297)*1, 0)),
    _xlpm.posicion, MATCH(_xlpm.valor, FilterSL!$F$1:$Z$1, 0),
    _xlpm.direccionCompleta, ADDRESS(1, _xlpm.posicion + 5, 4),
    _xlpm.letraColumna, SUBSTITUTE(_xlpm.direccionCompleta, "1", ""),
    _xlpm.letraColumna
)</f>
        <v>#N/A</v>
      </c>
      <c r="Y297" s="366" t="e" cm="1">
        <f t="array" ref="Y297">_xlfn.LET(
    _xlpm.valor, INDEX(CostRate!I:I, MATCH(1, (CostRate!A:A=N297)*(CostRate!B:B=O297), 0)),
    _xlpm.posicion, MATCH(_xlpm.valor, FilterJP!$E$1:$FZ$1, 0),
    _xlpm.direccionCompleta, ADDRESS(1, _xlpm.posicion + 4, 4),
    _xlpm.letraColumna, SUBSTITUTE(_xlpm.direccionCompleta, "1", ""),
    _xlpm.letraColumna
)</f>
        <v>#N/A</v>
      </c>
      <c r="Z297" s="7"/>
      <c r="AA297" s="367"/>
      <c r="AB297" s="7"/>
      <c r="AC297" s="93">
        <f t="shared" si="146"/>
        <v>0</v>
      </c>
      <c r="AD297" s="94">
        <f t="shared" si="154"/>
        <v>0</v>
      </c>
      <c r="AE297" s="109">
        <f t="shared" si="155"/>
        <v>0</v>
      </c>
      <c r="AF297" s="7"/>
      <c r="AG297" s="369">
        <f t="shared" si="147"/>
        <v>0</v>
      </c>
      <c r="AH297" s="368">
        <f t="shared" si="148"/>
        <v>0</v>
      </c>
      <c r="AI297" s="7"/>
      <c r="AJ297" s="369" cm="1">
        <f t="array" ref="AJ297">IFERROR(INDEX(WHT!$C$7:$W$18,MATCH(
_xlfn.SWITCH(N297,"xDC Medellin","Colombia","xDC Belo Horizonte","Brazil","xDC Guadalajara","Mexico","xDC Gurugram","India","xDC Leon","Spain","xDC San Jose","Costa Rica","xDC Warsaw","Poland",N297),
WHT!$B$7:$B$18,0),MATCH(CustomerCountry,WHT!$C$5:$W$5,0)),0)</f>
        <v>0</v>
      </c>
      <c r="AK297" s="368">
        <f t="shared" si="149"/>
        <v>0</v>
      </c>
      <c r="AL297" s="7"/>
      <c r="AM297" s="95">
        <f t="shared" si="156"/>
        <v>0</v>
      </c>
      <c r="AN297" s="95">
        <f t="shared" si="150"/>
        <v>0</v>
      </c>
      <c r="AO297" s="95">
        <f t="shared" si="157"/>
        <v>0</v>
      </c>
      <c r="AP297" s="90"/>
      <c r="AQ297" s="18"/>
      <c r="AR297" s="290"/>
      <c r="AS297" s="467" t="s">
        <v>133</v>
      </c>
      <c r="AT297" s="501">
        <f t="shared" si="151"/>
        <v>0</v>
      </c>
      <c r="AU297" s="502"/>
      <c r="AV297" s="95">
        <f t="shared" si="158"/>
        <v>0</v>
      </c>
      <c r="AW297" s="469" t="str">
        <f t="shared" si="152"/>
        <v>N/A</v>
      </c>
      <c r="AX297" s="290"/>
      <c r="AY297" s="18"/>
      <c r="AZ297" s="3"/>
      <c r="BA297" s="315"/>
      <c r="BB297" s="3"/>
      <c r="BC297" s="3"/>
      <c r="BD297" s="3"/>
      <c r="BE297" s="3"/>
      <c r="BF297" s="18"/>
      <c r="BG297" s="3"/>
      <c r="BH297" s="315"/>
      <c r="BI297" s="3"/>
      <c r="BJ297" s="3"/>
      <c r="BK297" s="3"/>
      <c r="BL297" s="3"/>
      <c r="BM297" s="18"/>
      <c r="BN297" s="3"/>
      <c r="BO297" s="315"/>
      <c r="BP297" s="3"/>
      <c r="BQ297" s="3"/>
      <c r="BR297" s="3"/>
      <c r="BS297" s="3"/>
      <c r="BT297" s="18"/>
      <c r="BU297" s="3"/>
      <c r="BV297" s="315"/>
      <c r="BW297" s="3"/>
      <c r="BX297" s="3"/>
      <c r="BY297" s="3"/>
      <c r="BZ297" s="3"/>
    </row>
    <row r="298" spans="1:78" ht="15.6" hidden="1" outlineLevel="1">
      <c r="A298" s="7"/>
      <c r="B298" s="370"/>
      <c r="C298" s="355"/>
      <c r="D298" s="356"/>
      <c r="E298" s="342"/>
      <c r="F298" s="290"/>
      <c r="G298" s="357">
        <v>0</v>
      </c>
      <c r="H298" s="358">
        <v>0</v>
      </c>
      <c r="I298" s="358">
        <v>0</v>
      </c>
      <c r="J298" s="359">
        <f t="shared" si="153"/>
        <v>0</v>
      </c>
      <c r="K298" s="290"/>
      <c r="L298" s="349"/>
      <c r="M298" s="7"/>
      <c r="N298" s="12"/>
      <c r="O298" s="12"/>
      <c r="P298" s="12"/>
      <c r="Q298" s="361"/>
      <c r="R298" s="362"/>
      <c r="S298" s="363">
        <f t="shared" si="143"/>
        <v>0</v>
      </c>
      <c r="T298" s="364">
        <f t="shared" si="144"/>
        <v>0</v>
      </c>
      <c r="U298" s="365">
        <v>0</v>
      </c>
      <c r="V298" s="91">
        <f>ROUNDUP(IFERROR(INDEX(CostRateTbl[Cost Rate],MATCH(_xlfn.CONCAT(N298,O298,P298,"NA"),CostRateTbl[KeyCostRate],0)),0)*BillingCurrencyTRM*(1+U298),2)</f>
        <v>0</v>
      </c>
      <c r="W298" s="92">
        <f t="shared" si="145"/>
        <v>0</v>
      </c>
      <c r="X298" s="366" t="e" cm="1">
        <f t="array" ref="X298">_xlfn.LET(
    _xlpm.valor, INDEX(CostRate!H:H, MATCH(1, (CostRate!A:A=N298)*1, 0)),
    _xlpm.posicion, MATCH(_xlpm.valor, FilterSL!$F$1:$Z$1, 0),
    _xlpm.direccionCompleta, ADDRESS(1, _xlpm.posicion + 5, 4),
    _xlpm.letraColumna, SUBSTITUTE(_xlpm.direccionCompleta, "1", ""),
    _xlpm.letraColumna
)</f>
        <v>#N/A</v>
      </c>
      <c r="Y298" s="366" t="e" cm="1">
        <f t="array" ref="Y298">_xlfn.LET(
    _xlpm.valor, INDEX(CostRate!I:I, MATCH(1, (CostRate!A:A=N298)*(CostRate!B:B=O298), 0)),
    _xlpm.posicion, MATCH(_xlpm.valor, FilterJP!$E$1:$FZ$1, 0),
    _xlpm.direccionCompleta, ADDRESS(1, _xlpm.posicion + 4, 4),
    _xlpm.letraColumna, SUBSTITUTE(_xlpm.direccionCompleta, "1", ""),
    _xlpm.letraColumna
)</f>
        <v>#N/A</v>
      </c>
      <c r="Z298" s="7"/>
      <c r="AA298" s="367"/>
      <c r="AB298" s="7"/>
      <c r="AC298" s="93">
        <f t="shared" si="146"/>
        <v>0</v>
      </c>
      <c r="AD298" s="94">
        <f t="shared" si="154"/>
        <v>0</v>
      </c>
      <c r="AE298" s="109">
        <f t="shared" si="155"/>
        <v>0</v>
      </c>
      <c r="AF298" s="7"/>
      <c r="AG298" s="369">
        <f t="shared" si="147"/>
        <v>0</v>
      </c>
      <c r="AH298" s="368">
        <f t="shared" si="148"/>
        <v>0</v>
      </c>
      <c r="AI298" s="7"/>
      <c r="AJ298" s="369" cm="1">
        <f t="array" ref="AJ298">IFERROR(INDEX(WHT!$C$7:$W$18,MATCH(
_xlfn.SWITCH(N298,"xDC Medellin","Colombia","xDC Belo Horizonte","Brazil","xDC Guadalajara","Mexico","xDC Gurugram","India","xDC Leon","Spain","xDC San Jose","Costa Rica","xDC Warsaw","Poland",N298),
WHT!$B$7:$B$18,0),MATCH(CustomerCountry,WHT!$C$5:$W$5,0)),0)</f>
        <v>0</v>
      </c>
      <c r="AK298" s="368">
        <f t="shared" si="149"/>
        <v>0</v>
      </c>
      <c r="AL298" s="7"/>
      <c r="AM298" s="95">
        <f t="shared" si="156"/>
        <v>0</v>
      </c>
      <c r="AN298" s="95">
        <f t="shared" si="150"/>
        <v>0</v>
      </c>
      <c r="AO298" s="95">
        <f t="shared" si="157"/>
        <v>0</v>
      </c>
      <c r="AP298" s="90"/>
      <c r="AQ298" s="18"/>
      <c r="AR298" s="290"/>
      <c r="AS298" s="467" t="s">
        <v>133</v>
      </c>
      <c r="AT298" s="501">
        <f t="shared" si="151"/>
        <v>0</v>
      </c>
      <c r="AU298" s="502"/>
      <c r="AV298" s="95">
        <f t="shared" si="158"/>
        <v>0</v>
      </c>
      <c r="AW298" s="469" t="str">
        <f t="shared" si="152"/>
        <v>N/A</v>
      </c>
      <c r="AX298" s="290"/>
      <c r="AY298" s="18"/>
      <c r="AZ298" s="3"/>
      <c r="BA298" s="315"/>
      <c r="BB298" s="3"/>
      <c r="BC298" s="3"/>
      <c r="BD298" s="3"/>
      <c r="BE298" s="3"/>
      <c r="BF298" s="18"/>
      <c r="BG298" s="3"/>
      <c r="BH298" s="315"/>
      <c r="BI298" s="3"/>
      <c r="BJ298" s="3"/>
      <c r="BK298" s="3"/>
      <c r="BL298" s="3"/>
      <c r="BM298" s="18"/>
      <c r="BN298" s="3"/>
      <c r="BO298" s="315"/>
      <c r="BP298" s="3"/>
      <c r="BQ298" s="3"/>
      <c r="BR298" s="3"/>
      <c r="BS298" s="3"/>
      <c r="BT298" s="18"/>
      <c r="BU298" s="3"/>
      <c r="BV298" s="315"/>
      <c r="BW298" s="3"/>
      <c r="BX298" s="3"/>
      <c r="BY298" s="3"/>
      <c r="BZ298" s="3"/>
    </row>
    <row r="299" spans="1:78" ht="15.6" hidden="1" outlineLevel="1">
      <c r="A299" s="7"/>
      <c r="B299" s="370"/>
      <c r="C299" s="355"/>
      <c r="D299" s="356"/>
      <c r="E299" s="342"/>
      <c r="F299" s="290"/>
      <c r="G299" s="357">
        <v>0</v>
      </c>
      <c r="H299" s="358">
        <v>0</v>
      </c>
      <c r="I299" s="358">
        <v>0</v>
      </c>
      <c r="J299" s="359">
        <f t="shared" si="153"/>
        <v>0</v>
      </c>
      <c r="K299" s="290"/>
      <c r="L299" s="349"/>
      <c r="M299" s="7"/>
      <c r="N299" s="12"/>
      <c r="O299" s="12"/>
      <c r="P299" s="12"/>
      <c r="Q299" s="361"/>
      <c r="R299" s="362"/>
      <c r="S299" s="363">
        <f t="shared" si="143"/>
        <v>0</v>
      </c>
      <c r="T299" s="364">
        <f t="shared" si="144"/>
        <v>0</v>
      </c>
      <c r="U299" s="365">
        <v>0</v>
      </c>
      <c r="V299" s="91">
        <f>ROUNDUP(IFERROR(INDEX(CostRateTbl[Cost Rate],MATCH(_xlfn.CONCAT(N299,O299,P299,"NA"),CostRateTbl[KeyCostRate],0)),0)*BillingCurrencyTRM*(1+U299),2)</f>
        <v>0</v>
      </c>
      <c r="W299" s="92">
        <f t="shared" si="145"/>
        <v>0</v>
      </c>
      <c r="X299" s="366" t="e" cm="1">
        <f t="array" ref="X299">_xlfn.LET(
    _xlpm.valor, INDEX(CostRate!H:H, MATCH(1, (CostRate!A:A=N299)*1, 0)),
    _xlpm.posicion, MATCH(_xlpm.valor, FilterSL!$F$1:$Z$1, 0),
    _xlpm.direccionCompleta, ADDRESS(1, _xlpm.posicion + 5, 4),
    _xlpm.letraColumna, SUBSTITUTE(_xlpm.direccionCompleta, "1", ""),
    _xlpm.letraColumna
)</f>
        <v>#N/A</v>
      </c>
      <c r="Y299" s="366" t="e" cm="1">
        <f t="array" ref="Y299">_xlfn.LET(
    _xlpm.valor, INDEX(CostRate!I:I, MATCH(1, (CostRate!A:A=N299)*(CostRate!B:B=O299), 0)),
    _xlpm.posicion, MATCH(_xlpm.valor, FilterJP!$E$1:$FZ$1, 0),
    _xlpm.direccionCompleta, ADDRESS(1, _xlpm.posicion + 4, 4),
    _xlpm.letraColumna, SUBSTITUTE(_xlpm.direccionCompleta, "1", ""),
    _xlpm.letraColumna
)</f>
        <v>#N/A</v>
      </c>
      <c r="Z299" s="7"/>
      <c r="AA299" s="367"/>
      <c r="AB299" s="7"/>
      <c r="AC299" s="93">
        <f t="shared" si="146"/>
        <v>0</v>
      </c>
      <c r="AD299" s="94">
        <f t="shared" si="154"/>
        <v>0</v>
      </c>
      <c r="AE299" s="109">
        <f t="shared" si="155"/>
        <v>0</v>
      </c>
      <c r="AF299" s="7"/>
      <c r="AG299" s="369">
        <f t="shared" si="147"/>
        <v>0</v>
      </c>
      <c r="AH299" s="368">
        <f t="shared" si="148"/>
        <v>0</v>
      </c>
      <c r="AI299" s="7"/>
      <c r="AJ299" s="369" cm="1">
        <f t="array" ref="AJ299">IFERROR(INDEX(WHT!$C$7:$W$18,MATCH(
_xlfn.SWITCH(N299,"xDC Medellin","Colombia","xDC Belo Horizonte","Brazil","xDC Guadalajara","Mexico","xDC Gurugram","India","xDC Leon","Spain","xDC San Jose","Costa Rica","xDC Warsaw","Poland",N299),
WHT!$B$7:$B$18,0),MATCH(CustomerCountry,WHT!$C$5:$W$5,0)),0)</f>
        <v>0</v>
      </c>
      <c r="AK299" s="368">
        <f t="shared" si="149"/>
        <v>0</v>
      </c>
      <c r="AL299" s="7"/>
      <c r="AM299" s="95">
        <f t="shared" si="156"/>
        <v>0</v>
      </c>
      <c r="AN299" s="95">
        <f t="shared" si="150"/>
        <v>0</v>
      </c>
      <c r="AO299" s="95">
        <f t="shared" si="157"/>
        <v>0</v>
      </c>
      <c r="AP299" s="90"/>
      <c r="AQ299" s="18"/>
      <c r="AR299" s="290"/>
      <c r="AS299" s="467" t="s">
        <v>133</v>
      </c>
      <c r="AT299" s="501">
        <f t="shared" si="151"/>
        <v>0</v>
      </c>
      <c r="AU299" s="502"/>
      <c r="AV299" s="95">
        <f t="shared" si="158"/>
        <v>0</v>
      </c>
      <c r="AW299" s="469" t="str">
        <f t="shared" si="152"/>
        <v>N/A</v>
      </c>
      <c r="AX299" s="290"/>
      <c r="AY299" s="18"/>
      <c r="AZ299" s="3"/>
      <c r="BA299" s="315"/>
      <c r="BB299" s="3"/>
      <c r="BC299" s="3"/>
      <c r="BD299" s="3"/>
      <c r="BE299" s="3"/>
      <c r="BF299" s="18"/>
      <c r="BG299" s="3"/>
      <c r="BH299" s="315"/>
      <c r="BI299" s="3"/>
      <c r="BJ299" s="3"/>
      <c r="BK299" s="3"/>
      <c r="BL299" s="3"/>
      <c r="BM299" s="18"/>
      <c r="BN299" s="3"/>
      <c r="BO299" s="315"/>
      <c r="BP299" s="3"/>
      <c r="BQ299" s="3"/>
      <c r="BR299" s="3"/>
      <c r="BS299" s="3"/>
      <c r="BT299" s="18"/>
      <c r="BU299" s="3"/>
      <c r="BV299" s="315"/>
      <c r="BW299" s="3"/>
      <c r="BX299" s="3"/>
      <c r="BY299" s="3"/>
      <c r="BZ299" s="3"/>
    </row>
    <row r="300" spans="1:78" ht="15.6" hidden="1" outlineLevel="1">
      <c r="A300" s="7"/>
      <c r="B300" s="370"/>
      <c r="C300" s="355"/>
      <c r="D300" s="356"/>
      <c r="E300" s="342"/>
      <c r="F300" s="290"/>
      <c r="G300" s="357">
        <v>0</v>
      </c>
      <c r="H300" s="358">
        <v>0</v>
      </c>
      <c r="I300" s="358">
        <v>0</v>
      </c>
      <c r="J300" s="359">
        <f t="shared" si="153"/>
        <v>0</v>
      </c>
      <c r="K300" s="290"/>
      <c r="L300" s="349"/>
      <c r="M300" s="7"/>
      <c r="N300" s="12"/>
      <c r="O300" s="12"/>
      <c r="P300" s="12"/>
      <c r="Q300" s="361"/>
      <c r="R300" s="362"/>
      <c r="S300" s="363">
        <f t="shared" si="143"/>
        <v>0</v>
      </c>
      <c r="T300" s="364">
        <f t="shared" si="144"/>
        <v>0</v>
      </c>
      <c r="U300" s="365">
        <v>0</v>
      </c>
      <c r="V300" s="91">
        <f>ROUNDUP(IFERROR(INDEX(CostRateTbl[Cost Rate],MATCH(_xlfn.CONCAT(N300,O300,P300,"NA"),CostRateTbl[KeyCostRate],0)),0)*BillingCurrencyTRM*(1+U300),2)</f>
        <v>0</v>
      </c>
      <c r="W300" s="92">
        <f t="shared" si="145"/>
        <v>0</v>
      </c>
      <c r="X300" s="366" t="e" cm="1">
        <f t="array" ref="X300">_xlfn.LET(
    _xlpm.valor, INDEX(CostRate!H:H, MATCH(1, (CostRate!A:A=N300)*1, 0)),
    _xlpm.posicion, MATCH(_xlpm.valor, FilterSL!$F$1:$Z$1, 0),
    _xlpm.direccionCompleta, ADDRESS(1, _xlpm.posicion + 5, 4),
    _xlpm.letraColumna, SUBSTITUTE(_xlpm.direccionCompleta, "1", ""),
    _xlpm.letraColumna
)</f>
        <v>#N/A</v>
      </c>
      <c r="Y300" s="366" t="e" cm="1">
        <f t="array" ref="Y300">_xlfn.LET(
    _xlpm.valor, INDEX(CostRate!I:I, MATCH(1, (CostRate!A:A=N300)*(CostRate!B:B=O300), 0)),
    _xlpm.posicion, MATCH(_xlpm.valor, FilterJP!$E$1:$FZ$1, 0),
    _xlpm.direccionCompleta, ADDRESS(1, _xlpm.posicion + 4, 4),
    _xlpm.letraColumna, SUBSTITUTE(_xlpm.direccionCompleta, "1", ""),
    _xlpm.letraColumna
)</f>
        <v>#N/A</v>
      </c>
      <c r="Z300" s="7"/>
      <c r="AA300" s="367"/>
      <c r="AB300" s="7"/>
      <c r="AC300" s="93">
        <f t="shared" si="146"/>
        <v>0</v>
      </c>
      <c r="AD300" s="94">
        <f t="shared" si="154"/>
        <v>0</v>
      </c>
      <c r="AE300" s="109">
        <f t="shared" si="155"/>
        <v>0</v>
      </c>
      <c r="AF300" s="7"/>
      <c r="AG300" s="369">
        <f t="shared" si="147"/>
        <v>0</v>
      </c>
      <c r="AH300" s="368">
        <f t="shared" si="148"/>
        <v>0</v>
      </c>
      <c r="AI300" s="7"/>
      <c r="AJ300" s="369" cm="1">
        <f t="array" ref="AJ300">IFERROR(INDEX(WHT!$C$7:$W$18,MATCH(
_xlfn.SWITCH(N300,"xDC Medellin","Colombia","xDC Belo Horizonte","Brazil","xDC Guadalajara","Mexico","xDC Gurugram","India","xDC Leon","Spain","xDC San Jose","Costa Rica","xDC Warsaw","Poland",N300),
WHT!$B$7:$B$18,0),MATCH(CustomerCountry,WHT!$C$5:$W$5,0)),0)</f>
        <v>0</v>
      </c>
      <c r="AK300" s="368">
        <f t="shared" si="149"/>
        <v>0</v>
      </c>
      <c r="AL300" s="7"/>
      <c r="AM300" s="95">
        <f t="shared" si="156"/>
        <v>0</v>
      </c>
      <c r="AN300" s="95">
        <f t="shared" si="150"/>
        <v>0</v>
      </c>
      <c r="AO300" s="95">
        <f t="shared" si="157"/>
        <v>0</v>
      </c>
      <c r="AP300" s="90"/>
      <c r="AQ300" s="18"/>
      <c r="AR300" s="290"/>
      <c r="AS300" s="467" t="s">
        <v>133</v>
      </c>
      <c r="AT300" s="501">
        <f t="shared" si="151"/>
        <v>0</v>
      </c>
      <c r="AU300" s="502"/>
      <c r="AV300" s="95">
        <f t="shared" si="158"/>
        <v>0</v>
      </c>
      <c r="AW300" s="469" t="str">
        <f t="shared" si="152"/>
        <v>N/A</v>
      </c>
      <c r="AX300" s="290"/>
      <c r="AY300" s="18"/>
      <c r="AZ300" s="3"/>
      <c r="BA300" s="315"/>
      <c r="BB300" s="3"/>
      <c r="BC300" s="3"/>
      <c r="BD300" s="3"/>
      <c r="BE300" s="3"/>
      <c r="BF300" s="18"/>
      <c r="BG300" s="3"/>
      <c r="BH300" s="315"/>
      <c r="BI300" s="3"/>
      <c r="BJ300" s="3"/>
      <c r="BK300" s="3"/>
      <c r="BL300" s="3"/>
      <c r="BM300" s="18"/>
      <c r="BN300" s="3"/>
      <c r="BO300" s="315"/>
      <c r="BP300" s="3"/>
      <c r="BQ300" s="3"/>
      <c r="BR300" s="3"/>
      <c r="BS300" s="3"/>
      <c r="BT300" s="18"/>
      <c r="BU300" s="3"/>
      <c r="BV300" s="315"/>
      <c r="BW300" s="3"/>
      <c r="BX300" s="3"/>
      <c r="BY300" s="3"/>
      <c r="BZ300" s="3"/>
    </row>
    <row r="301" spans="1:78" ht="15.6" hidden="1" outlineLevel="1">
      <c r="A301" s="7"/>
      <c r="B301" s="370"/>
      <c r="C301" s="355"/>
      <c r="D301" s="356"/>
      <c r="E301" s="342"/>
      <c r="F301" s="290"/>
      <c r="G301" s="357">
        <v>0</v>
      </c>
      <c r="H301" s="358">
        <v>0</v>
      </c>
      <c r="I301" s="358">
        <v>0</v>
      </c>
      <c r="J301" s="359">
        <f t="shared" si="153"/>
        <v>0</v>
      </c>
      <c r="K301" s="290"/>
      <c r="L301" s="349"/>
      <c r="M301" s="7"/>
      <c r="N301" s="12"/>
      <c r="O301" s="12"/>
      <c r="P301" s="12"/>
      <c r="Q301" s="361"/>
      <c r="R301" s="362"/>
      <c r="S301" s="363">
        <f t="shared" si="143"/>
        <v>0</v>
      </c>
      <c r="T301" s="364">
        <f t="shared" si="144"/>
        <v>0</v>
      </c>
      <c r="U301" s="365">
        <v>0</v>
      </c>
      <c r="V301" s="91">
        <f>ROUNDUP(IFERROR(INDEX(CostRateTbl[Cost Rate],MATCH(_xlfn.CONCAT(N301,O301,P301,"NA"),CostRateTbl[KeyCostRate],0)),0)*BillingCurrencyTRM*(1+U301),2)</f>
        <v>0</v>
      </c>
      <c r="W301" s="92">
        <f t="shared" si="145"/>
        <v>0</v>
      </c>
      <c r="X301" s="366" t="e" cm="1">
        <f t="array" ref="X301">_xlfn.LET(
    _xlpm.valor, INDEX(CostRate!H:H, MATCH(1, (CostRate!A:A=N301)*1, 0)),
    _xlpm.posicion, MATCH(_xlpm.valor, FilterSL!$F$1:$Z$1, 0),
    _xlpm.direccionCompleta, ADDRESS(1, _xlpm.posicion + 5, 4),
    _xlpm.letraColumna, SUBSTITUTE(_xlpm.direccionCompleta, "1", ""),
    _xlpm.letraColumna
)</f>
        <v>#N/A</v>
      </c>
      <c r="Y301" s="366" t="e" cm="1">
        <f t="array" ref="Y301">_xlfn.LET(
    _xlpm.valor, INDEX(CostRate!I:I, MATCH(1, (CostRate!A:A=N301)*(CostRate!B:B=O301), 0)),
    _xlpm.posicion, MATCH(_xlpm.valor, FilterJP!$E$1:$FZ$1, 0),
    _xlpm.direccionCompleta, ADDRESS(1, _xlpm.posicion + 4, 4),
    _xlpm.letraColumna, SUBSTITUTE(_xlpm.direccionCompleta, "1", ""),
    _xlpm.letraColumna
)</f>
        <v>#N/A</v>
      </c>
      <c r="Z301" s="7"/>
      <c r="AA301" s="367"/>
      <c r="AB301" s="7"/>
      <c r="AC301" s="93">
        <f t="shared" si="146"/>
        <v>0</v>
      </c>
      <c r="AD301" s="94">
        <f t="shared" si="154"/>
        <v>0</v>
      </c>
      <c r="AE301" s="109">
        <f t="shared" si="155"/>
        <v>0</v>
      </c>
      <c r="AF301" s="7"/>
      <c r="AG301" s="369">
        <f t="shared" si="147"/>
        <v>0</v>
      </c>
      <c r="AH301" s="368">
        <f t="shared" si="148"/>
        <v>0</v>
      </c>
      <c r="AI301" s="7"/>
      <c r="AJ301" s="369" cm="1">
        <f t="array" ref="AJ301">IFERROR(INDEX(WHT!$C$7:$W$18,MATCH(
_xlfn.SWITCH(N301,"xDC Medellin","Colombia","xDC Belo Horizonte","Brazil","xDC Guadalajara","Mexico","xDC Gurugram","India","xDC Leon","Spain","xDC San Jose","Costa Rica","xDC Warsaw","Poland",N301),
WHT!$B$7:$B$18,0),MATCH(CustomerCountry,WHT!$C$5:$W$5,0)),0)</f>
        <v>0</v>
      </c>
      <c r="AK301" s="368">
        <f t="shared" si="149"/>
        <v>0</v>
      </c>
      <c r="AL301" s="7"/>
      <c r="AM301" s="95">
        <f t="shared" si="156"/>
        <v>0</v>
      </c>
      <c r="AN301" s="95">
        <f t="shared" si="150"/>
        <v>0</v>
      </c>
      <c r="AO301" s="95">
        <f t="shared" si="157"/>
        <v>0</v>
      </c>
      <c r="AP301" s="90"/>
      <c r="AQ301" s="18"/>
      <c r="AR301" s="290"/>
      <c r="AS301" s="467" t="s">
        <v>133</v>
      </c>
      <c r="AT301" s="501">
        <f t="shared" si="151"/>
        <v>0</v>
      </c>
      <c r="AU301" s="502"/>
      <c r="AV301" s="95">
        <f t="shared" si="158"/>
        <v>0</v>
      </c>
      <c r="AW301" s="469" t="str">
        <f t="shared" si="152"/>
        <v>N/A</v>
      </c>
      <c r="AX301" s="290"/>
      <c r="AY301" s="18"/>
      <c r="AZ301" s="3"/>
      <c r="BA301" s="315"/>
      <c r="BB301" s="3"/>
      <c r="BC301" s="3"/>
      <c r="BD301" s="3"/>
      <c r="BE301" s="3"/>
      <c r="BF301" s="18"/>
      <c r="BG301" s="3"/>
      <c r="BH301" s="315"/>
      <c r="BI301" s="3"/>
      <c r="BJ301" s="3"/>
      <c r="BK301" s="3"/>
      <c r="BL301" s="3"/>
      <c r="BM301" s="18"/>
      <c r="BN301" s="3"/>
      <c r="BO301" s="315"/>
      <c r="BP301" s="3"/>
      <c r="BQ301" s="3"/>
      <c r="BR301" s="3"/>
      <c r="BS301" s="3"/>
      <c r="BT301" s="18"/>
      <c r="BU301" s="3"/>
      <c r="BV301" s="315"/>
      <c r="BW301" s="3"/>
      <c r="BX301" s="3"/>
      <c r="BY301" s="3"/>
      <c r="BZ301" s="3"/>
    </row>
    <row r="302" spans="1:78" ht="15.6" hidden="1" outlineLevel="1">
      <c r="A302" s="7"/>
      <c r="B302" s="370"/>
      <c r="C302" s="355"/>
      <c r="D302" s="356"/>
      <c r="E302" s="342"/>
      <c r="F302" s="290"/>
      <c r="G302" s="357">
        <v>0</v>
      </c>
      <c r="H302" s="358">
        <v>0</v>
      </c>
      <c r="I302" s="358">
        <v>0</v>
      </c>
      <c r="J302" s="359">
        <f t="shared" si="153"/>
        <v>0</v>
      </c>
      <c r="K302" s="290"/>
      <c r="L302" s="349"/>
      <c r="M302" s="7"/>
      <c r="N302" s="12"/>
      <c r="O302" s="12"/>
      <c r="P302" s="12"/>
      <c r="Q302" s="361"/>
      <c r="R302" s="362"/>
      <c r="S302" s="363">
        <f t="shared" si="143"/>
        <v>0</v>
      </c>
      <c r="T302" s="364">
        <f t="shared" si="144"/>
        <v>0</v>
      </c>
      <c r="U302" s="365">
        <v>0</v>
      </c>
      <c r="V302" s="91">
        <f>ROUNDUP(IFERROR(INDEX(CostRateTbl[Cost Rate],MATCH(_xlfn.CONCAT(N302,O302,P302,"NA"),CostRateTbl[KeyCostRate],0)),0)*BillingCurrencyTRM*(1+U302),2)</f>
        <v>0</v>
      </c>
      <c r="W302" s="92">
        <f t="shared" si="145"/>
        <v>0</v>
      </c>
      <c r="X302" s="366" t="e" cm="1">
        <f t="array" ref="X302">_xlfn.LET(
    _xlpm.valor, INDEX(CostRate!H:H, MATCH(1, (CostRate!A:A=N302)*1, 0)),
    _xlpm.posicion, MATCH(_xlpm.valor, FilterSL!$F$1:$Z$1, 0),
    _xlpm.direccionCompleta, ADDRESS(1, _xlpm.posicion + 5, 4),
    _xlpm.letraColumna, SUBSTITUTE(_xlpm.direccionCompleta, "1", ""),
    _xlpm.letraColumna
)</f>
        <v>#N/A</v>
      </c>
      <c r="Y302" s="366" t="e" cm="1">
        <f t="array" ref="Y302">_xlfn.LET(
    _xlpm.valor, INDEX(CostRate!I:I, MATCH(1, (CostRate!A:A=N302)*(CostRate!B:B=O302), 0)),
    _xlpm.posicion, MATCH(_xlpm.valor, FilterJP!$E$1:$FZ$1, 0),
    _xlpm.direccionCompleta, ADDRESS(1, _xlpm.posicion + 4, 4),
    _xlpm.letraColumna, SUBSTITUTE(_xlpm.direccionCompleta, "1", ""),
    _xlpm.letraColumna
)</f>
        <v>#N/A</v>
      </c>
      <c r="Z302" s="7"/>
      <c r="AA302" s="367"/>
      <c r="AB302" s="7"/>
      <c r="AC302" s="93">
        <f t="shared" si="146"/>
        <v>0</v>
      </c>
      <c r="AD302" s="94">
        <f t="shared" si="154"/>
        <v>0</v>
      </c>
      <c r="AE302" s="109">
        <f t="shared" si="155"/>
        <v>0</v>
      </c>
      <c r="AF302" s="7"/>
      <c r="AG302" s="369">
        <f t="shared" si="147"/>
        <v>0</v>
      </c>
      <c r="AH302" s="368">
        <f t="shared" si="148"/>
        <v>0</v>
      </c>
      <c r="AI302" s="7"/>
      <c r="AJ302" s="369" cm="1">
        <f t="array" ref="AJ302">IFERROR(INDEX(WHT!$C$7:$W$18,MATCH(
_xlfn.SWITCH(N302,"xDC Medellin","Colombia","xDC Belo Horizonte","Brazil","xDC Guadalajara","Mexico","xDC Gurugram","India","xDC Leon","Spain","xDC San Jose","Costa Rica","xDC Warsaw","Poland",N302),
WHT!$B$7:$B$18,0),MATCH(CustomerCountry,WHT!$C$5:$W$5,0)),0)</f>
        <v>0</v>
      </c>
      <c r="AK302" s="368">
        <f t="shared" si="149"/>
        <v>0</v>
      </c>
      <c r="AL302" s="7"/>
      <c r="AM302" s="95">
        <f t="shared" si="156"/>
        <v>0</v>
      </c>
      <c r="AN302" s="95">
        <f t="shared" si="150"/>
        <v>0</v>
      </c>
      <c r="AO302" s="95">
        <f t="shared" si="157"/>
        <v>0</v>
      </c>
      <c r="AP302" s="90"/>
      <c r="AQ302" s="18"/>
      <c r="AR302" s="290"/>
      <c r="AS302" s="467" t="s">
        <v>133</v>
      </c>
      <c r="AT302" s="501">
        <f t="shared" si="151"/>
        <v>0</v>
      </c>
      <c r="AU302" s="502"/>
      <c r="AV302" s="95">
        <f t="shared" si="158"/>
        <v>0</v>
      </c>
      <c r="AW302" s="469" t="str">
        <f t="shared" si="152"/>
        <v>N/A</v>
      </c>
      <c r="AX302" s="290"/>
      <c r="AY302" s="18"/>
      <c r="AZ302" s="3"/>
      <c r="BA302" s="315"/>
      <c r="BB302" s="3"/>
      <c r="BC302" s="3"/>
      <c r="BD302" s="3"/>
      <c r="BE302" s="3"/>
      <c r="BF302" s="18"/>
      <c r="BG302" s="3"/>
      <c r="BH302" s="315"/>
      <c r="BI302" s="3"/>
      <c r="BJ302" s="3"/>
      <c r="BK302" s="3"/>
      <c r="BL302" s="3"/>
      <c r="BM302" s="18"/>
      <c r="BN302" s="3"/>
      <c r="BO302" s="315"/>
      <c r="BP302" s="3"/>
      <c r="BQ302" s="3"/>
      <c r="BR302" s="3"/>
      <c r="BS302" s="3"/>
      <c r="BT302" s="18"/>
      <c r="BU302" s="3"/>
      <c r="BV302" s="315"/>
      <c r="BW302" s="3"/>
      <c r="BX302" s="3"/>
      <c r="BY302" s="3"/>
      <c r="BZ302" s="3"/>
    </row>
    <row r="303" spans="1:78" ht="15.6" hidden="1" outlineLevel="1">
      <c r="A303" s="7"/>
      <c r="B303" s="370"/>
      <c r="C303" s="355"/>
      <c r="D303" s="356"/>
      <c r="E303" s="342"/>
      <c r="F303" s="290"/>
      <c r="G303" s="357">
        <v>0</v>
      </c>
      <c r="H303" s="358">
        <v>0</v>
      </c>
      <c r="I303" s="358">
        <v>0</v>
      </c>
      <c r="J303" s="359">
        <f t="shared" si="153"/>
        <v>0</v>
      </c>
      <c r="K303" s="290"/>
      <c r="L303" s="349"/>
      <c r="M303" s="7"/>
      <c r="N303" s="12"/>
      <c r="O303" s="12"/>
      <c r="P303" s="12"/>
      <c r="Q303" s="361"/>
      <c r="R303" s="362"/>
      <c r="S303" s="363">
        <f t="shared" si="143"/>
        <v>0</v>
      </c>
      <c r="T303" s="364">
        <f t="shared" si="144"/>
        <v>0</v>
      </c>
      <c r="U303" s="365">
        <v>0</v>
      </c>
      <c r="V303" s="91">
        <f>ROUNDUP(IFERROR(INDEX(CostRateTbl[Cost Rate],MATCH(_xlfn.CONCAT(N303,O303,P303,"NA"),CostRateTbl[KeyCostRate],0)),0)*BillingCurrencyTRM*(1+U303),2)</f>
        <v>0</v>
      </c>
      <c r="W303" s="92">
        <f t="shared" si="145"/>
        <v>0</v>
      </c>
      <c r="X303" s="366" t="e" cm="1">
        <f t="array" ref="X303">_xlfn.LET(
    _xlpm.valor, INDEX(CostRate!H:H, MATCH(1, (CostRate!A:A=N303)*1, 0)),
    _xlpm.posicion, MATCH(_xlpm.valor, FilterSL!$F$1:$Z$1, 0),
    _xlpm.direccionCompleta, ADDRESS(1, _xlpm.posicion + 5, 4),
    _xlpm.letraColumna, SUBSTITUTE(_xlpm.direccionCompleta, "1", ""),
    _xlpm.letraColumna
)</f>
        <v>#N/A</v>
      </c>
      <c r="Y303" s="366" t="e" cm="1">
        <f t="array" ref="Y303">_xlfn.LET(
    _xlpm.valor, INDEX(CostRate!I:I, MATCH(1, (CostRate!A:A=N303)*(CostRate!B:B=O303), 0)),
    _xlpm.posicion, MATCH(_xlpm.valor, FilterJP!$E$1:$FZ$1, 0),
    _xlpm.direccionCompleta, ADDRESS(1, _xlpm.posicion + 4, 4),
    _xlpm.letraColumna, SUBSTITUTE(_xlpm.direccionCompleta, "1", ""),
    _xlpm.letraColumna
)</f>
        <v>#N/A</v>
      </c>
      <c r="Z303" s="7"/>
      <c r="AA303" s="367"/>
      <c r="AB303" s="7"/>
      <c r="AC303" s="93">
        <f t="shared" si="146"/>
        <v>0</v>
      </c>
      <c r="AD303" s="94">
        <f t="shared" si="154"/>
        <v>0</v>
      </c>
      <c r="AE303" s="109">
        <f t="shared" si="155"/>
        <v>0</v>
      </c>
      <c r="AF303" s="7"/>
      <c r="AG303" s="369">
        <f t="shared" si="147"/>
        <v>0</v>
      </c>
      <c r="AH303" s="368">
        <f t="shared" si="148"/>
        <v>0</v>
      </c>
      <c r="AI303" s="7"/>
      <c r="AJ303" s="369" cm="1">
        <f t="array" ref="AJ303">IFERROR(INDEX(WHT!$C$7:$W$18,MATCH(
_xlfn.SWITCH(N303,"xDC Medellin","Colombia","xDC Belo Horizonte","Brazil","xDC Guadalajara","Mexico","xDC Gurugram","India","xDC Leon","Spain","xDC San Jose","Costa Rica","xDC Warsaw","Poland",N303),
WHT!$B$7:$B$18,0),MATCH(CustomerCountry,WHT!$C$5:$W$5,0)),0)</f>
        <v>0</v>
      </c>
      <c r="AK303" s="368">
        <f t="shared" si="149"/>
        <v>0</v>
      </c>
      <c r="AL303" s="7"/>
      <c r="AM303" s="95">
        <f t="shared" si="156"/>
        <v>0</v>
      </c>
      <c r="AN303" s="95">
        <f t="shared" si="150"/>
        <v>0</v>
      </c>
      <c r="AO303" s="95">
        <f t="shared" si="157"/>
        <v>0</v>
      </c>
      <c r="AP303" s="90"/>
      <c r="AQ303" s="18"/>
      <c r="AR303" s="290"/>
      <c r="AS303" s="467" t="s">
        <v>133</v>
      </c>
      <c r="AT303" s="501">
        <f t="shared" si="151"/>
        <v>0</v>
      </c>
      <c r="AU303" s="502"/>
      <c r="AV303" s="95">
        <f t="shared" si="158"/>
        <v>0</v>
      </c>
      <c r="AW303" s="469" t="str">
        <f t="shared" si="152"/>
        <v>N/A</v>
      </c>
      <c r="AX303" s="290"/>
      <c r="AY303" s="18"/>
      <c r="AZ303" s="3"/>
      <c r="BA303" s="315"/>
      <c r="BB303" s="3"/>
      <c r="BC303" s="3"/>
      <c r="BD303" s="3"/>
      <c r="BE303" s="3"/>
      <c r="BF303" s="18"/>
      <c r="BG303" s="3"/>
      <c r="BH303" s="315"/>
      <c r="BI303" s="3"/>
      <c r="BJ303" s="3"/>
      <c r="BK303" s="3"/>
      <c r="BL303" s="3"/>
      <c r="BM303" s="18"/>
      <c r="BN303" s="3"/>
      <c r="BO303" s="315"/>
      <c r="BP303" s="3"/>
      <c r="BQ303" s="3"/>
      <c r="BR303" s="3"/>
      <c r="BS303" s="3"/>
      <c r="BT303" s="18"/>
      <c r="BU303" s="3"/>
      <c r="BV303" s="315"/>
      <c r="BW303" s="3"/>
      <c r="BX303" s="3"/>
      <c r="BY303" s="3"/>
      <c r="BZ303" s="3"/>
    </row>
    <row r="304" spans="1:78" ht="15.6" hidden="1" outlineLevel="1">
      <c r="A304" s="7"/>
      <c r="B304" s="370"/>
      <c r="C304" s="355"/>
      <c r="D304" s="356"/>
      <c r="E304" s="342"/>
      <c r="F304" s="290"/>
      <c r="G304" s="357">
        <v>0</v>
      </c>
      <c r="H304" s="358">
        <v>0</v>
      </c>
      <c r="I304" s="358">
        <v>0</v>
      </c>
      <c r="J304" s="359">
        <f t="shared" si="153"/>
        <v>0</v>
      </c>
      <c r="K304" s="290"/>
      <c r="L304" s="349"/>
      <c r="M304" s="7"/>
      <c r="N304" s="12"/>
      <c r="O304" s="12"/>
      <c r="P304" s="12"/>
      <c r="Q304" s="361"/>
      <c r="R304" s="362"/>
      <c r="S304" s="363">
        <f t="shared" si="143"/>
        <v>0</v>
      </c>
      <c r="T304" s="364">
        <f t="shared" si="144"/>
        <v>0</v>
      </c>
      <c r="U304" s="365">
        <v>0</v>
      </c>
      <c r="V304" s="91">
        <f>ROUNDUP(IFERROR(INDEX(CostRateTbl[Cost Rate],MATCH(_xlfn.CONCAT(N304,O304,P304,"NA"),CostRateTbl[KeyCostRate],0)),0)*BillingCurrencyTRM*(1+U304),2)</f>
        <v>0</v>
      </c>
      <c r="W304" s="92">
        <f t="shared" si="145"/>
        <v>0</v>
      </c>
      <c r="X304" s="366" t="e" cm="1">
        <f t="array" ref="X304">_xlfn.LET(
    _xlpm.valor, INDEX(CostRate!H:H, MATCH(1, (CostRate!A:A=N304)*1, 0)),
    _xlpm.posicion, MATCH(_xlpm.valor, FilterSL!$F$1:$Z$1, 0),
    _xlpm.direccionCompleta, ADDRESS(1, _xlpm.posicion + 5, 4),
    _xlpm.letraColumna, SUBSTITUTE(_xlpm.direccionCompleta, "1", ""),
    _xlpm.letraColumna
)</f>
        <v>#N/A</v>
      </c>
      <c r="Y304" s="366" t="e" cm="1">
        <f t="array" ref="Y304">_xlfn.LET(
    _xlpm.valor, INDEX(CostRate!I:I, MATCH(1, (CostRate!A:A=N304)*(CostRate!B:B=O304), 0)),
    _xlpm.posicion, MATCH(_xlpm.valor, FilterJP!$E$1:$FZ$1, 0),
    _xlpm.direccionCompleta, ADDRESS(1, _xlpm.posicion + 4, 4),
    _xlpm.letraColumna, SUBSTITUTE(_xlpm.direccionCompleta, "1", ""),
    _xlpm.letraColumna
)</f>
        <v>#N/A</v>
      </c>
      <c r="Z304" s="7"/>
      <c r="AA304" s="367"/>
      <c r="AB304" s="7"/>
      <c r="AC304" s="93">
        <f t="shared" si="146"/>
        <v>0</v>
      </c>
      <c r="AD304" s="94">
        <f t="shared" si="154"/>
        <v>0</v>
      </c>
      <c r="AE304" s="109">
        <f t="shared" si="155"/>
        <v>0</v>
      </c>
      <c r="AF304" s="7"/>
      <c r="AG304" s="369">
        <f t="shared" si="147"/>
        <v>0</v>
      </c>
      <c r="AH304" s="368">
        <f t="shared" si="148"/>
        <v>0</v>
      </c>
      <c r="AI304" s="7"/>
      <c r="AJ304" s="369" cm="1">
        <f t="array" ref="AJ304">IFERROR(INDEX(WHT!$C$7:$W$18,MATCH(
_xlfn.SWITCH(N304,"xDC Medellin","Colombia","xDC Belo Horizonte","Brazil","xDC Guadalajara","Mexico","xDC Gurugram","India","xDC Leon","Spain","xDC San Jose","Costa Rica","xDC Warsaw","Poland",N304),
WHT!$B$7:$B$18,0),MATCH(CustomerCountry,WHT!$C$5:$W$5,0)),0)</f>
        <v>0</v>
      </c>
      <c r="AK304" s="368">
        <f t="shared" si="149"/>
        <v>0</v>
      </c>
      <c r="AL304" s="7"/>
      <c r="AM304" s="95">
        <f t="shared" si="156"/>
        <v>0</v>
      </c>
      <c r="AN304" s="95">
        <f t="shared" si="150"/>
        <v>0</v>
      </c>
      <c r="AO304" s="95">
        <f t="shared" si="157"/>
        <v>0</v>
      </c>
      <c r="AP304" s="90"/>
      <c r="AQ304" s="18"/>
      <c r="AR304" s="290"/>
      <c r="AS304" s="467" t="s">
        <v>133</v>
      </c>
      <c r="AT304" s="501">
        <f t="shared" si="151"/>
        <v>0</v>
      </c>
      <c r="AU304" s="502"/>
      <c r="AV304" s="95">
        <f t="shared" si="158"/>
        <v>0</v>
      </c>
      <c r="AW304" s="469" t="str">
        <f t="shared" si="152"/>
        <v>N/A</v>
      </c>
      <c r="AX304" s="290"/>
      <c r="AY304" s="18"/>
      <c r="AZ304" s="3"/>
      <c r="BA304" s="315"/>
      <c r="BB304" s="3"/>
      <c r="BC304" s="3"/>
      <c r="BD304" s="3"/>
      <c r="BE304" s="3"/>
      <c r="BF304" s="18"/>
      <c r="BG304" s="3"/>
      <c r="BH304" s="315"/>
      <c r="BI304" s="3"/>
      <c r="BJ304" s="3"/>
      <c r="BK304" s="3"/>
      <c r="BL304" s="3"/>
      <c r="BM304" s="18"/>
      <c r="BN304" s="3"/>
      <c r="BO304" s="315"/>
      <c r="BP304" s="3"/>
      <c r="BQ304" s="3"/>
      <c r="BR304" s="3"/>
      <c r="BS304" s="3"/>
      <c r="BT304" s="18"/>
      <c r="BU304" s="3"/>
      <c r="BV304" s="315"/>
      <c r="BW304" s="3"/>
      <c r="BX304" s="3"/>
      <c r="BY304" s="3"/>
      <c r="BZ304" s="3"/>
    </row>
    <row r="305" spans="1:82" ht="15.6" hidden="1" outlineLevel="1">
      <c r="A305" s="7"/>
      <c r="B305" s="370"/>
      <c r="C305" s="355"/>
      <c r="D305" s="356"/>
      <c r="E305" s="342"/>
      <c r="F305" s="290"/>
      <c r="G305" s="357">
        <v>0</v>
      </c>
      <c r="H305" s="358">
        <v>0</v>
      </c>
      <c r="I305" s="358">
        <v>0</v>
      </c>
      <c r="J305" s="359">
        <f t="shared" si="153"/>
        <v>0</v>
      </c>
      <c r="K305" s="290"/>
      <c r="L305" s="349"/>
      <c r="M305" s="7"/>
      <c r="N305" s="12"/>
      <c r="O305" s="12"/>
      <c r="P305" s="12"/>
      <c r="Q305" s="361"/>
      <c r="R305" s="362"/>
      <c r="S305" s="363">
        <f t="shared" si="143"/>
        <v>0</v>
      </c>
      <c r="T305" s="364">
        <f t="shared" si="144"/>
        <v>0</v>
      </c>
      <c r="U305" s="365">
        <v>0</v>
      </c>
      <c r="V305" s="91">
        <f>ROUNDUP(IFERROR(INDEX(CostRateTbl[Cost Rate],MATCH(_xlfn.CONCAT(N305,O305,P305,"NA"),CostRateTbl[KeyCostRate],0)),0)*BillingCurrencyTRM*(1+U305),2)</f>
        <v>0</v>
      </c>
      <c r="W305" s="92">
        <f t="shared" si="145"/>
        <v>0</v>
      </c>
      <c r="X305" s="366" t="e" cm="1">
        <f t="array" ref="X305">_xlfn.LET(
    _xlpm.valor, INDEX(CostRate!H:H, MATCH(1, (CostRate!A:A=N305)*1, 0)),
    _xlpm.posicion, MATCH(_xlpm.valor, FilterSL!$F$1:$Z$1, 0),
    _xlpm.direccionCompleta, ADDRESS(1, _xlpm.posicion + 5, 4),
    _xlpm.letraColumna, SUBSTITUTE(_xlpm.direccionCompleta, "1", ""),
    _xlpm.letraColumna
)</f>
        <v>#N/A</v>
      </c>
      <c r="Y305" s="366" t="e" cm="1">
        <f t="array" ref="Y305">_xlfn.LET(
    _xlpm.valor, INDEX(CostRate!I:I, MATCH(1, (CostRate!A:A=N305)*(CostRate!B:B=O305), 0)),
    _xlpm.posicion, MATCH(_xlpm.valor, FilterJP!$E$1:$FZ$1, 0),
    _xlpm.direccionCompleta, ADDRESS(1, _xlpm.posicion + 4, 4),
    _xlpm.letraColumna, SUBSTITUTE(_xlpm.direccionCompleta, "1", ""),
    _xlpm.letraColumna
)</f>
        <v>#N/A</v>
      </c>
      <c r="Z305" s="7"/>
      <c r="AA305" s="367"/>
      <c r="AB305" s="7"/>
      <c r="AC305" s="93">
        <f t="shared" si="146"/>
        <v>0</v>
      </c>
      <c r="AD305" s="94">
        <f t="shared" si="154"/>
        <v>0</v>
      </c>
      <c r="AE305" s="109">
        <f t="shared" si="155"/>
        <v>0</v>
      </c>
      <c r="AF305" s="7"/>
      <c r="AG305" s="369">
        <f t="shared" si="147"/>
        <v>0</v>
      </c>
      <c r="AH305" s="368">
        <f t="shared" si="148"/>
        <v>0</v>
      </c>
      <c r="AI305" s="7"/>
      <c r="AJ305" s="369" cm="1">
        <f t="array" ref="AJ305">IFERROR(INDEX(WHT!$C$7:$W$18,MATCH(
_xlfn.SWITCH(N305,"xDC Medellin","Colombia","xDC Belo Horizonte","Brazil","xDC Guadalajara","Mexico","xDC Gurugram","India","xDC Leon","Spain","xDC San Jose","Costa Rica","xDC Warsaw","Poland",N305),
WHT!$B$7:$B$18,0),MATCH(CustomerCountry,WHT!$C$5:$W$5,0)),0)</f>
        <v>0</v>
      </c>
      <c r="AK305" s="368">
        <f t="shared" si="149"/>
        <v>0</v>
      </c>
      <c r="AL305" s="7"/>
      <c r="AM305" s="95">
        <f t="shared" si="156"/>
        <v>0</v>
      </c>
      <c r="AN305" s="95">
        <f t="shared" si="150"/>
        <v>0</v>
      </c>
      <c r="AO305" s="95">
        <f t="shared" si="157"/>
        <v>0</v>
      </c>
      <c r="AP305" s="90"/>
      <c r="AQ305" s="18"/>
      <c r="AR305" s="290"/>
      <c r="AS305" s="467" t="s">
        <v>133</v>
      </c>
      <c r="AT305" s="501">
        <f t="shared" si="151"/>
        <v>0</v>
      </c>
      <c r="AU305" s="502"/>
      <c r="AV305" s="95">
        <f t="shared" si="158"/>
        <v>0</v>
      </c>
      <c r="AW305" s="469" t="str">
        <f t="shared" si="152"/>
        <v>N/A</v>
      </c>
      <c r="AX305" s="290"/>
      <c r="AY305" s="18"/>
      <c r="AZ305" s="3"/>
      <c r="BA305" s="315"/>
      <c r="BB305" s="3"/>
      <c r="BC305" s="3"/>
      <c r="BD305" s="3"/>
      <c r="BE305" s="3"/>
      <c r="BF305" s="18"/>
      <c r="BG305" s="3"/>
      <c r="BH305" s="315"/>
      <c r="BI305" s="3"/>
      <c r="BJ305" s="3"/>
      <c r="BK305" s="3"/>
      <c r="BL305" s="3"/>
      <c r="BM305" s="18"/>
      <c r="BN305" s="3"/>
      <c r="BO305" s="315"/>
      <c r="BP305" s="3"/>
      <c r="BQ305" s="3"/>
      <c r="BR305" s="3"/>
      <c r="BS305" s="3"/>
      <c r="BT305" s="18"/>
      <c r="BU305" s="3"/>
      <c r="BV305" s="315"/>
      <c r="BW305" s="3"/>
      <c r="BX305" s="3"/>
      <c r="BY305" s="3"/>
      <c r="BZ305" s="3"/>
    </row>
    <row r="306" spans="1:82" ht="15.6" hidden="1" outlineLevel="1">
      <c r="A306" s="7"/>
      <c r="B306" s="370"/>
      <c r="C306" s="355"/>
      <c r="D306" s="356"/>
      <c r="E306" s="342"/>
      <c r="F306" s="290"/>
      <c r="G306" s="357">
        <v>0</v>
      </c>
      <c r="H306" s="358">
        <v>0</v>
      </c>
      <c r="I306" s="358">
        <v>0</v>
      </c>
      <c r="J306" s="359">
        <f t="shared" si="153"/>
        <v>0</v>
      </c>
      <c r="K306" s="290"/>
      <c r="L306" s="349"/>
      <c r="M306" s="7"/>
      <c r="N306" s="12"/>
      <c r="O306" s="12"/>
      <c r="P306" s="12"/>
      <c r="Q306" s="361"/>
      <c r="R306" s="362"/>
      <c r="S306" s="363">
        <f t="shared" si="143"/>
        <v>0</v>
      </c>
      <c r="T306" s="364">
        <f t="shared" si="144"/>
        <v>0</v>
      </c>
      <c r="U306" s="365">
        <v>0</v>
      </c>
      <c r="V306" s="91">
        <f>ROUNDUP(IFERROR(INDEX(CostRateTbl[Cost Rate],MATCH(_xlfn.CONCAT(N306,O306,P306,"NA"),CostRateTbl[KeyCostRate],0)),0)*BillingCurrencyTRM*(1+U306),2)</f>
        <v>0</v>
      </c>
      <c r="W306" s="92">
        <f t="shared" si="145"/>
        <v>0</v>
      </c>
      <c r="X306" s="366" t="e" cm="1">
        <f t="array" ref="X306">_xlfn.LET(
    _xlpm.valor, INDEX(CostRate!H:H, MATCH(1, (CostRate!A:A=N306)*1, 0)),
    _xlpm.posicion, MATCH(_xlpm.valor, FilterSL!$F$1:$Z$1, 0),
    _xlpm.direccionCompleta, ADDRESS(1, _xlpm.posicion + 5, 4),
    _xlpm.letraColumna, SUBSTITUTE(_xlpm.direccionCompleta, "1", ""),
    _xlpm.letraColumna
)</f>
        <v>#N/A</v>
      </c>
      <c r="Y306" s="366" t="e" cm="1">
        <f t="array" ref="Y306">_xlfn.LET(
    _xlpm.valor, INDEX(CostRate!I:I, MATCH(1, (CostRate!A:A=N306)*(CostRate!B:B=O306), 0)),
    _xlpm.posicion, MATCH(_xlpm.valor, FilterJP!$E$1:$FZ$1, 0),
    _xlpm.direccionCompleta, ADDRESS(1, _xlpm.posicion + 4, 4),
    _xlpm.letraColumna, SUBSTITUTE(_xlpm.direccionCompleta, "1", ""),
    _xlpm.letraColumna
)</f>
        <v>#N/A</v>
      </c>
      <c r="Z306" s="7"/>
      <c r="AA306" s="367"/>
      <c r="AB306" s="7"/>
      <c r="AC306" s="93">
        <f t="shared" si="146"/>
        <v>0</v>
      </c>
      <c r="AD306" s="94">
        <f t="shared" si="154"/>
        <v>0</v>
      </c>
      <c r="AE306" s="109">
        <f t="shared" si="155"/>
        <v>0</v>
      </c>
      <c r="AF306" s="7"/>
      <c r="AG306" s="369">
        <f t="shared" si="147"/>
        <v>0</v>
      </c>
      <c r="AH306" s="368">
        <f t="shared" si="148"/>
        <v>0</v>
      </c>
      <c r="AI306" s="7"/>
      <c r="AJ306" s="369" cm="1">
        <f t="array" ref="AJ306">IFERROR(INDEX(WHT!$C$7:$W$18,MATCH(
_xlfn.SWITCH(N306,"xDC Medellin","Colombia","xDC Belo Horizonte","Brazil","xDC Guadalajara","Mexico","xDC Gurugram","India","xDC Leon","Spain","xDC San Jose","Costa Rica","xDC Warsaw","Poland",N306),
WHT!$B$7:$B$18,0),MATCH(CustomerCountry,WHT!$C$5:$W$5,0)),0)</f>
        <v>0</v>
      </c>
      <c r="AK306" s="368">
        <f t="shared" si="149"/>
        <v>0</v>
      </c>
      <c r="AL306" s="7"/>
      <c r="AM306" s="95">
        <f t="shared" si="156"/>
        <v>0</v>
      </c>
      <c r="AN306" s="95">
        <f t="shared" si="150"/>
        <v>0</v>
      </c>
      <c r="AO306" s="95">
        <f t="shared" si="157"/>
        <v>0</v>
      </c>
      <c r="AP306" s="90"/>
      <c r="AQ306" s="18"/>
      <c r="AR306" s="290"/>
      <c r="AS306" s="467" t="s">
        <v>133</v>
      </c>
      <c r="AT306" s="501">
        <f t="shared" si="151"/>
        <v>0</v>
      </c>
      <c r="AU306" s="502"/>
      <c r="AV306" s="95">
        <f t="shared" si="158"/>
        <v>0</v>
      </c>
      <c r="AW306" s="469" t="str">
        <f t="shared" si="152"/>
        <v>N/A</v>
      </c>
      <c r="AX306" s="290"/>
      <c r="AY306" s="18"/>
      <c r="AZ306" s="3"/>
      <c r="BA306" s="315"/>
      <c r="BB306" s="3"/>
      <c r="BC306" s="3"/>
      <c r="BD306" s="3"/>
      <c r="BE306" s="3"/>
      <c r="BF306" s="18"/>
      <c r="BG306" s="3"/>
      <c r="BH306" s="315"/>
      <c r="BI306" s="3"/>
      <c r="BJ306" s="3"/>
      <c r="BK306" s="3"/>
      <c r="BL306" s="3"/>
      <c r="BM306" s="18"/>
      <c r="BN306" s="3"/>
      <c r="BO306" s="315"/>
      <c r="BP306" s="3"/>
      <c r="BQ306" s="3"/>
      <c r="BR306" s="3"/>
      <c r="BS306" s="3"/>
      <c r="BT306" s="18"/>
      <c r="BU306" s="3"/>
      <c r="BV306" s="315"/>
      <c r="BW306" s="3"/>
      <c r="BX306" s="3"/>
      <c r="BY306" s="3"/>
      <c r="BZ306" s="3"/>
    </row>
    <row r="307" spans="1:82" ht="15.6" hidden="1" outlineLevel="1">
      <c r="A307" s="7"/>
      <c r="B307" s="370"/>
      <c r="C307" s="355"/>
      <c r="D307" s="356"/>
      <c r="E307" s="342"/>
      <c r="F307" s="290"/>
      <c r="G307" s="357">
        <v>0</v>
      </c>
      <c r="H307" s="358">
        <v>0</v>
      </c>
      <c r="I307" s="358">
        <v>0</v>
      </c>
      <c r="J307" s="359">
        <f t="shared" si="153"/>
        <v>0</v>
      </c>
      <c r="K307" s="290"/>
      <c r="L307" s="349"/>
      <c r="M307" s="7"/>
      <c r="N307" s="12"/>
      <c r="O307" s="12"/>
      <c r="P307" s="12"/>
      <c r="Q307" s="361"/>
      <c r="R307" s="362"/>
      <c r="S307" s="363">
        <f t="shared" si="143"/>
        <v>0</v>
      </c>
      <c r="T307" s="364">
        <f t="shared" si="144"/>
        <v>0</v>
      </c>
      <c r="U307" s="365">
        <v>0</v>
      </c>
      <c r="V307" s="91">
        <f>ROUNDUP(IFERROR(INDEX(CostRateTbl[Cost Rate],MATCH(_xlfn.CONCAT(N307,O307,P307,"NA"),CostRateTbl[KeyCostRate],0)),0)*BillingCurrencyTRM*(1+U307),2)</f>
        <v>0</v>
      </c>
      <c r="W307" s="92">
        <f t="shared" si="145"/>
        <v>0</v>
      </c>
      <c r="X307" s="366" t="e" cm="1">
        <f t="array" ref="X307">_xlfn.LET(
    _xlpm.valor, INDEX(CostRate!H:H, MATCH(1, (CostRate!A:A=N307)*1, 0)),
    _xlpm.posicion, MATCH(_xlpm.valor, FilterSL!$F$1:$Z$1, 0),
    _xlpm.direccionCompleta, ADDRESS(1, _xlpm.posicion + 5, 4),
    _xlpm.letraColumna, SUBSTITUTE(_xlpm.direccionCompleta, "1", ""),
    _xlpm.letraColumna
)</f>
        <v>#N/A</v>
      </c>
      <c r="Y307" s="366" t="e" cm="1">
        <f t="array" ref="Y307">_xlfn.LET(
    _xlpm.valor, INDEX(CostRate!I:I, MATCH(1, (CostRate!A:A=N307)*(CostRate!B:B=O307), 0)),
    _xlpm.posicion, MATCH(_xlpm.valor, FilterJP!$E$1:$FZ$1, 0),
    _xlpm.direccionCompleta, ADDRESS(1, _xlpm.posicion + 4, 4),
    _xlpm.letraColumna, SUBSTITUTE(_xlpm.direccionCompleta, "1", ""),
    _xlpm.letraColumna
)</f>
        <v>#N/A</v>
      </c>
      <c r="Z307" s="7"/>
      <c r="AA307" s="367"/>
      <c r="AB307" s="7"/>
      <c r="AC307" s="93">
        <f t="shared" si="146"/>
        <v>0</v>
      </c>
      <c r="AD307" s="94">
        <f t="shared" si="154"/>
        <v>0</v>
      </c>
      <c r="AE307" s="109">
        <f t="shared" si="155"/>
        <v>0</v>
      </c>
      <c r="AF307" s="7"/>
      <c r="AG307" s="369">
        <f t="shared" si="147"/>
        <v>0</v>
      </c>
      <c r="AH307" s="368">
        <f t="shared" si="148"/>
        <v>0</v>
      </c>
      <c r="AI307" s="7"/>
      <c r="AJ307" s="369" cm="1">
        <f t="array" ref="AJ307">IFERROR(INDEX(WHT!$C$7:$W$18,MATCH(
_xlfn.SWITCH(N307,"xDC Medellin","Colombia","xDC Belo Horizonte","Brazil","xDC Guadalajara","Mexico","xDC Gurugram","India","xDC Leon","Spain","xDC San Jose","Costa Rica","xDC Warsaw","Poland",N307),
WHT!$B$7:$B$18,0),MATCH(CustomerCountry,WHT!$C$5:$W$5,0)),0)</f>
        <v>0</v>
      </c>
      <c r="AK307" s="368">
        <f t="shared" si="149"/>
        <v>0</v>
      </c>
      <c r="AL307" s="7"/>
      <c r="AM307" s="95">
        <f t="shared" si="156"/>
        <v>0</v>
      </c>
      <c r="AN307" s="95">
        <f t="shared" si="150"/>
        <v>0</v>
      </c>
      <c r="AO307" s="95">
        <f t="shared" si="157"/>
        <v>0</v>
      </c>
      <c r="AP307" s="90"/>
      <c r="AQ307" s="18"/>
      <c r="AR307" s="290"/>
      <c r="AS307" s="467" t="s">
        <v>133</v>
      </c>
      <c r="AT307" s="501">
        <f t="shared" si="151"/>
        <v>0</v>
      </c>
      <c r="AU307" s="502"/>
      <c r="AV307" s="95">
        <f t="shared" si="158"/>
        <v>0</v>
      </c>
      <c r="AW307" s="469" t="str">
        <f t="shared" si="152"/>
        <v>N/A</v>
      </c>
      <c r="AX307" s="290"/>
      <c r="AY307" s="18"/>
      <c r="AZ307" s="3"/>
      <c r="BA307" s="315"/>
      <c r="BB307" s="3"/>
      <c r="BC307" s="3"/>
      <c r="BD307" s="3"/>
      <c r="BE307" s="3"/>
      <c r="BF307" s="18"/>
      <c r="BG307" s="3"/>
      <c r="BH307" s="315"/>
      <c r="BI307" s="3"/>
      <c r="BJ307" s="3"/>
      <c r="BK307" s="3"/>
      <c r="BL307" s="3"/>
      <c r="BM307" s="18"/>
      <c r="BN307" s="3"/>
      <c r="BO307" s="315"/>
      <c r="BP307" s="3"/>
      <c r="BQ307" s="3"/>
      <c r="BR307" s="3"/>
      <c r="BS307" s="3"/>
      <c r="BT307" s="18"/>
      <c r="BU307" s="3"/>
      <c r="BV307" s="315"/>
      <c r="BW307" s="3"/>
      <c r="BX307" s="3"/>
      <c r="BY307" s="3"/>
      <c r="BZ307" s="3"/>
    </row>
    <row r="308" spans="1:82" ht="15.6" hidden="1" outlineLevel="1">
      <c r="A308" s="7"/>
      <c r="B308" s="370"/>
      <c r="C308" s="355"/>
      <c r="D308" s="356"/>
      <c r="E308" s="342"/>
      <c r="F308" s="290"/>
      <c r="G308" s="357">
        <v>0</v>
      </c>
      <c r="H308" s="358">
        <v>0</v>
      </c>
      <c r="I308" s="358">
        <v>0</v>
      </c>
      <c r="J308" s="359">
        <f t="shared" si="153"/>
        <v>0</v>
      </c>
      <c r="K308" s="290"/>
      <c r="L308" s="349"/>
      <c r="M308" s="7"/>
      <c r="N308" s="12"/>
      <c r="O308" s="12"/>
      <c r="P308" s="12"/>
      <c r="Q308" s="361"/>
      <c r="R308" s="362"/>
      <c r="S308" s="363">
        <f t="shared" si="143"/>
        <v>0</v>
      </c>
      <c r="T308" s="364">
        <f t="shared" si="144"/>
        <v>0</v>
      </c>
      <c r="U308" s="365">
        <v>0</v>
      </c>
      <c r="V308" s="91">
        <f>ROUNDUP(IFERROR(INDEX(CostRateTbl[Cost Rate],MATCH(_xlfn.CONCAT(N308,O308,P308,"NA"),CostRateTbl[KeyCostRate],0)),0)*BillingCurrencyTRM*(1+U308),2)</f>
        <v>0</v>
      </c>
      <c r="W308" s="92">
        <f t="shared" si="145"/>
        <v>0</v>
      </c>
      <c r="X308" s="366" t="e" cm="1">
        <f t="array" ref="X308">_xlfn.LET(
    _xlpm.valor, INDEX(CostRate!H:H, MATCH(1, (CostRate!A:A=N308)*1, 0)),
    _xlpm.posicion, MATCH(_xlpm.valor, FilterSL!$F$1:$Z$1, 0),
    _xlpm.direccionCompleta, ADDRESS(1, _xlpm.posicion + 5, 4),
    _xlpm.letraColumna, SUBSTITUTE(_xlpm.direccionCompleta, "1", ""),
    _xlpm.letraColumna
)</f>
        <v>#N/A</v>
      </c>
      <c r="Y308" s="366" t="e" cm="1">
        <f t="array" ref="Y308">_xlfn.LET(
    _xlpm.valor, INDEX(CostRate!I:I, MATCH(1, (CostRate!A:A=N308)*(CostRate!B:B=O308), 0)),
    _xlpm.posicion, MATCH(_xlpm.valor, FilterJP!$E$1:$FZ$1, 0),
    _xlpm.direccionCompleta, ADDRESS(1, _xlpm.posicion + 4, 4),
    _xlpm.letraColumna, SUBSTITUTE(_xlpm.direccionCompleta, "1", ""),
    _xlpm.letraColumna
)</f>
        <v>#N/A</v>
      </c>
      <c r="Z308" s="7"/>
      <c r="AA308" s="367"/>
      <c r="AB308" s="7"/>
      <c r="AC308" s="93">
        <f t="shared" si="146"/>
        <v>0</v>
      </c>
      <c r="AD308" s="94">
        <f t="shared" si="154"/>
        <v>0</v>
      </c>
      <c r="AE308" s="109">
        <f t="shared" si="155"/>
        <v>0</v>
      </c>
      <c r="AF308" s="7"/>
      <c r="AG308" s="369">
        <f t="shared" si="147"/>
        <v>0</v>
      </c>
      <c r="AH308" s="368">
        <f t="shared" si="148"/>
        <v>0</v>
      </c>
      <c r="AI308" s="7"/>
      <c r="AJ308" s="369" cm="1">
        <f t="array" ref="AJ308">IFERROR(INDEX(WHT!$C$7:$W$18,MATCH(
_xlfn.SWITCH(N308,"xDC Medellin","Colombia","xDC Belo Horizonte","Brazil","xDC Guadalajara","Mexico","xDC Gurugram","India","xDC Leon","Spain","xDC San Jose","Costa Rica","xDC Warsaw","Poland",N308),
WHT!$B$7:$B$18,0),MATCH(CustomerCountry,WHT!$C$5:$W$5,0)),0)</f>
        <v>0</v>
      </c>
      <c r="AK308" s="368">
        <f t="shared" si="149"/>
        <v>0</v>
      </c>
      <c r="AL308" s="7"/>
      <c r="AM308" s="95">
        <f t="shared" si="156"/>
        <v>0</v>
      </c>
      <c r="AN308" s="95">
        <f t="shared" si="150"/>
        <v>0</v>
      </c>
      <c r="AO308" s="95">
        <f t="shared" si="157"/>
        <v>0</v>
      </c>
      <c r="AP308" s="90"/>
      <c r="AQ308" s="18"/>
      <c r="AR308" s="290"/>
      <c r="AS308" s="467" t="s">
        <v>133</v>
      </c>
      <c r="AT308" s="501">
        <f t="shared" si="151"/>
        <v>0</v>
      </c>
      <c r="AU308" s="502"/>
      <c r="AV308" s="95">
        <f t="shared" si="158"/>
        <v>0</v>
      </c>
      <c r="AW308" s="469" t="str">
        <f t="shared" si="152"/>
        <v>N/A</v>
      </c>
      <c r="AX308" s="290"/>
      <c r="AY308" s="18"/>
      <c r="AZ308" s="3"/>
      <c r="BA308" s="315"/>
      <c r="BB308" s="3"/>
      <c r="BC308" s="3"/>
      <c r="BD308" s="3"/>
      <c r="BE308" s="3"/>
      <c r="BF308" s="18"/>
      <c r="BG308" s="3"/>
      <c r="BH308" s="315"/>
      <c r="BI308" s="3"/>
      <c r="BJ308" s="3"/>
      <c r="BK308" s="3"/>
      <c r="BL308" s="3"/>
      <c r="BM308" s="18"/>
      <c r="BN308" s="3"/>
      <c r="BO308" s="315"/>
      <c r="BP308" s="3"/>
      <c r="BQ308" s="3"/>
      <c r="BR308" s="3"/>
      <c r="BS308" s="3"/>
      <c r="BT308" s="18"/>
      <c r="BU308" s="3"/>
      <c r="BV308" s="315"/>
      <c r="BW308" s="3"/>
      <c r="BX308" s="3"/>
      <c r="BY308" s="3"/>
      <c r="BZ308" s="3"/>
    </row>
    <row r="309" spans="1:82" ht="15.6" hidden="1" outlineLevel="1">
      <c r="A309" s="7"/>
      <c r="B309" s="370"/>
      <c r="C309" s="355"/>
      <c r="D309" s="356"/>
      <c r="E309" s="342"/>
      <c r="F309" s="290"/>
      <c r="G309" s="357">
        <v>0</v>
      </c>
      <c r="H309" s="358">
        <v>0</v>
      </c>
      <c r="I309" s="358">
        <v>0</v>
      </c>
      <c r="J309" s="359">
        <f t="shared" si="153"/>
        <v>0</v>
      </c>
      <c r="K309" s="290"/>
      <c r="L309" s="349"/>
      <c r="M309" s="7"/>
      <c r="N309" s="12"/>
      <c r="O309" s="12"/>
      <c r="P309" s="12"/>
      <c r="Q309" s="361"/>
      <c r="R309" s="362"/>
      <c r="S309" s="363">
        <f t="shared" si="143"/>
        <v>0</v>
      </c>
      <c r="T309" s="364">
        <f t="shared" si="144"/>
        <v>0</v>
      </c>
      <c r="U309" s="365">
        <v>0</v>
      </c>
      <c r="V309" s="91">
        <f>ROUNDUP(IFERROR(INDEX(CostRateTbl[Cost Rate],MATCH(_xlfn.CONCAT(N309,O309,P309,"NA"),CostRateTbl[KeyCostRate],0)),0)*BillingCurrencyTRM*(1+U309),2)</f>
        <v>0</v>
      </c>
      <c r="W309" s="92">
        <f t="shared" si="145"/>
        <v>0</v>
      </c>
      <c r="X309" s="366" t="e" cm="1">
        <f t="array" ref="X309">_xlfn.LET(
    _xlpm.valor, INDEX(CostRate!H:H, MATCH(1, (CostRate!A:A=N309)*1, 0)),
    _xlpm.posicion, MATCH(_xlpm.valor, FilterSL!$F$1:$Z$1, 0),
    _xlpm.direccionCompleta, ADDRESS(1, _xlpm.posicion + 5, 4),
    _xlpm.letraColumna, SUBSTITUTE(_xlpm.direccionCompleta, "1", ""),
    _xlpm.letraColumna
)</f>
        <v>#N/A</v>
      </c>
      <c r="Y309" s="366" t="e" cm="1">
        <f t="array" ref="Y309">_xlfn.LET(
    _xlpm.valor, INDEX(CostRate!I:I, MATCH(1, (CostRate!A:A=N309)*(CostRate!B:B=O309), 0)),
    _xlpm.posicion, MATCH(_xlpm.valor, FilterJP!$E$1:$FZ$1, 0),
    _xlpm.direccionCompleta, ADDRESS(1, _xlpm.posicion + 4, 4),
    _xlpm.letraColumna, SUBSTITUTE(_xlpm.direccionCompleta, "1", ""),
    _xlpm.letraColumna
)</f>
        <v>#N/A</v>
      </c>
      <c r="Z309" s="7"/>
      <c r="AA309" s="367"/>
      <c r="AB309" s="7"/>
      <c r="AC309" s="93">
        <f t="shared" si="146"/>
        <v>0</v>
      </c>
      <c r="AD309" s="94">
        <f t="shared" si="154"/>
        <v>0</v>
      </c>
      <c r="AE309" s="109">
        <f t="shared" si="155"/>
        <v>0</v>
      </c>
      <c r="AF309" s="7"/>
      <c r="AG309" s="369">
        <f t="shared" si="147"/>
        <v>0</v>
      </c>
      <c r="AH309" s="368">
        <f t="shared" si="148"/>
        <v>0</v>
      </c>
      <c r="AI309" s="7"/>
      <c r="AJ309" s="369" cm="1">
        <f t="array" ref="AJ309">IFERROR(INDEX(WHT!$C$7:$W$18,MATCH(
_xlfn.SWITCH(N309,"xDC Medellin","Colombia","xDC Belo Horizonte","Brazil","xDC Guadalajara","Mexico","xDC Gurugram","India","xDC Leon","Spain","xDC San Jose","Costa Rica","xDC Warsaw","Poland",N309),
WHT!$B$7:$B$18,0),MATCH(CustomerCountry,WHT!$C$5:$W$5,0)),0)</f>
        <v>0</v>
      </c>
      <c r="AK309" s="368">
        <f t="shared" si="149"/>
        <v>0</v>
      </c>
      <c r="AL309" s="7"/>
      <c r="AM309" s="95">
        <f t="shared" si="156"/>
        <v>0</v>
      </c>
      <c r="AN309" s="95">
        <f t="shared" si="150"/>
        <v>0</v>
      </c>
      <c r="AO309" s="95">
        <f t="shared" si="157"/>
        <v>0</v>
      </c>
      <c r="AP309" s="90"/>
      <c r="AQ309" s="18"/>
      <c r="AR309" s="290"/>
      <c r="AS309" s="467" t="s">
        <v>133</v>
      </c>
      <c r="AT309" s="501">
        <f t="shared" si="151"/>
        <v>0</v>
      </c>
      <c r="AU309" s="502"/>
      <c r="AV309" s="95">
        <f t="shared" si="158"/>
        <v>0</v>
      </c>
      <c r="AW309" s="469" t="str">
        <f t="shared" si="152"/>
        <v>N/A</v>
      </c>
      <c r="AX309" s="290"/>
      <c r="AY309" s="18"/>
      <c r="AZ309" s="3"/>
      <c r="BA309" s="315"/>
      <c r="BB309" s="3"/>
      <c r="BC309" s="3"/>
      <c r="BD309" s="3"/>
      <c r="BE309" s="3"/>
      <c r="BF309" s="18"/>
      <c r="BG309" s="3"/>
      <c r="BH309" s="315"/>
      <c r="BI309" s="3"/>
      <c r="BJ309" s="3"/>
      <c r="BK309" s="3"/>
      <c r="BL309" s="3"/>
      <c r="BM309" s="18"/>
      <c r="BN309" s="3"/>
      <c r="BO309" s="315"/>
      <c r="BP309" s="3"/>
      <c r="BQ309" s="3"/>
      <c r="BR309" s="3"/>
      <c r="BS309" s="3"/>
      <c r="BT309" s="18"/>
      <c r="BU309" s="3"/>
      <c r="BV309" s="315"/>
      <c r="BW309" s="3"/>
      <c r="BX309" s="3"/>
      <c r="BY309" s="3"/>
      <c r="BZ309" s="3"/>
    </row>
    <row r="310" spans="1:82" ht="15.6" hidden="1" outlineLevel="1">
      <c r="A310" s="7"/>
      <c r="B310" s="370"/>
      <c r="C310" s="355"/>
      <c r="D310" s="356"/>
      <c r="E310" s="342"/>
      <c r="F310" s="290"/>
      <c r="G310" s="357">
        <v>0</v>
      </c>
      <c r="H310" s="358">
        <v>0</v>
      </c>
      <c r="I310" s="358">
        <v>0</v>
      </c>
      <c r="J310" s="359">
        <f t="shared" si="153"/>
        <v>0</v>
      </c>
      <c r="K310" s="290"/>
      <c r="L310" s="349"/>
      <c r="M310" s="7"/>
      <c r="N310" s="12"/>
      <c r="O310" s="12"/>
      <c r="P310" s="12"/>
      <c r="Q310" s="361"/>
      <c r="R310" s="362"/>
      <c r="S310" s="363">
        <f t="shared" si="143"/>
        <v>0</v>
      </c>
      <c r="T310" s="364">
        <f t="shared" si="144"/>
        <v>0</v>
      </c>
      <c r="U310" s="365">
        <v>0</v>
      </c>
      <c r="V310" s="91">
        <f>ROUNDUP(IFERROR(INDEX(CostRateTbl[Cost Rate],MATCH(_xlfn.CONCAT(N310,O310,P310,"NA"),CostRateTbl[KeyCostRate],0)),0)*BillingCurrencyTRM*(1+U310),2)</f>
        <v>0</v>
      </c>
      <c r="W310" s="92">
        <f t="shared" si="145"/>
        <v>0</v>
      </c>
      <c r="X310" s="366" t="e" cm="1">
        <f t="array" ref="X310">_xlfn.LET(
    _xlpm.valor, INDEX(CostRate!H:H, MATCH(1, (CostRate!A:A=N310)*1, 0)),
    _xlpm.posicion, MATCH(_xlpm.valor, FilterSL!$F$1:$Z$1, 0),
    _xlpm.direccionCompleta, ADDRESS(1, _xlpm.posicion + 5, 4),
    _xlpm.letraColumna, SUBSTITUTE(_xlpm.direccionCompleta, "1", ""),
    _xlpm.letraColumna
)</f>
        <v>#N/A</v>
      </c>
      <c r="Y310" s="366" t="e" cm="1">
        <f t="array" ref="Y310">_xlfn.LET(
    _xlpm.valor, INDEX(CostRate!I:I, MATCH(1, (CostRate!A:A=N310)*(CostRate!B:B=O310), 0)),
    _xlpm.posicion, MATCH(_xlpm.valor, FilterJP!$E$1:$FZ$1, 0),
    _xlpm.direccionCompleta, ADDRESS(1, _xlpm.posicion + 4, 4),
    _xlpm.letraColumna, SUBSTITUTE(_xlpm.direccionCompleta, "1", ""),
    _xlpm.letraColumna
)</f>
        <v>#N/A</v>
      </c>
      <c r="Z310" s="7"/>
      <c r="AA310" s="367"/>
      <c r="AB310" s="7"/>
      <c r="AC310" s="93">
        <f t="shared" si="146"/>
        <v>0</v>
      </c>
      <c r="AD310" s="94">
        <f t="shared" si="154"/>
        <v>0</v>
      </c>
      <c r="AE310" s="109">
        <f t="shared" si="155"/>
        <v>0</v>
      </c>
      <c r="AF310" s="7"/>
      <c r="AG310" s="369">
        <f t="shared" si="147"/>
        <v>0</v>
      </c>
      <c r="AH310" s="368">
        <f t="shared" si="148"/>
        <v>0</v>
      </c>
      <c r="AI310" s="7"/>
      <c r="AJ310" s="369" cm="1">
        <f t="array" ref="AJ310">IFERROR(INDEX(WHT!$C$7:$W$18,MATCH(
_xlfn.SWITCH(N310,"xDC Medellin","Colombia","xDC Belo Horizonte","Brazil","xDC Guadalajara","Mexico","xDC Gurugram","India","xDC Leon","Spain","xDC San Jose","Costa Rica","xDC Warsaw","Poland",N310),
WHT!$B$7:$B$18,0),MATCH(CustomerCountry,WHT!$C$5:$W$5,0)),0)</f>
        <v>0</v>
      </c>
      <c r="AK310" s="368">
        <f t="shared" si="149"/>
        <v>0</v>
      </c>
      <c r="AL310" s="7"/>
      <c r="AM310" s="95">
        <f t="shared" si="156"/>
        <v>0</v>
      </c>
      <c r="AN310" s="95">
        <f t="shared" si="150"/>
        <v>0</v>
      </c>
      <c r="AO310" s="95">
        <f t="shared" si="157"/>
        <v>0</v>
      </c>
      <c r="AP310" s="90"/>
      <c r="AQ310" s="18"/>
      <c r="AR310" s="290"/>
      <c r="AS310" s="467" t="s">
        <v>133</v>
      </c>
      <c r="AT310" s="501">
        <f t="shared" si="151"/>
        <v>0</v>
      </c>
      <c r="AU310" s="502"/>
      <c r="AV310" s="95">
        <f t="shared" si="158"/>
        <v>0</v>
      </c>
      <c r="AW310" s="469" t="str">
        <f t="shared" si="152"/>
        <v>N/A</v>
      </c>
      <c r="AX310" s="290"/>
      <c r="AY310" s="18"/>
      <c r="AZ310" s="3"/>
      <c r="BA310" s="315"/>
      <c r="BB310" s="3"/>
      <c r="BC310" s="3"/>
      <c r="BD310" s="3"/>
      <c r="BE310" s="3"/>
      <c r="BF310" s="18"/>
      <c r="BG310" s="3"/>
      <c r="BH310" s="315"/>
      <c r="BI310" s="3"/>
      <c r="BJ310" s="3"/>
      <c r="BK310" s="3"/>
      <c r="BL310" s="3"/>
      <c r="BM310" s="18"/>
      <c r="BN310" s="3"/>
      <c r="BO310" s="315"/>
      <c r="BP310" s="3"/>
      <c r="BQ310" s="3"/>
      <c r="BR310" s="3"/>
      <c r="BS310" s="3"/>
      <c r="BT310" s="18"/>
      <c r="BU310" s="3"/>
      <c r="BV310" s="315"/>
      <c r="BW310" s="3"/>
      <c r="BX310" s="3"/>
      <c r="BY310" s="3"/>
      <c r="BZ310" s="3"/>
    </row>
    <row r="311" spans="1:82" ht="15.6" hidden="1" outlineLevel="1">
      <c r="A311" s="7"/>
      <c r="B311" s="370"/>
      <c r="C311" s="355"/>
      <c r="D311" s="356"/>
      <c r="E311" s="342"/>
      <c r="F311" s="290"/>
      <c r="G311" s="357">
        <v>0</v>
      </c>
      <c r="H311" s="358">
        <v>0</v>
      </c>
      <c r="I311" s="358">
        <v>0</v>
      </c>
      <c r="J311" s="359">
        <f t="shared" si="153"/>
        <v>0</v>
      </c>
      <c r="K311" s="290"/>
      <c r="L311" s="349"/>
      <c r="M311" s="7"/>
      <c r="N311" s="12"/>
      <c r="O311" s="12"/>
      <c r="P311" s="12"/>
      <c r="Q311" s="361"/>
      <c r="R311" s="362"/>
      <c r="S311" s="363">
        <f t="shared" si="143"/>
        <v>0</v>
      </c>
      <c r="T311" s="364">
        <f t="shared" si="144"/>
        <v>0</v>
      </c>
      <c r="U311" s="365">
        <v>0</v>
      </c>
      <c r="V311" s="91">
        <f>ROUNDUP(IFERROR(INDEX(CostRateTbl[Cost Rate],MATCH(_xlfn.CONCAT(N311,O311,P311,"NA"),CostRateTbl[KeyCostRate],0)),0)*BillingCurrencyTRM*(1+U311),2)</f>
        <v>0</v>
      </c>
      <c r="W311" s="92">
        <f t="shared" si="145"/>
        <v>0</v>
      </c>
      <c r="X311" s="366" t="e" cm="1">
        <f t="array" ref="X311">_xlfn.LET(
    _xlpm.valor, INDEX(CostRate!H:H, MATCH(1, (CostRate!A:A=N311)*1, 0)),
    _xlpm.posicion, MATCH(_xlpm.valor, FilterSL!$F$1:$Z$1, 0),
    _xlpm.direccionCompleta, ADDRESS(1, _xlpm.posicion + 5, 4),
    _xlpm.letraColumna, SUBSTITUTE(_xlpm.direccionCompleta, "1", ""),
    _xlpm.letraColumna
)</f>
        <v>#N/A</v>
      </c>
      <c r="Y311" s="366" t="e" cm="1">
        <f t="array" ref="Y311">_xlfn.LET(
    _xlpm.valor, INDEX(CostRate!I:I, MATCH(1, (CostRate!A:A=N311)*(CostRate!B:B=O311), 0)),
    _xlpm.posicion, MATCH(_xlpm.valor, FilterJP!$E$1:$FZ$1, 0),
    _xlpm.direccionCompleta, ADDRESS(1, _xlpm.posicion + 4, 4),
    _xlpm.letraColumna, SUBSTITUTE(_xlpm.direccionCompleta, "1", ""),
    _xlpm.letraColumna
)</f>
        <v>#N/A</v>
      </c>
      <c r="Z311" s="7"/>
      <c r="AA311" s="367"/>
      <c r="AB311" s="7"/>
      <c r="AC311" s="93">
        <f t="shared" si="146"/>
        <v>0</v>
      </c>
      <c r="AD311" s="94">
        <f t="shared" si="154"/>
        <v>0</v>
      </c>
      <c r="AE311" s="109">
        <f t="shared" si="155"/>
        <v>0</v>
      </c>
      <c r="AF311" s="7"/>
      <c r="AG311" s="369">
        <f t="shared" si="147"/>
        <v>0</v>
      </c>
      <c r="AH311" s="368">
        <f t="shared" si="148"/>
        <v>0</v>
      </c>
      <c r="AI311" s="7"/>
      <c r="AJ311" s="369" cm="1">
        <f t="array" ref="AJ311">IFERROR(INDEX(WHT!$C$7:$W$18,MATCH(
_xlfn.SWITCH(N311,"xDC Medellin","Colombia","xDC Belo Horizonte","Brazil","xDC Guadalajara","Mexico","xDC Gurugram","India","xDC Leon","Spain","xDC San Jose","Costa Rica","xDC Warsaw","Poland",N311),
WHT!$B$7:$B$18,0),MATCH(CustomerCountry,WHT!$C$5:$W$5,0)),0)</f>
        <v>0</v>
      </c>
      <c r="AK311" s="368">
        <f t="shared" si="149"/>
        <v>0</v>
      </c>
      <c r="AL311" s="7"/>
      <c r="AM311" s="95">
        <f t="shared" si="156"/>
        <v>0</v>
      </c>
      <c r="AN311" s="95">
        <f t="shared" si="150"/>
        <v>0</v>
      </c>
      <c r="AO311" s="95">
        <f t="shared" si="157"/>
        <v>0</v>
      </c>
      <c r="AP311" s="90"/>
      <c r="AQ311" s="18"/>
      <c r="AR311" s="290"/>
      <c r="AS311" s="467" t="s">
        <v>133</v>
      </c>
      <c r="AT311" s="501">
        <f t="shared" si="151"/>
        <v>0</v>
      </c>
      <c r="AU311" s="502"/>
      <c r="AV311" s="95">
        <f t="shared" si="158"/>
        <v>0</v>
      </c>
      <c r="AW311" s="469" t="str">
        <f t="shared" si="152"/>
        <v>N/A</v>
      </c>
      <c r="AX311" s="290"/>
      <c r="AY311" s="18"/>
      <c r="AZ311" s="3"/>
      <c r="BA311" s="315"/>
      <c r="BB311" s="3"/>
      <c r="BC311" s="3"/>
      <c r="BD311" s="3"/>
      <c r="BE311" s="3"/>
      <c r="BF311" s="18"/>
      <c r="BG311" s="3"/>
      <c r="BH311" s="315"/>
      <c r="BI311" s="3"/>
      <c r="BJ311" s="3"/>
      <c r="BK311" s="3"/>
      <c r="BL311" s="3"/>
      <c r="BM311" s="18"/>
      <c r="BN311" s="3"/>
      <c r="BO311" s="315"/>
      <c r="BP311" s="3"/>
      <c r="BQ311" s="3"/>
      <c r="BR311" s="3"/>
      <c r="BS311" s="3"/>
      <c r="BT311" s="18"/>
      <c r="BU311" s="3"/>
      <c r="BV311" s="315"/>
      <c r="BW311" s="3"/>
      <c r="BX311" s="3"/>
      <c r="BY311" s="3"/>
      <c r="BZ311" s="3"/>
    </row>
    <row r="312" spans="1:82" ht="15.6" hidden="1" outlineLevel="1">
      <c r="A312" s="7"/>
      <c r="B312" s="370"/>
      <c r="C312" s="355"/>
      <c r="D312" s="356"/>
      <c r="E312" s="342"/>
      <c r="F312" s="290"/>
      <c r="G312" s="373">
        <v>0</v>
      </c>
      <c r="H312" s="374">
        <v>0</v>
      </c>
      <c r="I312" s="374">
        <v>0</v>
      </c>
      <c r="J312" s="375">
        <f t="shared" si="153"/>
        <v>0</v>
      </c>
      <c r="K312" s="290"/>
      <c r="L312" s="349"/>
      <c r="M312" s="7"/>
      <c r="N312" s="12"/>
      <c r="O312" s="12"/>
      <c r="P312" s="12"/>
      <c r="Q312" s="361"/>
      <c r="R312" s="362"/>
      <c r="S312" s="363">
        <f t="shared" si="143"/>
        <v>0</v>
      </c>
      <c r="T312" s="364">
        <f t="shared" si="144"/>
        <v>0</v>
      </c>
      <c r="U312" s="365">
        <v>0</v>
      </c>
      <c r="V312" s="91">
        <f>ROUNDUP(IFERROR(INDEX(CostRateTbl[Cost Rate],MATCH(_xlfn.CONCAT(N312,O312,P312,"NA"),CostRateTbl[KeyCostRate],0)),0)*BillingCurrencyTRM*(1+U312),2)</f>
        <v>0</v>
      </c>
      <c r="W312" s="92">
        <f t="shared" si="145"/>
        <v>0</v>
      </c>
      <c r="X312" s="366" t="e" cm="1">
        <f t="array" ref="X312">_xlfn.LET(
    _xlpm.valor, INDEX(CostRate!H:H, MATCH(1, (CostRate!A:A=N312)*1, 0)),
    _xlpm.posicion, MATCH(_xlpm.valor, FilterSL!$F$1:$Z$1, 0),
    _xlpm.direccionCompleta, ADDRESS(1, _xlpm.posicion + 5, 4),
    _xlpm.letraColumna, SUBSTITUTE(_xlpm.direccionCompleta, "1", ""),
    _xlpm.letraColumna
)</f>
        <v>#N/A</v>
      </c>
      <c r="Y312" s="366" t="e" cm="1">
        <f t="array" ref="Y312">_xlfn.LET(
    _xlpm.valor, INDEX(CostRate!I:I, MATCH(1, (CostRate!A:A=N312)*(CostRate!B:B=O312), 0)),
    _xlpm.posicion, MATCH(_xlpm.valor, FilterJP!$E$1:$FZ$1, 0),
    _xlpm.direccionCompleta, ADDRESS(1, _xlpm.posicion + 4, 4),
    _xlpm.letraColumna, SUBSTITUTE(_xlpm.direccionCompleta, "1", ""),
    _xlpm.letraColumna
)</f>
        <v>#N/A</v>
      </c>
      <c r="Z312" s="7"/>
      <c r="AA312" s="367"/>
      <c r="AB312" s="7"/>
      <c r="AC312" s="93">
        <f t="shared" si="146"/>
        <v>0</v>
      </c>
      <c r="AD312" s="94">
        <f t="shared" si="154"/>
        <v>0</v>
      </c>
      <c r="AE312" s="109">
        <f t="shared" si="155"/>
        <v>0</v>
      </c>
      <c r="AF312" s="7"/>
      <c r="AG312" s="369">
        <f t="shared" si="147"/>
        <v>0</v>
      </c>
      <c r="AH312" s="368">
        <f t="shared" si="148"/>
        <v>0</v>
      </c>
      <c r="AI312" s="7"/>
      <c r="AJ312" s="369" cm="1">
        <f t="array" ref="AJ312">IFERROR(INDEX(WHT!$C$7:$W$18,MATCH(
_xlfn.SWITCH(N312,"xDC Medellin","Colombia","xDC Belo Horizonte","Brazil","xDC Guadalajara","Mexico","xDC Gurugram","India","xDC Leon","Spain","xDC San Jose","Costa Rica","xDC Warsaw","Poland",N312),
WHT!$B$7:$B$18,0),MATCH(CustomerCountry,WHT!$C$5:$W$5,0)),0)</f>
        <v>0</v>
      </c>
      <c r="AK312" s="368">
        <f t="shared" si="149"/>
        <v>0</v>
      </c>
      <c r="AL312" s="7"/>
      <c r="AM312" s="95">
        <f t="shared" si="156"/>
        <v>0</v>
      </c>
      <c r="AN312" s="95">
        <f t="shared" si="150"/>
        <v>0</v>
      </c>
      <c r="AO312" s="95">
        <f t="shared" si="157"/>
        <v>0</v>
      </c>
      <c r="AP312" s="90"/>
      <c r="AQ312" s="18"/>
      <c r="AR312" s="290"/>
      <c r="AS312" s="467" t="s">
        <v>133</v>
      </c>
      <c r="AT312" s="501">
        <f t="shared" si="151"/>
        <v>0</v>
      </c>
      <c r="AU312" s="502"/>
      <c r="AV312" s="95">
        <f t="shared" si="158"/>
        <v>0</v>
      </c>
      <c r="AW312" s="469" t="str">
        <f t="shared" si="152"/>
        <v>N/A</v>
      </c>
      <c r="AX312" s="290"/>
      <c r="AY312" s="18"/>
      <c r="AZ312" s="3"/>
      <c r="BA312" s="315"/>
      <c r="BB312" s="3"/>
      <c r="BC312" s="3"/>
      <c r="BD312" s="3"/>
      <c r="BE312" s="3"/>
      <c r="BF312" s="18"/>
      <c r="BG312" s="3"/>
      <c r="BH312" s="315"/>
      <c r="BI312" s="3"/>
      <c r="BJ312" s="3"/>
      <c r="BK312" s="3"/>
      <c r="BL312" s="3"/>
      <c r="BM312" s="18"/>
      <c r="BN312" s="3"/>
      <c r="BO312" s="315"/>
      <c r="BP312" s="3"/>
      <c r="BQ312" s="3"/>
      <c r="BR312" s="3"/>
      <c r="BS312" s="3"/>
      <c r="BT312" s="18"/>
      <c r="BU312" s="3"/>
      <c r="BV312" s="315"/>
      <c r="BW312" s="3"/>
      <c r="BX312" s="3"/>
      <c r="BY312" s="3"/>
      <c r="BZ312" s="3"/>
    </row>
    <row r="313" spans="1:82" ht="15.6" hidden="1" outlineLevel="1">
      <c r="A313" s="7"/>
      <c r="B313" s="372"/>
      <c r="C313" s="355"/>
      <c r="D313" s="356"/>
      <c r="E313" s="342"/>
      <c r="F313" s="290"/>
      <c r="G313" s="373">
        <v>0</v>
      </c>
      <c r="H313" s="374">
        <v>0</v>
      </c>
      <c r="I313" s="374">
        <v>0</v>
      </c>
      <c r="J313" s="375">
        <f t="shared" si="153"/>
        <v>0</v>
      </c>
      <c r="K313" s="290"/>
      <c r="L313" s="349"/>
      <c r="M313" s="7"/>
      <c r="N313" s="12"/>
      <c r="O313" s="12"/>
      <c r="P313" s="12"/>
      <c r="Q313" s="361"/>
      <c r="R313" s="362"/>
      <c r="S313" s="363">
        <f t="shared" si="143"/>
        <v>0</v>
      </c>
      <c r="T313" s="364">
        <f t="shared" si="144"/>
        <v>0</v>
      </c>
      <c r="U313" s="365">
        <v>0</v>
      </c>
      <c r="V313" s="91">
        <f>ROUNDUP(IFERROR(INDEX(CostRateTbl[Cost Rate],MATCH(_xlfn.CONCAT(N313,O313,P313,"NA"),CostRateTbl[KeyCostRate],0)),0)*BillingCurrencyTRM*(1+U313),2)</f>
        <v>0</v>
      </c>
      <c r="W313" s="92">
        <f t="shared" si="145"/>
        <v>0</v>
      </c>
      <c r="X313" s="366" t="e" cm="1">
        <f t="array" ref="X313">_xlfn.LET(
    _xlpm.valor, INDEX(CostRate!H:H, MATCH(1, (CostRate!A:A=N313)*1, 0)),
    _xlpm.posicion, MATCH(_xlpm.valor, FilterSL!$F$1:$Z$1, 0),
    _xlpm.direccionCompleta, ADDRESS(1, _xlpm.posicion + 5, 4),
    _xlpm.letraColumna, SUBSTITUTE(_xlpm.direccionCompleta, "1", ""),
    _xlpm.letraColumna
)</f>
        <v>#N/A</v>
      </c>
      <c r="Y313" s="366" t="e" cm="1">
        <f t="array" ref="Y313">_xlfn.LET(
    _xlpm.valor, INDEX(CostRate!I:I, MATCH(1, (CostRate!A:A=N313)*(CostRate!B:B=O313), 0)),
    _xlpm.posicion, MATCH(_xlpm.valor, FilterJP!$E$1:$FZ$1, 0),
    _xlpm.direccionCompleta, ADDRESS(1, _xlpm.posicion + 4, 4),
    _xlpm.letraColumna, SUBSTITUTE(_xlpm.direccionCompleta, "1", ""),
    _xlpm.letraColumna
)</f>
        <v>#N/A</v>
      </c>
      <c r="Z313" s="7"/>
      <c r="AA313" s="367"/>
      <c r="AB313" s="7"/>
      <c r="AC313" s="93">
        <f t="shared" si="146"/>
        <v>0</v>
      </c>
      <c r="AD313" s="94">
        <f t="shared" si="154"/>
        <v>0</v>
      </c>
      <c r="AE313" s="109">
        <f t="shared" si="155"/>
        <v>0</v>
      </c>
      <c r="AF313" s="7"/>
      <c r="AG313" s="369">
        <f t="shared" si="147"/>
        <v>0</v>
      </c>
      <c r="AH313" s="368">
        <f t="shared" si="148"/>
        <v>0</v>
      </c>
      <c r="AI313" s="7"/>
      <c r="AJ313" s="369" cm="1">
        <f t="array" ref="AJ313">IFERROR(INDEX(WHT!$C$7:$W$18,MATCH(
_xlfn.SWITCH(N313,"xDC Medellin","Colombia","xDC Belo Horizonte","Brazil","xDC Guadalajara","Mexico","xDC Gurugram","India","xDC Leon","Spain","xDC San Jose","Costa Rica","xDC Warsaw","Poland",N313),
WHT!$B$7:$B$18,0),MATCH(CustomerCountry,WHT!$C$5:$W$5,0)),0)</f>
        <v>0</v>
      </c>
      <c r="AK313" s="368">
        <f t="shared" si="149"/>
        <v>0</v>
      </c>
      <c r="AL313" s="7"/>
      <c r="AM313" s="95">
        <f t="shared" si="156"/>
        <v>0</v>
      </c>
      <c r="AN313" s="95">
        <f t="shared" si="150"/>
        <v>0</v>
      </c>
      <c r="AO313" s="95">
        <f t="shared" si="157"/>
        <v>0</v>
      </c>
      <c r="AP313" s="90"/>
      <c r="AQ313" s="18"/>
      <c r="AR313" s="290"/>
      <c r="AS313" s="467" t="s">
        <v>133</v>
      </c>
      <c r="AT313" s="501">
        <f>IF(AS313="x",AM313+((SUM($AN$273:$AN$278)+SUMIF($AS$284:$AS$313,"&lt;&gt;x",$AM$284:$AM$313))*IFERROR(AM313/SUMIF($AS$284:$AS$313,"x",$AM$284:$AM$313),0)),0)</f>
        <v>0</v>
      </c>
      <c r="AU313" s="502"/>
      <c r="AV313" s="95">
        <f t="shared" si="158"/>
        <v>0</v>
      </c>
      <c r="AW313" s="469" t="str">
        <f t="shared" si="152"/>
        <v>N/A</v>
      </c>
      <c r="AX313" s="290"/>
      <c r="AY313" s="18"/>
      <c r="AZ313" s="3"/>
      <c r="BA313" s="315"/>
      <c r="BB313" s="3"/>
      <c r="BC313" s="3"/>
      <c r="BD313" s="3"/>
      <c r="BE313" s="3"/>
      <c r="BF313" s="18"/>
      <c r="BG313" s="3"/>
      <c r="BH313" s="315"/>
      <c r="BI313" s="3"/>
      <c r="BJ313" s="3"/>
      <c r="BK313" s="3"/>
      <c r="BL313" s="3"/>
      <c r="BM313" s="18"/>
      <c r="BN313" s="3"/>
      <c r="BO313" s="315"/>
      <c r="BP313" s="3"/>
      <c r="BQ313" s="3"/>
      <c r="BR313" s="3"/>
      <c r="BS313" s="3"/>
      <c r="BT313" s="18"/>
      <c r="BU313" s="3"/>
      <c r="BV313" s="315"/>
      <c r="BW313" s="3"/>
      <c r="BX313" s="3"/>
      <c r="BY313" s="3"/>
      <c r="BZ313" s="3"/>
    </row>
    <row r="314" spans="1:82" ht="15.6" hidden="1" outlineLevel="1">
      <c r="A314" s="7"/>
      <c r="B314" s="376"/>
      <c r="C314" s="376"/>
      <c r="D314" s="376"/>
      <c r="E314" s="342"/>
      <c r="F314" s="290"/>
      <c r="G314" s="290"/>
      <c r="H314" s="290"/>
      <c r="I314" s="290"/>
      <c r="J314" s="290"/>
      <c r="K314" s="290"/>
      <c r="L314" s="18"/>
      <c r="M314" s="7"/>
      <c r="N314" s="7"/>
      <c r="O314" s="7"/>
      <c r="P314" s="7"/>
      <c r="Q314" s="7"/>
      <c r="R314" s="7"/>
      <c r="S314" s="294"/>
      <c r="T314" s="294"/>
      <c r="U314" s="294"/>
      <c r="V314" s="294"/>
      <c r="W314" s="294"/>
      <c r="X314" s="7"/>
      <c r="Y314" s="7"/>
      <c r="Z314" s="294"/>
      <c r="AA314" s="377"/>
      <c r="AB314" s="294"/>
      <c r="AC314" s="294"/>
      <c r="AD314" s="294"/>
      <c r="AE314" s="294"/>
      <c r="AF314" s="7"/>
      <c r="AG314" s="294"/>
      <c r="AH314" s="294"/>
      <c r="AI314" s="7"/>
      <c r="AJ314" s="294"/>
      <c r="AK314" s="294"/>
      <c r="AL314" s="7"/>
      <c r="AM314" s="294"/>
      <c r="AN314" s="294"/>
      <c r="AO314" s="294"/>
      <c r="AP314" s="294"/>
      <c r="AQ314" s="18"/>
      <c r="AR314" s="378"/>
      <c r="AS314" s="378"/>
      <c r="AT314" s="378"/>
      <c r="AU314" s="81"/>
      <c r="AV314" s="378"/>
      <c r="AW314" s="7"/>
      <c r="AX314" s="378"/>
      <c r="AY314" s="18"/>
      <c r="AZ314" s="3"/>
      <c r="BA314" s="315"/>
      <c r="BB314" s="3"/>
      <c r="BC314" s="3"/>
      <c r="BD314" s="3"/>
      <c r="BE314" s="3"/>
      <c r="BF314" s="18"/>
      <c r="BG314" s="3"/>
      <c r="BH314" s="315"/>
      <c r="BI314" s="3"/>
      <c r="BJ314" s="3"/>
      <c r="BK314" s="3"/>
      <c r="BL314" s="3"/>
      <c r="BM314" s="18"/>
      <c r="BN314" s="3"/>
      <c r="BO314" s="315"/>
      <c r="BP314" s="3"/>
      <c r="BQ314" s="3"/>
      <c r="BR314" s="3"/>
      <c r="BS314" s="3"/>
      <c r="BT314" s="18"/>
      <c r="BU314" s="3"/>
      <c r="BV314" s="315"/>
      <c r="BW314" s="3"/>
      <c r="BX314" s="3"/>
      <c r="BY314" s="3"/>
      <c r="BZ314" s="3"/>
    </row>
    <row r="315" spans="1:82" s="389" customFormat="1" collapsed="1">
      <c r="A315" s="390"/>
      <c r="B315" s="390"/>
      <c r="C315" s="390"/>
      <c r="D315" s="390"/>
      <c r="E315" s="390"/>
      <c r="F315" s="390"/>
      <c r="G315" s="390"/>
      <c r="H315" s="390"/>
      <c r="I315" s="390"/>
      <c r="J315" s="390"/>
      <c r="K315" s="390"/>
      <c r="L315" s="390"/>
      <c r="M315" s="392"/>
      <c r="N315" s="392"/>
      <c r="O315" s="392"/>
      <c r="P315" s="392"/>
      <c r="Q315" s="392"/>
      <c r="R315" s="392"/>
      <c r="S315" s="392"/>
      <c r="T315" s="392"/>
      <c r="U315" s="392"/>
      <c r="V315" s="392"/>
      <c r="W315" s="392"/>
      <c r="X315" s="392"/>
      <c r="Y315" s="392"/>
      <c r="Z315" s="392"/>
      <c r="AA315" s="320"/>
      <c r="AB315" s="321"/>
      <c r="AC315" s="322"/>
      <c r="AD315" s="322"/>
      <c r="AE315" s="322"/>
      <c r="AF315" s="322"/>
      <c r="AG315" s="322"/>
      <c r="AH315" s="322"/>
      <c r="AI315" s="322"/>
      <c r="AJ315" s="323"/>
      <c r="AK315" s="322"/>
      <c r="AL315" s="322"/>
      <c r="AM315" s="322"/>
      <c r="AN315" s="323"/>
      <c r="AO315" s="323"/>
      <c r="AP315" s="323"/>
      <c r="AR315" s="390"/>
      <c r="AS315" s="390"/>
      <c r="AT315" s="390"/>
      <c r="AU315" s="390"/>
      <c r="AV315" s="390"/>
      <c r="AW315" s="390"/>
      <c r="AX315" s="390"/>
      <c r="AZ315" s="390"/>
      <c r="BA315" s="390"/>
      <c r="BB315" s="390"/>
      <c r="BC315" s="390"/>
      <c r="BD315" s="390"/>
      <c r="BE315" s="390"/>
      <c r="BF315" s="390"/>
      <c r="BG315" s="390"/>
      <c r="BH315" s="390"/>
      <c r="BI315" s="390"/>
      <c r="BJ315" s="390"/>
      <c r="BK315" s="390"/>
      <c r="BL315" s="390"/>
      <c r="BM315" s="390"/>
      <c r="BN315" s="390"/>
      <c r="BO315" s="390"/>
      <c r="BP315" s="390"/>
      <c r="BQ315" s="390"/>
      <c r="BR315" s="390"/>
      <c r="BS315" s="390"/>
      <c r="BT315" s="390"/>
      <c r="BU315" s="390"/>
      <c r="BV315" s="390"/>
      <c r="BW315" s="390"/>
      <c r="BX315" s="390"/>
      <c r="BY315" s="390"/>
      <c r="BZ315" s="390"/>
      <c r="CA315" s="390"/>
      <c r="CB315" s="390"/>
      <c r="CC315" s="390"/>
      <c r="CD315" s="390"/>
    </row>
    <row r="316" spans="1:82" s="325" customFormat="1" ht="15.6">
      <c r="A316" s="480"/>
      <c r="B316" s="507" t="s">
        <v>166</v>
      </c>
      <c r="C316" s="507"/>
      <c r="D316" s="324"/>
      <c r="E316" s="342"/>
      <c r="F316" s="290"/>
      <c r="G316" s="79"/>
      <c r="H316" s="326"/>
      <c r="I316" s="326"/>
      <c r="J316" s="80"/>
      <c r="K316" s="290"/>
      <c r="L316" s="342"/>
      <c r="M316" s="2"/>
      <c r="N316" s="7"/>
      <c r="O316" s="7"/>
      <c r="P316" s="77"/>
      <c r="Q316" s="77"/>
      <c r="R316" s="77"/>
      <c r="S316" s="77"/>
      <c r="T316" s="77"/>
      <c r="U316" s="77"/>
      <c r="V316" s="77"/>
      <c r="W316" s="77"/>
      <c r="X316" s="77"/>
      <c r="Y316" s="77"/>
      <c r="Z316" s="2"/>
      <c r="AA316" s="304"/>
      <c r="AB316" s="7"/>
      <c r="AC316" s="13"/>
      <c r="AD316" s="13"/>
      <c r="AE316" s="13"/>
      <c r="AF316" s="13"/>
      <c r="AG316" s="13"/>
      <c r="AH316" s="13"/>
      <c r="AI316" s="13"/>
      <c r="AJ316" s="70"/>
      <c r="AK316" s="70"/>
      <c r="AL316" s="13"/>
      <c r="AM316" s="13"/>
      <c r="AN316" s="70"/>
      <c r="AO316" s="70"/>
      <c r="AP316" s="7"/>
      <c r="AQ316" s="342"/>
      <c r="AR316" s="290"/>
      <c r="AS316" s="290"/>
      <c r="AT316" s="290"/>
      <c r="AU316" s="290"/>
      <c r="AV316" s="290"/>
      <c r="AW316" s="290"/>
      <c r="AX316" s="290"/>
      <c r="AY316" s="342"/>
      <c r="AZ316" s="3"/>
      <c r="BA316" s="315"/>
      <c r="BB316" s="3"/>
      <c r="BC316" s="3"/>
      <c r="BD316" s="3"/>
      <c r="BE316" s="3"/>
      <c r="BF316" s="342"/>
      <c r="BG316" s="3"/>
      <c r="BH316" s="315"/>
      <c r="BI316" s="3"/>
      <c r="BJ316" s="3"/>
      <c r="BK316" s="3"/>
      <c r="BL316" s="3"/>
      <c r="BM316" s="342"/>
      <c r="BN316" s="3"/>
      <c r="BO316" s="315"/>
      <c r="BP316" s="3"/>
      <c r="BQ316" s="3"/>
      <c r="BR316" s="3"/>
      <c r="BS316" s="3"/>
      <c r="BT316" s="342"/>
      <c r="BU316" s="3"/>
      <c r="BV316" s="315"/>
      <c r="BW316" s="3"/>
      <c r="BX316" s="3"/>
      <c r="BY316" s="3"/>
      <c r="BZ316" s="3"/>
      <c r="CA316" s="342"/>
      <c r="CB316" s="342"/>
      <c r="CC316" s="342"/>
      <c r="CD316" s="342"/>
    </row>
    <row r="317" spans="1:82" s="325" customFormat="1" ht="15.6">
      <c r="A317" s="480"/>
      <c r="B317" s="507"/>
      <c r="C317" s="507"/>
      <c r="D317" s="324"/>
      <c r="E317" s="342"/>
      <c r="F317" s="290"/>
      <c r="G317" s="79"/>
      <c r="H317" s="326"/>
      <c r="I317" s="326"/>
      <c r="J317" s="80"/>
      <c r="K317" s="290"/>
      <c r="L317" s="342"/>
      <c r="M317" s="2"/>
      <c r="N317" s="13" t="s">
        <v>78</v>
      </c>
      <c r="O317" s="395" t="s">
        <v>79</v>
      </c>
      <c r="P317" s="395" t="s">
        <v>80</v>
      </c>
      <c r="Q317" s="77"/>
      <c r="R317" s="77"/>
      <c r="S317" s="77"/>
      <c r="T317" s="77"/>
      <c r="U317" s="13" t="s">
        <v>81</v>
      </c>
      <c r="V317" s="428" t="str">
        <f>_xlfn.CONCAT("DELIVERY COST (",BillingCountryCurrency,")")</f>
        <v>DELIVERY COST (USD)</v>
      </c>
      <c r="W317" s="428" t="str">
        <f>_xlfn.CONCAT("DELIVERY COST (",IF(ISBLANK(BusinessCurrency),"N/A",BusinessCurrency),")")</f>
        <v>DELIVERY COST (N/A)</v>
      </c>
      <c r="X317" s="77"/>
      <c r="Y317" s="77"/>
      <c r="Z317" s="2"/>
      <c r="AA317" s="304"/>
      <c r="AB317" s="7"/>
      <c r="AC317" s="13" t="s">
        <v>82</v>
      </c>
      <c r="AD317" s="428" t="str">
        <f>_xlfn.CONCAT("PRICING (",BillingCountryCurrency,")")</f>
        <v>PRICING (USD)</v>
      </c>
      <c r="AE317" s="428" t="str">
        <f>_xlfn.CONCAT("PRICING (",IF(ISBLANK(BusinessCurrency),"N/A",BusinessCurrency),")")</f>
        <v>PRICING (N/A)</v>
      </c>
      <c r="AF317" s="70" t="s">
        <v>14</v>
      </c>
      <c r="AG317" s="428" t="str">
        <f>_xlfn.CONCAT("Intercompany (",BillingCountryCurrency,")")</f>
        <v>Intercompany (USD)</v>
      </c>
      <c r="AH317" s="428" t="str">
        <f>_xlfn.CONCAT("Intercompany (",IF(ISBLANK(BusinessCurrency),"N/A",BusinessCurrency),")")</f>
        <v>Intercompany (N/A)</v>
      </c>
      <c r="AI317" s="70" t="s">
        <v>14</v>
      </c>
      <c r="AJ317" s="428" t="str">
        <f>_xlfn.CONCAT("WHT (",BillingCountryCurrency,")")</f>
        <v>WHT (USD)</v>
      </c>
      <c r="AK317" s="428" t="str">
        <f>_xlfn.CONCAT("WHT (",IF(ISBLANK(BusinessCurrency),"N/A",BusinessCurrency),")")</f>
        <v>WHT (N/A)</v>
      </c>
      <c r="AL317" s="70"/>
      <c r="AM317" s="70" t="s">
        <v>15</v>
      </c>
      <c r="AN317" s="428" t="str">
        <f>_xlfn.CONCAT("SUBTOTAL PRICE (",BillingCountryCurrency,")")</f>
        <v>SUBTOTAL PRICE (USD)</v>
      </c>
      <c r="AO317" s="428" t="str">
        <f>_xlfn.CONCAT("SUBTOTAL PRICE (",IF(ISBLANK(BusinessCurrency),"N/A",BusinessCurrency),")")</f>
        <v>SUBTOTAL PRICE (N/A)</v>
      </c>
      <c r="AP317" s="7"/>
      <c r="AQ317" s="342"/>
      <c r="AR317" s="290"/>
      <c r="AS317" s="13" t="s">
        <v>83</v>
      </c>
      <c r="AT317" s="290"/>
      <c r="AU317" s="100"/>
      <c r="AV317" s="417"/>
      <c r="AW317" s="417"/>
      <c r="AX317" s="290"/>
      <c r="AY317" s="342"/>
      <c r="AZ317" s="3"/>
      <c r="BA317" s="315"/>
      <c r="BB317" s="3"/>
      <c r="BC317" s="3"/>
      <c r="BD317" s="3"/>
      <c r="BE317" s="3"/>
      <c r="BF317" s="342"/>
      <c r="BG317" s="3"/>
      <c r="BH317" s="315"/>
      <c r="BI317" s="3"/>
      <c r="BJ317" s="3"/>
      <c r="BK317" s="3"/>
      <c r="BL317" s="3"/>
      <c r="BM317" s="342"/>
      <c r="BN317" s="3"/>
      <c r="BO317" s="315"/>
      <c r="BP317" s="3"/>
      <c r="BQ317" s="3"/>
      <c r="BR317" s="3"/>
      <c r="BS317" s="3"/>
      <c r="BT317" s="342"/>
      <c r="BU317" s="3"/>
      <c r="BV317" s="315"/>
      <c r="BW317" s="3"/>
      <c r="BX317" s="3"/>
      <c r="BY317" s="3"/>
      <c r="BZ317" s="3"/>
      <c r="CA317" s="342"/>
      <c r="CB317" s="342"/>
      <c r="CC317" s="342"/>
      <c r="CD317" s="342"/>
    </row>
    <row r="318" spans="1:82" s="325" customFormat="1" ht="15.6">
      <c r="A318" s="480"/>
      <c r="B318" s="507"/>
      <c r="C318" s="507"/>
      <c r="D318" s="324"/>
      <c r="E318" s="342"/>
      <c r="F318" s="290"/>
      <c r="G318" s="79"/>
      <c r="H318" s="326"/>
      <c r="I318" s="326"/>
      <c r="J318" s="80"/>
      <c r="K318" s="290"/>
      <c r="L318" s="342"/>
      <c r="M318" s="2"/>
      <c r="N318" s="79" t="s">
        <v>84</v>
      </c>
      <c r="O318" s="103">
        <f>SUMIF($P332:$P361,"&lt;&gt;*Project Management*",$T332:$T361)</f>
        <v>0</v>
      </c>
      <c r="P318" s="396">
        <f>IFERROR(O318/O321,0)</f>
        <v>0</v>
      </c>
      <c r="Q318" s="82"/>
      <c r="R318" s="77"/>
      <c r="S318" s="77"/>
      <c r="T318" s="77"/>
      <c r="U318" s="4" t="s">
        <v>24</v>
      </c>
      <c r="V318" s="328">
        <f>SUMIF(P332:P361,"&lt;&gt;*Project Management*",W332:W361)</f>
        <v>0</v>
      </c>
      <c r="W318" s="425" t="str">
        <f t="shared" ref="W318:W327" si="159">IFERROR(V318/BusinessCurrencyTRM,"N/A")</f>
        <v>N/A</v>
      </c>
      <c r="X318" s="7"/>
      <c r="Y318" s="7" t="s">
        <v>85</v>
      </c>
      <c r="Z318" s="2"/>
      <c r="AA318" s="304"/>
      <c r="AB318" s="7"/>
      <c r="AC318" s="4" t="s">
        <v>24</v>
      </c>
      <c r="AD318" s="329">
        <f>SUMIF(P332:P361,"&lt;&gt;*Project Management*",AD332:AD361)</f>
        <v>0</v>
      </c>
      <c r="AE318" s="425" t="str">
        <f t="shared" ref="AE318:AE327" si="160">IFERROR(AD318/BusinessCurrencyTRM,"N/A")</f>
        <v>N/A</v>
      </c>
      <c r="AF318" s="330"/>
      <c r="AG318" s="328">
        <f>SUMIF(P332:P361,"&lt;&gt;*Project Management*",AH332:AH361)</f>
        <v>0</v>
      </c>
      <c r="AH318" s="449" t="str">
        <f t="shared" ref="AH318:AH327" si="161">IFERROR(AG318/BusinessCurrencyTRM,"N/A")</f>
        <v>N/A</v>
      </c>
      <c r="AI318" s="330"/>
      <c r="AJ318" s="328">
        <f>SUMIF(P332:P361,"&lt;&gt;*Project Management*",AK332:AK361)</f>
        <v>0</v>
      </c>
      <c r="AK318" s="425" t="str">
        <f t="shared" ref="AK318:AK327" si="162">IFERROR(AJ318/BusinessCurrencyTRM,"N/A")</f>
        <v>N/A</v>
      </c>
      <c r="AL318" s="330"/>
      <c r="AM318" s="330"/>
      <c r="AN318" s="329">
        <f>SUM(AD318,AG318,AJ318)</f>
        <v>0</v>
      </c>
      <c r="AO318" s="425" t="str">
        <f t="shared" ref="AO318:AO327" si="163">IFERROR(AN318/BusinessCurrencyTRM,"N/A")</f>
        <v>N/A</v>
      </c>
      <c r="AP318" s="7"/>
      <c r="AQ318" s="342"/>
      <c r="AR318" s="290"/>
      <c r="AS318" s="402" t="s">
        <v>86</v>
      </c>
      <c r="AT318" s="290"/>
      <c r="AU318" s="81"/>
      <c r="AV318" s="508">
        <v>0.35</v>
      </c>
      <c r="AW318" s="508"/>
      <c r="AX318" s="290"/>
      <c r="AY318" s="342"/>
      <c r="AZ318" s="3"/>
      <c r="BA318" s="315"/>
      <c r="BB318" s="3"/>
      <c r="BC318" s="3"/>
      <c r="BD318" s="3"/>
      <c r="BE318" s="3"/>
      <c r="BF318" s="342"/>
      <c r="BG318" s="3"/>
      <c r="BH318" s="315"/>
      <c r="BI318" s="3"/>
      <c r="BJ318" s="3"/>
      <c r="BK318" s="3"/>
      <c r="BL318" s="3"/>
      <c r="BM318" s="342"/>
      <c r="BN318" s="3"/>
      <c r="BO318" s="315"/>
      <c r="BP318" s="3"/>
      <c r="BQ318" s="3"/>
      <c r="BR318" s="3"/>
      <c r="BS318" s="3"/>
      <c r="BT318" s="342"/>
      <c r="BU318" s="3"/>
      <c r="BV318" s="315"/>
      <c r="BW318" s="3"/>
      <c r="BX318" s="3"/>
      <c r="BY318" s="3"/>
      <c r="BZ318" s="3"/>
      <c r="CA318" s="342"/>
      <c r="CB318" s="342"/>
      <c r="CC318" s="342"/>
      <c r="CD318" s="342"/>
    </row>
    <row r="319" spans="1:82" s="325" customFormat="1" ht="16.149999999999999" thickBot="1">
      <c r="A319" s="480"/>
      <c r="B319" s="507"/>
      <c r="C319" s="507"/>
      <c r="D319" s="324"/>
      <c r="E319" s="342"/>
      <c r="F319" s="290"/>
      <c r="G319" s="79"/>
      <c r="H319" s="326"/>
      <c r="I319" s="326"/>
      <c r="J319" s="80"/>
      <c r="K319" s="290"/>
      <c r="L319" s="342"/>
      <c r="M319" s="2"/>
      <c r="N319" s="79" t="s">
        <v>87</v>
      </c>
      <c r="O319" s="103">
        <f>SUMIF($P332:$P361,"=*Project Management*",$T332:T361)</f>
        <v>0</v>
      </c>
      <c r="P319" s="396">
        <f>IFERROR(O319/O321,0)</f>
        <v>0</v>
      </c>
      <c r="Q319" s="82"/>
      <c r="R319" s="77"/>
      <c r="S319" s="77"/>
      <c r="T319" s="77"/>
      <c r="U319" s="4" t="s">
        <v>30</v>
      </c>
      <c r="V319" s="328">
        <f>SUMIF(P332:P361,"=*Project Management*",W332:W361)</f>
        <v>0</v>
      </c>
      <c r="W319" s="425" t="str">
        <f t="shared" si="159"/>
        <v>N/A</v>
      </c>
      <c r="X319" s="7"/>
      <c r="Y319" s="7" t="s">
        <v>88</v>
      </c>
      <c r="Z319" s="2"/>
      <c r="AA319" s="304"/>
      <c r="AB319" s="7"/>
      <c r="AC319" s="4" t="s">
        <v>30</v>
      </c>
      <c r="AD319" s="329">
        <f>SUMIF(P332:P361,"=*Project Management*",AD332:AD361)</f>
        <v>0</v>
      </c>
      <c r="AE319" s="425" t="str">
        <f t="shared" si="160"/>
        <v>N/A</v>
      </c>
      <c r="AF319" s="330"/>
      <c r="AG319" s="328">
        <f>SUMIF(P332:P361,"=*Project Management*",AH332:AH361)</f>
        <v>0</v>
      </c>
      <c r="AH319" s="447" t="str">
        <f t="shared" si="161"/>
        <v>N/A</v>
      </c>
      <c r="AI319" s="330"/>
      <c r="AJ319" s="448">
        <f>SUMIF(P332:P361,"=*Project Management*",AK332:AK361)</f>
        <v>0</v>
      </c>
      <c r="AK319" s="425" t="str">
        <f t="shared" si="162"/>
        <v>N/A</v>
      </c>
      <c r="AL319" s="330"/>
      <c r="AM319" s="330"/>
      <c r="AN319" s="329">
        <f t="shared" ref="AN319:AN327" si="164">SUM(AD319,AG319,AJ319)</f>
        <v>0</v>
      </c>
      <c r="AO319" s="425" t="str">
        <f t="shared" si="163"/>
        <v>N/A</v>
      </c>
      <c r="AP319" s="7"/>
      <c r="AQ319" s="342"/>
      <c r="AR319" s="290"/>
      <c r="AS319" s="402" t="s">
        <v>89</v>
      </c>
      <c r="AT319" s="290"/>
      <c r="AU319" s="81"/>
      <c r="AV319" s="509">
        <f>IFERROR(1-AV321/AV322,0)</f>
        <v>0</v>
      </c>
      <c r="AW319" s="509"/>
      <c r="AX319" s="290"/>
      <c r="AY319" s="342"/>
      <c r="AZ319" s="3"/>
      <c r="BA319" s="315"/>
      <c r="BB319" s="3"/>
      <c r="BC319" s="3"/>
      <c r="BD319" s="3"/>
      <c r="BE319" s="3"/>
      <c r="BF319" s="342"/>
      <c r="BG319" s="3"/>
      <c r="BH319" s="315"/>
      <c r="BI319" s="3"/>
      <c r="BJ319" s="3"/>
      <c r="BK319" s="3"/>
      <c r="BL319" s="3"/>
      <c r="BM319" s="342"/>
      <c r="BN319" s="3"/>
      <c r="BO319" s="315"/>
      <c r="BP319" s="3"/>
      <c r="BQ319" s="3"/>
      <c r="BR319" s="3"/>
      <c r="BS319" s="3"/>
      <c r="BT319" s="342"/>
      <c r="BU319" s="3"/>
      <c r="BV319" s="315"/>
      <c r="BW319" s="3"/>
      <c r="BX319" s="3"/>
      <c r="BY319" s="3"/>
      <c r="BZ319" s="3"/>
      <c r="CA319" s="342"/>
      <c r="CB319" s="342"/>
      <c r="CC319" s="342"/>
      <c r="CD319" s="342"/>
    </row>
    <row r="320" spans="1:82" s="325" customFormat="1" ht="16.899999999999999" thickTop="1" thickBot="1">
      <c r="A320" s="480"/>
      <c r="B320" s="507"/>
      <c r="C320" s="507"/>
      <c r="D320" s="324"/>
      <c r="E320" s="342"/>
      <c r="F320" s="290"/>
      <c r="G320" s="79"/>
      <c r="H320" s="326"/>
      <c r="I320" s="326"/>
      <c r="J320" s="80"/>
      <c r="K320" s="290"/>
      <c r="L320" s="342"/>
      <c r="M320" s="2"/>
      <c r="N320" s="79" t="s">
        <v>90</v>
      </c>
      <c r="O320" s="103">
        <f>IF(Approach="Team-Based",SUM(O318:O319)*$O323,$J330-$G330)</f>
        <v>0</v>
      </c>
      <c r="P320" s="396">
        <f>IFERROR(O320/O321,0)</f>
        <v>0</v>
      </c>
      <c r="Q320" s="77"/>
      <c r="R320" s="77"/>
      <c r="S320" s="77"/>
      <c r="T320" s="77"/>
      <c r="U320" s="13" t="s">
        <v>35</v>
      </c>
      <c r="V320" s="84">
        <f>SUM(V318:V319)</f>
        <v>0</v>
      </c>
      <c r="W320" s="426" t="str">
        <f t="shared" si="159"/>
        <v>N/A</v>
      </c>
      <c r="X320" s="77"/>
      <c r="Y320" s="77"/>
      <c r="Z320" s="2"/>
      <c r="AA320" s="304"/>
      <c r="AB320" s="7"/>
      <c r="AC320" s="13" t="s">
        <v>35</v>
      </c>
      <c r="AD320" s="84">
        <f>SUM(AD318:AD319)</f>
        <v>0</v>
      </c>
      <c r="AE320" s="426" t="str">
        <f t="shared" si="160"/>
        <v>N/A</v>
      </c>
      <c r="AF320" s="330"/>
      <c r="AG320" s="84">
        <f>SUM(AG318:AG319)</f>
        <v>0</v>
      </c>
      <c r="AH320" s="450" t="str">
        <f t="shared" si="161"/>
        <v>N/A</v>
      </c>
      <c r="AI320" s="330"/>
      <c r="AJ320" s="84">
        <f>SUM(AJ318:AJ319)</f>
        <v>0</v>
      </c>
      <c r="AK320" s="426" t="str">
        <f t="shared" si="162"/>
        <v>N/A</v>
      </c>
      <c r="AL320" s="330"/>
      <c r="AM320" s="330"/>
      <c r="AN320" s="84">
        <f t="shared" si="164"/>
        <v>0</v>
      </c>
      <c r="AO320" s="426" t="str">
        <f t="shared" si="163"/>
        <v>N/A</v>
      </c>
      <c r="AP320" s="7"/>
      <c r="AQ320" s="342"/>
      <c r="AR320" s="290"/>
      <c r="AS320" s="81"/>
      <c r="AT320" s="81"/>
      <c r="AU320" s="81"/>
      <c r="AV320" s="417" t="str">
        <f>BillingCountryCurrency</f>
        <v>USD</v>
      </c>
      <c r="AW320" s="417" t="str">
        <f>IF(ISBLANK(BusinessCurrency),"N/A",BusinessCurrency)</f>
        <v>N/A</v>
      </c>
      <c r="AX320" s="290"/>
      <c r="AY320" s="342"/>
      <c r="AZ320" s="3"/>
      <c r="BA320" s="315"/>
      <c r="BB320" s="3"/>
      <c r="BC320" s="3"/>
      <c r="BD320" s="3"/>
      <c r="BE320" s="3"/>
      <c r="BF320" s="342"/>
      <c r="BG320" s="3"/>
      <c r="BH320" s="315"/>
      <c r="BI320" s="3"/>
      <c r="BJ320" s="3"/>
      <c r="BK320" s="3"/>
      <c r="BL320" s="3"/>
      <c r="BM320" s="342"/>
      <c r="BN320" s="3"/>
      <c r="BO320" s="315"/>
      <c r="BP320" s="3"/>
      <c r="BQ320" s="3"/>
      <c r="BR320" s="3"/>
      <c r="BS320" s="3"/>
      <c r="BT320" s="342"/>
      <c r="BU320" s="3"/>
      <c r="BV320" s="315"/>
      <c r="BW320" s="3"/>
      <c r="BX320" s="3"/>
      <c r="BY320" s="3"/>
      <c r="BZ320" s="3"/>
      <c r="CA320" s="342"/>
      <c r="CB320" s="342"/>
      <c r="CC320" s="342"/>
      <c r="CD320" s="342"/>
    </row>
    <row r="321" spans="1:82" s="325" customFormat="1" ht="16.149999999999999" thickTop="1">
      <c r="A321" s="480"/>
      <c r="B321" s="507"/>
      <c r="C321" s="507"/>
      <c r="D321" s="324"/>
      <c r="E321" s="342"/>
      <c r="F321" s="290"/>
      <c r="G321" s="79"/>
      <c r="H321" s="326"/>
      <c r="I321" s="326"/>
      <c r="J321" s="80"/>
      <c r="K321" s="290"/>
      <c r="L321" s="342"/>
      <c r="M321" s="2"/>
      <c r="N321" s="83" t="s">
        <v>91</v>
      </c>
      <c r="O321" s="102">
        <f>SUM(O318:O320)</f>
        <v>0</v>
      </c>
      <c r="P321" s="397">
        <f>SUM(P318:P320)</f>
        <v>0</v>
      </c>
      <c r="Q321" s="77"/>
      <c r="R321" s="77"/>
      <c r="S321" s="77"/>
      <c r="T321" s="77"/>
      <c r="U321" s="4" t="s">
        <v>47</v>
      </c>
      <c r="V321" s="328">
        <f>ROUNDUP(V320*O323,2)</f>
        <v>0</v>
      </c>
      <c r="W321" s="425" t="str">
        <f t="shared" si="159"/>
        <v>N/A</v>
      </c>
      <c r="X321" s="7"/>
      <c r="Y321" s="7" t="s">
        <v>92</v>
      </c>
      <c r="Z321" s="2"/>
      <c r="AA321" s="304"/>
      <c r="AB321" s="7"/>
      <c r="AC321" s="4" t="s">
        <v>47</v>
      </c>
      <c r="AD321" s="328">
        <f>ROUNDUP(V321/(1-$AV318),2)</f>
        <v>0</v>
      </c>
      <c r="AE321" s="425" t="str">
        <f t="shared" si="160"/>
        <v>N/A</v>
      </c>
      <c r="AF321" s="330"/>
      <c r="AG321" s="328">
        <f>IFERROR(V321*MAX(AG332:AG361),0)</f>
        <v>0</v>
      </c>
      <c r="AH321" s="449" t="str">
        <f t="shared" si="161"/>
        <v>N/A</v>
      </c>
      <c r="AI321" s="330"/>
      <c r="AJ321" s="328">
        <f>IFERROR(SUM(V321,AG321)*MAX(AJ332:AJ361),0)</f>
        <v>0</v>
      </c>
      <c r="AK321" s="425" t="str">
        <f t="shared" si="162"/>
        <v>N/A</v>
      </c>
      <c r="AL321" s="330"/>
      <c r="AM321" s="330"/>
      <c r="AN321" s="329">
        <f t="shared" si="164"/>
        <v>0</v>
      </c>
      <c r="AO321" s="425" t="str">
        <f t="shared" si="163"/>
        <v>N/A</v>
      </c>
      <c r="AP321" s="7"/>
      <c r="AQ321" s="342"/>
      <c r="AR321" s="290"/>
      <c r="AS321" s="402" t="s">
        <v>93</v>
      </c>
      <c r="AT321" s="290"/>
      <c r="AU321" s="81"/>
      <c r="AV321" s="298">
        <f>SUM(V327,AG327,AJ327)</f>
        <v>0</v>
      </c>
      <c r="AW321" s="418" t="str">
        <f>IFERROR(AV321/BusinessCurrencyTRM,"N/A")</f>
        <v>N/A</v>
      </c>
      <c r="AX321" s="290"/>
      <c r="AY321" s="342"/>
      <c r="AZ321" s="3"/>
      <c r="BA321" s="315"/>
      <c r="BB321" s="3"/>
      <c r="BC321" s="3"/>
      <c r="BD321" s="3"/>
      <c r="BE321" s="3"/>
      <c r="BF321" s="342"/>
      <c r="BG321" s="3"/>
      <c r="BH321" s="315"/>
      <c r="BI321" s="3"/>
      <c r="BJ321" s="3"/>
      <c r="BK321" s="3"/>
      <c r="BL321" s="3"/>
      <c r="BM321" s="342"/>
      <c r="BN321" s="3"/>
      <c r="BO321" s="315"/>
      <c r="BP321" s="3"/>
      <c r="BQ321" s="3"/>
      <c r="BR321" s="3"/>
      <c r="BS321" s="3"/>
      <c r="BT321" s="342"/>
      <c r="BU321" s="3"/>
      <c r="BV321" s="315"/>
      <c r="BW321" s="3"/>
      <c r="BX321" s="3"/>
      <c r="BY321" s="3"/>
      <c r="BZ321" s="3"/>
      <c r="CA321" s="342"/>
      <c r="CB321" s="342"/>
      <c r="CC321" s="342"/>
      <c r="CD321" s="342"/>
    </row>
    <row r="322" spans="1:82" s="325" customFormat="1" ht="15.6">
      <c r="A322" s="480"/>
      <c r="B322" s="507"/>
      <c r="C322" s="507"/>
      <c r="D322" s="324"/>
      <c r="E322" s="342"/>
      <c r="F322" s="290"/>
      <c r="G322" s="79"/>
      <c r="H322" s="326"/>
      <c r="I322" s="326"/>
      <c r="J322" s="80"/>
      <c r="K322" s="290"/>
      <c r="L322" s="342"/>
      <c r="M322" s="2"/>
      <c r="N322" s="2"/>
      <c r="O322" s="2"/>
      <c r="P322" s="32"/>
      <c r="Q322" s="77"/>
      <c r="R322" s="77"/>
      <c r="S322" s="77"/>
      <c r="T322" s="77"/>
      <c r="U322" s="4" t="s">
        <v>50</v>
      </c>
      <c r="V322" s="328">
        <f>IFERROR(SUMIF(PayRise!A:A,B316,PayRise!J:J),0)</f>
        <v>0</v>
      </c>
      <c r="W322" s="425" t="str">
        <f t="shared" si="159"/>
        <v>N/A</v>
      </c>
      <c r="X322" s="7"/>
      <c r="Y322" s="7" t="s">
        <v>94</v>
      </c>
      <c r="Z322" s="2"/>
      <c r="AA322" s="304"/>
      <c r="AB322" s="7"/>
      <c r="AC322" s="4" t="s">
        <v>50</v>
      </c>
      <c r="AD322" s="328">
        <f>IFERROR(SUMIF(PayRise!A:A,B316,PayRise!K:K),0)</f>
        <v>0</v>
      </c>
      <c r="AE322" s="425" t="str">
        <f t="shared" si="160"/>
        <v>N/A</v>
      </c>
      <c r="AF322" s="330"/>
      <c r="AG322" s="328">
        <f>IFERROR(SUMIF(PayRise!A:A,B316,PayRise!L:L),0)</f>
        <v>0</v>
      </c>
      <c r="AH322" s="445" t="str">
        <f t="shared" si="161"/>
        <v>N/A</v>
      </c>
      <c r="AI322" s="330"/>
      <c r="AJ322" s="446">
        <f>IFERROR(SUMIF(PayRise!A:A,B316,PayRise!M:M),0)</f>
        <v>0</v>
      </c>
      <c r="AK322" s="425" t="str">
        <f t="shared" si="162"/>
        <v>N/A</v>
      </c>
      <c r="AL322" s="330"/>
      <c r="AM322" s="330"/>
      <c r="AN322" s="329">
        <f t="shared" si="164"/>
        <v>0</v>
      </c>
      <c r="AO322" s="425" t="str">
        <f t="shared" si="163"/>
        <v>N/A</v>
      </c>
      <c r="AP322" s="7"/>
      <c r="AQ322" s="342"/>
      <c r="AR322" s="290"/>
      <c r="AS322" s="402" t="s">
        <v>95</v>
      </c>
      <c r="AT322" s="290"/>
      <c r="AU322" s="100"/>
      <c r="AV322" s="298">
        <f>AN327</f>
        <v>0</v>
      </c>
      <c r="AW322" s="418" t="str">
        <f>IFERROR(AV322/BusinessCurrencyTRM,"N/A")</f>
        <v>N/A</v>
      </c>
      <c r="AX322" s="290"/>
      <c r="AY322" s="342"/>
      <c r="AZ322" s="3"/>
      <c r="BA322" s="315"/>
      <c r="BB322" s="3"/>
      <c r="BC322" s="3"/>
      <c r="BD322" s="3"/>
      <c r="BE322" s="3"/>
      <c r="BF322" s="342"/>
      <c r="BG322" s="3"/>
      <c r="BH322" s="315"/>
      <c r="BI322" s="3"/>
      <c r="BJ322" s="3"/>
      <c r="BK322" s="3"/>
      <c r="BL322" s="3"/>
      <c r="BM322" s="342"/>
      <c r="BN322" s="3"/>
      <c r="BO322" s="315"/>
      <c r="BP322" s="3"/>
      <c r="BQ322" s="3"/>
      <c r="BR322" s="3"/>
      <c r="BS322" s="3"/>
      <c r="BT322" s="342"/>
      <c r="BU322" s="3"/>
      <c r="BV322" s="315"/>
      <c r="BW322" s="3"/>
      <c r="BX322" s="3"/>
      <c r="BY322" s="3"/>
      <c r="BZ322" s="3"/>
      <c r="CA322" s="342"/>
      <c r="CB322" s="342"/>
      <c r="CC322" s="342"/>
      <c r="CD322" s="342"/>
    </row>
    <row r="323" spans="1:82" s="325" customFormat="1" ht="15.6">
      <c r="A323" s="480"/>
      <c r="B323" s="507"/>
      <c r="C323" s="507"/>
      <c r="D323" s="324"/>
      <c r="E323" s="342"/>
      <c r="F323" s="290"/>
      <c r="G323" s="79"/>
      <c r="H323" s="326"/>
      <c r="I323" s="326"/>
      <c r="J323" s="80"/>
      <c r="K323" s="290"/>
      <c r="L323" s="342"/>
      <c r="M323" s="2"/>
      <c r="N323" s="13" t="str">
        <f>IF(Approach="By Hours", "N/A for ByHours", "% Risks")</f>
        <v>N/A for ByHours</v>
      </c>
      <c r="O323" s="331">
        <v>0</v>
      </c>
      <c r="P323" s="32"/>
      <c r="Q323" s="77"/>
      <c r="R323" s="77"/>
      <c r="S323" s="309"/>
      <c r="T323" s="309"/>
      <c r="U323" s="4" t="s">
        <v>55</v>
      </c>
      <c r="V323" s="328">
        <f>IFERROR(SUMIFS(OtherCosts!Q:Q,OtherCosts!A:A,B316,OtherCosts!B:B,"Hardware/Software"),0)</f>
        <v>0</v>
      </c>
      <c r="W323" s="425" t="str">
        <f t="shared" si="159"/>
        <v>N/A</v>
      </c>
      <c r="X323" s="7"/>
      <c r="Y323" s="7" t="s">
        <v>96</v>
      </c>
      <c r="Z323" s="2"/>
      <c r="AA323" s="304"/>
      <c r="AB323" s="7"/>
      <c r="AC323" s="4" t="s">
        <v>55</v>
      </c>
      <c r="AD323" s="328">
        <f>IFERROR(SUMIFS(OtherCosts!R:R,OtherCosts!A:A,B316,OtherCosts!B:B,"Hardware/Software"),0)</f>
        <v>0</v>
      </c>
      <c r="AE323" s="425" t="str">
        <f t="shared" si="160"/>
        <v>N/A</v>
      </c>
      <c r="AF323" s="330"/>
      <c r="AG323" s="328">
        <f>IFERROR(SUMIFS(OtherCosts!S:S,OtherCosts!A:A,B316,OtherCosts!B:B,"Hardware/Software"),0)</f>
        <v>0</v>
      </c>
      <c r="AH323" s="445" t="str">
        <f t="shared" si="161"/>
        <v>N/A</v>
      </c>
      <c r="AI323" s="330"/>
      <c r="AJ323" s="446">
        <f>IFERROR(SUMIFS(OtherCosts!T:T,OtherCosts!A:A,B316,OtherCosts!B:B,"Hardware/Software"),0)</f>
        <v>0</v>
      </c>
      <c r="AK323" s="425" t="str">
        <f t="shared" si="162"/>
        <v>N/A</v>
      </c>
      <c r="AL323" s="330"/>
      <c r="AM323" s="330"/>
      <c r="AN323" s="329">
        <f t="shared" si="164"/>
        <v>0</v>
      </c>
      <c r="AO323" s="425" t="str">
        <f t="shared" si="163"/>
        <v>N/A</v>
      </c>
      <c r="AP323" s="7"/>
      <c r="AQ323" s="342"/>
      <c r="AR323" s="290"/>
      <c r="AS323" s="402" t="s">
        <v>97</v>
      </c>
      <c r="AT323" s="290"/>
      <c r="AU323" s="100"/>
      <c r="AV323" s="298">
        <f>IFERROR(IF(O324&lt;1,AN327,AN327/O324),0)</f>
        <v>0</v>
      </c>
      <c r="AW323" s="418" t="str">
        <f>IFERROR(AV323/BusinessCurrencyTRM,"N/A")</f>
        <v>N/A</v>
      </c>
      <c r="AX323" s="290"/>
      <c r="AY323" s="342"/>
      <c r="AZ323" s="3"/>
      <c r="BA323" s="315"/>
      <c r="BB323" s="3"/>
      <c r="BC323" s="3"/>
      <c r="BD323" s="3"/>
      <c r="BE323" s="3"/>
      <c r="BF323" s="342"/>
      <c r="BG323" s="3"/>
      <c r="BH323" s="315"/>
      <c r="BI323" s="3"/>
      <c r="BJ323" s="3"/>
      <c r="BK323" s="3"/>
      <c r="BL323" s="3"/>
      <c r="BM323" s="342"/>
      <c r="BN323" s="3"/>
      <c r="BO323" s="315"/>
      <c r="BP323" s="3"/>
      <c r="BQ323" s="3"/>
      <c r="BR323" s="3"/>
      <c r="BS323" s="3"/>
      <c r="BT323" s="342"/>
      <c r="BU323" s="3"/>
      <c r="BV323" s="315"/>
      <c r="BW323" s="3"/>
      <c r="BX323" s="3"/>
      <c r="BY323" s="3"/>
      <c r="BZ323" s="3"/>
      <c r="CA323" s="342"/>
      <c r="CB323" s="342"/>
      <c r="CC323" s="342"/>
      <c r="CD323" s="342"/>
    </row>
    <row r="324" spans="1:82" s="325" customFormat="1" ht="15.6">
      <c r="A324" s="480"/>
      <c r="B324" s="507"/>
      <c r="C324" s="507"/>
      <c r="D324" s="324"/>
      <c r="E324" s="342"/>
      <c r="F324" s="290"/>
      <c r="G324" s="79"/>
      <c r="H324" s="326"/>
      <c r="I324" s="326"/>
      <c r="J324" s="80"/>
      <c r="K324" s="290"/>
      <c r="L324" s="342"/>
      <c r="M324" s="2"/>
      <c r="N324" s="13" t="str">
        <f>IF(Approach="By Hours", "N/A for ByHours", "Duration (Months) *")</f>
        <v>N/A for ByHours</v>
      </c>
      <c r="O324" s="332">
        <v>0</v>
      </c>
      <c r="P324" s="32"/>
      <c r="Q324" s="77"/>
      <c r="R324" s="77"/>
      <c r="S324" s="309"/>
      <c r="T324" s="309"/>
      <c r="U324" s="4" t="s">
        <v>58</v>
      </c>
      <c r="V324" s="328">
        <f>IFERROR(SUMIFS(OtherCosts!Q:Q,OtherCosts!A:A,B316,OtherCosts!B:B,"Vendor"),0)</f>
        <v>0</v>
      </c>
      <c r="W324" s="425" t="str">
        <f t="shared" si="159"/>
        <v>N/A</v>
      </c>
      <c r="X324" s="7"/>
      <c r="Y324" s="7" t="s">
        <v>98</v>
      </c>
      <c r="Z324" s="2"/>
      <c r="AA324" s="304"/>
      <c r="AB324" s="7"/>
      <c r="AC324" s="4" t="s">
        <v>58</v>
      </c>
      <c r="AD324" s="328">
        <f>IFERROR(SUMIFS(OtherCosts!R:R,OtherCosts!A:A,B316,OtherCosts!B:B,"Vendor"),0)</f>
        <v>0</v>
      </c>
      <c r="AE324" s="425" t="str">
        <f t="shared" si="160"/>
        <v>N/A</v>
      </c>
      <c r="AF324" s="330"/>
      <c r="AG324" s="328">
        <f>IFERROR(SUMIFS(OtherCosts!S:S,OtherCosts!A:A,B316,OtherCosts!B:B,"Vendor"),0)</f>
        <v>0</v>
      </c>
      <c r="AH324" s="445" t="str">
        <f t="shared" si="161"/>
        <v>N/A</v>
      </c>
      <c r="AI324" s="330"/>
      <c r="AJ324" s="446">
        <f>IFERROR(SUMIFS(OtherCosts!T:T,OtherCosts!A:A,B316,OtherCosts!B:B,"Vendor"),0)</f>
        <v>0</v>
      </c>
      <c r="AK324" s="425" t="str">
        <f t="shared" si="162"/>
        <v>N/A</v>
      </c>
      <c r="AL324" s="330"/>
      <c r="AM324" s="330"/>
      <c r="AN324" s="329">
        <f t="shared" si="164"/>
        <v>0</v>
      </c>
      <c r="AO324" s="425" t="str">
        <f t="shared" si="163"/>
        <v>N/A</v>
      </c>
      <c r="AP324" s="7"/>
      <c r="AQ324" s="342"/>
      <c r="AR324" s="290"/>
      <c r="AS324" s="402" t="s">
        <v>99</v>
      </c>
      <c r="AT324" s="290"/>
      <c r="AU324" s="100"/>
      <c r="AV324" s="298">
        <f>IFERROR(AN327/T330,0)</f>
        <v>0</v>
      </c>
      <c r="AW324" s="418" t="str">
        <f>IFERROR(AV324/BusinessCurrencyTRM,"N/A")</f>
        <v>N/A</v>
      </c>
      <c r="AX324" s="290"/>
      <c r="AY324" s="342"/>
      <c r="AZ324" s="3"/>
      <c r="BA324" s="315"/>
      <c r="BB324" s="3"/>
      <c r="BC324" s="3"/>
      <c r="BD324" s="3"/>
      <c r="BE324" s="3"/>
      <c r="BF324" s="342"/>
      <c r="BG324" s="3"/>
      <c r="BH324" s="315"/>
      <c r="BI324" s="3"/>
      <c r="BJ324" s="3"/>
      <c r="BK324" s="3"/>
      <c r="BL324" s="3"/>
      <c r="BM324" s="342"/>
      <c r="BN324" s="3"/>
      <c r="BO324" s="315"/>
      <c r="BP324" s="3"/>
      <c r="BQ324" s="3"/>
      <c r="BR324" s="3"/>
      <c r="BS324" s="3"/>
      <c r="BT324" s="342"/>
      <c r="BU324" s="3"/>
      <c r="BV324" s="315"/>
      <c r="BW324" s="3"/>
      <c r="BX324" s="3"/>
      <c r="BY324" s="3"/>
      <c r="BZ324" s="3"/>
      <c r="CA324" s="342"/>
      <c r="CB324" s="342"/>
      <c r="CC324" s="342"/>
      <c r="CD324" s="342"/>
    </row>
    <row r="325" spans="1:82" s="325" customFormat="1" ht="15.6">
      <c r="A325" s="480"/>
      <c r="B325" s="507"/>
      <c r="C325" s="507"/>
      <c r="D325" s="324"/>
      <c r="E325" s="342"/>
      <c r="F325" s="290"/>
      <c r="G325" s="79"/>
      <c r="H325" s="326"/>
      <c r="I325" s="326"/>
      <c r="J325" s="80"/>
      <c r="K325" s="290"/>
      <c r="L325" s="342"/>
      <c r="M325" s="2"/>
      <c r="N325" s="83"/>
      <c r="O325" s="333"/>
      <c r="P325" s="32"/>
      <c r="Q325" s="77"/>
      <c r="R325" s="77"/>
      <c r="S325" s="309"/>
      <c r="T325" s="309"/>
      <c r="U325" s="4" t="s">
        <v>61</v>
      </c>
      <c r="V325" s="328">
        <f>IFERROR(SUMIFS(OtherCosts!Q:Q,OtherCosts!A:A,B316,OtherCosts!B:B,"Insurance"),0)</f>
        <v>0</v>
      </c>
      <c r="W325" s="425" t="str">
        <f t="shared" si="159"/>
        <v>N/A</v>
      </c>
      <c r="X325" s="7"/>
      <c r="Y325" s="7" t="s">
        <v>100</v>
      </c>
      <c r="Z325" s="2"/>
      <c r="AA325" s="304"/>
      <c r="AB325" s="7"/>
      <c r="AC325" s="4" t="s">
        <v>61</v>
      </c>
      <c r="AD325" s="328">
        <f>IFERROR(SUMIFS(OtherCosts!R:R,OtherCosts!A:A,B316,OtherCosts!B:B,"Insurance"),0)</f>
        <v>0</v>
      </c>
      <c r="AE325" s="425" t="str">
        <f t="shared" si="160"/>
        <v>N/A</v>
      </c>
      <c r="AF325" s="330"/>
      <c r="AG325" s="328">
        <f>IFERROR(SUMIFS(OtherCosts!S:S,OtherCosts!A:A,B316,OtherCosts!B:B,"Insurance"),0)</f>
        <v>0</v>
      </c>
      <c r="AH325" s="445" t="str">
        <f t="shared" si="161"/>
        <v>N/A</v>
      </c>
      <c r="AI325" s="330"/>
      <c r="AJ325" s="446">
        <f>IFERROR(SUMIFS(OtherCosts!T:T,OtherCosts!A:A,B316,OtherCosts!B:B,"Insurance"),0)</f>
        <v>0</v>
      </c>
      <c r="AK325" s="425" t="str">
        <f t="shared" si="162"/>
        <v>N/A</v>
      </c>
      <c r="AL325" s="330"/>
      <c r="AM325" s="330"/>
      <c r="AN325" s="329">
        <f t="shared" si="164"/>
        <v>0</v>
      </c>
      <c r="AO325" s="425" t="str">
        <f t="shared" si="163"/>
        <v>N/A</v>
      </c>
      <c r="AP325" s="7"/>
      <c r="AQ325" s="342"/>
      <c r="AR325" s="290"/>
      <c r="AS325" s="290"/>
      <c r="AT325" s="81"/>
      <c r="AU325" s="81"/>
      <c r="AV325" s="81"/>
      <c r="AW325" s="81"/>
      <c r="AX325" s="290"/>
      <c r="AY325" s="342"/>
      <c r="AZ325" s="3"/>
      <c r="BA325" s="315"/>
      <c r="BB325" s="3"/>
      <c r="BC325" s="3"/>
      <c r="BD325" s="3"/>
      <c r="BE325" s="3"/>
      <c r="BF325" s="342"/>
      <c r="BG325" s="3"/>
      <c r="BH325" s="315"/>
      <c r="BI325" s="3"/>
      <c r="BJ325" s="3"/>
      <c r="BK325" s="3"/>
      <c r="BL325" s="3"/>
      <c r="BM325" s="342"/>
      <c r="BN325" s="3"/>
      <c r="BO325" s="315"/>
      <c r="BP325" s="3"/>
      <c r="BQ325" s="3"/>
      <c r="BR325" s="3"/>
      <c r="BS325" s="3"/>
      <c r="BT325" s="342"/>
      <c r="BU325" s="3"/>
      <c r="BV325" s="315"/>
      <c r="BW325" s="3"/>
      <c r="BX325" s="3"/>
      <c r="BY325" s="3"/>
      <c r="BZ325" s="3"/>
      <c r="CA325" s="342"/>
      <c r="CB325" s="342"/>
      <c r="CC325" s="342"/>
      <c r="CD325" s="342"/>
    </row>
    <row r="326" spans="1:82" s="325" customFormat="1" ht="16.149999999999999" thickBot="1">
      <c r="A326" s="480"/>
      <c r="B326" s="507"/>
      <c r="C326" s="507"/>
      <c r="D326" s="324"/>
      <c r="E326" s="342"/>
      <c r="F326" s="290"/>
      <c r="G326" s="79"/>
      <c r="H326" s="326"/>
      <c r="I326" s="326"/>
      <c r="J326" s="80"/>
      <c r="K326" s="290"/>
      <c r="L326" s="342"/>
      <c r="M326" s="7"/>
      <c r="N326" s="83"/>
      <c r="O326" s="333"/>
      <c r="P326" s="32"/>
      <c r="Q326" s="77"/>
      <c r="R326" s="77"/>
      <c r="S326" s="309"/>
      <c r="T326" s="309"/>
      <c r="U326" s="4" t="s">
        <v>64</v>
      </c>
      <c r="V326" s="328">
        <f>IFERROR(SUMIFS(OtherCosts!Q:Q,OtherCosts!A:A,B316,OtherCosts!B:B,"Other"),0)</f>
        <v>0</v>
      </c>
      <c r="W326" s="425" t="str">
        <f t="shared" si="159"/>
        <v>N/A</v>
      </c>
      <c r="X326" s="7"/>
      <c r="Y326" s="7" t="s">
        <v>101</v>
      </c>
      <c r="Z326" s="82"/>
      <c r="AA326" s="334"/>
      <c r="AB326" s="13"/>
      <c r="AC326" s="4" t="s">
        <v>64</v>
      </c>
      <c r="AD326" s="328">
        <f>IFERROR(SUMIFS(OtherCosts!R:R,OtherCosts!A:A,B316,OtherCosts!B:B,"Other"),0)</f>
        <v>0</v>
      </c>
      <c r="AE326" s="425" t="str">
        <f t="shared" si="160"/>
        <v>N/A</v>
      </c>
      <c r="AF326" s="83"/>
      <c r="AG326" s="328">
        <f>IFERROR(SUMIFS(OtherCosts!S:S,OtherCosts!A:A,B316,OtherCosts!B:B,"Other"),0)</f>
        <v>0</v>
      </c>
      <c r="AH326" s="447" t="str">
        <f t="shared" si="161"/>
        <v>N/A</v>
      </c>
      <c r="AI326" s="83"/>
      <c r="AJ326" s="448">
        <f>IFERROR(SUMIFS(OtherCosts!T:T,OtherCosts!A:A,B316,OtherCosts!B:B,"Other"),0)</f>
        <v>0</v>
      </c>
      <c r="AK326" s="425" t="str">
        <f t="shared" si="162"/>
        <v>N/A</v>
      </c>
      <c r="AL326" s="83"/>
      <c r="AM326" s="83"/>
      <c r="AN326" s="329">
        <f t="shared" si="164"/>
        <v>0</v>
      </c>
      <c r="AO326" s="425" t="str">
        <f t="shared" si="163"/>
        <v>N/A</v>
      </c>
      <c r="AP326" s="85"/>
      <c r="AQ326" s="342"/>
      <c r="AR326" s="290"/>
      <c r="AS326" s="290"/>
      <c r="AT326" s="13"/>
      <c r="AU326" s="81"/>
      <c r="AV326" s="81"/>
      <c r="AW326" s="81"/>
      <c r="AX326" s="290"/>
      <c r="AY326" s="342"/>
      <c r="AZ326" s="3"/>
      <c r="BA326" s="315"/>
      <c r="BB326" s="3"/>
      <c r="BC326" s="3"/>
      <c r="BD326" s="3"/>
      <c r="BE326" s="3"/>
      <c r="BF326" s="342"/>
      <c r="BG326" s="3"/>
      <c r="BH326" s="315"/>
      <c r="BI326" s="3"/>
      <c r="BJ326" s="3"/>
      <c r="BK326" s="3"/>
      <c r="BL326" s="3"/>
      <c r="BM326" s="342"/>
      <c r="BN326" s="3"/>
      <c r="BO326" s="315"/>
      <c r="BP326" s="3"/>
      <c r="BQ326" s="3"/>
      <c r="BR326" s="3"/>
      <c r="BS326" s="3"/>
      <c r="BT326" s="342"/>
      <c r="BU326" s="3"/>
      <c r="BV326" s="315"/>
      <c r="BW326" s="3"/>
      <c r="BX326" s="3"/>
      <c r="BY326" s="3"/>
      <c r="BZ326" s="3"/>
      <c r="CA326" s="342"/>
      <c r="CB326" s="342"/>
      <c r="CC326" s="342"/>
      <c r="CD326" s="342"/>
    </row>
    <row r="327" spans="1:82" s="325" customFormat="1" ht="16.149999999999999" thickTop="1">
      <c r="A327" s="480"/>
      <c r="B327" s="507"/>
      <c r="C327" s="507"/>
      <c r="D327" s="324"/>
      <c r="E327" s="342"/>
      <c r="F327" s="290"/>
      <c r="G327" s="79"/>
      <c r="H327" s="326"/>
      <c r="I327" s="326"/>
      <c r="J327" s="80"/>
      <c r="K327" s="290"/>
      <c r="L327" s="342"/>
      <c r="M327" s="7"/>
      <c r="N327" s="83"/>
      <c r="O327" s="333"/>
      <c r="P327" s="32"/>
      <c r="Q327" s="77"/>
      <c r="R327" s="77"/>
      <c r="S327" s="309"/>
      <c r="T327" s="309"/>
      <c r="U327" s="3" t="s">
        <v>35</v>
      </c>
      <c r="V327" s="86">
        <f>SUM(V320:V326)</f>
        <v>0</v>
      </c>
      <c r="W327" s="427" t="str">
        <f t="shared" si="159"/>
        <v>N/A</v>
      </c>
      <c r="X327" s="335"/>
      <c r="Y327" s="335"/>
      <c r="Z327" s="82"/>
      <c r="AA327" s="334"/>
      <c r="AB327" s="13"/>
      <c r="AC327" s="3" t="s">
        <v>35</v>
      </c>
      <c r="AD327" s="86">
        <f>SUM(AD320:AD326)</f>
        <v>0</v>
      </c>
      <c r="AE327" s="427" t="str">
        <f t="shared" si="160"/>
        <v>N/A</v>
      </c>
      <c r="AF327" s="83"/>
      <c r="AG327" s="86">
        <f>SUM(AG320:AG326)</f>
        <v>0</v>
      </c>
      <c r="AH327" s="444" t="str">
        <f t="shared" si="161"/>
        <v>N/A</v>
      </c>
      <c r="AI327" s="83"/>
      <c r="AJ327" s="86">
        <f>SUM(AJ320:AJ326)</f>
        <v>0</v>
      </c>
      <c r="AK327" s="427" t="str">
        <f t="shared" si="162"/>
        <v>N/A</v>
      </c>
      <c r="AL327" s="83"/>
      <c r="AM327" s="83"/>
      <c r="AN327" s="86">
        <f t="shared" si="164"/>
        <v>0</v>
      </c>
      <c r="AO327" s="427" t="str">
        <f t="shared" si="163"/>
        <v>N/A</v>
      </c>
      <c r="AP327" s="85"/>
      <c r="AQ327" s="342"/>
      <c r="AR327" s="290"/>
      <c r="AS327" s="290"/>
      <c r="AT327" s="13"/>
      <c r="AU327" s="81"/>
      <c r="AV327" s="81"/>
      <c r="AW327" s="81"/>
      <c r="AX327" s="290"/>
      <c r="AY327" s="342"/>
      <c r="AZ327" s="3"/>
      <c r="BA327" s="315"/>
      <c r="BB327" s="3"/>
      <c r="BC327" s="3"/>
      <c r="BD327" s="3"/>
      <c r="BE327" s="3"/>
      <c r="BF327" s="342"/>
      <c r="BG327" s="3"/>
      <c r="BH327" s="315"/>
      <c r="BI327" s="3"/>
      <c r="BJ327" s="3"/>
      <c r="BK327" s="3"/>
      <c r="BL327" s="3"/>
      <c r="BM327" s="342"/>
      <c r="BN327" s="3"/>
      <c r="BO327" s="315"/>
      <c r="BP327" s="3"/>
      <c r="BQ327" s="3"/>
      <c r="BR327" s="3"/>
      <c r="BS327" s="3"/>
      <c r="BT327" s="342"/>
      <c r="BU327" s="3"/>
      <c r="BV327" s="315"/>
      <c r="BW327" s="3"/>
      <c r="BX327" s="3"/>
      <c r="BY327" s="3"/>
      <c r="BZ327" s="3"/>
      <c r="CA327" s="342"/>
      <c r="CB327" s="342"/>
      <c r="CC327" s="342"/>
      <c r="CD327" s="342"/>
    </row>
    <row r="328" spans="1:82" s="325" customFormat="1" ht="15.6">
      <c r="A328" s="480"/>
      <c r="B328" s="507"/>
      <c r="C328" s="507"/>
      <c r="D328" s="324"/>
      <c r="E328" s="342"/>
      <c r="F328" s="290"/>
      <c r="G328" s="336"/>
      <c r="H328" s="336"/>
      <c r="I328" s="336"/>
      <c r="J328" s="336"/>
      <c r="K328" s="290"/>
      <c r="L328" s="342"/>
      <c r="M328" s="7"/>
      <c r="N328" s="83"/>
      <c r="O328" s="333"/>
      <c r="P328" s="77"/>
      <c r="Q328" s="77"/>
      <c r="R328" s="77"/>
      <c r="S328" s="77"/>
      <c r="T328" s="77"/>
      <c r="U328" s="3"/>
      <c r="V328" s="77"/>
      <c r="W328" s="77"/>
      <c r="X328" s="77"/>
      <c r="Y328" s="77"/>
      <c r="Z328" s="82"/>
      <c r="AA328" s="334"/>
      <c r="AB328" s="13"/>
      <c r="AC328" s="13"/>
      <c r="AD328" s="13"/>
      <c r="AE328" s="13"/>
      <c r="AF328" s="13"/>
      <c r="AG328" s="13"/>
      <c r="AH328" s="13"/>
      <c r="AI328" s="13"/>
      <c r="AJ328" s="13"/>
      <c r="AK328" s="13"/>
      <c r="AL328" s="13"/>
      <c r="AM328" s="13"/>
      <c r="AN328" s="327"/>
      <c r="AO328" s="327"/>
      <c r="AP328" s="85"/>
      <c r="AQ328" s="342"/>
      <c r="AR328" s="290"/>
      <c r="AS328" s="81"/>
      <c r="AT328" s="81"/>
      <c r="AU328" s="81"/>
      <c r="AV328" s="81"/>
      <c r="AW328" s="81"/>
      <c r="AX328" s="290"/>
      <c r="AY328" s="342"/>
      <c r="AZ328" s="3"/>
      <c r="BA328" s="315"/>
      <c r="BB328" s="3"/>
      <c r="BC328" s="3"/>
      <c r="BD328" s="3"/>
      <c r="BE328" s="3"/>
      <c r="BF328" s="342"/>
      <c r="BG328" s="3"/>
      <c r="BH328" s="315"/>
      <c r="BI328" s="3"/>
      <c r="BJ328" s="3"/>
      <c r="BK328" s="3"/>
      <c r="BL328" s="3"/>
      <c r="BM328" s="342"/>
      <c r="BN328" s="3"/>
      <c r="BO328" s="315"/>
      <c r="BP328" s="3"/>
      <c r="BQ328" s="3"/>
      <c r="BR328" s="3"/>
      <c r="BS328" s="3"/>
      <c r="BT328" s="342"/>
      <c r="BU328" s="3"/>
      <c r="BV328" s="315"/>
      <c r="BW328" s="3"/>
      <c r="BX328" s="3"/>
      <c r="BY328" s="3"/>
      <c r="BZ328" s="3"/>
      <c r="CA328" s="342"/>
      <c r="CB328" s="342"/>
      <c r="CC328" s="342"/>
      <c r="CD328" s="342"/>
    </row>
    <row r="329" spans="1:82" s="304" customFormat="1" hidden="1" outlineLevel="1">
      <c r="B329" s="320"/>
      <c r="C329" s="320"/>
      <c r="D329" s="391"/>
      <c r="F329" s="391"/>
      <c r="G329" s="391"/>
      <c r="H329" s="391"/>
      <c r="I329" s="391"/>
      <c r="J329" s="391"/>
      <c r="K329" s="391"/>
      <c r="N329" s="337"/>
      <c r="O329" s="337"/>
      <c r="S329" s="337"/>
      <c r="T329" s="320"/>
      <c r="U329" s="320"/>
      <c r="V329" s="320"/>
      <c r="W329" s="393"/>
      <c r="Z329" s="338"/>
      <c r="AO329" s="338"/>
      <c r="AP329" s="340"/>
      <c r="AR329" s="391"/>
      <c r="AS329" s="391"/>
      <c r="AT329" s="391"/>
      <c r="AU329" s="391"/>
      <c r="AV329" s="391"/>
      <c r="AW329" s="391"/>
      <c r="AX329" s="391"/>
      <c r="AZ329"/>
      <c r="BA329"/>
      <c r="BB329"/>
      <c r="BC329"/>
      <c r="BD329"/>
      <c r="BE329"/>
      <c r="BG329"/>
      <c r="BH329"/>
      <c r="BI329"/>
      <c r="BJ329"/>
      <c r="BK329"/>
      <c r="BL329"/>
      <c r="BN329"/>
      <c r="BO329"/>
      <c r="BP329"/>
      <c r="BQ329"/>
      <c r="BR329"/>
      <c r="BS329"/>
      <c r="BU329"/>
      <c r="BV329"/>
      <c r="BW329"/>
      <c r="BX329"/>
      <c r="BY329"/>
      <c r="BZ329"/>
    </row>
    <row r="330" spans="1:82" s="325" customFormat="1" ht="15.6" hidden="1" outlineLevel="1">
      <c r="A330" s="480"/>
      <c r="B330" s="341"/>
      <c r="C330" s="341"/>
      <c r="D330" s="290"/>
      <c r="E330" s="342"/>
      <c r="F330" s="290"/>
      <c r="G330" s="343">
        <f>ROUNDUP(SUM(G332:G361),2)</f>
        <v>0</v>
      </c>
      <c r="H330" s="344"/>
      <c r="I330" s="344"/>
      <c r="J330" s="345">
        <f>ROUNDUP(SUM(J332:J361),2)</f>
        <v>0</v>
      </c>
      <c r="K330" s="290"/>
      <c r="L330" s="342"/>
      <c r="M330" s="7"/>
      <c r="N330" s="7"/>
      <c r="O330" s="7"/>
      <c r="P330" s="7"/>
      <c r="Q330" s="7"/>
      <c r="R330" s="7"/>
      <c r="S330" s="7"/>
      <c r="T330" s="398">
        <f>ROUNDUP(SUM(T332:T361),2)</f>
        <v>0</v>
      </c>
      <c r="U330" s="7"/>
      <c r="V330" s="7"/>
      <c r="W330" s="87">
        <f>SUM(W332:W359)</f>
        <v>0</v>
      </c>
      <c r="X330" s="7"/>
      <c r="Y330" s="7" t="s">
        <v>102</v>
      </c>
      <c r="Z330" s="7"/>
      <c r="AA330" s="304"/>
      <c r="AB330" s="7"/>
      <c r="AC330" s="7"/>
      <c r="AD330" s="87">
        <f>SUM(AD332:AD361)</f>
        <v>0</v>
      </c>
      <c r="AE330" s="432">
        <f>IFERROR(1-($W330/$AD330),0)</f>
        <v>0</v>
      </c>
      <c r="AF330" s="7"/>
      <c r="AG330" s="7"/>
      <c r="AH330" s="88">
        <f>SUM(AH332:AH361)</f>
        <v>0</v>
      </c>
      <c r="AI330" s="7"/>
      <c r="AJ330" s="7"/>
      <c r="AK330" s="88">
        <f>ROUNDUP(SUM(AK332:AK361),2)</f>
        <v>0</v>
      </c>
      <c r="AL330" s="7"/>
      <c r="AM330" s="88">
        <f>SUM(AM332:AM361)</f>
        <v>0</v>
      </c>
      <c r="AN330" s="88">
        <f>SUM(AN332:AN361)</f>
        <v>0</v>
      </c>
      <c r="AO330" s="417" t="str">
        <f>BillingCountryCurrency</f>
        <v>USD</v>
      </c>
      <c r="AP330" s="7"/>
      <c r="AQ330" s="18"/>
      <c r="AR330" s="290"/>
      <c r="AS330" s="290"/>
      <c r="AT330" s="503">
        <f>SUM(AT332:AU361)</f>
        <v>0</v>
      </c>
      <c r="AU330" s="504"/>
      <c r="AV330" s="417" t="str">
        <f>BillingCountryCurrency</f>
        <v>USD</v>
      </c>
      <c r="AW330" s="417" t="str">
        <f>IF(ISBLANK(BusinessCurrency),"N/A",BusinessCurrency)</f>
        <v>N/A</v>
      </c>
      <c r="AX330" s="290"/>
      <c r="AY330" s="18"/>
      <c r="AZ330" s="3"/>
      <c r="BA330" s="315"/>
      <c r="BB330" s="3"/>
      <c r="BC330" s="3"/>
      <c r="BD330" s="3"/>
      <c r="BE330" s="3"/>
      <c r="BF330" s="18"/>
      <c r="BG330" s="3"/>
      <c r="BH330" s="315"/>
      <c r="BI330" s="3"/>
      <c r="BJ330" s="3"/>
      <c r="BK330" s="3"/>
      <c r="BL330" s="3"/>
      <c r="BM330" s="18"/>
      <c r="BN330" s="3"/>
      <c r="BO330" s="315"/>
      <c r="BP330" s="3"/>
      <c r="BQ330" s="3"/>
      <c r="BR330" s="3"/>
      <c r="BS330" s="3"/>
      <c r="BT330" s="18"/>
      <c r="BU330" s="3"/>
      <c r="BV330" s="315"/>
      <c r="BW330" s="3"/>
      <c r="BX330" s="3"/>
      <c r="BY330" s="3"/>
      <c r="BZ330" s="3"/>
      <c r="CA330" s="342"/>
      <c r="CB330" s="342"/>
      <c r="CC330" s="342"/>
      <c r="CD330" s="342"/>
    </row>
    <row r="331" spans="1:82" ht="15.6" hidden="1" outlineLevel="1">
      <c r="A331" s="7"/>
      <c r="B331" s="346"/>
      <c r="C331" s="346"/>
      <c r="D331" s="346"/>
      <c r="E331" s="342"/>
      <c r="F331" s="290"/>
      <c r="G331" s="347" t="s">
        <v>79</v>
      </c>
      <c r="H331" s="347" t="s">
        <v>103</v>
      </c>
      <c r="I331" s="347" t="s">
        <v>104</v>
      </c>
      <c r="J331" s="348" t="s">
        <v>91</v>
      </c>
      <c r="K331" s="290"/>
      <c r="L331" s="349"/>
      <c r="M331" s="7"/>
      <c r="N331" s="16" t="s">
        <v>105</v>
      </c>
      <c r="O331" s="16" t="s">
        <v>106</v>
      </c>
      <c r="P331" s="16" t="s">
        <v>107</v>
      </c>
      <c r="Q331" s="16" t="s">
        <v>108</v>
      </c>
      <c r="R331" s="16" t="s">
        <v>109</v>
      </c>
      <c r="S331" s="16" t="s">
        <v>110</v>
      </c>
      <c r="T331" s="16" t="s">
        <v>111</v>
      </c>
      <c r="U331" s="16" t="s">
        <v>112</v>
      </c>
      <c r="V331" s="350" t="s">
        <v>113</v>
      </c>
      <c r="W331" s="16" t="s">
        <v>114</v>
      </c>
      <c r="X331" s="16" t="s">
        <v>115</v>
      </c>
      <c r="Y331" s="16" t="s">
        <v>116</v>
      </c>
      <c r="Z331" s="6"/>
      <c r="AA331" s="304"/>
      <c r="AB331" s="7"/>
      <c r="AC331" s="351" t="s">
        <v>117</v>
      </c>
      <c r="AD331" s="352" t="s">
        <v>118</v>
      </c>
      <c r="AE331" s="89" t="s">
        <v>119</v>
      </c>
      <c r="AF331" s="7"/>
      <c r="AG331" s="89" t="s">
        <v>120</v>
      </c>
      <c r="AH331" s="353" t="s">
        <v>121</v>
      </c>
      <c r="AI331" s="7"/>
      <c r="AJ331" s="89" t="s">
        <v>122</v>
      </c>
      <c r="AK331" s="353" t="s">
        <v>123</v>
      </c>
      <c r="AL331" s="7"/>
      <c r="AM331" s="16" t="s">
        <v>118</v>
      </c>
      <c r="AN331" s="16" t="s">
        <v>124</v>
      </c>
      <c r="AO331" s="8" t="s">
        <v>125</v>
      </c>
      <c r="AP331" s="7"/>
      <c r="AQ331" s="18"/>
      <c r="AR331" s="290"/>
      <c r="AS331" s="8" t="s">
        <v>126</v>
      </c>
      <c r="AT331" s="505" t="s">
        <v>124</v>
      </c>
      <c r="AU331" s="506"/>
      <c r="AV331" s="8" t="s">
        <v>127</v>
      </c>
      <c r="AW331" s="8" t="s">
        <v>127</v>
      </c>
      <c r="AX331" s="290"/>
      <c r="AY331" s="18"/>
      <c r="AZ331" s="3"/>
      <c r="BA331" s="315"/>
      <c r="BB331" s="3"/>
      <c r="BC331" s="3"/>
      <c r="BD331" s="3"/>
      <c r="BE331" s="3"/>
      <c r="BF331" s="18"/>
      <c r="BG331" s="3"/>
      <c r="BH331" s="315"/>
      <c r="BI331" s="3"/>
      <c r="BJ331" s="3"/>
      <c r="BK331" s="3"/>
      <c r="BL331" s="3"/>
      <c r="BM331" s="18"/>
      <c r="BN331" s="3"/>
      <c r="BO331" s="315"/>
      <c r="BP331" s="3"/>
      <c r="BQ331" s="3"/>
      <c r="BR331" s="3"/>
      <c r="BS331" s="3"/>
      <c r="BT331" s="18"/>
      <c r="BU331" s="3"/>
      <c r="BV331" s="315"/>
      <c r="BW331" s="3"/>
      <c r="BX331" s="3"/>
      <c r="BY331" s="3"/>
      <c r="BZ331" s="3"/>
    </row>
    <row r="332" spans="1:82" ht="28.9" hidden="1" outlineLevel="1">
      <c r="A332" s="7"/>
      <c r="B332" s="354" t="s">
        <v>128</v>
      </c>
      <c r="C332" s="355"/>
      <c r="D332" s="356"/>
      <c r="E332" s="342"/>
      <c r="F332" s="290"/>
      <c r="G332" s="357">
        <v>0</v>
      </c>
      <c r="H332" s="358">
        <v>0</v>
      </c>
      <c r="I332" s="358">
        <v>0</v>
      </c>
      <c r="J332" s="359">
        <f>IFERROR(G332/(1-(H332+I332)),0)</f>
        <v>0</v>
      </c>
      <c r="K332" s="360"/>
      <c r="L332" s="349"/>
      <c r="M332" s="7"/>
      <c r="N332" s="12"/>
      <c r="O332" s="12"/>
      <c r="P332" s="12"/>
      <c r="Q332" s="361"/>
      <c r="R332" s="362"/>
      <c r="S332" s="363">
        <f>IF(ISBLANK(P332),0,$O324*20)</f>
        <v>0</v>
      </c>
      <c r="T332" s="364">
        <f t="shared" ref="T332:T361" si="165">IF(ISBLANK($P332),0,IF(Approach="Team-Based",$Q332*$R332*$S332*HoursPerDayTeamBased,$J332))</f>
        <v>0</v>
      </c>
      <c r="U332" s="365">
        <v>0</v>
      </c>
      <c r="V332" s="91">
        <f>ROUNDUP(IFERROR(INDEX(CostRateTbl[Cost Rate],MATCH(_xlfn.CONCAT(N332,O332,P332,"NA"),CostRateTbl[KeyCostRate],0)),0)*BillingCurrencyTRM*(1+U332),2)</f>
        <v>0</v>
      </c>
      <c r="W332" s="92">
        <f t="shared" ref="W332:W361" si="166">T332*V332</f>
        <v>0</v>
      </c>
      <c r="X332" s="366" t="e" cm="1">
        <f t="array" ref="X332">_xlfn.LET(
    _xlpm.valor, INDEX(CostRate!H:H, MATCH(1, (CostRate!A:A=N332)*1, 0)),
    _xlpm.posicion, MATCH(_xlpm.valor, FilterSL!$F$1:$Z$1, 0),
    _xlpm.direccionCompleta, ADDRESS(1, _xlpm.posicion + 5, 4),
    _xlpm.letraColumna, SUBSTITUTE(_xlpm.direccionCompleta, "1", ""),
    _xlpm.letraColumna
)</f>
        <v>#N/A</v>
      </c>
      <c r="Y332" s="366" t="e" cm="1">
        <f t="array" ref="Y332">_xlfn.LET(
    _xlpm.valor, INDEX(CostRate!I:I, MATCH(1, (CostRate!A:A=N332)*(CostRate!B:B=O332), 0)),
    _xlpm.posicion, MATCH(_xlpm.valor, FilterJP!$E$1:$FZ$1, 0),
    _xlpm.direccionCompleta, ADDRESS(1, _xlpm.posicion + 4, 4),
    _xlpm.letraColumna, SUBSTITUTE(_xlpm.direccionCompleta, "1", ""),
    _xlpm.letraColumna
)</f>
        <v>#N/A</v>
      </c>
      <c r="Z332" s="7"/>
      <c r="AA332" s="367"/>
      <c r="AB332" s="7"/>
      <c r="AC332" s="93">
        <f>ROUNDUP($V332/(1-$AV318),2)</f>
        <v>0</v>
      </c>
      <c r="AD332" s="94">
        <f>$T332*$AC332</f>
        <v>0</v>
      </c>
      <c r="AE332" s="109">
        <f>IFERROR(1-($W332/$AD332),0)</f>
        <v>0</v>
      </c>
      <c r="AF332" s="7"/>
      <c r="AG332" s="369">
        <f t="shared" ref="AG332:AG361" si="167">IFERROR(IF(OR(ISBLANK(N332),N332=CustomerCountry,COUNTIF($N332,"*xDC*")),0,10%),0)</f>
        <v>0</v>
      </c>
      <c r="AH332" s="368">
        <f t="shared" ref="AH332:AH361" si="168">W332*AG332</f>
        <v>0</v>
      </c>
      <c r="AI332" s="7"/>
      <c r="AJ332" s="369" cm="1">
        <f t="array" ref="AJ332">IFERROR(INDEX(WHT!$C$7:$W$18,MATCH(
_xlfn.SWITCH(N332,"xDC Medellin","Colombia","xDC Belo Horizonte","Brazil","xDC Guadalajara","Mexico","xDC Gurugram","India","xDC Leon","Spain","xDC San Jose","Costa Rica","xDC Warsaw","Poland",N332),
WHT!$B$7:$B$18,0),MATCH(CustomerCountry,WHT!$C$5:$W$5,0)),0)</f>
        <v>0</v>
      </c>
      <c r="AK332" s="368">
        <f t="shared" ref="AK332:AK361" si="169">(W332+AH332)*AJ332</f>
        <v>0</v>
      </c>
      <c r="AL332" s="7"/>
      <c r="AM332" s="95">
        <f>SUM($AD332,$AH332,$AK332)</f>
        <v>0</v>
      </c>
      <c r="AN332" s="95">
        <f>AM332+IFERROR(SUM($AN321:$AN326)*AM332/$AM330,0)</f>
        <v>0</v>
      </c>
      <c r="AO332" s="95">
        <f>IFERROR($AN332/$T332,0)</f>
        <v>0</v>
      </c>
      <c r="AP332" s="7"/>
      <c r="AQ332" s="18"/>
      <c r="AR332" s="290"/>
      <c r="AS332" s="467" t="s">
        <v>133</v>
      </c>
      <c r="AT332" s="501">
        <f>IF(AS332="x",AM332+((SUM($AN321:$AN326)+SUMIF($AS332:$AS361,"&lt;&gt;x",$AM332:$AM361))*IFERROR(AM332/SUMIF($AS332:$AS361,"x",$AM332:$AM361),0)),0)</f>
        <v>0</v>
      </c>
      <c r="AU332" s="502"/>
      <c r="AV332" s="95">
        <f>IFERROR(AT332/T332,0)</f>
        <v>0</v>
      </c>
      <c r="AW332" s="469" t="str">
        <f t="shared" ref="AW332:AW361" si="170">IFERROR(AV332/BusinessCurrencyTRM,"N/A")</f>
        <v>N/A</v>
      </c>
      <c r="AX332" s="290"/>
      <c r="AY332" s="18"/>
      <c r="AZ332" s="3"/>
      <c r="BA332" s="315"/>
      <c r="BB332" s="3"/>
      <c r="BC332" s="3"/>
      <c r="BD332" s="3"/>
      <c r="BE332" s="3"/>
      <c r="BF332" s="18"/>
      <c r="BG332" s="3"/>
      <c r="BH332" s="315"/>
      <c r="BI332" s="3"/>
      <c r="BJ332" s="3"/>
      <c r="BK332" s="3"/>
      <c r="BL332" s="3"/>
      <c r="BM332" s="18"/>
      <c r="BN332" s="3"/>
      <c r="BO332" s="315"/>
      <c r="BP332" s="3"/>
      <c r="BQ332" s="3"/>
      <c r="BR332" s="3"/>
      <c r="BS332" s="3"/>
      <c r="BT332" s="18"/>
      <c r="BU332" s="3"/>
      <c r="BV332" s="315"/>
      <c r="BW332" s="3"/>
      <c r="BX332" s="3"/>
      <c r="BY332" s="3"/>
      <c r="BZ332" s="3"/>
    </row>
    <row r="333" spans="1:82" ht="15.6" hidden="1" outlineLevel="1">
      <c r="A333" s="7"/>
      <c r="B333" s="370"/>
      <c r="C333" s="355"/>
      <c r="D333" s="356"/>
      <c r="E333" s="342"/>
      <c r="F333" s="290"/>
      <c r="G333" s="357">
        <v>0</v>
      </c>
      <c r="H333" s="358">
        <v>0</v>
      </c>
      <c r="I333" s="358">
        <v>0</v>
      </c>
      <c r="J333" s="359">
        <f t="shared" ref="J333:J361" si="171">IFERROR(G333/(1-(H333+I333)),0)</f>
        <v>0</v>
      </c>
      <c r="K333" s="290"/>
      <c r="L333" s="349"/>
      <c r="M333" s="7"/>
      <c r="N333" s="12"/>
      <c r="O333" s="12"/>
      <c r="P333" s="12"/>
      <c r="Q333" s="361"/>
      <c r="R333" s="362"/>
      <c r="S333" s="363">
        <f>IF(ISBLANK(P333),0,$O324*20)</f>
        <v>0</v>
      </c>
      <c r="T333" s="364">
        <f t="shared" si="165"/>
        <v>0</v>
      </c>
      <c r="U333" s="365">
        <v>0</v>
      </c>
      <c r="V333" s="91">
        <f>ROUNDUP(IFERROR(INDEX(CostRateTbl[Cost Rate],MATCH(_xlfn.CONCAT(N333,O333,P333,"NA"),CostRateTbl[KeyCostRate],0)),0)*BillingCurrencyTRM*(1+U333),2)</f>
        <v>0</v>
      </c>
      <c r="W333" s="92">
        <f t="shared" si="166"/>
        <v>0</v>
      </c>
      <c r="X333" s="366" t="e" cm="1">
        <f t="array" ref="X333">_xlfn.LET(
    _xlpm.valor, INDEX(CostRate!H:H, MATCH(1, (CostRate!A:A=N333)*1, 0)),
    _xlpm.posicion, MATCH(_xlpm.valor, FilterSL!$F$1:$Z$1, 0),
    _xlpm.direccionCompleta, ADDRESS(1, _xlpm.posicion + 5, 4),
    _xlpm.letraColumna, SUBSTITUTE(_xlpm.direccionCompleta, "1", ""),
    _xlpm.letraColumna
)</f>
        <v>#N/A</v>
      </c>
      <c r="Y333" s="366" t="e" cm="1">
        <f t="array" ref="Y333">_xlfn.LET(
    _xlpm.valor, INDEX(CostRate!I:I, MATCH(1, (CostRate!A:A=N333)*(CostRate!B:B=O333), 0)),
    _xlpm.posicion, MATCH(_xlpm.valor, FilterJP!$E$1:$FZ$1, 0),
    _xlpm.direccionCompleta, ADDRESS(1, _xlpm.posicion + 4, 4),
    _xlpm.letraColumna, SUBSTITUTE(_xlpm.direccionCompleta, "1", ""),
    _xlpm.letraColumna
)</f>
        <v>#N/A</v>
      </c>
      <c r="Z333" s="7"/>
      <c r="AA333" s="367"/>
      <c r="AB333" s="7"/>
      <c r="AC333" s="93">
        <f>ROUNDUP($V333/(1-$AV318),2)</f>
        <v>0</v>
      </c>
      <c r="AD333" s="94">
        <f t="shared" ref="AD333:AD361" si="172">$T333*$AC333</f>
        <v>0</v>
      </c>
      <c r="AE333" s="109">
        <f t="shared" ref="AE333:AE361" si="173">IFERROR(1-($W333/$AD333),0)</f>
        <v>0</v>
      </c>
      <c r="AF333" s="7"/>
      <c r="AG333" s="369">
        <f t="shared" si="167"/>
        <v>0</v>
      </c>
      <c r="AH333" s="368">
        <f t="shared" si="168"/>
        <v>0</v>
      </c>
      <c r="AI333" s="7"/>
      <c r="AJ333" s="369" cm="1">
        <f t="array" ref="AJ333">IFERROR(INDEX(WHT!$C$7:$W$18,MATCH(
_xlfn.SWITCH(N333,"xDC Medellin","Colombia","xDC Belo Horizonte","Brazil","xDC Guadalajara","Mexico","xDC Gurugram","India","xDC Leon","Spain","xDC San Jose","Costa Rica","xDC Warsaw","Poland",N333),
WHT!$B$7:$B$18,0),MATCH(CustomerCountry,WHT!$C$5:$W$5,0)),0)</f>
        <v>0</v>
      </c>
      <c r="AK333" s="368">
        <f t="shared" si="169"/>
        <v>0</v>
      </c>
      <c r="AL333" s="7"/>
      <c r="AM333" s="95">
        <f t="shared" ref="AM333:AM361" si="174">SUM($AD333,$AH333,$AK333)</f>
        <v>0</v>
      </c>
      <c r="AN333" s="95">
        <f>AM333+IFERROR(SUM($AN321:$AN326)*AM333/$AM330,0)</f>
        <v>0</v>
      </c>
      <c r="AO333" s="95">
        <f t="shared" ref="AO333:AO361" si="175">IFERROR($AN333/$T333,0)</f>
        <v>0</v>
      </c>
      <c r="AP333" s="90"/>
      <c r="AQ333" s="18"/>
      <c r="AR333" s="290"/>
      <c r="AS333" s="467" t="s">
        <v>133</v>
      </c>
      <c r="AT333" s="501">
        <f>IF(AS333="x",AM333+((SUM($AN321:$AN326)+SUMIF($AS332:$AS361,"&lt;&gt;x",$AM332:$AM361))*IFERROR(AM333/SUMIF($AS332:$AS361,"x",$AM332:$AM361),0)),0)</f>
        <v>0</v>
      </c>
      <c r="AU333" s="502"/>
      <c r="AV333" s="95">
        <f t="shared" ref="AV333:AV361" si="176">IFERROR(AT333/T333,0)</f>
        <v>0</v>
      </c>
      <c r="AW333" s="469" t="str">
        <f t="shared" si="170"/>
        <v>N/A</v>
      </c>
      <c r="AX333" s="290"/>
      <c r="AY333" s="18"/>
      <c r="AZ333" s="3"/>
      <c r="BA333" s="315"/>
      <c r="BB333" s="3"/>
      <c r="BC333" s="3"/>
      <c r="BD333" s="3"/>
      <c r="BE333" s="3"/>
      <c r="BF333" s="18"/>
      <c r="BG333" s="3"/>
      <c r="BH333" s="315"/>
      <c r="BI333" s="3"/>
      <c r="BJ333" s="3"/>
      <c r="BK333" s="3"/>
      <c r="BL333" s="3"/>
      <c r="BM333" s="18"/>
      <c r="BN333" s="3"/>
      <c r="BO333" s="315"/>
      <c r="BP333" s="3"/>
      <c r="BQ333" s="3"/>
      <c r="BR333" s="3"/>
      <c r="BS333" s="3"/>
      <c r="BT333" s="18"/>
      <c r="BU333" s="3"/>
      <c r="BV333" s="315"/>
      <c r="BW333" s="3"/>
      <c r="BX333" s="3"/>
      <c r="BY333" s="3"/>
      <c r="BZ333" s="3"/>
      <c r="CA333" s="371"/>
    </row>
    <row r="334" spans="1:82" ht="15.6" hidden="1" outlineLevel="1">
      <c r="A334" s="7"/>
      <c r="B334" s="370"/>
      <c r="C334" s="355"/>
      <c r="D334" s="356"/>
      <c r="E334" s="342"/>
      <c r="F334" s="290"/>
      <c r="G334" s="357">
        <v>0</v>
      </c>
      <c r="H334" s="358">
        <v>0</v>
      </c>
      <c r="I334" s="358">
        <v>0</v>
      </c>
      <c r="J334" s="359">
        <f t="shared" si="171"/>
        <v>0</v>
      </c>
      <c r="K334" s="290"/>
      <c r="L334" s="349"/>
      <c r="M334" s="7"/>
      <c r="N334" s="12"/>
      <c r="O334" s="12"/>
      <c r="P334" s="12"/>
      <c r="Q334" s="361"/>
      <c r="R334" s="362"/>
      <c r="S334" s="363">
        <f>IF(ISBLANK(P334),0,$O324*20)</f>
        <v>0</v>
      </c>
      <c r="T334" s="364">
        <f t="shared" si="165"/>
        <v>0</v>
      </c>
      <c r="U334" s="365">
        <v>0</v>
      </c>
      <c r="V334" s="91">
        <f>ROUNDUP(IFERROR(INDEX(CostRateTbl[Cost Rate],MATCH(_xlfn.CONCAT(N334,O334,P334,"NA"),CostRateTbl[KeyCostRate],0)),0)*BillingCurrencyTRM*(1+U334),2)</f>
        <v>0</v>
      </c>
      <c r="W334" s="92">
        <f t="shared" si="166"/>
        <v>0</v>
      </c>
      <c r="X334" s="366" t="e" cm="1">
        <f t="array" ref="X334">_xlfn.LET(
    _xlpm.valor, INDEX(CostRate!H:H, MATCH(1, (CostRate!A:A=N334)*1, 0)),
    _xlpm.posicion, MATCH(_xlpm.valor, FilterSL!$F$1:$Z$1, 0),
    _xlpm.direccionCompleta, ADDRESS(1, _xlpm.posicion + 5, 4),
    _xlpm.letraColumna, SUBSTITUTE(_xlpm.direccionCompleta, "1", ""),
    _xlpm.letraColumna
)</f>
        <v>#N/A</v>
      </c>
      <c r="Y334" s="366" t="e" cm="1">
        <f t="array" ref="Y334">_xlfn.LET(
    _xlpm.valor, INDEX(CostRate!I:I, MATCH(1, (CostRate!A:A=N334)*(CostRate!B:B=O334), 0)),
    _xlpm.posicion, MATCH(_xlpm.valor, FilterJP!$E$1:$FZ$1, 0),
    _xlpm.direccionCompleta, ADDRESS(1, _xlpm.posicion + 4, 4),
    _xlpm.letraColumna, SUBSTITUTE(_xlpm.direccionCompleta, "1", ""),
    _xlpm.letraColumna
)</f>
        <v>#N/A</v>
      </c>
      <c r="Z334" s="7"/>
      <c r="AA334" s="367"/>
      <c r="AB334" s="7"/>
      <c r="AC334" s="93">
        <f>ROUNDUP($V334/(1-$AV318),2)</f>
        <v>0</v>
      </c>
      <c r="AD334" s="94">
        <f t="shared" si="172"/>
        <v>0</v>
      </c>
      <c r="AE334" s="109">
        <f t="shared" si="173"/>
        <v>0</v>
      </c>
      <c r="AF334" s="7"/>
      <c r="AG334" s="369">
        <f t="shared" si="167"/>
        <v>0</v>
      </c>
      <c r="AH334" s="368">
        <f t="shared" si="168"/>
        <v>0</v>
      </c>
      <c r="AI334" s="7"/>
      <c r="AJ334" s="369" cm="1">
        <f t="array" ref="AJ334">IFERROR(INDEX(WHT!$C$7:$W$18,MATCH(
_xlfn.SWITCH(N334,"xDC Medellin","Colombia","xDC Belo Horizonte","Brazil","xDC Guadalajara","Mexico","xDC Gurugram","India","xDC Leon","Spain","xDC San Jose","Costa Rica","xDC Warsaw","Poland",N334),
WHT!$B$7:$B$18,0),MATCH(CustomerCountry,WHT!$C$5:$W$5,0)),0)</f>
        <v>0</v>
      </c>
      <c r="AK334" s="368">
        <f t="shared" si="169"/>
        <v>0</v>
      </c>
      <c r="AL334" s="7"/>
      <c r="AM334" s="95">
        <f t="shared" si="174"/>
        <v>0</v>
      </c>
      <c r="AN334" s="95">
        <f>AM334+IFERROR(SUM($AN321:$AN326)*AM334/$AM330,0)</f>
        <v>0</v>
      </c>
      <c r="AO334" s="95">
        <f t="shared" si="175"/>
        <v>0</v>
      </c>
      <c r="AP334" s="90"/>
      <c r="AQ334" s="18"/>
      <c r="AR334" s="290"/>
      <c r="AS334" s="467" t="s">
        <v>133</v>
      </c>
      <c r="AT334" s="501">
        <f>IF(AS334="x",AM334+((SUM($AN321:$AN326)+SUMIF($AS332:$AS361,"&lt;&gt;x",$AM332:$AM361))*IFERROR(AM334/SUMIF($AS332:$AS361,"x",$AM332:$AM361),0)),0)</f>
        <v>0</v>
      </c>
      <c r="AU334" s="502"/>
      <c r="AV334" s="95">
        <f t="shared" si="176"/>
        <v>0</v>
      </c>
      <c r="AW334" s="469" t="str">
        <f t="shared" si="170"/>
        <v>N/A</v>
      </c>
      <c r="AX334" s="290"/>
      <c r="AY334" s="18"/>
      <c r="AZ334" s="3"/>
      <c r="BA334" s="315"/>
      <c r="BB334" s="3"/>
      <c r="BC334" s="3"/>
      <c r="BD334" s="3"/>
      <c r="BE334" s="3"/>
      <c r="BF334" s="18"/>
      <c r="BG334" s="3"/>
      <c r="BH334" s="315"/>
      <c r="BI334" s="3"/>
      <c r="BJ334" s="3"/>
      <c r="BK334" s="3"/>
      <c r="BL334" s="3"/>
      <c r="BM334" s="18"/>
      <c r="BN334" s="3"/>
      <c r="BO334" s="315"/>
      <c r="BP334" s="3"/>
      <c r="BQ334" s="3"/>
      <c r="BR334" s="3"/>
      <c r="BS334" s="3"/>
      <c r="BT334" s="18"/>
      <c r="BU334" s="3"/>
      <c r="BV334" s="315"/>
      <c r="BW334" s="3"/>
      <c r="BX334" s="3"/>
      <c r="BY334" s="3"/>
      <c r="BZ334" s="3"/>
    </row>
    <row r="335" spans="1:82" ht="15.6" hidden="1" outlineLevel="1">
      <c r="A335" s="7"/>
      <c r="B335" s="370"/>
      <c r="C335" s="355"/>
      <c r="D335" s="356"/>
      <c r="E335" s="342"/>
      <c r="F335" s="290"/>
      <c r="G335" s="357">
        <v>0</v>
      </c>
      <c r="H335" s="358">
        <v>0</v>
      </c>
      <c r="I335" s="358">
        <v>0</v>
      </c>
      <c r="J335" s="359">
        <f t="shared" si="171"/>
        <v>0</v>
      </c>
      <c r="K335" s="290"/>
      <c r="L335" s="349"/>
      <c r="M335" s="7"/>
      <c r="N335" s="12"/>
      <c r="O335" s="12"/>
      <c r="P335" s="12"/>
      <c r="Q335" s="361"/>
      <c r="R335" s="362"/>
      <c r="S335" s="363">
        <f>IF(ISBLANK(P335),0,$O324*20)</f>
        <v>0</v>
      </c>
      <c r="T335" s="364">
        <f t="shared" si="165"/>
        <v>0</v>
      </c>
      <c r="U335" s="365">
        <v>0</v>
      </c>
      <c r="V335" s="91">
        <f>ROUNDUP(IFERROR(INDEX(CostRateTbl[Cost Rate],MATCH(_xlfn.CONCAT(N335,O335,P335,"NA"),CostRateTbl[KeyCostRate],0)),0)*BillingCurrencyTRM*(1+U335),2)</f>
        <v>0</v>
      </c>
      <c r="W335" s="92">
        <f t="shared" si="166"/>
        <v>0</v>
      </c>
      <c r="X335" s="366" t="e" cm="1">
        <f t="array" ref="X335">_xlfn.LET(
    _xlpm.valor, INDEX(CostRate!H:H, MATCH(1, (CostRate!A:A=N335)*1, 0)),
    _xlpm.posicion, MATCH(_xlpm.valor, FilterSL!$F$1:$Z$1, 0),
    _xlpm.direccionCompleta, ADDRESS(1, _xlpm.posicion + 5, 4),
    _xlpm.letraColumna, SUBSTITUTE(_xlpm.direccionCompleta, "1", ""),
    _xlpm.letraColumna
)</f>
        <v>#N/A</v>
      </c>
      <c r="Y335" s="366" t="e" cm="1">
        <f t="array" ref="Y335">_xlfn.LET(
    _xlpm.valor, INDEX(CostRate!I:I, MATCH(1, (CostRate!A:A=N335)*(CostRate!B:B=O335), 0)),
    _xlpm.posicion, MATCH(_xlpm.valor, FilterJP!$E$1:$FZ$1, 0),
    _xlpm.direccionCompleta, ADDRESS(1, _xlpm.posicion + 4, 4),
    _xlpm.letraColumna, SUBSTITUTE(_xlpm.direccionCompleta, "1", ""),
    _xlpm.letraColumna
)</f>
        <v>#N/A</v>
      </c>
      <c r="Z335" s="7"/>
      <c r="AA335" s="367"/>
      <c r="AB335" s="7"/>
      <c r="AC335" s="93">
        <f>ROUNDUP($V335/(1-$AV318),2)</f>
        <v>0</v>
      </c>
      <c r="AD335" s="94">
        <f t="shared" si="172"/>
        <v>0</v>
      </c>
      <c r="AE335" s="109">
        <f t="shared" si="173"/>
        <v>0</v>
      </c>
      <c r="AF335" s="7"/>
      <c r="AG335" s="369">
        <f t="shared" si="167"/>
        <v>0</v>
      </c>
      <c r="AH335" s="368">
        <f t="shared" si="168"/>
        <v>0</v>
      </c>
      <c r="AI335" s="7"/>
      <c r="AJ335" s="369" cm="1">
        <f t="array" ref="AJ335">IFERROR(INDEX(WHT!$C$7:$W$18,MATCH(
_xlfn.SWITCH(N335,"xDC Medellin","Colombia","xDC Belo Horizonte","Brazil","xDC Guadalajara","Mexico","xDC Gurugram","India","xDC Leon","Spain","xDC San Jose","Costa Rica","xDC Warsaw","Poland",N335),
WHT!$B$7:$B$18,0),MATCH(CustomerCountry,WHT!$C$5:$W$5,0)),0)</f>
        <v>0</v>
      </c>
      <c r="AK335" s="368">
        <f t="shared" si="169"/>
        <v>0</v>
      </c>
      <c r="AL335" s="7"/>
      <c r="AM335" s="95">
        <f t="shared" si="174"/>
        <v>0</v>
      </c>
      <c r="AN335" s="95">
        <f>AM335+IFERROR(SUM($AN321:$AN326)*AM335/$AM330,0)</f>
        <v>0</v>
      </c>
      <c r="AO335" s="95">
        <f t="shared" si="175"/>
        <v>0</v>
      </c>
      <c r="AP335" s="90"/>
      <c r="AQ335" s="18"/>
      <c r="AR335" s="290"/>
      <c r="AS335" s="467" t="s">
        <v>133</v>
      </c>
      <c r="AT335" s="501">
        <f>IF(AS335="x",AM335+((SUM($AN321:$AN326)+SUMIF($AS332:$AS361,"&lt;&gt;x",$AM332:$AM361))*IFERROR(AM335/SUMIF($AS332:$AS361,"x",$AM332:$AM361),0)),0)</f>
        <v>0</v>
      </c>
      <c r="AU335" s="502"/>
      <c r="AV335" s="95">
        <f t="shared" si="176"/>
        <v>0</v>
      </c>
      <c r="AW335" s="469" t="str">
        <f t="shared" si="170"/>
        <v>N/A</v>
      </c>
      <c r="AX335" s="290"/>
      <c r="AY335" s="18"/>
      <c r="AZ335" s="3"/>
      <c r="BA335" s="315"/>
      <c r="BB335" s="3"/>
      <c r="BC335" s="3"/>
      <c r="BD335" s="3"/>
      <c r="BE335" s="3"/>
      <c r="BF335" s="18"/>
      <c r="BG335" s="3"/>
      <c r="BH335" s="315"/>
      <c r="BI335" s="3"/>
      <c r="BJ335" s="3"/>
      <c r="BK335" s="3"/>
      <c r="BL335" s="3"/>
      <c r="BM335" s="18"/>
      <c r="BN335" s="3"/>
      <c r="BO335" s="315"/>
      <c r="BP335" s="3"/>
      <c r="BQ335" s="3"/>
      <c r="BR335" s="3"/>
      <c r="BS335" s="3"/>
      <c r="BT335" s="18"/>
      <c r="BU335" s="3"/>
      <c r="BV335" s="315"/>
      <c r="BW335" s="3"/>
      <c r="BX335" s="3"/>
      <c r="BY335" s="3"/>
      <c r="BZ335" s="3"/>
    </row>
    <row r="336" spans="1:82" ht="15.6" hidden="1" outlineLevel="1">
      <c r="A336" s="7"/>
      <c r="B336" s="370"/>
      <c r="C336" s="355"/>
      <c r="D336" s="356"/>
      <c r="E336" s="342"/>
      <c r="F336" s="290"/>
      <c r="G336" s="357">
        <v>0</v>
      </c>
      <c r="H336" s="358">
        <v>0</v>
      </c>
      <c r="I336" s="358">
        <v>0</v>
      </c>
      <c r="J336" s="359">
        <f t="shared" si="171"/>
        <v>0</v>
      </c>
      <c r="K336" s="290"/>
      <c r="L336" s="349"/>
      <c r="M336" s="7"/>
      <c r="N336" s="12"/>
      <c r="O336" s="12"/>
      <c r="P336" s="12"/>
      <c r="Q336" s="361"/>
      <c r="R336" s="362"/>
      <c r="S336" s="363">
        <f>IF(ISBLANK(P336),0,$O324*20)</f>
        <v>0</v>
      </c>
      <c r="T336" s="364">
        <f t="shared" si="165"/>
        <v>0</v>
      </c>
      <c r="U336" s="365">
        <v>0</v>
      </c>
      <c r="V336" s="91">
        <f>ROUNDUP(IFERROR(INDEX(CostRateTbl[Cost Rate],MATCH(_xlfn.CONCAT(N336,O336,P336,"NA"),CostRateTbl[KeyCostRate],0)),0)*BillingCurrencyTRM*(1+U336),2)</f>
        <v>0</v>
      </c>
      <c r="W336" s="92">
        <f t="shared" si="166"/>
        <v>0</v>
      </c>
      <c r="X336" s="366" t="e" cm="1">
        <f t="array" ref="X336">_xlfn.LET(
    _xlpm.valor, INDEX(CostRate!H:H, MATCH(1, (CostRate!A:A=N336)*1, 0)),
    _xlpm.posicion, MATCH(_xlpm.valor, FilterSL!$F$1:$Z$1, 0),
    _xlpm.direccionCompleta, ADDRESS(1, _xlpm.posicion + 5, 4),
    _xlpm.letraColumna, SUBSTITUTE(_xlpm.direccionCompleta, "1", ""),
    _xlpm.letraColumna
)</f>
        <v>#N/A</v>
      </c>
      <c r="Y336" s="366" t="e" cm="1">
        <f t="array" ref="Y336">_xlfn.LET(
    _xlpm.valor, INDEX(CostRate!I:I, MATCH(1, (CostRate!A:A=N336)*(CostRate!B:B=O336), 0)),
    _xlpm.posicion, MATCH(_xlpm.valor, FilterJP!$E$1:$FZ$1, 0),
    _xlpm.direccionCompleta, ADDRESS(1, _xlpm.posicion + 4, 4),
    _xlpm.letraColumna, SUBSTITUTE(_xlpm.direccionCompleta, "1", ""),
    _xlpm.letraColumna
)</f>
        <v>#N/A</v>
      </c>
      <c r="Z336" s="7"/>
      <c r="AA336" s="367"/>
      <c r="AB336" s="7"/>
      <c r="AC336" s="93">
        <f>ROUNDUP($V336/(1-$AV318),2)</f>
        <v>0</v>
      </c>
      <c r="AD336" s="94">
        <f t="shared" si="172"/>
        <v>0</v>
      </c>
      <c r="AE336" s="109">
        <f t="shared" si="173"/>
        <v>0</v>
      </c>
      <c r="AF336" s="7"/>
      <c r="AG336" s="369">
        <f t="shared" si="167"/>
        <v>0</v>
      </c>
      <c r="AH336" s="368">
        <f t="shared" si="168"/>
        <v>0</v>
      </c>
      <c r="AI336" s="7"/>
      <c r="AJ336" s="369" cm="1">
        <f t="array" ref="AJ336">IFERROR(INDEX(WHT!$C$7:$W$18,MATCH(
_xlfn.SWITCH(N336,"xDC Medellin","Colombia","xDC Belo Horizonte","Brazil","xDC Guadalajara","Mexico","xDC Gurugram","India","xDC Leon","Spain","xDC San Jose","Costa Rica","xDC Warsaw","Poland",N336),
WHT!$B$7:$B$18,0),MATCH(CustomerCountry,WHT!$C$5:$W$5,0)),0)</f>
        <v>0</v>
      </c>
      <c r="AK336" s="368">
        <f t="shared" si="169"/>
        <v>0</v>
      </c>
      <c r="AL336" s="7"/>
      <c r="AM336" s="95">
        <f t="shared" si="174"/>
        <v>0</v>
      </c>
      <c r="AN336" s="95">
        <f>AM336+IFERROR(SUM($AN321:$AN326)*AM336/$AM330,0)</f>
        <v>0</v>
      </c>
      <c r="AO336" s="95">
        <f t="shared" si="175"/>
        <v>0</v>
      </c>
      <c r="AP336" s="90"/>
      <c r="AQ336" s="18"/>
      <c r="AR336" s="290"/>
      <c r="AS336" s="467" t="s">
        <v>133</v>
      </c>
      <c r="AT336" s="501">
        <f>IF(AS336="x",AM336+((SUM($AN321:$AN326)+SUMIF($AS332:$AS361,"&lt;&gt;x",$AM332:$AM361))*IFERROR(AM336/SUMIF($AS332:$AS361,"x",$AM332:$AM361),0)),0)</f>
        <v>0</v>
      </c>
      <c r="AU336" s="502"/>
      <c r="AV336" s="95">
        <f t="shared" si="176"/>
        <v>0</v>
      </c>
      <c r="AW336" s="469" t="str">
        <f t="shared" si="170"/>
        <v>N/A</v>
      </c>
      <c r="AX336" s="290"/>
      <c r="AY336" s="18"/>
      <c r="AZ336" s="3"/>
      <c r="BA336" s="315"/>
      <c r="BB336" s="3"/>
      <c r="BC336" s="3"/>
      <c r="BD336" s="3"/>
      <c r="BE336" s="3"/>
      <c r="BF336" s="18"/>
      <c r="BG336" s="3"/>
      <c r="BH336" s="315"/>
      <c r="BI336" s="3"/>
      <c r="BJ336" s="3"/>
      <c r="BK336" s="3"/>
      <c r="BL336" s="3"/>
      <c r="BM336" s="18"/>
      <c r="BN336" s="3"/>
      <c r="BO336" s="315"/>
      <c r="BP336" s="3"/>
      <c r="BQ336" s="3"/>
      <c r="BR336" s="3"/>
      <c r="BS336" s="3"/>
      <c r="BT336" s="18"/>
      <c r="BU336" s="3"/>
      <c r="BV336" s="315"/>
      <c r="BW336" s="3"/>
      <c r="BX336" s="3"/>
      <c r="BY336" s="3"/>
      <c r="BZ336" s="3"/>
    </row>
    <row r="337" spans="1:78" ht="15.6" hidden="1" outlineLevel="1">
      <c r="A337" s="7"/>
      <c r="B337" s="370"/>
      <c r="C337" s="355"/>
      <c r="D337" s="356"/>
      <c r="E337" s="342"/>
      <c r="F337" s="290"/>
      <c r="G337" s="357">
        <v>0</v>
      </c>
      <c r="H337" s="358">
        <v>0</v>
      </c>
      <c r="I337" s="358">
        <v>0</v>
      </c>
      <c r="J337" s="359">
        <f t="shared" si="171"/>
        <v>0</v>
      </c>
      <c r="K337" s="290"/>
      <c r="L337" s="349"/>
      <c r="M337" s="7"/>
      <c r="N337" s="12"/>
      <c r="O337" s="12"/>
      <c r="P337" s="12"/>
      <c r="Q337" s="361"/>
      <c r="R337" s="362"/>
      <c r="S337" s="363">
        <f>IF(ISBLANK(P337),0,$O324*20)</f>
        <v>0</v>
      </c>
      <c r="T337" s="364">
        <f t="shared" si="165"/>
        <v>0</v>
      </c>
      <c r="U337" s="365">
        <v>0</v>
      </c>
      <c r="V337" s="91">
        <f>ROUNDUP(IFERROR(INDEX(CostRateTbl[Cost Rate],MATCH(_xlfn.CONCAT(N337,O337,P337,"NA"),CostRateTbl[KeyCostRate],0)),0)*BillingCurrencyTRM*(1+U337),2)</f>
        <v>0</v>
      </c>
      <c r="W337" s="92">
        <f t="shared" si="166"/>
        <v>0</v>
      </c>
      <c r="X337" s="366" t="e" cm="1">
        <f t="array" ref="X337">_xlfn.LET(
    _xlpm.valor, INDEX(CostRate!H:H, MATCH(1, (CostRate!A:A=N337)*1, 0)),
    _xlpm.posicion, MATCH(_xlpm.valor, FilterSL!$F$1:$Z$1, 0),
    _xlpm.direccionCompleta, ADDRESS(1, _xlpm.posicion + 5, 4),
    _xlpm.letraColumna, SUBSTITUTE(_xlpm.direccionCompleta, "1", ""),
    _xlpm.letraColumna
)</f>
        <v>#N/A</v>
      </c>
      <c r="Y337" s="366" t="e" cm="1">
        <f t="array" ref="Y337">_xlfn.LET(
    _xlpm.valor, INDEX(CostRate!I:I, MATCH(1, (CostRate!A:A=N337)*(CostRate!B:B=O337), 0)),
    _xlpm.posicion, MATCH(_xlpm.valor, FilterJP!$E$1:$FZ$1, 0),
    _xlpm.direccionCompleta, ADDRESS(1, _xlpm.posicion + 4, 4),
    _xlpm.letraColumna, SUBSTITUTE(_xlpm.direccionCompleta, "1", ""),
    _xlpm.letraColumna
)</f>
        <v>#N/A</v>
      </c>
      <c r="Z337" s="7"/>
      <c r="AA337" s="367"/>
      <c r="AB337" s="7"/>
      <c r="AC337" s="93">
        <f>ROUNDUP($V337/(1-$AV318),2)</f>
        <v>0</v>
      </c>
      <c r="AD337" s="94">
        <f t="shared" si="172"/>
        <v>0</v>
      </c>
      <c r="AE337" s="109">
        <f t="shared" si="173"/>
        <v>0</v>
      </c>
      <c r="AF337" s="7"/>
      <c r="AG337" s="369">
        <f t="shared" si="167"/>
        <v>0</v>
      </c>
      <c r="AH337" s="368">
        <f t="shared" si="168"/>
        <v>0</v>
      </c>
      <c r="AI337" s="7"/>
      <c r="AJ337" s="369" cm="1">
        <f t="array" ref="AJ337">IFERROR(INDEX(WHT!$C$7:$W$18,MATCH(
_xlfn.SWITCH(N337,"xDC Medellin","Colombia","xDC Belo Horizonte","Brazil","xDC Guadalajara","Mexico","xDC Gurugram","India","xDC Leon","Spain","xDC San Jose","Costa Rica","xDC Warsaw","Poland",N337),
WHT!$B$7:$B$18,0),MATCH(CustomerCountry,WHT!$C$5:$W$5,0)),0)</f>
        <v>0</v>
      </c>
      <c r="AK337" s="368">
        <f t="shared" si="169"/>
        <v>0</v>
      </c>
      <c r="AL337" s="7"/>
      <c r="AM337" s="95">
        <f t="shared" si="174"/>
        <v>0</v>
      </c>
      <c r="AN337" s="95">
        <f>AM337+IFERROR(SUM($AN321:$AN326)*AM337/$AM330,0)</f>
        <v>0</v>
      </c>
      <c r="AO337" s="95">
        <f t="shared" si="175"/>
        <v>0</v>
      </c>
      <c r="AP337" s="90"/>
      <c r="AQ337" s="18"/>
      <c r="AR337" s="290"/>
      <c r="AS337" s="467" t="s">
        <v>133</v>
      </c>
      <c r="AT337" s="501">
        <f>IF(AS337="x",AM337+((SUM($AN321:$AN326)+SUMIF($AS332:$AS361,"&lt;&gt;x",$AM332:$AM361))*IFERROR(AM337/SUMIF($AS332:$AS361,"x",$AM332:$AM361),0)),0)</f>
        <v>0</v>
      </c>
      <c r="AU337" s="502"/>
      <c r="AV337" s="95">
        <f t="shared" si="176"/>
        <v>0</v>
      </c>
      <c r="AW337" s="469" t="str">
        <f t="shared" si="170"/>
        <v>N/A</v>
      </c>
      <c r="AX337" s="290"/>
      <c r="AY337" s="18"/>
      <c r="AZ337" s="3"/>
      <c r="BA337" s="315"/>
      <c r="BB337" s="3"/>
      <c r="BC337" s="3"/>
      <c r="BD337" s="3"/>
      <c r="BE337" s="3"/>
      <c r="BF337" s="18"/>
      <c r="BG337" s="3"/>
      <c r="BH337" s="315"/>
      <c r="BI337" s="3"/>
      <c r="BJ337" s="3"/>
      <c r="BK337" s="3"/>
      <c r="BL337" s="3"/>
      <c r="BM337" s="18"/>
      <c r="BN337" s="3"/>
      <c r="BO337" s="315"/>
      <c r="BP337" s="3"/>
      <c r="BQ337" s="3"/>
      <c r="BR337" s="3"/>
      <c r="BS337" s="3"/>
      <c r="BT337" s="18"/>
      <c r="BU337" s="3"/>
      <c r="BV337" s="315"/>
      <c r="BW337" s="3"/>
      <c r="BX337" s="3"/>
      <c r="BY337" s="3"/>
      <c r="BZ337" s="3"/>
    </row>
    <row r="338" spans="1:78" ht="15.6" hidden="1" outlineLevel="1">
      <c r="A338" s="7"/>
      <c r="B338" s="370"/>
      <c r="C338" s="355"/>
      <c r="D338" s="356"/>
      <c r="E338" s="342"/>
      <c r="F338" s="290"/>
      <c r="G338" s="357">
        <v>0</v>
      </c>
      <c r="H338" s="358">
        <v>0</v>
      </c>
      <c r="I338" s="358">
        <v>0</v>
      </c>
      <c r="J338" s="359">
        <f t="shared" si="171"/>
        <v>0</v>
      </c>
      <c r="K338" s="290"/>
      <c r="L338" s="349"/>
      <c r="M338" s="7"/>
      <c r="N338" s="12"/>
      <c r="O338" s="12"/>
      <c r="P338" s="12"/>
      <c r="Q338" s="361"/>
      <c r="R338" s="362"/>
      <c r="S338" s="363">
        <f>IF(ISBLANK(P338),0,$O324*20)</f>
        <v>0</v>
      </c>
      <c r="T338" s="364">
        <f t="shared" si="165"/>
        <v>0</v>
      </c>
      <c r="U338" s="365">
        <v>0</v>
      </c>
      <c r="V338" s="91">
        <f>ROUNDUP(IFERROR(INDEX(CostRateTbl[Cost Rate],MATCH(_xlfn.CONCAT(N338,O338,P338,"NA"),CostRateTbl[KeyCostRate],0)),0)*BillingCurrencyTRM*(1+U338),2)</f>
        <v>0</v>
      </c>
      <c r="W338" s="92">
        <f t="shared" si="166"/>
        <v>0</v>
      </c>
      <c r="X338" s="366" t="e" cm="1">
        <f t="array" ref="X338">_xlfn.LET(
    _xlpm.valor, INDEX(CostRate!H:H, MATCH(1, (CostRate!A:A=N338)*1, 0)),
    _xlpm.posicion, MATCH(_xlpm.valor, FilterSL!$F$1:$Z$1, 0),
    _xlpm.direccionCompleta, ADDRESS(1, _xlpm.posicion + 5, 4),
    _xlpm.letraColumna, SUBSTITUTE(_xlpm.direccionCompleta, "1", ""),
    _xlpm.letraColumna
)</f>
        <v>#N/A</v>
      </c>
      <c r="Y338" s="366" t="e" cm="1">
        <f t="array" ref="Y338">_xlfn.LET(
    _xlpm.valor, INDEX(CostRate!I:I, MATCH(1, (CostRate!A:A=N338)*(CostRate!B:B=O338), 0)),
    _xlpm.posicion, MATCH(_xlpm.valor, FilterJP!$E$1:$FZ$1, 0),
    _xlpm.direccionCompleta, ADDRESS(1, _xlpm.posicion + 4, 4),
    _xlpm.letraColumna, SUBSTITUTE(_xlpm.direccionCompleta, "1", ""),
    _xlpm.letraColumna
)</f>
        <v>#N/A</v>
      </c>
      <c r="Z338" s="7"/>
      <c r="AA338" s="367"/>
      <c r="AB338" s="7"/>
      <c r="AC338" s="93">
        <f>ROUNDUP($V338/(1-$AV318),2)</f>
        <v>0</v>
      </c>
      <c r="AD338" s="94">
        <f t="shared" si="172"/>
        <v>0</v>
      </c>
      <c r="AE338" s="109">
        <f t="shared" si="173"/>
        <v>0</v>
      </c>
      <c r="AF338" s="7"/>
      <c r="AG338" s="369">
        <f t="shared" si="167"/>
        <v>0</v>
      </c>
      <c r="AH338" s="368">
        <f t="shared" si="168"/>
        <v>0</v>
      </c>
      <c r="AI338" s="7"/>
      <c r="AJ338" s="369" cm="1">
        <f t="array" ref="AJ338">IFERROR(INDEX(WHT!$C$7:$W$18,MATCH(
_xlfn.SWITCH(N338,"xDC Medellin","Colombia","xDC Belo Horizonte","Brazil","xDC Guadalajara","Mexico","xDC Gurugram","India","xDC Leon","Spain","xDC San Jose","Costa Rica","xDC Warsaw","Poland",N338),
WHT!$B$7:$B$18,0),MATCH(CustomerCountry,WHT!$C$5:$W$5,0)),0)</f>
        <v>0</v>
      </c>
      <c r="AK338" s="368">
        <f t="shared" si="169"/>
        <v>0</v>
      </c>
      <c r="AL338" s="7"/>
      <c r="AM338" s="95">
        <f t="shared" si="174"/>
        <v>0</v>
      </c>
      <c r="AN338" s="95">
        <f>AM338+IFERROR(SUM($AN321:$AN326)*AM338/$AM330,0)</f>
        <v>0</v>
      </c>
      <c r="AO338" s="95">
        <f t="shared" si="175"/>
        <v>0</v>
      </c>
      <c r="AP338" s="90"/>
      <c r="AQ338" s="18"/>
      <c r="AR338" s="290"/>
      <c r="AS338" s="467" t="s">
        <v>133</v>
      </c>
      <c r="AT338" s="501">
        <f>IF(AS338="x",AM338+((SUM($AN321:$AN326)+SUMIF($AS332:$AS361,"&lt;&gt;x",$AM332:$AM361))*IFERROR(AM338/SUMIF($AS332:$AS361,"x",$AM332:$AM361),0)),0)</f>
        <v>0</v>
      </c>
      <c r="AU338" s="502"/>
      <c r="AV338" s="95">
        <f t="shared" si="176"/>
        <v>0</v>
      </c>
      <c r="AW338" s="469" t="str">
        <f t="shared" si="170"/>
        <v>N/A</v>
      </c>
      <c r="AX338" s="290"/>
      <c r="AY338" s="18"/>
      <c r="AZ338" s="3"/>
      <c r="BA338" s="315"/>
      <c r="BB338" s="3"/>
      <c r="BC338" s="3"/>
      <c r="BD338" s="3"/>
      <c r="BE338" s="3"/>
      <c r="BF338" s="18"/>
      <c r="BG338" s="3"/>
      <c r="BH338" s="315"/>
      <c r="BI338" s="3"/>
      <c r="BJ338" s="3"/>
      <c r="BK338" s="3"/>
      <c r="BL338" s="3"/>
      <c r="BM338" s="18"/>
      <c r="BN338" s="3"/>
      <c r="BO338" s="315"/>
      <c r="BP338" s="3"/>
      <c r="BQ338" s="3"/>
      <c r="BR338" s="3"/>
      <c r="BS338" s="3"/>
      <c r="BT338" s="18"/>
      <c r="BU338" s="3"/>
      <c r="BV338" s="315"/>
      <c r="BW338" s="3"/>
      <c r="BX338" s="3"/>
      <c r="BY338" s="3"/>
      <c r="BZ338" s="3"/>
    </row>
    <row r="339" spans="1:78" ht="15.6" hidden="1" outlineLevel="1">
      <c r="A339" s="7"/>
      <c r="B339" s="370"/>
      <c r="C339" s="355"/>
      <c r="D339" s="356"/>
      <c r="E339" s="342"/>
      <c r="F339" s="290"/>
      <c r="G339" s="357">
        <v>0</v>
      </c>
      <c r="H339" s="358">
        <v>0</v>
      </c>
      <c r="I339" s="358">
        <v>0</v>
      </c>
      <c r="J339" s="359">
        <f t="shared" si="171"/>
        <v>0</v>
      </c>
      <c r="K339" s="290"/>
      <c r="L339" s="349"/>
      <c r="M339" s="7"/>
      <c r="N339" s="12"/>
      <c r="O339" s="12"/>
      <c r="P339" s="12"/>
      <c r="Q339" s="361"/>
      <c r="R339" s="362"/>
      <c r="S339" s="363">
        <f>IF(ISBLANK(P339),0,$O324*20)</f>
        <v>0</v>
      </c>
      <c r="T339" s="364">
        <f t="shared" si="165"/>
        <v>0</v>
      </c>
      <c r="U339" s="365">
        <v>0</v>
      </c>
      <c r="V339" s="91">
        <f>ROUNDUP(IFERROR(INDEX(CostRateTbl[Cost Rate],MATCH(_xlfn.CONCAT(N339,O339,P339,"NA"),CostRateTbl[KeyCostRate],0)),0)*BillingCurrencyTRM*(1+U339),2)</f>
        <v>0</v>
      </c>
      <c r="W339" s="92">
        <f t="shared" si="166"/>
        <v>0</v>
      </c>
      <c r="X339" s="366" t="e" cm="1">
        <f t="array" ref="X339">_xlfn.LET(
    _xlpm.valor, INDEX(CostRate!H:H, MATCH(1, (CostRate!A:A=N339)*1, 0)),
    _xlpm.posicion, MATCH(_xlpm.valor, FilterSL!$F$1:$Z$1, 0),
    _xlpm.direccionCompleta, ADDRESS(1, _xlpm.posicion + 5, 4),
    _xlpm.letraColumna, SUBSTITUTE(_xlpm.direccionCompleta, "1", ""),
    _xlpm.letraColumna
)</f>
        <v>#N/A</v>
      </c>
      <c r="Y339" s="366" t="e" cm="1">
        <f t="array" ref="Y339">_xlfn.LET(
    _xlpm.valor, INDEX(CostRate!I:I, MATCH(1, (CostRate!A:A=N339)*(CostRate!B:B=O339), 0)),
    _xlpm.posicion, MATCH(_xlpm.valor, FilterJP!$E$1:$FZ$1, 0),
    _xlpm.direccionCompleta, ADDRESS(1, _xlpm.posicion + 4, 4),
    _xlpm.letraColumna, SUBSTITUTE(_xlpm.direccionCompleta, "1", ""),
    _xlpm.letraColumna
)</f>
        <v>#N/A</v>
      </c>
      <c r="Z339" s="7"/>
      <c r="AA339" s="367"/>
      <c r="AB339" s="7"/>
      <c r="AC339" s="93">
        <f>ROUNDUP($V339/(1-$AV318),2)</f>
        <v>0</v>
      </c>
      <c r="AD339" s="94">
        <f t="shared" si="172"/>
        <v>0</v>
      </c>
      <c r="AE339" s="109">
        <f t="shared" si="173"/>
        <v>0</v>
      </c>
      <c r="AF339" s="7"/>
      <c r="AG339" s="369">
        <f t="shared" si="167"/>
        <v>0</v>
      </c>
      <c r="AH339" s="368">
        <f t="shared" si="168"/>
        <v>0</v>
      </c>
      <c r="AI339" s="7"/>
      <c r="AJ339" s="369" cm="1">
        <f t="array" ref="AJ339">IFERROR(INDEX(WHT!$C$7:$W$18,MATCH(
_xlfn.SWITCH(N339,"xDC Medellin","Colombia","xDC Belo Horizonte","Brazil","xDC Guadalajara","Mexico","xDC Gurugram","India","xDC Leon","Spain","xDC San Jose","Costa Rica","xDC Warsaw","Poland",N339),
WHT!$B$7:$B$18,0),MATCH(CustomerCountry,WHT!$C$5:$W$5,0)),0)</f>
        <v>0</v>
      </c>
      <c r="AK339" s="368">
        <f t="shared" si="169"/>
        <v>0</v>
      </c>
      <c r="AL339" s="7"/>
      <c r="AM339" s="95">
        <f t="shared" si="174"/>
        <v>0</v>
      </c>
      <c r="AN339" s="95">
        <f>AM339+IFERROR(SUM($AN321:$AN326)*AM339/$AM330,0)</f>
        <v>0</v>
      </c>
      <c r="AO339" s="95">
        <f t="shared" si="175"/>
        <v>0</v>
      </c>
      <c r="AP339" s="90"/>
      <c r="AQ339" s="18"/>
      <c r="AR339" s="290"/>
      <c r="AS339" s="467" t="s">
        <v>133</v>
      </c>
      <c r="AT339" s="501">
        <f>IF(AS339="x",AM339+((SUM($AN321:$AN326)+SUMIF($AS332:$AS361,"&lt;&gt;x",$AM332:$AM361))*IFERROR(AM339/SUMIF($AS332:$AS361,"x",$AM332:$AM361),0)),0)</f>
        <v>0</v>
      </c>
      <c r="AU339" s="502"/>
      <c r="AV339" s="95">
        <f t="shared" si="176"/>
        <v>0</v>
      </c>
      <c r="AW339" s="469" t="str">
        <f t="shared" si="170"/>
        <v>N/A</v>
      </c>
      <c r="AX339" s="290"/>
      <c r="AY339" s="18"/>
      <c r="AZ339" s="3"/>
      <c r="BA339" s="315"/>
      <c r="BB339" s="3"/>
      <c r="BC339" s="3"/>
      <c r="BD339" s="3"/>
      <c r="BE339" s="3"/>
      <c r="BF339" s="18"/>
      <c r="BG339" s="3"/>
      <c r="BH339" s="315"/>
      <c r="BI339" s="3"/>
      <c r="BJ339" s="3"/>
      <c r="BK339" s="3"/>
      <c r="BL339" s="3"/>
      <c r="BM339" s="18"/>
      <c r="BN339" s="3"/>
      <c r="BO339" s="315"/>
      <c r="BP339" s="3"/>
      <c r="BQ339" s="3"/>
      <c r="BR339" s="3"/>
      <c r="BS339" s="3"/>
      <c r="BT339" s="18"/>
      <c r="BU339" s="3"/>
      <c r="BV339" s="315"/>
      <c r="BW339" s="3"/>
      <c r="BX339" s="3"/>
      <c r="BY339" s="3"/>
      <c r="BZ339" s="3"/>
    </row>
    <row r="340" spans="1:78" ht="15.6" hidden="1" outlineLevel="1">
      <c r="A340" s="7"/>
      <c r="B340" s="370"/>
      <c r="C340" s="355"/>
      <c r="D340" s="356"/>
      <c r="E340" s="342"/>
      <c r="F340" s="290"/>
      <c r="G340" s="357">
        <v>0</v>
      </c>
      <c r="H340" s="358">
        <v>0</v>
      </c>
      <c r="I340" s="358">
        <v>0</v>
      </c>
      <c r="J340" s="359">
        <f t="shared" si="171"/>
        <v>0</v>
      </c>
      <c r="K340" s="290"/>
      <c r="L340" s="349"/>
      <c r="M340" s="7"/>
      <c r="N340" s="12"/>
      <c r="O340" s="12"/>
      <c r="P340" s="12"/>
      <c r="Q340" s="361"/>
      <c r="R340" s="362"/>
      <c r="S340" s="363">
        <f>IF(ISBLANK(P340),0,$O324*20)</f>
        <v>0</v>
      </c>
      <c r="T340" s="364">
        <f t="shared" si="165"/>
        <v>0</v>
      </c>
      <c r="U340" s="365">
        <v>0</v>
      </c>
      <c r="V340" s="91">
        <f>ROUNDUP(IFERROR(INDEX(CostRateTbl[Cost Rate],MATCH(_xlfn.CONCAT(N340,O340,P340,"NA"),CostRateTbl[KeyCostRate],0)),0)*BillingCurrencyTRM*(1+U340),2)</f>
        <v>0</v>
      </c>
      <c r="W340" s="92">
        <f t="shared" si="166"/>
        <v>0</v>
      </c>
      <c r="X340" s="366" t="e" cm="1">
        <f t="array" ref="X340">_xlfn.LET(
    _xlpm.valor, INDEX(CostRate!H:H, MATCH(1, (CostRate!A:A=N340)*1, 0)),
    _xlpm.posicion, MATCH(_xlpm.valor, FilterSL!$F$1:$Z$1, 0),
    _xlpm.direccionCompleta, ADDRESS(1, _xlpm.posicion + 5, 4),
    _xlpm.letraColumna, SUBSTITUTE(_xlpm.direccionCompleta, "1", ""),
    _xlpm.letraColumna
)</f>
        <v>#N/A</v>
      </c>
      <c r="Y340" s="366" t="e" cm="1">
        <f t="array" ref="Y340">_xlfn.LET(
    _xlpm.valor, INDEX(CostRate!I:I, MATCH(1, (CostRate!A:A=N340)*(CostRate!B:B=O340), 0)),
    _xlpm.posicion, MATCH(_xlpm.valor, FilterJP!$E$1:$FZ$1, 0),
    _xlpm.direccionCompleta, ADDRESS(1, _xlpm.posicion + 4, 4),
    _xlpm.letraColumna, SUBSTITUTE(_xlpm.direccionCompleta, "1", ""),
    _xlpm.letraColumna
)</f>
        <v>#N/A</v>
      </c>
      <c r="Z340" s="7"/>
      <c r="AA340" s="367"/>
      <c r="AB340" s="7"/>
      <c r="AC340" s="93">
        <f>ROUNDUP($V340/(1-$AV318),2)</f>
        <v>0</v>
      </c>
      <c r="AD340" s="94">
        <f t="shared" si="172"/>
        <v>0</v>
      </c>
      <c r="AE340" s="109">
        <f t="shared" si="173"/>
        <v>0</v>
      </c>
      <c r="AF340" s="7"/>
      <c r="AG340" s="369">
        <f t="shared" si="167"/>
        <v>0</v>
      </c>
      <c r="AH340" s="368">
        <f t="shared" si="168"/>
        <v>0</v>
      </c>
      <c r="AI340" s="7"/>
      <c r="AJ340" s="369" cm="1">
        <f t="array" ref="AJ340">IFERROR(INDEX(WHT!$C$7:$W$18,MATCH(
_xlfn.SWITCH(N340,"xDC Medellin","Colombia","xDC Belo Horizonte","Brazil","xDC Guadalajara","Mexico","xDC Gurugram","India","xDC Leon","Spain","xDC San Jose","Costa Rica","xDC Warsaw","Poland",N340),
WHT!$B$7:$B$18,0),MATCH(CustomerCountry,WHT!$C$5:$W$5,0)),0)</f>
        <v>0</v>
      </c>
      <c r="AK340" s="368">
        <f t="shared" si="169"/>
        <v>0</v>
      </c>
      <c r="AL340" s="7"/>
      <c r="AM340" s="95">
        <f t="shared" si="174"/>
        <v>0</v>
      </c>
      <c r="AN340" s="95">
        <f>AM340+IFERROR(SUM($AN321:$AN326)*AM340/$AM330,0)</f>
        <v>0</v>
      </c>
      <c r="AO340" s="95">
        <f t="shared" si="175"/>
        <v>0</v>
      </c>
      <c r="AP340" s="90"/>
      <c r="AQ340" s="18"/>
      <c r="AR340" s="290"/>
      <c r="AS340" s="467" t="s">
        <v>133</v>
      </c>
      <c r="AT340" s="501">
        <f>IF(AS340="x",AM340+((SUM($AN321:$AN326)+SUMIF($AS332:$AS361,"&lt;&gt;x",$AM332:$AM361))*IFERROR(AM340/SUMIF($AS332:$AS361,"x",$AM332:$AM361),0)),0)</f>
        <v>0</v>
      </c>
      <c r="AU340" s="502"/>
      <c r="AV340" s="95">
        <f t="shared" si="176"/>
        <v>0</v>
      </c>
      <c r="AW340" s="469" t="str">
        <f t="shared" si="170"/>
        <v>N/A</v>
      </c>
      <c r="AX340" s="290"/>
      <c r="AY340" s="18"/>
      <c r="AZ340" s="3"/>
      <c r="BA340" s="315"/>
      <c r="BB340" s="3"/>
      <c r="BC340" s="3"/>
      <c r="BD340" s="3"/>
      <c r="BE340" s="3"/>
      <c r="BF340" s="18"/>
      <c r="BG340" s="3"/>
      <c r="BH340" s="315"/>
      <c r="BI340" s="3"/>
      <c r="BJ340" s="3"/>
      <c r="BK340" s="3"/>
      <c r="BL340" s="3"/>
      <c r="BM340" s="18"/>
      <c r="BN340" s="3"/>
      <c r="BO340" s="315"/>
      <c r="BP340" s="3"/>
      <c r="BQ340" s="3"/>
      <c r="BR340" s="3"/>
      <c r="BS340" s="3"/>
      <c r="BT340" s="18"/>
      <c r="BU340" s="3"/>
      <c r="BV340" s="315"/>
      <c r="BW340" s="3"/>
      <c r="BX340" s="3"/>
      <c r="BY340" s="3"/>
      <c r="BZ340" s="3"/>
    </row>
    <row r="341" spans="1:78" ht="15.6" hidden="1" outlineLevel="1">
      <c r="A341" s="7"/>
      <c r="B341" s="370"/>
      <c r="C341" s="355"/>
      <c r="D341" s="356"/>
      <c r="E341" s="342"/>
      <c r="F341" s="290"/>
      <c r="G341" s="357">
        <v>0</v>
      </c>
      <c r="H341" s="358">
        <v>0</v>
      </c>
      <c r="I341" s="358">
        <v>0</v>
      </c>
      <c r="J341" s="359">
        <f t="shared" si="171"/>
        <v>0</v>
      </c>
      <c r="K341" s="290"/>
      <c r="L341" s="349"/>
      <c r="M341" s="7"/>
      <c r="N341" s="12"/>
      <c r="O341" s="12"/>
      <c r="P341" s="12"/>
      <c r="Q341" s="361"/>
      <c r="R341" s="362"/>
      <c r="S341" s="363">
        <f>IF(ISBLANK(P341),0,$O324*20)</f>
        <v>0</v>
      </c>
      <c r="T341" s="364">
        <f t="shared" si="165"/>
        <v>0</v>
      </c>
      <c r="U341" s="365">
        <v>0</v>
      </c>
      <c r="V341" s="91">
        <f>ROUNDUP(IFERROR(INDEX(CostRateTbl[Cost Rate],MATCH(_xlfn.CONCAT(N341,O341,P341,"NA"),CostRateTbl[KeyCostRate],0)),0)*BillingCurrencyTRM*(1+U341),2)</f>
        <v>0</v>
      </c>
      <c r="W341" s="92">
        <f t="shared" si="166"/>
        <v>0</v>
      </c>
      <c r="X341" s="366" t="e" cm="1">
        <f t="array" ref="X341">_xlfn.LET(
    _xlpm.valor, INDEX(CostRate!H:H, MATCH(1, (CostRate!A:A=N341)*1, 0)),
    _xlpm.posicion, MATCH(_xlpm.valor, FilterSL!$F$1:$Z$1, 0),
    _xlpm.direccionCompleta, ADDRESS(1, _xlpm.posicion + 5, 4),
    _xlpm.letraColumna, SUBSTITUTE(_xlpm.direccionCompleta, "1", ""),
    _xlpm.letraColumna
)</f>
        <v>#N/A</v>
      </c>
      <c r="Y341" s="366" t="e" cm="1">
        <f t="array" ref="Y341">_xlfn.LET(
    _xlpm.valor, INDEX(CostRate!I:I, MATCH(1, (CostRate!A:A=N341)*(CostRate!B:B=O341), 0)),
    _xlpm.posicion, MATCH(_xlpm.valor, FilterJP!$E$1:$FZ$1, 0),
    _xlpm.direccionCompleta, ADDRESS(1, _xlpm.posicion + 4, 4),
    _xlpm.letraColumna, SUBSTITUTE(_xlpm.direccionCompleta, "1", ""),
    _xlpm.letraColumna
)</f>
        <v>#N/A</v>
      </c>
      <c r="Z341" s="7"/>
      <c r="AA341" s="367"/>
      <c r="AB341" s="7"/>
      <c r="AC341" s="93">
        <f>ROUNDUP($V341/(1-$AV318),2)</f>
        <v>0</v>
      </c>
      <c r="AD341" s="94">
        <f t="shared" si="172"/>
        <v>0</v>
      </c>
      <c r="AE341" s="109">
        <f t="shared" si="173"/>
        <v>0</v>
      </c>
      <c r="AF341" s="7"/>
      <c r="AG341" s="369">
        <f t="shared" si="167"/>
        <v>0</v>
      </c>
      <c r="AH341" s="368">
        <f t="shared" si="168"/>
        <v>0</v>
      </c>
      <c r="AI341" s="7"/>
      <c r="AJ341" s="369" cm="1">
        <f t="array" ref="AJ341">IFERROR(INDEX(WHT!$C$7:$W$18,MATCH(
_xlfn.SWITCH(N341,"xDC Medellin","Colombia","xDC Belo Horizonte","Brazil","xDC Guadalajara","Mexico","xDC Gurugram","India","xDC Leon","Spain","xDC San Jose","Costa Rica","xDC Warsaw","Poland",N341),
WHT!$B$7:$B$18,0),MATCH(CustomerCountry,WHT!$C$5:$W$5,0)),0)</f>
        <v>0</v>
      </c>
      <c r="AK341" s="368">
        <f t="shared" si="169"/>
        <v>0</v>
      </c>
      <c r="AL341" s="7"/>
      <c r="AM341" s="95">
        <f t="shared" si="174"/>
        <v>0</v>
      </c>
      <c r="AN341" s="95">
        <f>AM341+IFERROR(SUM($AN321:$AN326)*AM341/$AM330,0)</f>
        <v>0</v>
      </c>
      <c r="AO341" s="95">
        <f t="shared" si="175"/>
        <v>0</v>
      </c>
      <c r="AP341" s="90"/>
      <c r="AQ341" s="18"/>
      <c r="AR341" s="290"/>
      <c r="AS341" s="467" t="s">
        <v>133</v>
      </c>
      <c r="AT341" s="501">
        <f>IF(AS341="x",AM341+((SUM($AN321:$AN326)+SUMIF($AS332:$AS361,"&lt;&gt;x",$AM332:$AM361))*IFERROR(AM341/SUMIF($AS332:$AS361,"x",$AM332:$AM361),0)),0)</f>
        <v>0</v>
      </c>
      <c r="AU341" s="502"/>
      <c r="AV341" s="95">
        <f t="shared" si="176"/>
        <v>0</v>
      </c>
      <c r="AW341" s="469" t="str">
        <f t="shared" si="170"/>
        <v>N/A</v>
      </c>
      <c r="AX341" s="290"/>
      <c r="AY341" s="18"/>
      <c r="AZ341" s="3"/>
      <c r="BA341" s="315"/>
      <c r="BB341" s="3"/>
      <c r="BC341" s="3"/>
      <c r="BD341" s="3"/>
      <c r="BE341" s="3"/>
      <c r="BF341" s="18"/>
      <c r="BG341" s="3"/>
      <c r="BH341" s="315"/>
      <c r="BI341" s="3"/>
      <c r="BJ341" s="3"/>
      <c r="BK341" s="3"/>
      <c r="BL341" s="3"/>
      <c r="BM341" s="18"/>
      <c r="BN341" s="3"/>
      <c r="BO341" s="315"/>
      <c r="BP341" s="3"/>
      <c r="BQ341" s="3"/>
      <c r="BR341" s="3"/>
      <c r="BS341" s="3"/>
      <c r="BT341" s="18"/>
      <c r="BU341" s="3"/>
      <c r="BV341" s="315"/>
      <c r="BW341" s="3"/>
      <c r="BX341" s="3"/>
      <c r="BY341" s="3"/>
      <c r="BZ341" s="3"/>
    </row>
    <row r="342" spans="1:78" ht="15.6" hidden="1" outlineLevel="1">
      <c r="A342" s="7"/>
      <c r="B342" s="370"/>
      <c r="C342" s="355"/>
      <c r="D342" s="356"/>
      <c r="E342" s="342"/>
      <c r="F342" s="290"/>
      <c r="G342" s="357">
        <v>0</v>
      </c>
      <c r="H342" s="358">
        <v>0</v>
      </c>
      <c r="I342" s="358">
        <v>0</v>
      </c>
      <c r="J342" s="359">
        <f t="shared" si="171"/>
        <v>0</v>
      </c>
      <c r="K342" s="290"/>
      <c r="L342" s="349"/>
      <c r="M342" s="7"/>
      <c r="N342" s="12"/>
      <c r="O342" s="12"/>
      <c r="P342" s="12"/>
      <c r="Q342" s="361"/>
      <c r="R342" s="362"/>
      <c r="S342" s="363">
        <f>IF(ISBLANK(P342),0,$O324*20)</f>
        <v>0</v>
      </c>
      <c r="T342" s="364">
        <f t="shared" si="165"/>
        <v>0</v>
      </c>
      <c r="U342" s="365">
        <v>0</v>
      </c>
      <c r="V342" s="91">
        <f>ROUNDUP(IFERROR(INDEX(CostRateTbl[Cost Rate],MATCH(_xlfn.CONCAT(N342,O342,P342,"NA"),CostRateTbl[KeyCostRate],0)),0)*BillingCurrencyTRM*(1+U342),2)</f>
        <v>0</v>
      </c>
      <c r="W342" s="92">
        <f t="shared" si="166"/>
        <v>0</v>
      </c>
      <c r="X342" s="366" t="e" cm="1">
        <f t="array" ref="X342">_xlfn.LET(
    _xlpm.valor, INDEX(CostRate!H:H, MATCH(1, (CostRate!A:A=N342)*1, 0)),
    _xlpm.posicion, MATCH(_xlpm.valor, FilterSL!$F$1:$Z$1, 0),
    _xlpm.direccionCompleta, ADDRESS(1, _xlpm.posicion + 5, 4),
    _xlpm.letraColumna, SUBSTITUTE(_xlpm.direccionCompleta, "1", ""),
    _xlpm.letraColumna
)</f>
        <v>#N/A</v>
      </c>
      <c r="Y342" s="366" t="e" cm="1">
        <f t="array" ref="Y342">_xlfn.LET(
    _xlpm.valor, INDEX(CostRate!I:I, MATCH(1, (CostRate!A:A=N342)*(CostRate!B:B=O342), 0)),
    _xlpm.posicion, MATCH(_xlpm.valor, FilterJP!$E$1:$FZ$1, 0),
    _xlpm.direccionCompleta, ADDRESS(1, _xlpm.posicion + 4, 4),
    _xlpm.letraColumna, SUBSTITUTE(_xlpm.direccionCompleta, "1", ""),
    _xlpm.letraColumna
)</f>
        <v>#N/A</v>
      </c>
      <c r="Z342" s="7"/>
      <c r="AA342" s="367"/>
      <c r="AB342" s="7"/>
      <c r="AC342" s="93">
        <f>ROUNDUP($V342/(1-$AV318),2)</f>
        <v>0</v>
      </c>
      <c r="AD342" s="94">
        <f t="shared" si="172"/>
        <v>0</v>
      </c>
      <c r="AE342" s="109">
        <f t="shared" si="173"/>
        <v>0</v>
      </c>
      <c r="AF342" s="7"/>
      <c r="AG342" s="369">
        <f t="shared" si="167"/>
        <v>0</v>
      </c>
      <c r="AH342" s="368">
        <f t="shared" si="168"/>
        <v>0</v>
      </c>
      <c r="AI342" s="7"/>
      <c r="AJ342" s="369" cm="1">
        <f t="array" ref="AJ342">IFERROR(INDEX(WHT!$C$7:$W$18,MATCH(
_xlfn.SWITCH(N342,"xDC Medellin","Colombia","xDC Belo Horizonte","Brazil","xDC Guadalajara","Mexico","xDC Gurugram","India","xDC Leon","Spain","xDC San Jose","Costa Rica","xDC Warsaw","Poland",N342),
WHT!$B$7:$B$18,0),MATCH(CustomerCountry,WHT!$C$5:$W$5,0)),0)</f>
        <v>0</v>
      </c>
      <c r="AK342" s="368">
        <f t="shared" si="169"/>
        <v>0</v>
      </c>
      <c r="AL342" s="7"/>
      <c r="AM342" s="95">
        <f t="shared" si="174"/>
        <v>0</v>
      </c>
      <c r="AN342" s="95">
        <f>AM342+IFERROR(SUM($AN321:$AN326)*AM342/$AM330,0)</f>
        <v>0</v>
      </c>
      <c r="AO342" s="95">
        <f t="shared" si="175"/>
        <v>0</v>
      </c>
      <c r="AP342" s="90"/>
      <c r="AQ342" s="18"/>
      <c r="AR342" s="290"/>
      <c r="AS342" s="467" t="s">
        <v>133</v>
      </c>
      <c r="AT342" s="501">
        <f>IF(AS342="x",AM342+((SUM($AN321:$AN326)+SUMIF($AS332:$AS361,"&lt;&gt;x",$AM332:$AM361))*IFERROR(AM342/SUMIF($AS332:$AS361,"x",$AM332:$AM361),0)),0)</f>
        <v>0</v>
      </c>
      <c r="AU342" s="502"/>
      <c r="AV342" s="95">
        <f t="shared" si="176"/>
        <v>0</v>
      </c>
      <c r="AW342" s="469" t="str">
        <f t="shared" si="170"/>
        <v>N/A</v>
      </c>
      <c r="AX342" s="290"/>
      <c r="AY342" s="18"/>
      <c r="AZ342" s="3"/>
      <c r="BA342" s="315"/>
      <c r="BB342" s="3"/>
      <c r="BC342" s="3"/>
      <c r="BD342" s="3"/>
      <c r="BE342" s="3"/>
      <c r="BF342" s="18"/>
      <c r="BG342" s="3"/>
      <c r="BH342" s="315"/>
      <c r="BI342" s="3"/>
      <c r="BJ342" s="3"/>
      <c r="BK342" s="3"/>
      <c r="BL342" s="3"/>
      <c r="BM342" s="18"/>
      <c r="BN342" s="3"/>
      <c r="BO342" s="315"/>
      <c r="BP342" s="3"/>
      <c r="BQ342" s="3"/>
      <c r="BR342" s="3"/>
      <c r="BS342" s="3"/>
      <c r="BT342" s="18"/>
      <c r="BU342" s="3"/>
      <c r="BV342" s="315"/>
      <c r="BW342" s="3"/>
      <c r="BX342" s="3"/>
      <c r="BY342" s="3"/>
      <c r="BZ342" s="3"/>
    </row>
    <row r="343" spans="1:78" ht="15.6" hidden="1" outlineLevel="1">
      <c r="A343" s="7"/>
      <c r="B343" s="370"/>
      <c r="C343" s="355"/>
      <c r="D343" s="356"/>
      <c r="E343" s="342"/>
      <c r="F343" s="290"/>
      <c r="G343" s="357">
        <v>0</v>
      </c>
      <c r="H343" s="358">
        <v>0</v>
      </c>
      <c r="I343" s="358">
        <v>0</v>
      </c>
      <c r="J343" s="359">
        <f t="shared" si="171"/>
        <v>0</v>
      </c>
      <c r="K343" s="290"/>
      <c r="L343" s="349"/>
      <c r="M343" s="7"/>
      <c r="N343" s="12"/>
      <c r="O343" s="12"/>
      <c r="P343" s="12"/>
      <c r="Q343" s="361"/>
      <c r="R343" s="362"/>
      <c r="S343" s="363">
        <f>IF(ISBLANK(P343),0,$O324*20)</f>
        <v>0</v>
      </c>
      <c r="T343" s="364">
        <f t="shared" si="165"/>
        <v>0</v>
      </c>
      <c r="U343" s="365">
        <v>0</v>
      </c>
      <c r="V343" s="91">
        <f>ROUNDUP(IFERROR(INDEX(CostRateTbl[Cost Rate],MATCH(_xlfn.CONCAT(N343,O343,P343,"NA"),CostRateTbl[KeyCostRate],0)),0)*BillingCurrencyTRM*(1+U343),2)</f>
        <v>0</v>
      </c>
      <c r="W343" s="92">
        <f t="shared" si="166"/>
        <v>0</v>
      </c>
      <c r="X343" s="366" t="e" cm="1">
        <f t="array" ref="X343">_xlfn.LET(
    _xlpm.valor, INDEX(CostRate!H:H, MATCH(1, (CostRate!A:A=N343)*1, 0)),
    _xlpm.posicion, MATCH(_xlpm.valor, FilterSL!$F$1:$Z$1, 0),
    _xlpm.direccionCompleta, ADDRESS(1, _xlpm.posicion + 5, 4),
    _xlpm.letraColumna, SUBSTITUTE(_xlpm.direccionCompleta, "1", ""),
    _xlpm.letraColumna
)</f>
        <v>#N/A</v>
      </c>
      <c r="Y343" s="366" t="e" cm="1">
        <f t="array" ref="Y343">_xlfn.LET(
    _xlpm.valor, INDEX(CostRate!I:I, MATCH(1, (CostRate!A:A=N343)*(CostRate!B:B=O343), 0)),
    _xlpm.posicion, MATCH(_xlpm.valor, FilterJP!$E$1:$FZ$1, 0),
    _xlpm.direccionCompleta, ADDRESS(1, _xlpm.posicion + 4, 4),
    _xlpm.letraColumna, SUBSTITUTE(_xlpm.direccionCompleta, "1", ""),
    _xlpm.letraColumna
)</f>
        <v>#N/A</v>
      </c>
      <c r="Z343" s="7"/>
      <c r="AA343" s="367"/>
      <c r="AB343" s="7"/>
      <c r="AC343" s="93">
        <f>ROUNDUP($V343/(1-$AV318),2)</f>
        <v>0</v>
      </c>
      <c r="AD343" s="94">
        <f t="shared" si="172"/>
        <v>0</v>
      </c>
      <c r="AE343" s="109">
        <f t="shared" si="173"/>
        <v>0</v>
      </c>
      <c r="AF343" s="7"/>
      <c r="AG343" s="369">
        <f t="shared" si="167"/>
        <v>0</v>
      </c>
      <c r="AH343" s="368">
        <f t="shared" si="168"/>
        <v>0</v>
      </c>
      <c r="AI343" s="7"/>
      <c r="AJ343" s="369" cm="1">
        <f t="array" ref="AJ343">IFERROR(INDEX(WHT!$C$7:$W$18,MATCH(
_xlfn.SWITCH(N343,"xDC Medellin","Colombia","xDC Belo Horizonte","Brazil","xDC Guadalajara","Mexico","xDC Gurugram","India","xDC Leon","Spain","xDC San Jose","Costa Rica","xDC Warsaw","Poland",N343),
WHT!$B$7:$B$18,0),MATCH(CustomerCountry,WHT!$C$5:$W$5,0)),0)</f>
        <v>0</v>
      </c>
      <c r="AK343" s="368">
        <f t="shared" si="169"/>
        <v>0</v>
      </c>
      <c r="AL343" s="7"/>
      <c r="AM343" s="95">
        <f t="shared" si="174"/>
        <v>0</v>
      </c>
      <c r="AN343" s="95">
        <f>AM343+IFERROR(SUM($AN321:$AN326)*AM343/$AM330,0)</f>
        <v>0</v>
      </c>
      <c r="AO343" s="95">
        <f t="shared" si="175"/>
        <v>0</v>
      </c>
      <c r="AP343" s="90"/>
      <c r="AQ343" s="18"/>
      <c r="AR343" s="290"/>
      <c r="AS343" s="467" t="s">
        <v>133</v>
      </c>
      <c r="AT343" s="501">
        <f>IF(AS343="x",AM343+((SUM($AN321:$AN326)+SUMIF($AS332:$AS361,"&lt;&gt;x",$AM332:$AM361))*IFERROR(AM343/SUMIF($AS332:$AS361,"x",$AM332:$AM361),0)),0)</f>
        <v>0</v>
      </c>
      <c r="AU343" s="502"/>
      <c r="AV343" s="95">
        <f t="shared" si="176"/>
        <v>0</v>
      </c>
      <c r="AW343" s="469" t="str">
        <f t="shared" si="170"/>
        <v>N/A</v>
      </c>
      <c r="AX343" s="290"/>
      <c r="AY343" s="18"/>
      <c r="AZ343" s="3"/>
      <c r="BA343" s="315"/>
      <c r="BB343" s="3"/>
      <c r="BC343" s="3"/>
      <c r="BD343" s="3"/>
      <c r="BE343" s="3"/>
      <c r="BF343" s="18"/>
      <c r="BG343" s="3"/>
      <c r="BH343" s="315"/>
      <c r="BI343" s="3"/>
      <c r="BJ343" s="3"/>
      <c r="BK343" s="3"/>
      <c r="BL343" s="3"/>
      <c r="BM343" s="18"/>
      <c r="BN343" s="3"/>
      <c r="BO343" s="315"/>
      <c r="BP343" s="3"/>
      <c r="BQ343" s="3"/>
      <c r="BR343" s="3"/>
      <c r="BS343" s="3"/>
      <c r="BT343" s="18"/>
      <c r="BU343" s="3"/>
      <c r="BV343" s="315"/>
      <c r="BW343" s="3"/>
      <c r="BX343" s="3"/>
      <c r="BY343" s="3"/>
      <c r="BZ343" s="3"/>
    </row>
    <row r="344" spans="1:78" ht="15.6" hidden="1" outlineLevel="1">
      <c r="A344" s="7"/>
      <c r="B344" s="370"/>
      <c r="C344" s="355"/>
      <c r="D344" s="356"/>
      <c r="E344" s="342"/>
      <c r="F344" s="290"/>
      <c r="G344" s="357">
        <v>0</v>
      </c>
      <c r="H344" s="358">
        <v>0</v>
      </c>
      <c r="I344" s="358">
        <v>0</v>
      </c>
      <c r="J344" s="359">
        <f t="shared" si="171"/>
        <v>0</v>
      </c>
      <c r="K344" s="290"/>
      <c r="L344" s="349"/>
      <c r="M344" s="7"/>
      <c r="N344" s="12"/>
      <c r="O344" s="12"/>
      <c r="P344" s="12"/>
      <c r="Q344" s="361"/>
      <c r="R344" s="362"/>
      <c r="S344" s="363">
        <f>IF(ISBLANK(P344),0,$O324*20)</f>
        <v>0</v>
      </c>
      <c r="T344" s="364">
        <f t="shared" si="165"/>
        <v>0</v>
      </c>
      <c r="U344" s="365">
        <v>0</v>
      </c>
      <c r="V344" s="91">
        <f>ROUNDUP(IFERROR(INDEX(CostRateTbl[Cost Rate],MATCH(_xlfn.CONCAT(N344,O344,P344,"NA"),CostRateTbl[KeyCostRate],0)),0)*BillingCurrencyTRM*(1+U344),2)</f>
        <v>0</v>
      </c>
      <c r="W344" s="92">
        <f t="shared" si="166"/>
        <v>0</v>
      </c>
      <c r="X344" s="366" t="e" cm="1">
        <f t="array" ref="X344">_xlfn.LET(
    _xlpm.valor, INDEX(CostRate!H:H, MATCH(1, (CostRate!A:A=N344)*1, 0)),
    _xlpm.posicion, MATCH(_xlpm.valor, FilterSL!$F$1:$Z$1, 0),
    _xlpm.direccionCompleta, ADDRESS(1, _xlpm.posicion + 5, 4),
    _xlpm.letraColumna, SUBSTITUTE(_xlpm.direccionCompleta, "1", ""),
    _xlpm.letraColumna
)</f>
        <v>#N/A</v>
      </c>
      <c r="Y344" s="366" t="e" cm="1">
        <f t="array" ref="Y344">_xlfn.LET(
    _xlpm.valor, INDEX(CostRate!I:I, MATCH(1, (CostRate!A:A=N344)*(CostRate!B:B=O344), 0)),
    _xlpm.posicion, MATCH(_xlpm.valor, FilterJP!$E$1:$FZ$1, 0),
    _xlpm.direccionCompleta, ADDRESS(1, _xlpm.posicion + 4, 4),
    _xlpm.letraColumna, SUBSTITUTE(_xlpm.direccionCompleta, "1", ""),
    _xlpm.letraColumna
)</f>
        <v>#N/A</v>
      </c>
      <c r="Z344" s="7"/>
      <c r="AA344" s="367"/>
      <c r="AB344" s="7"/>
      <c r="AC344" s="93">
        <f>ROUNDUP($V344/(1-$AV318),2)</f>
        <v>0</v>
      </c>
      <c r="AD344" s="94">
        <f t="shared" si="172"/>
        <v>0</v>
      </c>
      <c r="AE344" s="109">
        <f t="shared" si="173"/>
        <v>0</v>
      </c>
      <c r="AF344" s="7"/>
      <c r="AG344" s="369">
        <f t="shared" si="167"/>
        <v>0</v>
      </c>
      <c r="AH344" s="368">
        <f t="shared" si="168"/>
        <v>0</v>
      </c>
      <c r="AI344" s="7"/>
      <c r="AJ344" s="369" cm="1">
        <f t="array" ref="AJ344">IFERROR(INDEX(WHT!$C$7:$W$18,MATCH(
_xlfn.SWITCH(N344,"xDC Medellin","Colombia","xDC Belo Horizonte","Brazil","xDC Guadalajara","Mexico","xDC Gurugram","India","xDC Leon","Spain","xDC San Jose","Costa Rica","xDC Warsaw","Poland",N344),
WHT!$B$7:$B$18,0),MATCH(CustomerCountry,WHT!$C$5:$W$5,0)),0)</f>
        <v>0</v>
      </c>
      <c r="AK344" s="368">
        <f t="shared" si="169"/>
        <v>0</v>
      </c>
      <c r="AL344" s="7"/>
      <c r="AM344" s="95">
        <f t="shared" si="174"/>
        <v>0</v>
      </c>
      <c r="AN344" s="95">
        <f>AM344+IFERROR(SUM($AN321:$AN326)*AM344/$AM330,0)</f>
        <v>0</v>
      </c>
      <c r="AO344" s="95">
        <f t="shared" si="175"/>
        <v>0</v>
      </c>
      <c r="AP344" s="90"/>
      <c r="AQ344" s="18"/>
      <c r="AR344" s="290"/>
      <c r="AS344" s="467" t="s">
        <v>133</v>
      </c>
      <c r="AT344" s="501">
        <f>IF(AS344="x",AM344+((SUM($AN321:$AN326)+SUMIF($AS332:$AS361,"&lt;&gt;x",$AM332:$AM361))*IFERROR(AM344/SUMIF($AS332:$AS361,"x",$AM332:$AM361),0)),0)</f>
        <v>0</v>
      </c>
      <c r="AU344" s="502"/>
      <c r="AV344" s="95">
        <f t="shared" si="176"/>
        <v>0</v>
      </c>
      <c r="AW344" s="469" t="str">
        <f t="shared" si="170"/>
        <v>N/A</v>
      </c>
      <c r="AX344" s="290"/>
      <c r="AY344" s="18"/>
      <c r="AZ344" s="3"/>
      <c r="BA344" s="315"/>
      <c r="BB344" s="3"/>
      <c r="BC344" s="3"/>
      <c r="BD344" s="3"/>
      <c r="BE344" s="3"/>
      <c r="BF344" s="18"/>
      <c r="BG344" s="3"/>
      <c r="BH344" s="315"/>
      <c r="BI344" s="3"/>
      <c r="BJ344" s="3"/>
      <c r="BK344" s="3"/>
      <c r="BL344" s="3"/>
      <c r="BM344" s="18"/>
      <c r="BN344" s="3"/>
      <c r="BO344" s="315"/>
      <c r="BP344" s="3"/>
      <c r="BQ344" s="3"/>
      <c r="BR344" s="3"/>
      <c r="BS344" s="3"/>
      <c r="BT344" s="18"/>
      <c r="BU344" s="3"/>
      <c r="BV344" s="315"/>
      <c r="BW344" s="3"/>
      <c r="BX344" s="3"/>
      <c r="BY344" s="3"/>
      <c r="BZ344" s="3"/>
    </row>
    <row r="345" spans="1:78" ht="15.6" hidden="1" outlineLevel="1">
      <c r="A345" s="7"/>
      <c r="B345" s="370"/>
      <c r="C345" s="355"/>
      <c r="D345" s="356"/>
      <c r="E345" s="342"/>
      <c r="F345" s="290"/>
      <c r="G345" s="357">
        <v>0</v>
      </c>
      <c r="H345" s="358">
        <v>0</v>
      </c>
      <c r="I345" s="358">
        <v>0</v>
      </c>
      <c r="J345" s="359">
        <f t="shared" si="171"/>
        <v>0</v>
      </c>
      <c r="K345" s="290"/>
      <c r="L345" s="349"/>
      <c r="M345" s="7"/>
      <c r="N345" s="12"/>
      <c r="O345" s="12"/>
      <c r="P345" s="12"/>
      <c r="Q345" s="361"/>
      <c r="R345" s="362"/>
      <c r="S345" s="363">
        <f>IF(ISBLANK(P345),0,$O324*20)</f>
        <v>0</v>
      </c>
      <c r="T345" s="364">
        <f t="shared" si="165"/>
        <v>0</v>
      </c>
      <c r="U345" s="365">
        <v>0</v>
      </c>
      <c r="V345" s="91">
        <f>ROUNDUP(IFERROR(INDEX(CostRateTbl[Cost Rate],MATCH(_xlfn.CONCAT(N345,O345,P345,"NA"),CostRateTbl[KeyCostRate],0)),0)*BillingCurrencyTRM*(1+U345),2)</f>
        <v>0</v>
      </c>
      <c r="W345" s="92">
        <f t="shared" si="166"/>
        <v>0</v>
      </c>
      <c r="X345" s="366" t="e" cm="1">
        <f t="array" ref="X345">_xlfn.LET(
    _xlpm.valor, INDEX(CostRate!H:H, MATCH(1, (CostRate!A:A=N345)*1, 0)),
    _xlpm.posicion, MATCH(_xlpm.valor, FilterSL!$F$1:$Z$1, 0),
    _xlpm.direccionCompleta, ADDRESS(1, _xlpm.posicion + 5, 4),
    _xlpm.letraColumna, SUBSTITUTE(_xlpm.direccionCompleta, "1", ""),
    _xlpm.letraColumna
)</f>
        <v>#N/A</v>
      </c>
      <c r="Y345" s="366" t="e" cm="1">
        <f t="array" ref="Y345">_xlfn.LET(
    _xlpm.valor, INDEX(CostRate!I:I, MATCH(1, (CostRate!A:A=N345)*(CostRate!B:B=O345), 0)),
    _xlpm.posicion, MATCH(_xlpm.valor, FilterJP!$E$1:$FZ$1, 0),
    _xlpm.direccionCompleta, ADDRESS(1, _xlpm.posicion + 4, 4),
    _xlpm.letraColumna, SUBSTITUTE(_xlpm.direccionCompleta, "1", ""),
    _xlpm.letraColumna
)</f>
        <v>#N/A</v>
      </c>
      <c r="Z345" s="7"/>
      <c r="AA345" s="367"/>
      <c r="AB345" s="7"/>
      <c r="AC345" s="93">
        <f>ROUNDUP($V345/(1-$AV318),2)</f>
        <v>0</v>
      </c>
      <c r="AD345" s="94">
        <f t="shared" si="172"/>
        <v>0</v>
      </c>
      <c r="AE345" s="109">
        <f t="shared" si="173"/>
        <v>0</v>
      </c>
      <c r="AF345" s="7"/>
      <c r="AG345" s="369">
        <f t="shared" si="167"/>
        <v>0</v>
      </c>
      <c r="AH345" s="368">
        <f t="shared" si="168"/>
        <v>0</v>
      </c>
      <c r="AI345" s="7"/>
      <c r="AJ345" s="369" cm="1">
        <f t="array" ref="AJ345">IFERROR(INDEX(WHT!$C$7:$W$18,MATCH(
_xlfn.SWITCH(N345,"xDC Medellin","Colombia","xDC Belo Horizonte","Brazil","xDC Guadalajara","Mexico","xDC Gurugram","India","xDC Leon","Spain","xDC San Jose","Costa Rica","xDC Warsaw","Poland",N345),
WHT!$B$7:$B$18,0),MATCH(CustomerCountry,WHT!$C$5:$W$5,0)),0)</f>
        <v>0</v>
      </c>
      <c r="AK345" s="368">
        <f t="shared" si="169"/>
        <v>0</v>
      </c>
      <c r="AL345" s="7"/>
      <c r="AM345" s="95">
        <f t="shared" si="174"/>
        <v>0</v>
      </c>
      <c r="AN345" s="95">
        <f>AM345+IFERROR(SUM($AN321:$AN326)*AM345/$AM330,0)</f>
        <v>0</v>
      </c>
      <c r="AO345" s="95">
        <f t="shared" si="175"/>
        <v>0</v>
      </c>
      <c r="AP345" s="90"/>
      <c r="AQ345" s="18"/>
      <c r="AR345" s="290"/>
      <c r="AS345" s="467" t="s">
        <v>133</v>
      </c>
      <c r="AT345" s="501">
        <f>IF(AS345="x",AM345+((SUM($AN321:$AN326)+SUMIF($AS332:$AS361,"&lt;&gt;x",$AM332:$AM361))*IFERROR(AM345/SUMIF($AS332:$AS361,"x",$AM332:$AM361),0)),0)</f>
        <v>0</v>
      </c>
      <c r="AU345" s="502"/>
      <c r="AV345" s="95">
        <f t="shared" si="176"/>
        <v>0</v>
      </c>
      <c r="AW345" s="469" t="str">
        <f t="shared" si="170"/>
        <v>N/A</v>
      </c>
      <c r="AX345" s="290"/>
      <c r="AY345" s="18"/>
      <c r="AZ345" s="3"/>
      <c r="BA345" s="315"/>
      <c r="BB345" s="3"/>
      <c r="BC345" s="3"/>
      <c r="BD345" s="3"/>
      <c r="BE345" s="3"/>
      <c r="BF345" s="18"/>
      <c r="BG345" s="3"/>
      <c r="BH345" s="315"/>
      <c r="BI345" s="3"/>
      <c r="BJ345" s="3"/>
      <c r="BK345" s="3"/>
      <c r="BL345" s="3"/>
      <c r="BM345" s="18"/>
      <c r="BN345" s="3"/>
      <c r="BO345" s="315"/>
      <c r="BP345" s="3"/>
      <c r="BQ345" s="3"/>
      <c r="BR345" s="3"/>
      <c r="BS345" s="3"/>
      <c r="BT345" s="18"/>
      <c r="BU345" s="3"/>
      <c r="BV345" s="315"/>
      <c r="BW345" s="3"/>
      <c r="BX345" s="3"/>
      <c r="BY345" s="3"/>
      <c r="BZ345" s="3"/>
    </row>
    <row r="346" spans="1:78" ht="15.6" hidden="1" outlineLevel="1">
      <c r="A346" s="7"/>
      <c r="B346" s="370"/>
      <c r="C346" s="355"/>
      <c r="D346" s="356"/>
      <c r="E346" s="342"/>
      <c r="F346" s="290"/>
      <c r="G346" s="357">
        <v>0</v>
      </c>
      <c r="H346" s="358">
        <v>0</v>
      </c>
      <c r="I346" s="358">
        <v>0</v>
      </c>
      <c r="J346" s="359">
        <f t="shared" si="171"/>
        <v>0</v>
      </c>
      <c r="K346" s="290"/>
      <c r="L346" s="349"/>
      <c r="M346" s="7"/>
      <c r="N346" s="12"/>
      <c r="O346" s="12"/>
      <c r="P346" s="12"/>
      <c r="Q346" s="361"/>
      <c r="R346" s="362"/>
      <c r="S346" s="363">
        <f>IF(ISBLANK(P346),0,$O324*20)</f>
        <v>0</v>
      </c>
      <c r="T346" s="364">
        <f t="shared" si="165"/>
        <v>0</v>
      </c>
      <c r="U346" s="365">
        <v>0</v>
      </c>
      <c r="V346" s="91">
        <f>ROUNDUP(IFERROR(INDEX(CostRateTbl[Cost Rate],MATCH(_xlfn.CONCAT(N346,O346,P346,"NA"),CostRateTbl[KeyCostRate],0)),0)*BillingCurrencyTRM*(1+U346),2)</f>
        <v>0</v>
      </c>
      <c r="W346" s="92">
        <f t="shared" si="166"/>
        <v>0</v>
      </c>
      <c r="X346" s="366" t="e" cm="1">
        <f t="array" ref="X346">_xlfn.LET(
    _xlpm.valor, INDEX(CostRate!H:H, MATCH(1, (CostRate!A:A=N346)*1, 0)),
    _xlpm.posicion, MATCH(_xlpm.valor, FilterSL!$F$1:$Z$1, 0),
    _xlpm.direccionCompleta, ADDRESS(1, _xlpm.posicion + 5, 4),
    _xlpm.letraColumna, SUBSTITUTE(_xlpm.direccionCompleta, "1", ""),
    _xlpm.letraColumna
)</f>
        <v>#N/A</v>
      </c>
      <c r="Y346" s="366" t="e" cm="1">
        <f t="array" ref="Y346">_xlfn.LET(
    _xlpm.valor, INDEX(CostRate!I:I, MATCH(1, (CostRate!A:A=N346)*(CostRate!B:B=O346), 0)),
    _xlpm.posicion, MATCH(_xlpm.valor, FilterJP!$E$1:$FZ$1, 0),
    _xlpm.direccionCompleta, ADDRESS(1, _xlpm.posicion + 4, 4),
    _xlpm.letraColumna, SUBSTITUTE(_xlpm.direccionCompleta, "1", ""),
    _xlpm.letraColumna
)</f>
        <v>#N/A</v>
      </c>
      <c r="Z346" s="7"/>
      <c r="AA346" s="367"/>
      <c r="AB346" s="7"/>
      <c r="AC346" s="93">
        <f>ROUNDUP($V346/(1-$AV318),2)</f>
        <v>0</v>
      </c>
      <c r="AD346" s="94">
        <f t="shared" si="172"/>
        <v>0</v>
      </c>
      <c r="AE346" s="109">
        <f t="shared" si="173"/>
        <v>0</v>
      </c>
      <c r="AF346" s="7"/>
      <c r="AG346" s="369">
        <f t="shared" si="167"/>
        <v>0</v>
      </c>
      <c r="AH346" s="368">
        <f t="shared" si="168"/>
        <v>0</v>
      </c>
      <c r="AI346" s="7"/>
      <c r="AJ346" s="369" cm="1">
        <f t="array" ref="AJ346">IFERROR(INDEX(WHT!$C$7:$W$18,MATCH(
_xlfn.SWITCH(N346,"xDC Medellin","Colombia","xDC Belo Horizonte","Brazil","xDC Guadalajara","Mexico","xDC Gurugram","India","xDC Leon","Spain","xDC San Jose","Costa Rica","xDC Warsaw","Poland",N346),
WHT!$B$7:$B$18,0),MATCH(CustomerCountry,WHT!$C$5:$W$5,0)),0)</f>
        <v>0</v>
      </c>
      <c r="AK346" s="368">
        <f t="shared" si="169"/>
        <v>0</v>
      </c>
      <c r="AL346" s="7"/>
      <c r="AM346" s="95">
        <f t="shared" si="174"/>
        <v>0</v>
      </c>
      <c r="AN346" s="95">
        <f>AM346+IFERROR(SUM($AN321:$AN326)*AM346/$AM330,0)</f>
        <v>0</v>
      </c>
      <c r="AO346" s="95">
        <f t="shared" si="175"/>
        <v>0</v>
      </c>
      <c r="AP346" s="90"/>
      <c r="AQ346" s="18"/>
      <c r="AR346" s="290"/>
      <c r="AS346" s="467" t="s">
        <v>133</v>
      </c>
      <c r="AT346" s="501">
        <f>IF(AS346="x",AM346+((SUM($AN321:$AN326)+SUMIF($AS332:$AS361,"&lt;&gt;x",$AM332:$AM361))*IFERROR(AM346/SUMIF($AS332:$AS361,"x",$AM332:$AM361),0)),0)</f>
        <v>0</v>
      </c>
      <c r="AU346" s="502"/>
      <c r="AV346" s="95">
        <f t="shared" si="176"/>
        <v>0</v>
      </c>
      <c r="AW346" s="469" t="str">
        <f t="shared" si="170"/>
        <v>N/A</v>
      </c>
      <c r="AX346" s="290"/>
      <c r="AY346" s="18"/>
      <c r="AZ346" s="3"/>
      <c r="BA346" s="315"/>
      <c r="BB346" s="3"/>
      <c r="BC346" s="3"/>
      <c r="BD346" s="3"/>
      <c r="BE346" s="3"/>
      <c r="BF346" s="18"/>
      <c r="BG346" s="3"/>
      <c r="BH346" s="315"/>
      <c r="BI346" s="3"/>
      <c r="BJ346" s="3"/>
      <c r="BK346" s="3"/>
      <c r="BL346" s="3"/>
      <c r="BM346" s="18"/>
      <c r="BN346" s="3"/>
      <c r="BO346" s="315"/>
      <c r="BP346" s="3"/>
      <c r="BQ346" s="3"/>
      <c r="BR346" s="3"/>
      <c r="BS346" s="3"/>
      <c r="BT346" s="18"/>
      <c r="BU346" s="3"/>
      <c r="BV346" s="315"/>
      <c r="BW346" s="3"/>
      <c r="BX346" s="3"/>
      <c r="BY346" s="3"/>
      <c r="BZ346" s="3"/>
    </row>
    <row r="347" spans="1:78" ht="15.6" hidden="1" outlineLevel="1">
      <c r="A347" s="7"/>
      <c r="B347" s="370"/>
      <c r="C347" s="355"/>
      <c r="D347" s="356"/>
      <c r="E347" s="342"/>
      <c r="F347" s="290"/>
      <c r="G347" s="357">
        <v>0</v>
      </c>
      <c r="H347" s="358">
        <v>0</v>
      </c>
      <c r="I347" s="358">
        <v>0</v>
      </c>
      <c r="J347" s="359">
        <f t="shared" si="171"/>
        <v>0</v>
      </c>
      <c r="K347" s="290"/>
      <c r="L347" s="349"/>
      <c r="M347" s="7"/>
      <c r="N347" s="12"/>
      <c r="O347" s="12"/>
      <c r="P347" s="12"/>
      <c r="Q347" s="361"/>
      <c r="R347" s="362"/>
      <c r="S347" s="363">
        <f>IF(ISBLANK(P347),0,$O324*20)</f>
        <v>0</v>
      </c>
      <c r="T347" s="364">
        <f t="shared" si="165"/>
        <v>0</v>
      </c>
      <c r="U347" s="365">
        <v>0</v>
      </c>
      <c r="V347" s="91">
        <f>ROUNDUP(IFERROR(INDEX(CostRateTbl[Cost Rate],MATCH(_xlfn.CONCAT(N347,O347,P347,"NA"),CostRateTbl[KeyCostRate],0)),0)*BillingCurrencyTRM*(1+U347),2)</f>
        <v>0</v>
      </c>
      <c r="W347" s="92">
        <f t="shared" si="166"/>
        <v>0</v>
      </c>
      <c r="X347" s="366" t="e" cm="1">
        <f t="array" ref="X347">_xlfn.LET(
    _xlpm.valor, INDEX(CostRate!H:H, MATCH(1, (CostRate!A:A=N347)*1, 0)),
    _xlpm.posicion, MATCH(_xlpm.valor, FilterSL!$F$1:$Z$1, 0),
    _xlpm.direccionCompleta, ADDRESS(1, _xlpm.posicion + 5, 4),
    _xlpm.letraColumna, SUBSTITUTE(_xlpm.direccionCompleta, "1", ""),
    _xlpm.letraColumna
)</f>
        <v>#N/A</v>
      </c>
      <c r="Y347" s="366" t="e" cm="1">
        <f t="array" ref="Y347">_xlfn.LET(
    _xlpm.valor, INDEX(CostRate!I:I, MATCH(1, (CostRate!A:A=N347)*(CostRate!B:B=O347), 0)),
    _xlpm.posicion, MATCH(_xlpm.valor, FilterJP!$E$1:$FZ$1, 0),
    _xlpm.direccionCompleta, ADDRESS(1, _xlpm.posicion + 4, 4),
    _xlpm.letraColumna, SUBSTITUTE(_xlpm.direccionCompleta, "1", ""),
    _xlpm.letraColumna
)</f>
        <v>#N/A</v>
      </c>
      <c r="Z347" s="7"/>
      <c r="AA347" s="367"/>
      <c r="AB347" s="7"/>
      <c r="AC347" s="93">
        <f>ROUNDUP($V347/(1-$AV318),2)</f>
        <v>0</v>
      </c>
      <c r="AD347" s="94">
        <f t="shared" si="172"/>
        <v>0</v>
      </c>
      <c r="AE347" s="109">
        <f t="shared" si="173"/>
        <v>0</v>
      </c>
      <c r="AF347" s="7"/>
      <c r="AG347" s="369">
        <f t="shared" si="167"/>
        <v>0</v>
      </c>
      <c r="AH347" s="368">
        <f t="shared" si="168"/>
        <v>0</v>
      </c>
      <c r="AI347" s="7"/>
      <c r="AJ347" s="369" cm="1">
        <f t="array" ref="AJ347">IFERROR(INDEX(WHT!$C$7:$W$18,MATCH(
_xlfn.SWITCH(N347,"xDC Medellin","Colombia","xDC Belo Horizonte","Brazil","xDC Guadalajara","Mexico","xDC Gurugram","India","xDC Leon","Spain","xDC San Jose","Costa Rica","xDC Warsaw","Poland",N347),
WHT!$B$7:$B$18,0),MATCH(CustomerCountry,WHT!$C$5:$W$5,0)),0)</f>
        <v>0</v>
      </c>
      <c r="AK347" s="368">
        <f t="shared" si="169"/>
        <v>0</v>
      </c>
      <c r="AL347" s="7"/>
      <c r="AM347" s="95">
        <f t="shared" si="174"/>
        <v>0</v>
      </c>
      <c r="AN347" s="95">
        <f>AM347+IFERROR(SUM($AN321:$AN326)*AM347/$AM330,0)</f>
        <v>0</v>
      </c>
      <c r="AO347" s="95">
        <f t="shared" si="175"/>
        <v>0</v>
      </c>
      <c r="AP347" s="90"/>
      <c r="AQ347" s="18"/>
      <c r="AR347" s="290"/>
      <c r="AS347" s="467" t="s">
        <v>133</v>
      </c>
      <c r="AT347" s="501">
        <f>IF(AS347="x",AM347+((SUM($AN321:$AN326)+SUMIF($AS332:$AS361,"&lt;&gt;x",$AM332:$AM361))*IFERROR(AM347/SUMIF($AS332:$AS361,"x",$AM332:$AM361),0)),0)</f>
        <v>0</v>
      </c>
      <c r="AU347" s="502"/>
      <c r="AV347" s="95">
        <f t="shared" si="176"/>
        <v>0</v>
      </c>
      <c r="AW347" s="469" t="str">
        <f t="shared" si="170"/>
        <v>N/A</v>
      </c>
      <c r="AX347" s="290"/>
      <c r="AY347" s="18"/>
      <c r="AZ347" s="3"/>
      <c r="BA347" s="315"/>
      <c r="BB347" s="3"/>
      <c r="BC347" s="3"/>
      <c r="BD347" s="3"/>
      <c r="BE347" s="3"/>
      <c r="BF347" s="18"/>
      <c r="BG347" s="3"/>
      <c r="BH347" s="315"/>
      <c r="BI347" s="3"/>
      <c r="BJ347" s="3"/>
      <c r="BK347" s="3"/>
      <c r="BL347" s="3"/>
      <c r="BM347" s="18"/>
      <c r="BN347" s="3"/>
      <c r="BO347" s="315"/>
      <c r="BP347" s="3"/>
      <c r="BQ347" s="3"/>
      <c r="BR347" s="3"/>
      <c r="BS347" s="3"/>
      <c r="BT347" s="18"/>
      <c r="BU347" s="3"/>
      <c r="BV347" s="315"/>
      <c r="BW347" s="3"/>
      <c r="BX347" s="3"/>
      <c r="BY347" s="3"/>
      <c r="BZ347" s="3"/>
    </row>
    <row r="348" spans="1:78" ht="15.6" hidden="1" outlineLevel="1">
      <c r="A348" s="7"/>
      <c r="B348" s="370"/>
      <c r="C348" s="355"/>
      <c r="D348" s="356"/>
      <c r="E348" s="342"/>
      <c r="F348" s="290"/>
      <c r="G348" s="357">
        <v>0</v>
      </c>
      <c r="H348" s="358">
        <v>0</v>
      </c>
      <c r="I348" s="358">
        <v>0</v>
      </c>
      <c r="J348" s="359">
        <f t="shared" si="171"/>
        <v>0</v>
      </c>
      <c r="K348" s="290"/>
      <c r="L348" s="349"/>
      <c r="M348" s="7"/>
      <c r="N348" s="12"/>
      <c r="O348" s="12"/>
      <c r="P348" s="12"/>
      <c r="Q348" s="361"/>
      <c r="R348" s="362"/>
      <c r="S348" s="363">
        <f>IF(ISBLANK(P348),0,$O324*20)</f>
        <v>0</v>
      </c>
      <c r="T348" s="364">
        <f t="shared" si="165"/>
        <v>0</v>
      </c>
      <c r="U348" s="365">
        <v>0</v>
      </c>
      <c r="V348" s="91">
        <f>ROUNDUP(IFERROR(INDEX(CostRateTbl[Cost Rate],MATCH(_xlfn.CONCAT(N348,O348,P348,"NA"),CostRateTbl[KeyCostRate],0)),0)*BillingCurrencyTRM*(1+U348),2)</f>
        <v>0</v>
      </c>
      <c r="W348" s="92">
        <f t="shared" si="166"/>
        <v>0</v>
      </c>
      <c r="X348" s="366" t="e" cm="1">
        <f t="array" ref="X348">_xlfn.LET(
    _xlpm.valor, INDEX(CostRate!H:H, MATCH(1, (CostRate!A:A=N348)*1, 0)),
    _xlpm.posicion, MATCH(_xlpm.valor, FilterSL!$F$1:$Z$1, 0),
    _xlpm.direccionCompleta, ADDRESS(1, _xlpm.posicion + 5, 4),
    _xlpm.letraColumna, SUBSTITUTE(_xlpm.direccionCompleta, "1", ""),
    _xlpm.letraColumna
)</f>
        <v>#N/A</v>
      </c>
      <c r="Y348" s="366" t="e" cm="1">
        <f t="array" ref="Y348">_xlfn.LET(
    _xlpm.valor, INDEX(CostRate!I:I, MATCH(1, (CostRate!A:A=N348)*(CostRate!B:B=O348), 0)),
    _xlpm.posicion, MATCH(_xlpm.valor, FilterJP!$E$1:$FZ$1, 0),
    _xlpm.direccionCompleta, ADDRESS(1, _xlpm.posicion + 4, 4),
    _xlpm.letraColumna, SUBSTITUTE(_xlpm.direccionCompleta, "1", ""),
    _xlpm.letraColumna
)</f>
        <v>#N/A</v>
      </c>
      <c r="Z348" s="7"/>
      <c r="AA348" s="367"/>
      <c r="AB348" s="7"/>
      <c r="AC348" s="93">
        <f>ROUNDUP($V348/(1-$AV318),2)</f>
        <v>0</v>
      </c>
      <c r="AD348" s="94">
        <f t="shared" si="172"/>
        <v>0</v>
      </c>
      <c r="AE348" s="109">
        <f t="shared" si="173"/>
        <v>0</v>
      </c>
      <c r="AF348" s="7"/>
      <c r="AG348" s="369">
        <f t="shared" si="167"/>
        <v>0</v>
      </c>
      <c r="AH348" s="368">
        <f t="shared" si="168"/>
        <v>0</v>
      </c>
      <c r="AI348" s="7"/>
      <c r="AJ348" s="369" cm="1">
        <f t="array" ref="AJ348">IFERROR(INDEX(WHT!$C$7:$W$18,MATCH(
_xlfn.SWITCH(N348,"xDC Medellin","Colombia","xDC Belo Horizonte","Brazil","xDC Guadalajara","Mexico","xDC Gurugram","India","xDC Leon","Spain","xDC San Jose","Costa Rica","xDC Warsaw","Poland",N348),
WHT!$B$7:$B$18,0),MATCH(CustomerCountry,WHT!$C$5:$W$5,0)),0)</f>
        <v>0</v>
      </c>
      <c r="AK348" s="368">
        <f t="shared" si="169"/>
        <v>0</v>
      </c>
      <c r="AL348" s="7"/>
      <c r="AM348" s="95">
        <f t="shared" si="174"/>
        <v>0</v>
      </c>
      <c r="AN348" s="95">
        <f>AM348+IFERROR(SUM($AN321:$AN326)*AM348/$AM330,0)</f>
        <v>0</v>
      </c>
      <c r="AO348" s="95">
        <f t="shared" si="175"/>
        <v>0</v>
      </c>
      <c r="AP348" s="90"/>
      <c r="AQ348" s="18"/>
      <c r="AR348" s="290"/>
      <c r="AS348" s="467" t="s">
        <v>133</v>
      </c>
      <c r="AT348" s="501">
        <f>IF(AS348="x",AM348+((SUM($AN321:$AN326)+SUMIF($AS332:$AS361,"&lt;&gt;x",$AM332:$AM361))*IFERROR(AM348/SUMIF($AS332:$AS361,"x",$AM332:$AM361),0)),0)</f>
        <v>0</v>
      </c>
      <c r="AU348" s="502"/>
      <c r="AV348" s="95">
        <f t="shared" si="176"/>
        <v>0</v>
      </c>
      <c r="AW348" s="469" t="str">
        <f t="shared" si="170"/>
        <v>N/A</v>
      </c>
      <c r="AX348" s="290"/>
      <c r="AY348" s="18"/>
      <c r="AZ348" s="3"/>
      <c r="BA348" s="315"/>
      <c r="BB348" s="3"/>
      <c r="BC348" s="3"/>
      <c r="BD348" s="3"/>
      <c r="BE348" s="3"/>
      <c r="BF348" s="18"/>
      <c r="BG348" s="3"/>
      <c r="BH348" s="315"/>
      <c r="BI348" s="3"/>
      <c r="BJ348" s="3"/>
      <c r="BK348" s="3"/>
      <c r="BL348" s="3"/>
      <c r="BM348" s="18"/>
      <c r="BN348" s="3"/>
      <c r="BO348" s="315"/>
      <c r="BP348" s="3"/>
      <c r="BQ348" s="3"/>
      <c r="BR348" s="3"/>
      <c r="BS348" s="3"/>
      <c r="BT348" s="18"/>
      <c r="BU348" s="3"/>
      <c r="BV348" s="315"/>
      <c r="BW348" s="3"/>
      <c r="BX348" s="3"/>
      <c r="BY348" s="3"/>
      <c r="BZ348" s="3"/>
    </row>
    <row r="349" spans="1:78" ht="15.6" hidden="1" outlineLevel="1">
      <c r="A349" s="7"/>
      <c r="B349" s="370"/>
      <c r="C349" s="355"/>
      <c r="D349" s="356"/>
      <c r="E349" s="342"/>
      <c r="F349" s="290"/>
      <c r="G349" s="357">
        <v>0</v>
      </c>
      <c r="H349" s="358">
        <v>0</v>
      </c>
      <c r="I349" s="358">
        <v>0</v>
      </c>
      <c r="J349" s="359">
        <f t="shared" si="171"/>
        <v>0</v>
      </c>
      <c r="K349" s="290"/>
      <c r="L349" s="349"/>
      <c r="M349" s="7"/>
      <c r="N349" s="12"/>
      <c r="O349" s="12"/>
      <c r="P349" s="12"/>
      <c r="Q349" s="361"/>
      <c r="R349" s="362"/>
      <c r="S349" s="363">
        <f>IF(ISBLANK(P349),0,$O324*20)</f>
        <v>0</v>
      </c>
      <c r="T349" s="364">
        <f t="shared" si="165"/>
        <v>0</v>
      </c>
      <c r="U349" s="365">
        <v>0</v>
      </c>
      <c r="V349" s="91">
        <f>ROUNDUP(IFERROR(INDEX(CostRateTbl[Cost Rate],MATCH(_xlfn.CONCAT(N349,O349,P349,"NA"),CostRateTbl[KeyCostRate],0)),0)*BillingCurrencyTRM*(1+U349),2)</f>
        <v>0</v>
      </c>
      <c r="W349" s="92">
        <f t="shared" si="166"/>
        <v>0</v>
      </c>
      <c r="X349" s="366" t="e" cm="1">
        <f t="array" ref="X349">_xlfn.LET(
    _xlpm.valor, INDEX(CostRate!H:H, MATCH(1, (CostRate!A:A=N349)*1, 0)),
    _xlpm.posicion, MATCH(_xlpm.valor, FilterSL!$F$1:$Z$1, 0),
    _xlpm.direccionCompleta, ADDRESS(1, _xlpm.posicion + 5, 4),
    _xlpm.letraColumna, SUBSTITUTE(_xlpm.direccionCompleta, "1", ""),
    _xlpm.letraColumna
)</f>
        <v>#N/A</v>
      </c>
      <c r="Y349" s="366" t="e" cm="1">
        <f t="array" ref="Y349">_xlfn.LET(
    _xlpm.valor, INDEX(CostRate!I:I, MATCH(1, (CostRate!A:A=N349)*(CostRate!B:B=O349), 0)),
    _xlpm.posicion, MATCH(_xlpm.valor, FilterJP!$E$1:$FZ$1, 0),
    _xlpm.direccionCompleta, ADDRESS(1, _xlpm.posicion + 4, 4),
    _xlpm.letraColumna, SUBSTITUTE(_xlpm.direccionCompleta, "1", ""),
    _xlpm.letraColumna
)</f>
        <v>#N/A</v>
      </c>
      <c r="Z349" s="7"/>
      <c r="AA349" s="367"/>
      <c r="AB349" s="7"/>
      <c r="AC349" s="93">
        <f>ROUNDUP($V349/(1-$AV318),2)</f>
        <v>0</v>
      </c>
      <c r="AD349" s="94">
        <f t="shared" si="172"/>
        <v>0</v>
      </c>
      <c r="AE349" s="109">
        <f t="shared" si="173"/>
        <v>0</v>
      </c>
      <c r="AF349" s="7"/>
      <c r="AG349" s="369">
        <f t="shared" si="167"/>
        <v>0</v>
      </c>
      <c r="AH349" s="368">
        <f t="shared" si="168"/>
        <v>0</v>
      </c>
      <c r="AI349" s="7"/>
      <c r="AJ349" s="369" cm="1">
        <f t="array" ref="AJ349">IFERROR(INDEX(WHT!$C$7:$W$18,MATCH(
_xlfn.SWITCH(N349,"xDC Medellin","Colombia","xDC Belo Horizonte","Brazil","xDC Guadalajara","Mexico","xDC Gurugram","India","xDC Leon","Spain","xDC San Jose","Costa Rica","xDC Warsaw","Poland",N349),
WHT!$B$7:$B$18,0),MATCH(CustomerCountry,WHT!$C$5:$W$5,0)),0)</f>
        <v>0</v>
      </c>
      <c r="AK349" s="368">
        <f t="shared" si="169"/>
        <v>0</v>
      </c>
      <c r="AL349" s="7"/>
      <c r="AM349" s="95">
        <f t="shared" si="174"/>
        <v>0</v>
      </c>
      <c r="AN349" s="95">
        <f>AM349+IFERROR(SUM($AN321:$AN326)*AM349/$AM330,0)</f>
        <v>0</v>
      </c>
      <c r="AO349" s="95">
        <f t="shared" si="175"/>
        <v>0</v>
      </c>
      <c r="AP349" s="90"/>
      <c r="AQ349" s="18"/>
      <c r="AR349" s="290"/>
      <c r="AS349" s="467" t="s">
        <v>133</v>
      </c>
      <c r="AT349" s="501">
        <f>IF(AS349="x",AM349+((SUM($AN321:$AN326)+SUMIF($AS332:$AS361,"&lt;&gt;x",$AM332:$AM361))*IFERROR(AM349/SUMIF($AS332:$AS361,"x",$AM332:$AM361),0)),0)</f>
        <v>0</v>
      </c>
      <c r="AU349" s="502"/>
      <c r="AV349" s="95">
        <f t="shared" si="176"/>
        <v>0</v>
      </c>
      <c r="AW349" s="469" t="str">
        <f t="shared" si="170"/>
        <v>N/A</v>
      </c>
      <c r="AX349" s="290"/>
      <c r="AY349" s="18"/>
      <c r="AZ349" s="3"/>
      <c r="BA349" s="315"/>
      <c r="BB349" s="3"/>
      <c r="BC349" s="3"/>
      <c r="BD349" s="3"/>
      <c r="BE349" s="3"/>
      <c r="BF349" s="18"/>
      <c r="BG349" s="3"/>
      <c r="BH349" s="315"/>
      <c r="BI349" s="3"/>
      <c r="BJ349" s="3"/>
      <c r="BK349" s="3"/>
      <c r="BL349" s="3"/>
      <c r="BM349" s="18"/>
      <c r="BN349" s="3"/>
      <c r="BO349" s="315"/>
      <c r="BP349" s="3"/>
      <c r="BQ349" s="3"/>
      <c r="BR349" s="3"/>
      <c r="BS349" s="3"/>
      <c r="BT349" s="18"/>
      <c r="BU349" s="3"/>
      <c r="BV349" s="315"/>
      <c r="BW349" s="3"/>
      <c r="BX349" s="3"/>
      <c r="BY349" s="3"/>
      <c r="BZ349" s="3"/>
    </row>
    <row r="350" spans="1:78" ht="15.6" hidden="1" outlineLevel="1">
      <c r="A350" s="7"/>
      <c r="B350" s="370"/>
      <c r="C350" s="355"/>
      <c r="D350" s="356"/>
      <c r="E350" s="342"/>
      <c r="F350" s="290"/>
      <c r="G350" s="357">
        <v>0</v>
      </c>
      <c r="H350" s="358">
        <v>0</v>
      </c>
      <c r="I350" s="358">
        <v>0</v>
      </c>
      <c r="J350" s="359">
        <f t="shared" si="171"/>
        <v>0</v>
      </c>
      <c r="K350" s="290"/>
      <c r="L350" s="349"/>
      <c r="M350" s="7"/>
      <c r="N350" s="12"/>
      <c r="O350" s="12"/>
      <c r="P350" s="12"/>
      <c r="Q350" s="361"/>
      <c r="R350" s="362"/>
      <c r="S350" s="363">
        <f>IF(ISBLANK(P350),0,$O324*20)</f>
        <v>0</v>
      </c>
      <c r="T350" s="364">
        <f t="shared" si="165"/>
        <v>0</v>
      </c>
      <c r="U350" s="365">
        <v>0</v>
      </c>
      <c r="V350" s="91">
        <f>ROUNDUP(IFERROR(INDEX(CostRateTbl[Cost Rate],MATCH(_xlfn.CONCAT(N350,O350,P350,"NA"),CostRateTbl[KeyCostRate],0)),0)*BillingCurrencyTRM*(1+U350),2)</f>
        <v>0</v>
      </c>
      <c r="W350" s="92">
        <f t="shared" si="166"/>
        <v>0</v>
      </c>
      <c r="X350" s="366" t="e" cm="1">
        <f t="array" ref="X350">_xlfn.LET(
    _xlpm.valor, INDEX(CostRate!H:H, MATCH(1, (CostRate!A:A=N350)*1, 0)),
    _xlpm.posicion, MATCH(_xlpm.valor, FilterSL!$F$1:$Z$1, 0),
    _xlpm.direccionCompleta, ADDRESS(1, _xlpm.posicion + 5, 4),
    _xlpm.letraColumna, SUBSTITUTE(_xlpm.direccionCompleta, "1", ""),
    _xlpm.letraColumna
)</f>
        <v>#N/A</v>
      </c>
      <c r="Y350" s="366" t="e" cm="1">
        <f t="array" ref="Y350">_xlfn.LET(
    _xlpm.valor, INDEX(CostRate!I:I, MATCH(1, (CostRate!A:A=N350)*(CostRate!B:B=O350), 0)),
    _xlpm.posicion, MATCH(_xlpm.valor, FilterJP!$E$1:$FZ$1, 0),
    _xlpm.direccionCompleta, ADDRESS(1, _xlpm.posicion + 4, 4),
    _xlpm.letraColumna, SUBSTITUTE(_xlpm.direccionCompleta, "1", ""),
    _xlpm.letraColumna
)</f>
        <v>#N/A</v>
      </c>
      <c r="Z350" s="7"/>
      <c r="AA350" s="367"/>
      <c r="AB350" s="7"/>
      <c r="AC350" s="93">
        <f>ROUNDUP($V350/(1-$AV318),2)</f>
        <v>0</v>
      </c>
      <c r="AD350" s="94">
        <f t="shared" si="172"/>
        <v>0</v>
      </c>
      <c r="AE350" s="109">
        <f t="shared" si="173"/>
        <v>0</v>
      </c>
      <c r="AF350" s="7"/>
      <c r="AG350" s="369">
        <f t="shared" si="167"/>
        <v>0</v>
      </c>
      <c r="AH350" s="368">
        <f t="shared" si="168"/>
        <v>0</v>
      </c>
      <c r="AI350" s="7"/>
      <c r="AJ350" s="369" cm="1">
        <f t="array" ref="AJ350">IFERROR(INDEX(WHT!$C$7:$W$18,MATCH(
_xlfn.SWITCH(N350,"xDC Medellin","Colombia","xDC Belo Horizonte","Brazil","xDC Guadalajara","Mexico","xDC Gurugram","India","xDC Leon","Spain","xDC San Jose","Costa Rica","xDC Warsaw","Poland",N350),
WHT!$B$7:$B$18,0),MATCH(CustomerCountry,WHT!$C$5:$W$5,0)),0)</f>
        <v>0</v>
      </c>
      <c r="AK350" s="368">
        <f t="shared" si="169"/>
        <v>0</v>
      </c>
      <c r="AL350" s="7"/>
      <c r="AM350" s="95">
        <f t="shared" si="174"/>
        <v>0</v>
      </c>
      <c r="AN350" s="95">
        <f>AM350+IFERROR(SUM($AN321:$AN326)*AM350/$AM330,0)</f>
        <v>0</v>
      </c>
      <c r="AO350" s="95">
        <f t="shared" si="175"/>
        <v>0</v>
      </c>
      <c r="AP350" s="90"/>
      <c r="AQ350" s="18"/>
      <c r="AR350" s="290"/>
      <c r="AS350" s="467" t="s">
        <v>133</v>
      </c>
      <c r="AT350" s="501">
        <f>IF(AS350="x",AM350+((SUM($AN321:$AN326)+SUMIF($AS332:$AS361,"&lt;&gt;x",$AM332:$AM361))*IFERROR(AM350/SUMIF($AS332:$AS361,"x",$AM332:$AM361),0)),0)</f>
        <v>0</v>
      </c>
      <c r="AU350" s="502"/>
      <c r="AV350" s="95">
        <f t="shared" si="176"/>
        <v>0</v>
      </c>
      <c r="AW350" s="469" t="str">
        <f t="shared" si="170"/>
        <v>N/A</v>
      </c>
      <c r="AX350" s="290"/>
      <c r="AY350" s="18"/>
      <c r="AZ350" s="3"/>
      <c r="BA350" s="315"/>
      <c r="BB350" s="3"/>
      <c r="BC350" s="3"/>
      <c r="BD350" s="3"/>
      <c r="BE350" s="3"/>
      <c r="BF350" s="18"/>
      <c r="BG350" s="3"/>
      <c r="BH350" s="315"/>
      <c r="BI350" s="3"/>
      <c r="BJ350" s="3"/>
      <c r="BK350" s="3"/>
      <c r="BL350" s="3"/>
      <c r="BM350" s="18"/>
      <c r="BN350" s="3"/>
      <c r="BO350" s="315"/>
      <c r="BP350" s="3"/>
      <c r="BQ350" s="3"/>
      <c r="BR350" s="3"/>
      <c r="BS350" s="3"/>
      <c r="BT350" s="18"/>
      <c r="BU350" s="3"/>
      <c r="BV350" s="315"/>
      <c r="BW350" s="3"/>
      <c r="BX350" s="3"/>
      <c r="BY350" s="3"/>
      <c r="BZ350" s="3"/>
    </row>
    <row r="351" spans="1:78" ht="15.6" hidden="1" outlineLevel="1">
      <c r="A351" s="7"/>
      <c r="B351" s="370"/>
      <c r="C351" s="355"/>
      <c r="D351" s="356"/>
      <c r="E351" s="342"/>
      <c r="F351" s="290"/>
      <c r="G351" s="357">
        <v>0</v>
      </c>
      <c r="H351" s="358">
        <v>0</v>
      </c>
      <c r="I351" s="358">
        <v>0</v>
      </c>
      <c r="J351" s="359">
        <f t="shared" si="171"/>
        <v>0</v>
      </c>
      <c r="K351" s="290"/>
      <c r="L351" s="349"/>
      <c r="M351" s="7"/>
      <c r="N351" s="12"/>
      <c r="O351" s="12"/>
      <c r="P351" s="12"/>
      <c r="Q351" s="361"/>
      <c r="R351" s="362"/>
      <c r="S351" s="363">
        <f>IF(ISBLANK(P351),0,$O324*20)</f>
        <v>0</v>
      </c>
      <c r="T351" s="364">
        <f t="shared" si="165"/>
        <v>0</v>
      </c>
      <c r="U351" s="365">
        <v>0</v>
      </c>
      <c r="V351" s="91">
        <f>ROUNDUP(IFERROR(INDEX(CostRateTbl[Cost Rate],MATCH(_xlfn.CONCAT(N351,O351,P351,"NA"),CostRateTbl[KeyCostRate],0)),0)*BillingCurrencyTRM*(1+U351),2)</f>
        <v>0</v>
      </c>
      <c r="W351" s="92">
        <f t="shared" si="166"/>
        <v>0</v>
      </c>
      <c r="X351" s="366" t="e" cm="1">
        <f t="array" ref="X351">_xlfn.LET(
    _xlpm.valor, INDEX(CostRate!H:H, MATCH(1, (CostRate!A:A=N351)*1, 0)),
    _xlpm.posicion, MATCH(_xlpm.valor, FilterSL!$F$1:$Z$1, 0),
    _xlpm.direccionCompleta, ADDRESS(1, _xlpm.posicion + 5, 4),
    _xlpm.letraColumna, SUBSTITUTE(_xlpm.direccionCompleta, "1", ""),
    _xlpm.letraColumna
)</f>
        <v>#N/A</v>
      </c>
      <c r="Y351" s="366" t="e" cm="1">
        <f t="array" ref="Y351">_xlfn.LET(
    _xlpm.valor, INDEX(CostRate!I:I, MATCH(1, (CostRate!A:A=N351)*(CostRate!B:B=O351), 0)),
    _xlpm.posicion, MATCH(_xlpm.valor, FilterJP!$E$1:$FZ$1, 0),
    _xlpm.direccionCompleta, ADDRESS(1, _xlpm.posicion + 4, 4),
    _xlpm.letraColumna, SUBSTITUTE(_xlpm.direccionCompleta, "1", ""),
    _xlpm.letraColumna
)</f>
        <v>#N/A</v>
      </c>
      <c r="Z351" s="7"/>
      <c r="AA351" s="367"/>
      <c r="AB351" s="7"/>
      <c r="AC351" s="93">
        <f>ROUNDUP($V351/(1-$AV318),2)</f>
        <v>0</v>
      </c>
      <c r="AD351" s="94">
        <f t="shared" si="172"/>
        <v>0</v>
      </c>
      <c r="AE351" s="109">
        <f t="shared" si="173"/>
        <v>0</v>
      </c>
      <c r="AF351" s="7"/>
      <c r="AG351" s="369">
        <f t="shared" si="167"/>
        <v>0</v>
      </c>
      <c r="AH351" s="368">
        <f t="shared" si="168"/>
        <v>0</v>
      </c>
      <c r="AI351" s="7"/>
      <c r="AJ351" s="369" cm="1">
        <f t="array" ref="AJ351">IFERROR(INDEX(WHT!$C$7:$W$18,MATCH(
_xlfn.SWITCH(N351,"xDC Medellin","Colombia","xDC Belo Horizonte","Brazil","xDC Guadalajara","Mexico","xDC Gurugram","India","xDC Leon","Spain","xDC San Jose","Costa Rica","xDC Warsaw","Poland",N351),
WHT!$B$7:$B$18,0),MATCH(CustomerCountry,WHT!$C$5:$W$5,0)),0)</f>
        <v>0</v>
      </c>
      <c r="AK351" s="368">
        <f t="shared" si="169"/>
        <v>0</v>
      </c>
      <c r="AL351" s="7"/>
      <c r="AM351" s="95">
        <f t="shared" si="174"/>
        <v>0</v>
      </c>
      <c r="AN351" s="95">
        <f>AM351+IFERROR(SUM($AN321:$AN326)*AM351/$AM330,0)</f>
        <v>0</v>
      </c>
      <c r="AO351" s="95">
        <f t="shared" si="175"/>
        <v>0</v>
      </c>
      <c r="AP351" s="90"/>
      <c r="AQ351" s="18"/>
      <c r="AR351" s="290"/>
      <c r="AS351" s="467" t="s">
        <v>133</v>
      </c>
      <c r="AT351" s="501">
        <f>IF(AS351="x",AM351+((SUM($AN321:$AN326)+SUMIF($AS332:$AS361,"&lt;&gt;x",$AM332:$AM361))*IFERROR(AM351/SUMIF($AS332:$AS361,"x",$AM332:$AM361),0)),0)</f>
        <v>0</v>
      </c>
      <c r="AU351" s="502"/>
      <c r="AV351" s="95">
        <f t="shared" si="176"/>
        <v>0</v>
      </c>
      <c r="AW351" s="469" t="str">
        <f t="shared" si="170"/>
        <v>N/A</v>
      </c>
      <c r="AX351" s="290"/>
      <c r="AY351" s="18"/>
      <c r="AZ351" s="3"/>
      <c r="BA351" s="315"/>
      <c r="BB351" s="3"/>
      <c r="BC351" s="3"/>
      <c r="BD351" s="3"/>
      <c r="BE351" s="3"/>
      <c r="BF351" s="18"/>
      <c r="BG351" s="3"/>
      <c r="BH351" s="315"/>
      <c r="BI351" s="3"/>
      <c r="BJ351" s="3"/>
      <c r="BK351" s="3"/>
      <c r="BL351" s="3"/>
      <c r="BM351" s="18"/>
      <c r="BN351" s="3"/>
      <c r="BO351" s="315"/>
      <c r="BP351" s="3"/>
      <c r="BQ351" s="3"/>
      <c r="BR351" s="3"/>
      <c r="BS351" s="3"/>
      <c r="BT351" s="18"/>
      <c r="BU351" s="3"/>
      <c r="BV351" s="315"/>
      <c r="BW351" s="3"/>
      <c r="BX351" s="3"/>
      <c r="BY351" s="3"/>
      <c r="BZ351" s="3"/>
    </row>
    <row r="352" spans="1:78" ht="15.6" hidden="1" outlineLevel="1">
      <c r="A352" s="7"/>
      <c r="B352" s="370"/>
      <c r="C352" s="355"/>
      <c r="D352" s="356"/>
      <c r="E352" s="342"/>
      <c r="F352" s="290"/>
      <c r="G352" s="357">
        <v>0</v>
      </c>
      <c r="H352" s="358">
        <v>0</v>
      </c>
      <c r="I352" s="358">
        <v>0</v>
      </c>
      <c r="J352" s="359">
        <f t="shared" si="171"/>
        <v>0</v>
      </c>
      <c r="K352" s="290"/>
      <c r="L352" s="349"/>
      <c r="M352" s="7"/>
      <c r="N352" s="12"/>
      <c r="O352" s="12"/>
      <c r="P352" s="12"/>
      <c r="Q352" s="361"/>
      <c r="R352" s="362"/>
      <c r="S352" s="363">
        <f>IF(ISBLANK(P352),0,$O324*20)</f>
        <v>0</v>
      </c>
      <c r="T352" s="364">
        <f t="shared" si="165"/>
        <v>0</v>
      </c>
      <c r="U352" s="365">
        <v>0</v>
      </c>
      <c r="V352" s="91">
        <f>ROUNDUP(IFERROR(INDEX(CostRateTbl[Cost Rate],MATCH(_xlfn.CONCAT(N352,O352,P352,"NA"),CostRateTbl[KeyCostRate],0)),0)*BillingCurrencyTRM*(1+U352),2)</f>
        <v>0</v>
      </c>
      <c r="W352" s="92">
        <f t="shared" si="166"/>
        <v>0</v>
      </c>
      <c r="X352" s="366" t="e" cm="1">
        <f t="array" ref="X352">_xlfn.LET(
    _xlpm.valor, INDEX(CostRate!H:H, MATCH(1, (CostRate!A:A=N352)*1, 0)),
    _xlpm.posicion, MATCH(_xlpm.valor, FilterSL!$F$1:$Z$1, 0),
    _xlpm.direccionCompleta, ADDRESS(1, _xlpm.posicion + 5, 4),
    _xlpm.letraColumna, SUBSTITUTE(_xlpm.direccionCompleta, "1", ""),
    _xlpm.letraColumna
)</f>
        <v>#N/A</v>
      </c>
      <c r="Y352" s="366" t="e" cm="1">
        <f t="array" ref="Y352">_xlfn.LET(
    _xlpm.valor, INDEX(CostRate!I:I, MATCH(1, (CostRate!A:A=N352)*(CostRate!B:B=O352), 0)),
    _xlpm.posicion, MATCH(_xlpm.valor, FilterJP!$E$1:$FZ$1, 0),
    _xlpm.direccionCompleta, ADDRESS(1, _xlpm.posicion + 4, 4),
    _xlpm.letraColumna, SUBSTITUTE(_xlpm.direccionCompleta, "1", ""),
    _xlpm.letraColumna
)</f>
        <v>#N/A</v>
      </c>
      <c r="Z352" s="7"/>
      <c r="AA352" s="367"/>
      <c r="AB352" s="7"/>
      <c r="AC352" s="93">
        <f>ROUNDUP($V352/(1-$AV318),2)</f>
        <v>0</v>
      </c>
      <c r="AD352" s="94">
        <f t="shared" si="172"/>
        <v>0</v>
      </c>
      <c r="AE352" s="109">
        <f t="shared" si="173"/>
        <v>0</v>
      </c>
      <c r="AF352" s="7"/>
      <c r="AG352" s="369">
        <f t="shared" si="167"/>
        <v>0</v>
      </c>
      <c r="AH352" s="368">
        <f t="shared" si="168"/>
        <v>0</v>
      </c>
      <c r="AI352" s="7"/>
      <c r="AJ352" s="369" cm="1">
        <f t="array" ref="AJ352">IFERROR(INDEX(WHT!$C$7:$W$18,MATCH(
_xlfn.SWITCH(N352,"xDC Medellin","Colombia","xDC Belo Horizonte","Brazil","xDC Guadalajara","Mexico","xDC Gurugram","India","xDC Leon","Spain","xDC San Jose","Costa Rica","xDC Warsaw","Poland",N352),
WHT!$B$7:$B$18,0),MATCH(CustomerCountry,WHT!$C$5:$W$5,0)),0)</f>
        <v>0</v>
      </c>
      <c r="AK352" s="368">
        <f t="shared" si="169"/>
        <v>0</v>
      </c>
      <c r="AL352" s="7"/>
      <c r="AM352" s="95">
        <f t="shared" si="174"/>
        <v>0</v>
      </c>
      <c r="AN352" s="95">
        <f>AM352+IFERROR(SUM($AN321:$AN326)*AM352/$AM330,0)</f>
        <v>0</v>
      </c>
      <c r="AO352" s="95">
        <f t="shared" si="175"/>
        <v>0</v>
      </c>
      <c r="AP352" s="90"/>
      <c r="AQ352" s="18"/>
      <c r="AR352" s="290"/>
      <c r="AS352" s="467" t="s">
        <v>133</v>
      </c>
      <c r="AT352" s="501">
        <f>IF(AS352="x",AM352+((SUM($AN321:$AN326)+SUMIF($AS332:$AS361,"&lt;&gt;x",$AM332:$AM361))*IFERROR(AM352/SUMIF($AS332:$AS361,"x",$AM332:$AM361),0)),0)</f>
        <v>0</v>
      </c>
      <c r="AU352" s="502"/>
      <c r="AV352" s="95">
        <f t="shared" si="176"/>
        <v>0</v>
      </c>
      <c r="AW352" s="469" t="str">
        <f t="shared" si="170"/>
        <v>N/A</v>
      </c>
      <c r="AX352" s="290"/>
      <c r="AY352" s="18"/>
      <c r="AZ352" s="3"/>
      <c r="BA352" s="315"/>
      <c r="BB352" s="3"/>
      <c r="BC352" s="3"/>
      <c r="BD352" s="3"/>
      <c r="BE352" s="3"/>
      <c r="BF352" s="18"/>
      <c r="BG352" s="3"/>
      <c r="BH352" s="315"/>
      <c r="BI352" s="3"/>
      <c r="BJ352" s="3"/>
      <c r="BK352" s="3"/>
      <c r="BL352" s="3"/>
      <c r="BM352" s="18"/>
      <c r="BN352" s="3"/>
      <c r="BO352" s="315"/>
      <c r="BP352" s="3"/>
      <c r="BQ352" s="3"/>
      <c r="BR352" s="3"/>
      <c r="BS352" s="3"/>
      <c r="BT352" s="18"/>
      <c r="BU352" s="3"/>
      <c r="BV352" s="315"/>
      <c r="BW352" s="3"/>
      <c r="BX352" s="3"/>
      <c r="BY352" s="3"/>
      <c r="BZ352" s="3"/>
    </row>
    <row r="353" spans="1:78" ht="15.6" hidden="1" outlineLevel="1">
      <c r="A353" s="7"/>
      <c r="B353" s="370"/>
      <c r="C353" s="355"/>
      <c r="D353" s="356"/>
      <c r="E353" s="342"/>
      <c r="F353" s="290"/>
      <c r="G353" s="357">
        <v>0</v>
      </c>
      <c r="H353" s="358">
        <v>0</v>
      </c>
      <c r="I353" s="358">
        <v>0</v>
      </c>
      <c r="J353" s="359">
        <f t="shared" si="171"/>
        <v>0</v>
      </c>
      <c r="K353" s="290"/>
      <c r="L353" s="349"/>
      <c r="M353" s="7"/>
      <c r="N353" s="12"/>
      <c r="O353" s="12"/>
      <c r="P353" s="12"/>
      <c r="Q353" s="361"/>
      <c r="R353" s="362"/>
      <c r="S353" s="363">
        <f>IF(ISBLANK(P353),0,$O324*20)</f>
        <v>0</v>
      </c>
      <c r="T353" s="364">
        <f t="shared" si="165"/>
        <v>0</v>
      </c>
      <c r="U353" s="365">
        <v>0</v>
      </c>
      <c r="V353" s="91">
        <f>ROUNDUP(IFERROR(INDEX(CostRateTbl[Cost Rate],MATCH(_xlfn.CONCAT(N353,O353,P353,"NA"),CostRateTbl[KeyCostRate],0)),0)*BillingCurrencyTRM*(1+U353),2)</f>
        <v>0</v>
      </c>
      <c r="W353" s="92">
        <f t="shared" si="166"/>
        <v>0</v>
      </c>
      <c r="X353" s="366" t="e" cm="1">
        <f t="array" ref="X353">_xlfn.LET(
    _xlpm.valor, INDEX(CostRate!H:H, MATCH(1, (CostRate!A:A=N353)*1, 0)),
    _xlpm.posicion, MATCH(_xlpm.valor, FilterSL!$F$1:$Z$1, 0),
    _xlpm.direccionCompleta, ADDRESS(1, _xlpm.posicion + 5, 4),
    _xlpm.letraColumna, SUBSTITUTE(_xlpm.direccionCompleta, "1", ""),
    _xlpm.letraColumna
)</f>
        <v>#N/A</v>
      </c>
      <c r="Y353" s="366" t="e" cm="1">
        <f t="array" ref="Y353">_xlfn.LET(
    _xlpm.valor, INDEX(CostRate!I:I, MATCH(1, (CostRate!A:A=N353)*(CostRate!B:B=O353), 0)),
    _xlpm.posicion, MATCH(_xlpm.valor, FilterJP!$E$1:$FZ$1, 0),
    _xlpm.direccionCompleta, ADDRESS(1, _xlpm.posicion + 4, 4),
    _xlpm.letraColumna, SUBSTITUTE(_xlpm.direccionCompleta, "1", ""),
    _xlpm.letraColumna
)</f>
        <v>#N/A</v>
      </c>
      <c r="Z353" s="7"/>
      <c r="AA353" s="367"/>
      <c r="AB353" s="7"/>
      <c r="AC353" s="93">
        <f>ROUNDUP($V353/(1-$AV318),2)</f>
        <v>0</v>
      </c>
      <c r="AD353" s="94">
        <f t="shared" si="172"/>
        <v>0</v>
      </c>
      <c r="AE353" s="109">
        <f t="shared" si="173"/>
        <v>0</v>
      </c>
      <c r="AF353" s="7"/>
      <c r="AG353" s="369">
        <f t="shared" si="167"/>
        <v>0</v>
      </c>
      <c r="AH353" s="368">
        <f t="shared" si="168"/>
        <v>0</v>
      </c>
      <c r="AI353" s="7"/>
      <c r="AJ353" s="369" cm="1">
        <f t="array" ref="AJ353">IFERROR(INDEX(WHT!$C$7:$W$18,MATCH(
_xlfn.SWITCH(N353,"xDC Medellin","Colombia","xDC Belo Horizonte","Brazil","xDC Guadalajara","Mexico","xDC Gurugram","India","xDC Leon","Spain","xDC San Jose","Costa Rica","xDC Warsaw","Poland",N353),
WHT!$B$7:$B$18,0),MATCH(CustomerCountry,WHT!$C$5:$W$5,0)),0)</f>
        <v>0</v>
      </c>
      <c r="AK353" s="368">
        <f t="shared" si="169"/>
        <v>0</v>
      </c>
      <c r="AL353" s="7"/>
      <c r="AM353" s="95">
        <f t="shared" si="174"/>
        <v>0</v>
      </c>
      <c r="AN353" s="95">
        <f>AM353+IFERROR(SUM($AN321:$AN326)*AM353/$AM330,0)</f>
        <v>0</v>
      </c>
      <c r="AO353" s="95">
        <f t="shared" si="175"/>
        <v>0</v>
      </c>
      <c r="AP353" s="90"/>
      <c r="AQ353" s="18"/>
      <c r="AR353" s="290"/>
      <c r="AS353" s="467" t="s">
        <v>133</v>
      </c>
      <c r="AT353" s="501">
        <f>IF(AS353="x",AM353+((SUM($AN321:$AN326)+SUMIF($AS332:$AS361,"&lt;&gt;x",$AM332:$AM361))*IFERROR(AM353/SUMIF($AS332:$AS361,"x",$AM332:$AM361),0)),0)</f>
        <v>0</v>
      </c>
      <c r="AU353" s="502"/>
      <c r="AV353" s="95">
        <f t="shared" si="176"/>
        <v>0</v>
      </c>
      <c r="AW353" s="469" t="str">
        <f t="shared" si="170"/>
        <v>N/A</v>
      </c>
      <c r="AX353" s="290"/>
      <c r="AY353" s="18"/>
      <c r="AZ353" s="3"/>
      <c r="BA353" s="315"/>
      <c r="BB353" s="3"/>
      <c r="BC353" s="3"/>
      <c r="BD353" s="3"/>
      <c r="BE353" s="3"/>
      <c r="BF353" s="18"/>
      <c r="BG353" s="3"/>
      <c r="BH353" s="315"/>
      <c r="BI353" s="3"/>
      <c r="BJ353" s="3"/>
      <c r="BK353" s="3"/>
      <c r="BL353" s="3"/>
      <c r="BM353" s="18"/>
      <c r="BN353" s="3"/>
      <c r="BO353" s="315"/>
      <c r="BP353" s="3"/>
      <c r="BQ353" s="3"/>
      <c r="BR353" s="3"/>
      <c r="BS353" s="3"/>
      <c r="BT353" s="18"/>
      <c r="BU353" s="3"/>
      <c r="BV353" s="315"/>
      <c r="BW353" s="3"/>
      <c r="BX353" s="3"/>
      <c r="BY353" s="3"/>
      <c r="BZ353" s="3"/>
    </row>
    <row r="354" spans="1:78" ht="15.6" hidden="1" outlineLevel="1">
      <c r="A354" s="7"/>
      <c r="B354" s="370"/>
      <c r="C354" s="355"/>
      <c r="D354" s="356"/>
      <c r="E354" s="342"/>
      <c r="F354" s="290"/>
      <c r="G354" s="357">
        <v>0</v>
      </c>
      <c r="H354" s="358">
        <v>0</v>
      </c>
      <c r="I354" s="358">
        <v>0</v>
      </c>
      <c r="J354" s="359">
        <f t="shared" si="171"/>
        <v>0</v>
      </c>
      <c r="K354" s="290"/>
      <c r="L354" s="349"/>
      <c r="M354" s="7"/>
      <c r="N354" s="12"/>
      <c r="O354" s="12"/>
      <c r="P354" s="12"/>
      <c r="Q354" s="361"/>
      <c r="R354" s="362"/>
      <c r="S354" s="363">
        <f>IF(ISBLANK(P354),0,$O324*20)</f>
        <v>0</v>
      </c>
      <c r="T354" s="364">
        <f t="shared" si="165"/>
        <v>0</v>
      </c>
      <c r="U354" s="365">
        <v>0</v>
      </c>
      <c r="V354" s="91">
        <f>ROUNDUP(IFERROR(INDEX(CostRateTbl[Cost Rate],MATCH(_xlfn.CONCAT(N354,O354,P354,"NA"),CostRateTbl[KeyCostRate],0)),0)*BillingCurrencyTRM*(1+U354),2)</f>
        <v>0</v>
      </c>
      <c r="W354" s="92">
        <f t="shared" si="166"/>
        <v>0</v>
      </c>
      <c r="X354" s="366" t="e" cm="1">
        <f t="array" ref="X354">_xlfn.LET(
    _xlpm.valor, INDEX(CostRate!H:H, MATCH(1, (CostRate!A:A=N354)*1, 0)),
    _xlpm.posicion, MATCH(_xlpm.valor, FilterSL!$F$1:$Z$1, 0),
    _xlpm.direccionCompleta, ADDRESS(1, _xlpm.posicion + 5, 4),
    _xlpm.letraColumna, SUBSTITUTE(_xlpm.direccionCompleta, "1", ""),
    _xlpm.letraColumna
)</f>
        <v>#N/A</v>
      </c>
      <c r="Y354" s="366" t="e" cm="1">
        <f t="array" ref="Y354">_xlfn.LET(
    _xlpm.valor, INDEX(CostRate!I:I, MATCH(1, (CostRate!A:A=N354)*(CostRate!B:B=O354), 0)),
    _xlpm.posicion, MATCH(_xlpm.valor, FilterJP!$E$1:$FZ$1, 0),
    _xlpm.direccionCompleta, ADDRESS(1, _xlpm.posicion + 4, 4),
    _xlpm.letraColumna, SUBSTITUTE(_xlpm.direccionCompleta, "1", ""),
    _xlpm.letraColumna
)</f>
        <v>#N/A</v>
      </c>
      <c r="Z354" s="7"/>
      <c r="AA354" s="367"/>
      <c r="AB354" s="7"/>
      <c r="AC354" s="93">
        <f>ROUNDUP($V354/(1-$AV318),2)</f>
        <v>0</v>
      </c>
      <c r="AD354" s="94">
        <f t="shared" si="172"/>
        <v>0</v>
      </c>
      <c r="AE354" s="109">
        <f t="shared" si="173"/>
        <v>0</v>
      </c>
      <c r="AF354" s="7"/>
      <c r="AG354" s="369">
        <f t="shared" si="167"/>
        <v>0</v>
      </c>
      <c r="AH354" s="368">
        <f t="shared" si="168"/>
        <v>0</v>
      </c>
      <c r="AI354" s="7"/>
      <c r="AJ354" s="369" cm="1">
        <f t="array" ref="AJ354">IFERROR(INDEX(WHT!$C$7:$W$18,MATCH(
_xlfn.SWITCH(N354,"xDC Medellin","Colombia","xDC Belo Horizonte","Brazil","xDC Guadalajara","Mexico","xDC Gurugram","India","xDC Leon","Spain","xDC San Jose","Costa Rica","xDC Warsaw","Poland",N354),
WHT!$B$7:$B$18,0),MATCH(CustomerCountry,WHT!$C$5:$W$5,0)),0)</f>
        <v>0</v>
      </c>
      <c r="AK354" s="368">
        <f t="shared" si="169"/>
        <v>0</v>
      </c>
      <c r="AL354" s="7"/>
      <c r="AM354" s="95">
        <f t="shared" si="174"/>
        <v>0</v>
      </c>
      <c r="AN354" s="95">
        <f>AM354+IFERROR(SUM($AN321:$AN326)*AM354/$AM330,0)</f>
        <v>0</v>
      </c>
      <c r="AO354" s="95">
        <f t="shared" si="175"/>
        <v>0</v>
      </c>
      <c r="AP354" s="90"/>
      <c r="AQ354" s="18"/>
      <c r="AR354" s="290"/>
      <c r="AS354" s="467" t="s">
        <v>133</v>
      </c>
      <c r="AT354" s="501">
        <f>IF(AS354="x",AM354+((SUM($AN321:$AN326)+SUMIF($AS332:$AS361,"&lt;&gt;x",$AM332:$AM361))*IFERROR(AM354/SUMIF($AS332:$AS361,"x",$AM332:$AM361),0)),0)</f>
        <v>0</v>
      </c>
      <c r="AU354" s="502"/>
      <c r="AV354" s="95">
        <f t="shared" si="176"/>
        <v>0</v>
      </c>
      <c r="AW354" s="469" t="str">
        <f t="shared" si="170"/>
        <v>N/A</v>
      </c>
      <c r="AX354" s="290"/>
      <c r="AY354" s="18"/>
      <c r="AZ354" s="3"/>
      <c r="BA354" s="315"/>
      <c r="BB354" s="3"/>
      <c r="BC354" s="3"/>
      <c r="BD354" s="3"/>
      <c r="BE354" s="3"/>
      <c r="BF354" s="18"/>
      <c r="BG354" s="3"/>
      <c r="BH354" s="315"/>
      <c r="BI354" s="3"/>
      <c r="BJ354" s="3"/>
      <c r="BK354" s="3"/>
      <c r="BL354" s="3"/>
      <c r="BM354" s="18"/>
      <c r="BN354" s="3"/>
      <c r="BO354" s="315"/>
      <c r="BP354" s="3"/>
      <c r="BQ354" s="3"/>
      <c r="BR354" s="3"/>
      <c r="BS354" s="3"/>
      <c r="BT354" s="18"/>
      <c r="BU354" s="3"/>
      <c r="BV354" s="315"/>
      <c r="BW354" s="3"/>
      <c r="BX354" s="3"/>
      <c r="BY354" s="3"/>
      <c r="BZ354" s="3"/>
    </row>
    <row r="355" spans="1:78" ht="15.6" hidden="1" outlineLevel="1">
      <c r="A355" s="7"/>
      <c r="B355" s="370"/>
      <c r="C355" s="355"/>
      <c r="D355" s="356"/>
      <c r="E355" s="342"/>
      <c r="F355" s="290"/>
      <c r="G355" s="357">
        <v>0</v>
      </c>
      <c r="H355" s="358">
        <v>0</v>
      </c>
      <c r="I355" s="358">
        <v>0</v>
      </c>
      <c r="J355" s="359">
        <f t="shared" si="171"/>
        <v>0</v>
      </c>
      <c r="K355" s="290"/>
      <c r="L355" s="349"/>
      <c r="M355" s="7"/>
      <c r="N355" s="12"/>
      <c r="O355" s="12"/>
      <c r="P355" s="12"/>
      <c r="Q355" s="361"/>
      <c r="R355" s="362"/>
      <c r="S355" s="363">
        <f>IF(ISBLANK(P355),0,$O324*20)</f>
        <v>0</v>
      </c>
      <c r="T355" s="364">
        <f t="shared" si="165"/>
        <v>0</v>
      </c>
      <c r="U355" s="365">
        <v>0</v>
      </c>
      <c r="V355" s="91">
        <f>ROUNDUP(IFERROR(INDEX(CostRateTbl[Cost Rate],MATCH(_xlfn.CONCAT(N355,O355,P355,"NA"),CostRateTbl[KeyCostRate],0)),0)*BillingCurrencyTRM*(1+U355),2)</f>
        <v>0</v>
      </c>
      <c r="W355" s="92">
        <f t="shared" si="166"/>
        <v>0</v>
      </c>
      <c r="X355" s="366" t="e" cm="1">
        <f t="array" ref="X355">_xlfn.LET(
    _xlpm.valor, INDEX(CostRate!H:H, MATCH(1, (CostRate!A:A=N355)*1, 0)),
    _xlpm.posicion, MATCH(_xlpm.valor, FilterSL!$F$1:$Z$1, 0),
    _xlpm.direccionCompleta, ADDRESS(1, _xlpm.posicion + 5, 4),
    _xlpm.letraColumna, SUBSTITUTE(_xlpm.direccionCompleta, "1", ""),
    _xlpm.letraColumna
)</f>
        <v>#N/A</v>
      </c>
      <c r="Y355" s="366" t="e" cm="1">
        <f t="array" ref="Y355">_xlfn.LET(
    _xlpm.valor, INDEX(CostRate!I:I, MATCH(1, (CostRate!A:A=N355)*(CostRate!B:B=O355), 0)),
    _xlpm.posicion, MATCH(_xlpm.valor, FilterJP!$E$1:$FZ$1, 0),
    _xlpm.direccionCompleta, ADDRESS(1, _xlpm.posicion + 4, 4),
    _xlpm.letraColumna, SUBSTITUTE(_xlpm.direccionCompleta, "1", ""),
    _xlpm.letraColumna
)</f>
        <v>#N/A</v>
      </c>
      <c r="Z355" s="7"/>
      <c r="AA355" s="367"/>
      <c r="AB355" s="7"/>
      <c r="AC355" s="93">
        <f>ROUNDUP($V355/(1-$AV318),2)</f>
        <v>0</v>
      </c>
      <c r="AD355" s="94">
        <f t="shared" si="172"/>
        <v>0</v>
      </c>
      <c r="AE355" s="109">
        <f t="shared" si="173"/>
        <v>0</v>
      </c>
      <c r="AF355" s="7"/>
      <c r="AG355" s="369">
        <f t="shared" si="167"/>
        <v>0</v>
      </c>
      <c r="AH355" s="368">
        <f t="shared" si="168"/>
        <v>0</v>
      </c>
      <c r="AI355" s="7"/>
      <c r="AJ355" s="369" cm="1">
        <f t="array" ref="AJ355">IFERROR(INDEX(WHT!$C$7:$W$18,MATCH(
_xlfn.SWITCH(N355,"xDC Medellin","Colombia","xDC Belo Horizonte","Brazil","xDC Guadalajara","Mexico","xDC Gurugram","India","xDC Leon","Spain","xDC San Jose","Costa Rica","xDC Warsaw","Poland",N355),
WHT!$B$7:$B$18,0),MATCH(CustomerCountry,WHT!$C$5:$W$5,0)),0)</f>
        <v>0</v>
      </c>
      <c r="AK355" s="368">
        <f t="shared" si="169"/>
        <v>0</v>
      </c>
      <c r="AL355" s="7"/>
      <c r="AM355" s="95">
        <f t="shared" si="174"/>
        <v>0</v>
      </c>
      <c r="AN355" s="95">
        <f>AM355+IFERROR(SUM($AN321:$AN326)*AM355/$AM330,0)</f>
        <v>0</v>
      </c>
      <c r="AO355" s="95">
        <f t="shared" si="175"/>
        <v>0</v>
      </c>
      <c r="AP355" s="90"/>
      <c r="AQ355" s="18"/>
      <c r="AR355" s="290"/>
      <c r="AS355" s="467" t="s">
        <v>133</v>
      </c>
      <c r="AT355" s="501">
        <f>IF(AS355="x",AM355+((SUM($AN321:$AN326)+SUMIF($AS332:$AS361,"&lt;&gt;x",$AM332:$AM361))*IFERROR(AM355/SUMIF($AS332:$AS361,"x",$AM332:$AM361),0)),0)</f>
        <v>0</v>
      </c>
      <c r="AU355" s="502"/>
      <c r="AV355" s="95">
        <f t="shared" si="176"/>
        <v>0</v>
      </c>
      <c r="AW355" s="469" t="str">
        <f t="shared" si="170"/>
        <v>N/A</v>
      </c>
      <c r="AX355" s="290"/>
      <c r="AY355" s="18"/>
      <c r="AZ355" s="3"/>
      <c r="BA355" s="315"/>
      <c r="BB355" s="3"/>
      <c r="BC355" s="3"/>
      <c r="BD355" s="3"/>
      <c r="BE355" s="3"/>
      <c r="BF355" s="18"/>
      <c r="BG355" s="3"/>
      <c r="BH355" s="315"/>
      <c r="BI355" s="3"/>
      <c r="BJ355" s="3"/>
      <c r="BK355" s="3"/>
      <c r="BL355" s="3"/>
      <c r="BM355" s="18"/>
      <c r="BN355" s="3"/>
      <c r="BO355" s="315"/>
      <c r="BP355" s="3"/>
      <c r="BQ355" s="3"/>
      <c r="BR355" s="3"/>
      <c r="BS355" s="3"/>
      <c r="BT355" s="18"/>
      <c r="BU355" s="3"/>
      <c r="BV355" s="315"/>
      <c r="BW355" s="3"/>
      <c r="BX355" s="3"/>
      <c r="BY355" s="3"/>
      <c r="BZ355" s="3"/>
    </row>
    <row r="356" spans="1:78" ht="15.6" hidden="1" outlineLevel="1">
      <c r="A356" s="7"/>
      <c r="B356" s="370"/>
      <c r="C356" s="355"/>
      <c r="D356" s="356"/>
      <c r="E356" s="342"/>
      <c r="F356" s="290"/>
      <c r="G356" s="357">
        <v>0</v>
      </c>
      <c r="H356" s="358">
        <v>0</v>
      </c>
      <c r="I356" s="358">
        <v>0</v>
      </c>
      <c r="J356" s="359">
        <f t="shared" si="171"/>
        <v>0</v>
      </c>
      <c r="K356" s="290"/>
      <c r="L356" s="349"/>
      <c r="M356" s="7"/>
      <c r="N356" s="12"/>
      <c r="O356" s="12"/>
      <c r="P356" s="12"/>
      <c r="Q356" s="361"/>
      <c r="R356" s="362"/>
      <c r="S356" s="363">
        <f>IF(ISBLANK(P356),0,$O324*20)</f>
        <v>0</v>
      </c>
      <c r="T356" s="364">
        <f t="shared" si="165"/>
        <v>0</v>
      </c>
      <c r="U356" s="365">
        <v>0</v>
      </c>
      <c r="V356" s="91">
        <f>ROUNDUP(IFERROR(INDEX(CostRateTbl[Cost Rate],MATCH(_xlfn.CONCAT(N356,O356,P356,"NA"),CostRateTbl[KeyCostRate],0)),0)*BillingCurrencyTRM*(1+U356),2)</f>
        <v>0</v>
      </c>
      <c r="W356" s="92">
        <f t="shared" si="166"/>
        <v>0</v>
      </c>
      <c r="X356" s="366" t="e" cm="1">
        <f t="array" ref="X356">_xlfn.LET(
    _xlpm.valor, INDEX(CostRate!H:H, MATCH(1, (CostRate!A:A=N356)*1, 0)),
    _xlpm.posicion, MATCH(_xlpm.valor, FilterSL!$F$1:$Z$1, 0),
    _xlpm.direccionCompleta, ADDRESS(1, _xlpm.posicion + 5, 4),
    _xlpm.letraColumna, SUBSTITUTE(_xlpm.direccionCompleta, "1", ""),
    _xlpm.letraColumna
)</f>
        <v>#N/A</v>
      </c>
      <c r="Y356" s="366" t="e" cm="1">
        <f t="array" ref="Y356">_xlfn.LET(
    _xlpm.valor, INDEX(CostRate!I:I, MATCH(1, (CostRate!A:A=N356)*(CostRate!B:B=O356), 0)),
    _xlpm.posicion, MATCH(_xlpm.valor, FilterJP!$E$1:$FZ$1, 0),
    _xlpm.direccionCompleta, ADDRESS(1, _xlpm.posicion + 4, 4),
    _xlpm.letraColumna, SUBSTITUTE(_xlpm.direccionCompleta, "1", ""),
    _xlpm.letraColumna
)</f>
        <v>#N/A</v>
      </c>
      <c r="Z356" s="7"/>
      <c r="AA356" s="367"/>
      <c r="AB356" s="7"/>
      <c r="AC356" s="93">
        <f>ROUNDUP($V356/(1-$AV318),2)</f>
        <v>0</v>
      </c>
      <c r="AD356" s="94">
        <f t="shared" si="172"/>
        <v>0</v>
      </c>
      <c r="AE356" s="109">
        <f t="shared" si="173"/>
        <v>0</v>
      </c>
      <c r="AF356" s="7"/>
      <c r="AG356" s="369">
        <f t="shared" si="167"/>
        <v>0</v>
      </c>
      <c r="AH356" s="368">
        <f t="shared" si="168"/>
        <v>0</v>
      </c>
      <c r="AI356" s="7"/>
      <c r="AJ356" s="369" cm="1">
        <f t="array" ref="AJ356">IFERROR(INDEX(WHT!$C$7:$W$18,MATCH(
_xlfn.SWITCH(N356,"xDC Medellin","Colombia","xDC Belo Horizonte","Brazil","xDC Guadalajara","Mexico","xDC Gurugram","India","xDC Leon","Spain","xDC San Jose","Costa Rica","xDC Warsaw","Poland",N356),
WHT!$B$7:$B$18,0),MATCH(CustomerCountry,WHT!$C$5:$W$5,0)),0)</f>
        <v>0</v>
      </c>
      <c r="AK356" s="368">
        <f t="shared" si="169"/>
        <v>0</v>
      </c>
      <c r="AL356" s="7"/>
      <c r="AM356" s="95">
        <f t="shared" si="174"/>
        <v>0</v>
      </c>
      <c r="AN356" s="95">
        <f>AM356+IFERROR(SUM($AN321:$AN326)*AM356/$AM330,0)</f>
        <v>0</v>
      </c>
      <c r="AO356" s="95">
        <f t="shared" si="175"/>
        <v>0</v>
      </c>
      <c r="AP356" s="90"/>
      <c r="AQ356" s="18"/>
      <c r="AR356" s="290"/>
      <c r="AS356" s="467" t="s">
        <v>133</v>
      </c>
      <c r="AT356" s="501">
        <f>IF(AS356="x",AM356+((SUM($AN321:$AN326)+SUMIF($AS332:$AS361,"&lt;&gt;x",$AM332:$AM361))*IFERROR(AM356/SUMIF($AS332:$AS361,"x",$AM332:$AM361),0)),0)</f>
        <v>0</v>
      </c>
      <c r="AU356" s="502"/>
      <c r="AV356" s="95">
        <f t="shared" si="176"/>
        <v>0</v>
      </c>
      <c r="AW356" s="469" t="str">
        <f t="shared" si="170"/>
        <v>N/A</v>
      </c>
      <c r="AX356" s="290"/>
      <c r="AY356" s="18"/>
      <c r="AZ356" s="3"/>
      <c r="BA356" s="315"/>
      <c r="BB356" s="3"/>
      <c r="BC356" s="3"/>
      <c r="BD356" s="3"/>
      <c r="BE356" s="3"/>
      <c r="BF356" s="18"/>
      <c r="BG356" s="3"/>
      <c r="BH356" s="315"/>
      <c r="BI356" s="3"/>
      <c r="BJ356" s="3"/>
      <c r="BK356" s="3"/>
      <c r="BL356" s="3"/>
      <c r="BM356" s="18"/>
      <c r="BN356" s="3"/>
      <c r="BO356" s="315"/>
      <c r="BP356" s="3"/>
      <c r="BQ356" s="3"/>
      <c r="BR356" s="3"/>
      <c r="BS356" s="3"/>
      <c r="BT356" s="18"/>
      <c r="BU356" s="3"/>
      <c r="BV356" s="315"/>
      <c r="BW356" s="3"/>
      <c r="BX356" s="3"/>
      <c r="BY356" s="3"/>
      <c r="BZ356" s="3"/>
    </row>
    <row r="357" spans="1:78" ht="15.6" hidden="1" outlineLevel="1">
      <c r="A357" s="7"/>
      <c r="B357" s="370"/>
      <c r="C357" s="355"/>
      <c r="D357" s="356"/>
      <c r="E357" s="342"/>
      <c r="F357" s="290"/>
      <c r="G357" s="357">
        <v>0</v>
      </c>
      <c r="H357" s="358">
        <v>0</v>
      </c>
      <c r="I357" s="358">
        <v>0</v>
      </c>
      <c r="J357" s="359">
        <f t="shared" si="171"/>
        <v>0</v>
      </c>
      <c r="K357" s="290"/>
      <c r="L357" s="349"/>
      <c r="M357" s="7"/>
      <c r="N357" s="12"/>
      <c r="O357" s="12"/>
      <c r="P357" s="12"/>
      <c r="Q357" s="361"/>
      <c r="R357" s="362"/>
      <c r="S357" s="363">
        <f>IF(ISBLANK(P357),0,$O324*20)</f>
        <v>0</v>
      </c>
      <c r="T357" s="364">
        <f t="shared" si="165"/>
        <v>0</v>
      </c>
      <c r="U357" s="365">
        <v>0</v>
      </c>
      <c r="V357" s="91">
        <f>ROUNDUP(IFERROR(INDEX(CostRateTbl[Cost Rate],MATCH(_xlfn.CONCAT(N357,O357,P357,"NA"),CostRateTbl[KeyCostRate],0)),0)*BillingCurrencyTRM*(1+U357),2)</f>
        <v>0</v>
      </c>
      <c r="W357" s="92">
        <f t="shared" si="166"/>
        <v>0</v>
      </c>
      <c r="X357" s="366" t="e" cm="1">
        <f t="array" ref="X357">_xlfn.LET(
    _xlpm.valor, INDEX(CostRate!H:H, MATCH(1, (CostRate!A:A=N357)*1, 0)),
    _xlpm.posicion, MATCH(_xlpm.valor, FilterSL!$F$1:$Z$1, 0),
    _xlpm.direccionCompleta, ADDRESS(1, _xlpm.posicion + 5, 4),
    _xlpm.letraColumna, SUBSTITUTE(_xlpm.direccionCompleta, "1", ""),
    _xlpm.letraColumna
)</f>
        <v>#N/A</v>
      </c>
      <c r="Y357" s="366" t="e" cm="1">
        <f t="array" ref="Y357">_xlfn.LET(
    _xlpm.valor, INDEX(CostRate!I:I, MATCH(1, (CostRate!A:A=N357)*(CostRate!B:B=O357), 0)),
    _xlpm.posicion, MATCH(_xlpm.valor, FilterJP!$E$1:$FZ$1, 0),
    _xlpm.direccionCompleta, ADDRESS(1, _xlpm.posicion + 4, 4),
    _xlpm.letraColumna, SUBSTITUTE(_xlpm.direccionCompleta, "1", ""),
    _xlpm.letraColumna
)</f>
        <v>#N/A</v>
      </c>
      <c r="Z357" s="7"/>
      <c r="AA357" s="367"/>
      <c r="AB357" s="7"/>
      <c r="AC357" s="93">
        <f>ROUNDUP($V357/(1-$AV318),2)</f>
        <v>0</v>
      </c>
      <c r="AD357" s="94">
        <f t="shared" si="172"/>
        <v>0</v>
      </c>
      <c r="AE357" s="109">
        <f t="shared" si="173"/>
        <v>0</v>
      </c>
      <c r="AF357" s="7"/>
      <c r="AG357" s="369">
        <f t="shared" si="167"/>
        <v>0</v>
      </c>
      <c r="AH357" s="368">
        <f t="shared" si="168"/>
        <v>0</v>
      </c>
      <c r="AI357" s="7"/>
      <c r="AJ357" s="369" cm="1">
        <f t="array" ref="AJ357">IFERROR(INDEX(WHT!$C$7:$W$18,MATCH(
_xlfn.SWITCH(N357,"xDC Medellin","Colombia","xDC Belo Horizonte","Brazil","xDC Guadalajara","Mexico","xDC Gurugram","India","xDC Leon","Spain","xDC San Jose","Costa Rica","xDC Warsaw","Poland",N357),
WHT!$B$7:$B$18,0),MATCH(CustomerCountry,WHT!$C$5:$W$5,0)),0)</f>
        <v>0</v>
      </c>
      <c r="AK357" s="368">
        <f t="shared" si="169"/>
        <v>0</v>
      </c>
      <c r="AL357" s="7"/>
      <c r="AM357" s="95">
        <f t="shared" si="174"/>
        <v>0</v>
      </c>
      <c r="AN357" s="95">
        <f>AM357+IFERROR(SUM($AN321:$AN326)*AM357/$AM330,0)</f>
        <v>0</v>
      </c>
      <c r="AO357" s="95">
        <f t="shared" si="175"/>
        <v>0</v>
      </c>
      <c r="AP357" s="90"/>
      <c r="AQ357" s="18"/>
      <c r="AR357" s="290"/>
      <c r="AS357" s="467" t="s">
        <v>133</v>
      </c>
      <c r="AT357" s="501">
        <f>IF(AS357="x",AM357+((SUM($AN321:$AN326)+SUMIF($AS332:$AS361,"&lt;&gt;x",$AM332:$AM361))*IFERROR(AM357/SUMIF($AS332:$AS361,"x",$AM332:$AM361),0)),0)</f>
        <v>0</v>
      </c>
      <c r="AU357" s="502"/>
      <c r="AV357" s="95">
        <f t="shared" si="176"/>
        <v>0</v>
      </c>
      <c r="AW357" s="469" t="str">
        <f t="shared" si="170"/>
        <v>N/A</v>
      </c>
      <c r="AX357" s="290"/>
      <c r="AY357" s="18"/>
      <c r="AZ357" s="3"/>
      <c r="BA357" s="315"/>
      <c r="BB357" s="3"/>
      <c r="BC357" s="3"/>
      <c r="BD357" s="3"/>
      <c r="BE357" s="3"/>
      <c r="BF357" s="18"/>
      <c r="BG357" s="3"/>
      <c r="BH357" s="315"/>
      <c r="BI357" s="3"/>
      <c r="BJ357" s="3"/>
      <c r="BK357" s="3"/>
      <c r="BL357" s="3"/>
      <c r="BM357" s="18"/>
      <c r="BN357" s="3"/>
      <c r="BO357" s="315"/>
      <c r="BP357" s="3"/>
      <c r="BQ357" s="3"/>
      <c r="BR357" s="3"/>
      <c r="BS357" s="3"/>
      <c r="BT357" s="18"/>
      <c r="BU357" s="3"/>
      <c r="BV357" s="315"/>
      <c r="BW357" s="3"/>
      <c r="BX357" s="3"/>
      <c r="BY357" s="3"/>
      <c r="BZ357" s="3"/>
    </row>
    <row r="358" spans="1:78" ht="15.6" hidden="1" outlineLevel="1">
      <c r="A358" s="7"/>
      <c r="B358" s="370"/>
      <c r="C358" s="355"/>
      <c r="D358" s="356"/>
      <c r="E358" s="342"/>
      <c r="F358" s="290"/>
      <c r="G358" s="357">
        <v>0</v>
      </c>
      <c r="H358" s="358">
        <v>0</v>
      </c>
      <c r="I358" s="358">
        <v>0</v>
      </c>
      <c r="J358" s="359">
        <f t="shared" si="171"/>
        <v>0</v>
      </c>
      <c r="K358" s="290"/>
      <c r="L358" s="349"/>
      <c r="M358" s="7"/>
      <c r="N358" s="12"/>
      <c r="O358" s="12"/>
      <c r="P358" s="12"/>
      <c r="Q358" s="361"/>
      <c r="R358" s="362"/>
      <c r="S358" s="363">
        <f>IF(ISBLANK(P358),0,$O324*20)</f>
        <v>0</v>
      </c>
      <c r="T358" s="364">
        <f t="shared" si="165"/>
        <v>0</v>
      </c>
      <c r="U358" s="365">
        <v>0</v>
      </c>
      <c r="V358" s="91">
        <f>ROUNDUP(IFERROR(INDEX(CostRateTbl[Cost Rate],MATCH(_xlfn.CONCAT(N358,O358,P358,"NA"),CostRateTbl[KeyCostRate],0)),0)*BillingCurrencyTRM*(1+U358),2)</f>
        <v>0</v>
      </c>
      <c r="W358" s="92">
        <f t="shared" si="166"/>
        <v>0</v>
      </c>
      <c r="X358" s="366" t="e" cm="1">
        <f t="array" ref="X358">_xlfn.LET(
    _xlpm.valor, INDEX(CostRate!H:H, MATCH(1, (CostRate!A:A=N358)*1, 0)),
    _xlpm.posicion, MATCH(_xlpm.valor, FilterSL!$F$1:$Z$1, 0),
    _xlpm.direccionCompleta, ADDRESS(1, _xlpm.posicion + 5, 4),
    _xlpm.letraColumna, SUBSTITUTE(_xlpm.direccionCompleta, "1", ""),
    _xlpm.letraColumna
)</f>
        <v>#N/A</v>
      </c>
      <c r="Y358" s="366" t="e" cm="1">
        <f t="array" ref="Y358">_xlfn.LET(
    _xlpm.valor, INDEX(CostRate!I:I, MATCH(1, (CostRate!A:A=N358)*(CostRate!B:B=O358), 0)),
    _xlpm.posicion, MATCH(_xlpm.valor, FilterJP!$E$1:$FZ$1, 0),
    _xlpm.direccionCompleta, ADDRESS(1, _xlpm.posicion + 4, 4),
    _xlpm.letraColumna, SUBSTITUTE(_xlpm.direccionCompleta, "1", ""),
    _xlpm.letraColumna
)</f>
        <v>#N/A</v>
      </c>
      <c r="Z358" s="7"/>
      <c r="AA358" s="367"/>
      <c r="AB358" s="7"/>
      <c r="AC358" s="93">
        <f>ROUNDUP($V358/(1-$AV318),2)</f>
        <v>0</v>
      </c>
      <c r="AD358" s="94">
        <f t="shared" si="172"/>
        <v>0</v>
      </c>
      <c r="AE358" s="109">
        <f t="shared" si="173"/>
        <v>0</v>
      </c>
      <c r="AF358" s="7"/>
      <c r="AG358" s="369">
        <f t="shared" si="167"/>
        <v>0</v>
      </c>
      <c r="AH358" s="368">
        <f t="shared" si="168"/>
        <v>0</v>
      </c>
      <c r="AI358" s="7"/>
      <c r="AJ358" s="369" cm="1">
        <f t="array" ref="AJ358">IFERROR(INDEX(WHT!$C$7:$W$18,MATCH(
_xlfn.SWITCH(N358,"xDC Medellin","Colombia","xDC Belo Horizonte","Brazil","xDC Guadalajara","Mexico","xDC Gurugram","India","xDC Leon","Spain","xDC San Jose","Costa Rica","xDC Warsaw","Poland",N358),
WHT!$B$7:$B$18,0),MATCH(CustomerCountry,WHT!$C$5:$W$5,0)),0)</f>
        <v>0</v>
      </c>
      <c r="AK358" s="368">
        <f t="shared" si="169"/>
        <v>0</v>
      </c>
      <c r="AL358" s="7"/>
      <c r="AM358" s="95">
        <f t="shared" si="174"/>
        <v>0</v>
      </c>
      <c r="AN358" s="95">
        <f>AM358+IFERROR(SUM($AN321:$AN326)*AM358/$AM330,0)</f>
        <v>0</v>
      </c>
      <c r="AO358" s="95">
        <f t="shared" si="175"/>
        <v>0</v>
      </c>
      <c r="AP358" s="90"/>
      <c r="AQ358" s="18"/>
      <c r="AR358" s="290"/>
      <c r="AS358" s="467" t="s">
        <v>133</v>
      </c>
      <c r="AT358" s="501">
        <f>IF(AS358="x",AM358+((SUM($AN321:$AN326)+SUMIF($AS332:$AS361,"&lt;&gt;x",$AM332:$AM361))*IFERROR(AM358/SUMIF($AS332:$AS361,"x",$AM332:$AM361),0)),0)</f>
        <v>0</v>
      </c>
      <c r="AU358" s="502"/>
      <c r="AV358" s="95">
        <f t="shared" si="176"/>
        <v>0</v>
      </c>
      <c r="AW358" s="469" t="str">
        <f t="shared" si="170"/>
        <v>N/A</v>
      </c>
      <c r="AX358" s="290"/>
      <c r="AY358" s="18"/>
      <c r="AZ358" s="3"/>
      <c r="BA358" s="315"/>
      <c r="BB358" s="3"/>
      <c r="BC358" s="3"/>
      <c r="BD358" s="3"/>
      <c r="BE358" s="3"/>
      <c r="BF358" s="18"/>
      <c r="BG358" s="3"/>
      <c r="BH358" s="315"/>
      <c r="BI358" s="3"/>
      <c r="BJ358" s="3"/>
      <c r="BK358" s="3"/>
      <c r="BL358" s="3"/>
      <c r="BM358" s="18"/>
      <c r="BN358" s="3"/>
      <c r="BO358" s="315"/>
      <c r="BP358" s="3"/>
      <c r="BQ358" s="3"/>
      <c r="BR358" s="3"/>
      <c r="BS358" s="3"/>
      <c r="BT358" s="18"/>
      <c r="BU358" s="3"/>
      <c r="BV358" s="315"/>
      <c r="BW358" s="3"/>
      <c r="BX358" s="3"/>
      <c r="BY358" s="3"/>
      <c r="BZ358" s="3"/>
    </row>
    <row r="359" spans="1:78" ht="15.6" hidden="1" outlineLevel="1">
      <c r="A359" s="7"/>
      <c r="B359" s="370"/>
      <c r="C359" s="355"/>
      <c r="D359" s="356"/>
      <c r="E359" s="342"/>
      <c r="F359" s="290"/>
      <c r="G359" s="357">
        <v>0</v>
      </c>
      <c r="H359" s="358">
        <v>0</v>
      </c>
      <c r="I359" s="358">
        <v>0</v>
      </c>
      <c r="J359" s="359">
        <f t="shared" si="171"/>
        <v>0</v>
      </c>
      <c r="K359" s="290"/>
      <c r="L359" s="349"/>
      <c r="M359" s="7"/>
      <c r="N359" s="12"/>
      <c r="O359" s="12"/>
      <c r="P359" s="12"/>
      <c r="Q359" s="361"/>
      <c r="R359" s="362"/>
      <c r="S359" s="363">
        <f>IF(ISBLANK(P359),0,$O324*20)</f>
        <v>0</v>
      </c>
      <c r="T359" s="364">
        <f t="shared" si="165"/>
        <v>0</v>
      </c>
      <c r="U359" s="365">
        <v>0</v>
      </c>
      <c r="V359" s="91">
        <f>ROUNDUP(IFERROR(INDEX(CostRateTbl[Cost Rate],MATCH(_xlfn.CONCAT(N359,O359,P359,"NA"),CostRateTbl[KeyCostRate],0)),0)*BillingCurrencyTRM*(1+U359),2)</f>
        <v>0</v>
      </c>
      <c r="W359" s="92">
        <f t="shared" si="166"/>
        <v>0</v>
      </c>
      <c r="X359" s="366" t="e" cm="1">
        <f t="array" ref="X359">_xlfn.LET(
    _xlpm.valor, INDEX(CostRate!H:H, MATCH(1, (CostRate!A:A=N359)*1, 0)),
    _xlpm.posicion, MATCH(_xlpm.valor, FilterSL!$F$1:$Z$1, 0),
    _xlpm.direccionCompleta, ADDRESS(1, _xlpm.posicion + 5, 4),
    _xlpm.letraColumna, SUBSTITUTE(_xlpm.direccionCompleta, "1", ""),
    _xlpm.letraColumna
)</f>
        <v>#N/A</v>
      </c>
      <c r="Y359" s="366" t="e" cm="1">
        <f t="array" ref="Y359">_xlfn.LET(
    _xlpm.valor, INDEX(CostRate!I:I, MATCH(1, (CostRate!A:A=N359)*(CostRate!B:B=O359), 0)),
    _xlpm.posicion, MATCH(_xlpm.valor, FilterJP!$E$1:$FZ$1, 0),
    _xlpm.direccionCompleta, ADDRESS(1, _xlpm.posicion + 4, 4),
    _xlpm.letraColumna, SUBSTITUTE(_xlpm.direccionCompleta, "1", ""),
    _xlpm.letraColumna
)</f>
        <v>#N/A</v>
      </c>
      <c r="Z359" s="7"/>
      <c r="AA359" s="367"/>
      <c r="AB359" s="7"/>
      <c r="AC359" s="93">
        <f>ROUNDUP($V359/(1-$AV318),2)</f>
        <v>0</v>
      </c>
      <c r="AD359" s="94">
        <f t="shared" si="172"/>
        <v>0</v>
      </c>
      <c r="AE359" s="109">
        <f t="shared" si="173"/>
        <v>0</v>
      </c>
      <c r="AF359" s="7"/>
      <c r="AG359" s="369">
        <f t="shared" si="167"/>
        <v>0</v>
      </c>
      <c r="AH359" s="368">
        <f t="shared" si="168"/>
        <v>0</v>
      </c>
      <c r="AI359" s="7"/>
      <c r="AJ359" s="369" cm="1">
        <f t="array" ref="AJ359">IFERROR(INDEX(WHT!$C$7:$W$18,MATCH(
_xlfn.SWITCH(N359,"xDC Medellin","Colombia","xDC Belo Horizonte","Brazil","xDC Guadalajara","Mexico","xDC Gurugram","India","xDC Leon","Spain","xDC San Jose","Costa Rica","xDC Warsaw","Poland",N359),
WHT!$B$7:$B$18,0),MATCH(CustomerCountry,WHT!$C$5:$W$5,0)),0)</f>
        <v>0</v>
      </c>
      <c r="AK359" s="368">
        <f t="shared" si="169"/>
        <v>0</v>
      </c>
      <c r="AL359" s="7"/>
      <c r="AM359" s="95">
        <f t="shared" si="174"/>
        <v>0</v>
      </c>
      <c r="AN359" s="95">
        <f>AM359+IFERROR(SUM($AN321:$AN326)*AM359/$AM330,0)</f>
        <v>0</v>
      </c>
      <c r="AO359" s="95">
        <f t="shared" si="175"/>
        <v>0</v>
      </c>
      <c r="AP359" s="90"/>
      <c r="AQ359" s="18"/>
      <c r="AR359" s="290"/>
      <c r="AS359" s="467" t="s">
        <v>133</v>
      </c>
      <c r="AT359" s="501">
        <f>IF(AS359="x",AM359+((SUM($AN321:$AN326)+SUMIF($AS332:$AS361,"&lt;&gt;x",$AM332:$AM361))*IFERROR(AM359/SUMIF($AS332:$AS361,"x",$AM332:$AM361),0)),0)</f>
        <v>0</v>
      </c>
      <c r="AU359" s="502"/>
      <c r="AV359" s="95">
        <f t="shared" si="176"/>
        <v>0</v>
      </c>
      <c r="AW359" s="469" t="str">
        <f t="shared" si="170"/>
        <v>N/A</v>
      </c>
      <c r="AX359" s="290"/>
      <c r="AY359" s="18"/>
      <c r="AZ359" s="3"/>
      <c r="BA359" s="315"/>
      <c r="BB359" s="3"/>
      <c r="BC359" s="3"/>
      <c r="BD359" s="3"/>
      <c r="BE359" s="3"/>
      <c r="BF359" s="18"/>
      <c r="BG359" s="3"/>
      <c r="BH359" s="315"/>
      <c r="BI359" s="3"/>
      <c r="BJ359" s="3"/>
      <c r="BK359" s="3"/>
      <c r="BL359" s="3"/>
      <c r="BM359" s="18"/>
      <c r="BN359" s="3"/>
      <c r="BO359" s="315"/>
      <c r="BP359" s="3"/>
      <c r="BQ359" s="3"/>
      <c r="BR359" s="3"/>
      <c r="BS359" s="3"/>
      <c r="BT359" s="18"/>
      <c r="BU359" s="3"/>
      <c r="BV359" s="315"/>
      <c r="BW359" s="3"/>
      <c r="BX359" s="3"/>
      <c r="BY359" s="3"/>
      <c r="BZ359" s="3"/>
    </row>
    <row r="360" spans="1:78" ht="15.6" hidden="1" outlineLevel="1">
      <c r="A360" s="7"/>
      <c r="B360" s="370"/>
      <c r="C360" s="355"/>
      <c r="D360" s="356"/>
      <c r="E360" s="342"/>
      <c r="F360" s="290"/>
      <c r="G360" s="373">
        <v>0</v>
      </c>
      <c r="H360" s="374">
        <v>0</v>
      </c>
      <c r="I360" s="374">
        <v>0</v>
      </c>
      <c r="J360" s="375">
        <f t="shared" si="171"/>
        <v>0</v>
      </c>
      <c r="K360" s="290"/>
      <c r="L360" s="349"/>
      <c r="M360" s="7"/>
      <c r="N360" s="12"/>
      <c r="O360" s="12"/>
      <c r="P360" s="12"/>
      <c r="Q360" s="361"/>
      <c r="R360" s="362"/>
      <c r="S360" s="363">
        <f>IF(ISBLANK(P360),0,$O324*20)</f>
        <v>0</v>
      </c>
      <c r="T360" s="364">
        <f t="shared" si="165"/>
        <v>0</v>
      </c>
      <c r="U360" s="365">
        <v>0</v>
      </c>
      <c r="V360" s="91">
        <f>ROUNDUP(IFERROR(INDEX(CostRateTbl[Cost Rate],MATCH(_xlfn.CONCAT(N360,O360,P360,"NA"),CostRateTbl[KeyCostRate],0)),0)*BillingCurrencyTRM*(1+U360),2)</f>
        <v>0</v>
      </c>
      <c r="W360" s="92">
        <f t="shared" si="166"/>
        <v>0</v>
      </c>
      <c r="X360" s="366" t="e" cm="1">
        <f t="array" ref="X360">_xlfn.LET(
    _xlpm.valor, INDEX(CostRate!H:H, MATCH(1, (CostRate!A:A=N360)*1, 0)),
    _xlpm.posicion, MATCH(_xlpm.valor, FilterSL!$F$1:$Z$1, 0),
    _xlpm.direccionCompleta, ADDRESS(1, _xlpm.posicion + 5, 4),
    _xlpm.letraColumna, SUBSTITUTE(_xlpm.direccionCompleta, "1", ""),
    _xlpm.letraColumna
)</f>
        <v>#N/A</v>
      </c>
      <c r="Y360" s="366" t="e" cm="1">
        <f t="array" ref="Y360">_xlfn.LET(
    _xlpm.valor, INDEX(CostRate!I:I, MATCH(1, (CostRate!A:A=N360)*(CostRate!B:B=O360), 0)),
    _xlpm.posicion, MATCH(_xlpm.valor, FilterJP!$E$1:$FZ$1, 0),
    _xlpm.direccionCompleta, ADDRESS(1, _xlpm.posicion + 4, 4),
    _xlpm.letraColumna, SUBSTITUTE(_xlpm.direccionCompleta, "1", ""),
    _xlpm.letraColumna
)</f>
        <v>#N/A</v>
      </c>
      <c r="Z360" s="7"/>
      <c r="AA360" s="367"/>
      <c r="AB360" s="7"/>
      <c r="AC360" s="93">
        <f>ROUNDUP($V360/(1-$AV318),2)</f>
        <v>0</v>
      </c>
      <c r="AD360" s="94">
        <f t="shared" si="172"/>
        <v>0</v>
      </c>
      <c r="AE360" s="109">
        <f t="shared" si="173"/>
        <v>0</v>
      </c>
      <c r="AF360" s="7"/>
      <c r="AG360" s="369">
        <f t="shared" si="167"/>
        <v>0</v>
      </c>
      <c r="AH360" s="368">
        <f t="shared" si="168"/>
        <v>0</v>
      </c>
      <c r="AI360" s="7"/>
      <c r="AJ360" s="369" cm="1">
        <f t="array" ref="AJ360">IFERROR(INDEX(WHT!$C$7:$W$18,MATCH(
_xlfn.SWITCH(N360,"xDC Medellin","Colombia","xDC Belo Horizonte","Brazil","xDC Guadalajara","Mexico","xDC Gurugram","India","xDC Leon","Spain","xDC San Jose","Costa Rica","xDC Warsaw","Poland",N360),
WHT!$B$7:$B$18,0),MATCH(CustomerCountry,WHT!$C$5:$W$5,0)),0)</f>
        <v>0</v>
      </c>
      <c r="AK360" s="368">
        <f t="shared" si="169"/>
        <v>0</v>
      </c>
      <c r="AL360" s="7"/>
      <c r="AM360" s="95">
        <f t="shared" si="174"/>
        <v>0</v>
      </c>
      <c r="AN360" s="95">
        <f>AM360+IFERROR(SUM($AN321:$AN326)*AM360/$AM330,0)</f>
        <v>0</v>
      </c>
      <c r="AO360" s="95">
        <f t="shared" si="175"/>
        <v>0</v>
      </c>
      <c r="AP360" s="90"/>
      <c r="AQ360" s="18"/>
      <c r="AR360" s="290"/>
      <c r="AS360" s="467" t="s">
        <v>133</v>
      </c>
      <c r="AT360" s="501">
        <f>IF(AS360="x",AM360+((SUM($AN321:$AN326)+SUMIF($AS332:$AS361,"&lt;&gt;x",$AM332:$AM361))*IFERROR(AM360/SUMIF($AS332:$AS361,"x",$AM332:$AM361),0)),0)</f>
        <v>0</v>
      </c>
      <c r="AU360" s="502"/>
      <c r="AV360" s="95">
        <f t="shared" si="176"/>
        <v>0</v>
      </c>
      <c r="AW360" s="469" t="str">
        <f t="shared" si="170"/>
        <v>N/A</v>
      </c>
      <c r="AX360" s="290"/>
      <c r="AY360" s="18"/>
      <c r="AZ360" s="3"/>
      <c r="BA360" s="315"/>
      <c r="BB360" s="3"/>
      <c r="BC360" s="3"/>
      <c r="BD360" s="3"/>
      <c r="BE360" s="3"/>
      <c r="BF360" s="18"/>
      <c r="BG360" s="3"/>
      <c r="BH360" s="315"/>
      <c r="BI360" s="3"/>
      <c r="BJ360" s="3"/>
      <c r="BK360" s="3"/>
      <c r="BL360" s="3"/>
      <c r="BM360" s="18"/>
      <c r="BN360" s="3"/>
      <c r="BO360" s="315"/>
      <c r="BP360" s="3"/>
      <c r="BQ360" s="3"/>
      <c r="BR360" s="3"/>
      <c r="BS360" s="3"/>
      <c r="BT360" s="18"/>
      <c r="BU360" s="3"/>
      <c r="BV360" s="315"/>
      <c r="BW360" s="3"/>
      <c r="BX360" s="3"/>
      <c r="BY360" s="3"/>
      <c r="BZ360" s="3"/>
    </row>
    <row r="361" spans="1:78" ht="15.6" hidden="1" outlineLevel="1">
      <c r="A361" s="7"/>
      <c r="B361" s="372"/>
      <c r="C361" s="355"/>
      <c r="D361" s="356"/>
      <c r="E361" s="342"/>
      <c r="F361" s="290"/>
      <c r="G361" s="373">
        <v>0</v>
      </c>
      <c r="H361" s="374">
        <v>0</v>
      </c>
      <c r="I361" s="374">
        <v>0</v>
      </c>
      <c r="J361" s="375">
        <f t="shared" si="171"/>
        <v>0</v>
      </c>
      <c r="K361" s="290"/>
      <c r="L361" s="349"/>
      <c r="M361" s="7"/>
      <c r="N361" s="12"/>
      <c r="O361" s="12"/>
      <c r="P361" s="12"/>
      <c r="Q361" s="361"/>
      <c r="R361" s="362"/>
      <c r="S361" s="363">
        <f>IF(ISBLANK(P361),0,$O324*20)</f>
        <v>0</v>
      </c>
      <c r="T361" s="364">
        <f t="shared" si="165"/>
        <v>0</v>
      </c>
      <c r="U361" s="365">
        <v>0</v>
      </c>
      <c r="V361" s="91">
        <f>ROUNDUP(IFERROR(INDEX(CostRateTbl[Cost Rate],MATCH(_xlfn.CONCAT(N361,O361,P361,"NA"),CostRateTbl[KeyCostRate],0)),0)*BillingCurrencyTRM*(1+U361),2)</f>
        <v>0</v>
      </c>
      <c r="W361" s="92">
        <f t="shared" si="166"/>
        <v>0</v>
      </c>
      <c r="X361" s="366" t="e" cm="1">
        <f t="array" ref="X361">_xlfn.LET(
    _xlpm.valor, INDEX(CostRate!H:H, MATCH(1, (CostRate!A:A=N361)*1, 0)),
    _xlpm.posicion, MATCH(_xlpm.valor, FilterSL!$F$1:$Z$1, 0),
    _xlpm.direccionCompleta, ADDRESS(1, _xlpm.posicion + 5, 4),
    _xlpm.letraColumna, SUBSTITUTE(_xlpm.direccionCompleta, "1", ""),
    _xlpm.letraColumna
)</f>
        <v>#N/A</v>
      </c>
      <c r="Y361" s="366" t="e" cm="1">
        <f t="array" ref="Y361">_xlfn.LET(
    _xlpm.valor, INDEX(CostRate!I:I, MATCH(1, (CostRate!A:A=N361)*(CostRate!B:B=O361), 0)),
    _xlpm.posicion, MATCH(_xlpm.valor, FilterJP!$E$1:$FZ$1, 0),
    _xlpm.direccionCompleta, ADDRESS(1, _xlpm.posicion + 4, 4),
    _xlpm.letraColumna, SUBSTITUTE(_xlpm.direccionCompleta, "1", ""),
    _xlpm.letraColumna
)</f>
        <v>#N/A</v>
      </c>
      <c r="Z361" s="7"/>
      <c r="AA361" s="367"/>
      <c r="AB361" s="7"/>
      <c r="AC361" s="93">
        <f>ROUNDUP($V361/(1-$AV318),2)</f>
        <v>0</v>
      </c>
      <c r="AD361" s="94">
        <f t="shared" si="172"/>
        <v>0</v>
      </c>
      <c r="AE361" s="109">
        <f t="shared" si="173"/>
        <v>0</v>
      </c>
      <c r="AF361" s="7"/>
      <c r="AG361" s="369">
        <f t="shared" si="167"/>
        <v>0</v>
      </c>
      <c r="AH361" s="368">
        <f t="shared" si="168"/>
        <v>0</v>
      </c>
      <c r="AI361" s="7"/>
      <c r="AJ361" s="369" cm="1">
        <f t="array" ref="AJ361">IFERROR(INDEX(WHT!$C$7:$W$18,MATCH(
_xlfn.SWITCH(N361,"xDC Medellin","Colombia","xDC Belo Horizonte","Brazil","xDC Guadalajara","Mexico","xDC Gurugram","India","xDC Leon","Spain","xDC San Jose","Costa Rica","xDC Warsaw","Poland",N361),
WHT!$B$7:$B$18,0),MATCH(CustomerCountry,WHT!$C$5:$W$5,0)),0)</f>
        <v>0</v>
      </c>
      <c r="AK361" s="368">
        <f t="shared" si="169"/>
        <v>0</v>
      </c>
      <c r="AL361" s="7"/>
      <c r="AM361" s="95">
        <f t="shared" si="174"/>
        <v>0</v>
      </c>
      <c r="AN361" s="95">
        <f>AM361+IFERROR(SUM($AN321:$AN326)*AM361/$AM330,0)</f>
        <v>0</v>
      </c>
      <c r="AO361" s="95">
        <f t="shared" si="175"/>
        <v>0</v>
      </c>
      <c r="AP361" s="90"/>
      <c r="AQ361" s="18"/>
      <c r="AR361" s="290"/>
      <c r="AS361" s="467" t="s">
        <v>133</v>
      </c>
      <c r="AT361" s="501">
        <f>IF(AS361="x",AM361+((SUM($AN321:$AN326)+SUMIF($AS332:$AS361,"&lt;&gt;x",$AM332:$AM361))*IFERROR(AM361/SUMIF($AS332:$AS361,"x",$AM332:$AM361),0)),0)</f>
        <v>0</v>
      </c>
      <c r="AU361" s="502"/>
      <c r="AV361" s="95">
        <f t="shared" si="176"/>
        <v>0</v>
      </c>
      <c r="AW361" s="469" t="str">
        <f t="shared" si="170"/>
        <v>N/A</v>
      </c>
      <c r="AX361" s="290"/>
      <c r="AY361" s="18"/>
      <c r="AZ361" s="3"/>
      <c r="BA361" s="315"/>
      <c r="BB361" s="3"/>
      <c r="BC361" s="3"/>
      <c r="BD361" s="3"/>
      <c r="BE361" s="3"/>
      <c r="BF361" s="18"/>
      <c r="BG361" s="3"/>
      <c r="BH361" s="315"/>
      <c r="BI361" s="3"/>
      <c r="BJ361" s="3"/>
      <c r="BK361" s="3"/>
      <c r="BL361" s="3"/>
      <c r="BM361" s="18"/>
      <c r="BN361" s="3"/>
      <c r="BO361" s="315"/>
      <c r="BP361" s="3"/>
      <c r="BQ361" s="3"/>
      <c r="BR361" s="3"/>
      <c r="BS361" s="3"/>
      <c r="BT361" s="18"/>
      <c r="BU361" s="3"/>
      <c r="BV361" s="315"/>
      <c r="BW361" s="3"/>
      <c r="BX361" s="3"/>
      <c r="BY361" s="3"/>
      <c r="BZ361" s="3"/>
    </row>
    <row r="362" spans="1:78" ht="15.6" hidden="1" outlineLevel="1">
      <c r="A362" s="7"/>
      <c r="B362" s="376"/>
      <c r="C362" s="376"/>
      <c r="D362" s="376"/>
      <c r="E362" s="342"/>
      <c r="F362" s="290"/>
      <c r="G362" s="290"/>
      <c r="H362" s="290"/>
      <c r="I362" s="290"/>
      <c r="J362" s="290"/>
      <c r="K362" s="290"/>
      <c r="L362" s="18"/>
      <c r="M362" s="7"/>
      <c r="N362" s="7"/>
      <c r="O362" s="7"/>
      <c r="P362" s="7"/>
      <c r="Q362" s="7"/>
      <c r="R362" s="7"/>
      <c r="S362" s="294"/>
      <c r="T362" s="294"/>
      <c r="U362" s="294"/>
      <c r="V362" s="294"/>
      <c r="W362" s="294"/>
      <c r="X362" s="7"/>
      <c r="Y362" s="7"/>
      <c r="Z362" s="294"/>
      <c r="AA362" s="377"/>
      <c r="AB362" s="294"/>
      <c r="AC362" s="294"/>
      <c r="AD362" s="294"/>
      <c r="AE362" s="294"/>
      <c r="AF362" s="7"/>
      <c r="AG362" s="294"/>
      <c r="AH362" s="294"/>
      <c r="AI362" s="7"/>
      <c r="AJ362" s="294"/>
      <c r="AK362" s="294"/>
      <c r="AL362" s="7"/>
      <c r="AM362" s="294"/>
      <c r="AN362" s="294"/>
      <c r="AO362" s="294"/>
      <c r="AP362" s="294"/>
      <c r="AQ362" s="18"/>
      <c r="AR362" s="378"/>
      <c r="AS362" s="378"/>
      <c r="AT362" s="378"/>
      <c r="AU362" s="81"/>
      <c r="AV362" s="378"/>
      <c r="AW362" s="7"/>
      <c r="AX362" s="378"/>
      <c r="AY362" s="18"/>
      <c r="AZ362" s="3"/>
      <c r="BA362" s="315"/>
      <c r="BB362" s="3"/>
      <c r="BC362" s="3"/>
      <c r="BD362" s="3"/>
      <c r="BE362" s="3"/>
      <c r="BF362" s="18"/>
      <c r="BG362" s="3"/>
      <c r="BH362" s="315"/>
      <c r="BI362" s="3"/>
      <c r="BJ362" s="3"/>
      <c r="BK362" s="3"/>
      <c r="BL362" s="3"/>
      <c r="BM362" s="18"/>
      <c r="BN362" s="3"/>
      <c r="BO362" s="315"/>
      <c r="BP362" s="3"/>
      <c r="BQ362" s="3"/>
      <c r="BR362" s="3"/>
      <c r="BS362" s="3"/>
      <c r="BT362" s="18"/>
      <c r="BU362" s="3"/>
      <c r="BV362" s="315"/>
      <c r="BW362" s="3"/>
      <c r="BX362" s="3"/>
      <c r="BY362" s="3"/>
      <c r="BZ362" s="3"/>
    </row>
    <row r="363" spans="1:78" ht="15.6" collapsed="1">
      <c r="AJ363" s="342"/>
      <c r="AK363" s="339"/>
      <c r="AN363" s="339"/>
      <c r="AO363" s="338"/>
    </row>
    <row r="364" spans="1:78" ht="15.6">
      <c r="AJ364" s="342"/>
      <c r="AK364" s="339"/>
      <c r="AN364" s="339"/>
      <c r="AO364" s="338"/>
    </row>
    <row r="365" spans="1:78" ht="15.6">
      <c r="AJ365" s="342"/>
    </row>
  </sheetData>
  <sheetProtection formatCells="0" formatColumns="0" formatRows="0" insertRows="0" deleteRows="0" autoFilter="0"/>
  <mergeCells count="232">
    <mergeCell ref="BV1:BY1"/>
    <mergeCell ref="BO1:BR1"/>
    <mergeCell ref="BH1:BK1"/>
    <mergeCell ref="BA1:BD1"/>
    <mergeCell ref="AT1:AW1"/>
    <mergeCell ref="A1:D1"/>
    <mergeCell ref="N1:W1"/>
    <mergeCell ref="B18:C21"/>
    <mergeCell ref="AV21:AW21"/>
    <mergeCell ref="AC1:AO1"/>
    <mergeCell ref="AV28:AW28"/>
    <mergeCell ref="B74:C86"/>
    <mergeCell ref="AV76:AW76"/>
    <mergeCell ref="AV77:AW77"/>
    <mergeCell ref="AT71:AU71"/>
    <mergeCell ref="AT66:AU66"/>
    <mergeCell ref="AT67:AU67"/>
    <mergeCell ref="AT68:AU68"/>
    <mergeCell ref="AT69:AU69"/>
    <mergeCell ref="AT70:AU70"/>
    <mergeCell ref="AT64:AU64"/>
    <mergeCell ref="AT65:AU65"/>
    <mergeCell ref="B26:C38"/>
    <mergeCell ref="AT40:AU40"/>
    <mergeCell ref="AT41:AU41"/>
    <mergeCell ref="AT42:AU42"/>
    <mergeCell ref="AV29:AW29"/>
    <mergeCell ref="AT93:AU93"/>
    <mergeCell ref="AT94:AU94"/>
    <mergeCell ref="AT95:AU95"/>
    <mergeCell ref="AT96:AU96"/>
    <mergeCell ref="AT97:AU97"/>
    <mergeCell ref="AT88:AU88"/>
    <mergeCell ref="AT89:AU89"/>
    <mergeCell ref="AT90:AU90"/>
    <mergeCell ref="AT91:AU91"/>
    <mergeCell ref="AT92:AU92"/>
    <mergeCell ref="AT106:AU106"/>
    <mergeCell ref="AT107:AU107"/>
    <mergeCell ref="AT108:AU108"/>
    <mergeCell ref="AT109:AU109"/>
    <mergeCell ref="AT110:AU110"/>
    <mergeCell ref="AT103:AU103"/>
    <mergeCell ref="AT104:AU104"/>
    <mergeCell ref="AT105:AU105"/>
    <mergeCell ref="AT98:AU98"/>
    <mergeCell ref="AT99:AU99"/>
    <mergeCell ref="AT100:AU100"/>
    <mergeCell ref="AT101:AU101"/>
    <mergeCell ref="AT102:AU102"/>
    <mergeCell ref="AT120:AU120"/>
    <mergeCell ref="AT121:AU121"/>
    <mergeCell ref="B124:C136"/>
    <mergeCell ref="AV126:AW126"/>
    <mergeCell ref="AV127:AW127"/>
    <mergeCell ref="AT111:AU111"/>
    <mergeCell ref="AT116:AU116"/>
    <mergeCell ref="AT117:AU117"/>
    <mergeCell ref="AT118:AU118"/>
    <mergeCell ref="AT119:AU119"/>
    <mergeCell ref="AT143:AU143"/>
    <mergeCell ref="AT144:AU144"/>
    <mergeCell ref="AT145:AU145"/>
    <mergeCell ref="AT146:AU146"/>
    <mergeCell ref="AT147:AU147"/>
    <mergeCell ref="AT138:AU138"/>
    <mergeCell ref="AT139:AU139"/>
    <mergeCell ref="AT140:AU140"/>
    <mergeCell ref="AT141:AU141"/>
    <mergeCell ref="AT142:AU142"/>
    <mergeCell ref="AT153:AU153"/>
    <mergeCell ref="AT154:AU154"/>
    <mergeCell ref="AT155:AU155"/>
    <mergeCell ref="AT156:AU156"/>
    <mergeCell ref="AT157:AU157"/>
    <mergeCell ref="AT148:AU148"/>
    <mergeCell ref="AT149:AU149"/>
    <mergeCell ref="AT150:AU150"/>
    <mergeCell ref="AT151:AU151"/>
    <mergeCell ref="AT152:AU152"/>
    <mergeCell ref="AT163:AU163"/>
    <mergeCell ref="AT164:AU164"/>
    <mergeCell ref="AT165:AU165"/>
    <mergeCell ref="AT166:AU166"/>
    <mergeCell ref="AT167:AU167"/>
    <mergeCell ref="AT158:AU158"/>
    <mergeCell ref="AT159:AU159"/>
    <mergeCell ref="AT160:AU160"/>
    <mergeCell ref="AT161:AU161"/>
    <mergeCell ref="AT162:AU162"/>
    <mergeCell ref="AT186:AU186"/>
    <mergeCell ref="AT187:AU187"/>
    <mergeCell ref="AT188:AU188"/>
    <mergeCell ref="AT189:AU189"/>
    <mergeCell ref="AT190:AU190"/>
    <mergeCell ref="AT168:AU168"/>
    <mergeCell ref="AT169:AU169"/>
    <mergeCell ref="B172:C184"/>
    <mergeCell ref="AV174:AW174"/>
    <mergeCell ref="AV175:AW175"/>
    <mergeCell ref="AT196:AU196"/>
    <mergeCell ref="AT197:AU197"/>
    <mergeCell ref="AT198:AU198"/>
    <mergeCell ref="AT199:AU199"/>
    <mergeCell ref="AT200:AU200"/>
    <mergeCell ref="AT191:AU191"/>
    <mergeCell ref="AT192:AU192"/>
    <mergeCell ref="AT193:AU193"/>
    <mergeCell ref="AT194:AU194"/>
    <mergeCell ref="AT195:AU195"/>
    <mergeCell ref="AT206:AU206"/>
    <mergeCell ref="AT207:AU207"/>
    <mergeCell ref="AT208:AU208"/>
    <mergeCell ref="AT209:AU209"/>
    <mergeCell ref="AT210:AU210"/>
    <mergeCell ref="AT201:AU201"/>
    <mergeCell ref="AT202:AU202"/>
    <mergeCell ref="AT203:AU203"/>
    <mergeCell ref="AT204:AU204"/>
    <mergeCell ref="AT205:AU205"/>
    <mergeCell ref="AT216:AU216"/>
    <mergeCell ref="AT217:AU217"/>
    <mergeCell ref="B220:C232"/>
    <mergeCell ref="AV222:AW222"/>
    <mergeCell ref="AV223:AW223"/>
    <mergeCell ref="AT211:AU211"/>
    <mergeCell ref="AT212:AU212"/>
    <mergeCell ref="AT213:AU213"/>
    <mergeCell ref="AT214:AU214"/>
    <mergeCell ref="AT215:AU215"/>
    <mergeCell ref="AT239:AU239"/>
    <mergeCell ref="AT240:AU240"/>
    <mergeCell ref="AT241:AU241"/>
    <mergeCell ref="AT242:AU242"/>
    <mergeCell ref="AT243:AU243"/>
    <mergeCell ref="AT234:AU234"/>
    <mergeCell ref="AT235:AU235"/>
    <mergeCell ref="AT236:AU236"/>
    <mergeCell ref="AT237:AU237"/>
    <mergeCell ref="AT238:AU238"/>
    <mergeCell ref="AT249:AU249"/>
    <mergeCell ref="AT250:AU250"/>
    <mergeCell ref="AT251:AU251"/>
    <mergeCell ref="AT252:AU252"/>
    <mergeCell ref="AT253:AU253"/>
    <mergeCell ref="AT244:AU244"/>
    <mergeCell ref="AT245:AU245"/>
    <mergeCell ref="AT246:AU246"/>
    <mergeCell ref="AT247:AU247"/>
    <mergeCell ref="AT248:AU248"/>
    <mergeCell ref="AT259:AU259"/>
    <mergeCell ref="AT260:AU260"/>
    <mergeCell ref="AT261:AU261"/>
    <mergeCell ref="AT262:AU262"/>
    <mergeCell ref="AT263:AU263"/>
    <mergeCell ref="AT254:AU254"/>
    <mergeCell ref="AT255:AU255"/>
    <mergeCell ref="AT256:AU256"/>
    <mergeCell ref="AT257:AU257"/>
    <mergeCell ref="AT258:AU258"/>
    <mergeCell ref="AT282:AU282"/>
    <mergeCell ref="AT283:AU283"/>
    <mergeCell ref="AT284:AU284"/>
    <mergeCell ref="AT285:AU285"/>
    <mergeCell ref="AT286:AU286"/>
    <mergeCell ref="AT264:AU264"/>
    <mergeCell ref="AT265:AU265"/>
    <mergeCell ref="B268:C280"/>
    <mergeCell ref="AV270:AW270"/>
    <mergeCell ref="AV271:AW271"/>
    <mergeCell ref="AT292:AU292"/>
    <mergeCell ref="AT293:AU293"/>
    <mergeCell ref="AT294:AU294"/>
    <mergeCell ref="AT295:AU295"/>
    <mergeCell ref="AT296:AU296"/>
    <mergeCell ref="AT287:AU287"/>
    <mergeCell ref="AT288:AU288"/>
    <mergeCell ref="AT289:AU289"/>
    <mergeCell ref="AT290:AU290"/>
    <mergeCell ref="AT291:AU291"/>
    <mergeCell ref="AT302:AU302"/>
    <mergeCell ref="AT303:AU303"/>
    <mergeCell ref="AT304:AU304"/>
    <mergeCell ref="AT305:AU305"/>
    <mergeCell ref="AT306:AU306"/>
    <mergeCell ref="AT297:AU297"/>
    <mergeCell ref="AT298:AU298"/>
    <mergeCell ref="AT299:AU299"/>
    <mergeCell ref="AT300:AU300"/>
    <mergeCell ref="AT301:AU301"/>
    <mergeCell ref="AT312:AU312"/>
    <mergeCell ref="AT313:AU313"/>
    <mergeCell ref="B316:C328"/>
    <mergeCell ref="AV318:AW318"/>
    <mergeCell ref="AV319:AW319"/>
    <mergeCell ref="AT307:AU307"/>
    <mergeCell ref="AT308:AU308"/>
    <mergeCell ref="AT309:AU309"/>
    <mergeCell ref="AT310:AU310"/>
    <mergeCell ref="AT311:AU311"/>
    <mergeCell ref="AT335:AU335"/>
    <mergeCell ref="AT336:AU336"/>
    <mergeCell ref="AT337:AU337"/>
    <mergeCell ref="AT338:AU338"/>
    <mergeCell ref="AT339:AU339"/>
    <mergeCell ref="AT330:AU330"/>
    <mergeCell ref="AT331:AU331"/>
    <mergeCell ref="AT332:AU332"/>
    <mergeCell ref="AT333:AU333"/>
    <mergeCell ref="AT334:AU334"/>
    <mergeCell ref="AT345:AU345"/>
    <mergeCell ref="AT346:AU346"/>
    <mergeCell ref="AT347:AU347"/>
    <mergeCell ref="AT348:AU348"/>
    <mergeCell ref="AT349:AU349"/>
    <mergeCell ref="AT340:AU340"/>
    <mergeCell ref="AT341:AU341"/>
    <mergeCell ref="AT342:AU342"/>
    <mergeCell ref="AT343:AU343"/>
    <mergeCell ref="AT344:AU344"/>
    <mergeCell ref="AT360:AU360"/>
    <mergeCell ref="AT361:AU361"/>
    <mergeCell ref="AT355:AU355"/>
    <mergeCell ref="AT356:AU356"/>
    <mergeCell ref="AT357:AU357"/>
    <mergeCell ref="AT358:AU358"/>
    <mergeCell ref="AT359:AU359"/>
    <mergeCell ref="AT350:AU350"/>
    <mergeCell ref="AT351:AU351"/>
    <mergeCell ref="AT352:AU352"/>
    <mergeCell ref="AT353:AU353"/>
    <mergeCell ref="AT354:AU354"/>
  </mergeCells>
  <phoneticPr fontId="35" type="noConversion"/>
  <conditionalFormatting sqref="G42:G62">
    <cfRule type="expression" dxfId="91" priority="1">
      <formula>$O$3="Team-Based"</formula>
    </cfRule>
  </conditionalFormatting>
  <conditionalFormatting sqref="G41:J41 I42:J69">
    <cfRule type="expression" dxfId="90" priority="280">
      <formula>$O$3="Team-Based"</formula>
    </cfRule>
  </conditionalFormatting>
  <conditionalFormatting sqref="G70:J71 H90:J121">
    <cfRule type="expression" dxfId="89" priority="7">
      <formula>$O$3="Team-Based"</formula>
    </cfRule>
  </conditionalFormatting>
  <conditionalFormatting sqref="G89:J89 G116:G121">
    <cfRule type="expression" dxfId="88" priority="32">
      <formula>$O$3="Team-Based"</formula>
    </cfRule>
  </conditionalFormatting>
  <conditionalFormatting sqref="G139:J169">
    <cfRule type="expression" dxfId="87" priority="29">
      <formula>$O$3="Team-Based"</formula>
    </cfRule>
  </conditionalFormatting>
  <conditionalFormatting sqref="G187:J217">
    <cfRule type="expression" dxfId="86" priority="26">
      <formula>$O$3="Team-Based"</formula>
    </cfRule>
  </conditionalFormatting>
  <conditionalFormatting sqref="G235:J265">
    <cfRule type="expression" dxfId="85" priority="23">
      <formula>$O$3="Team-Based"</formula>
    </cfRule>
  </conditionalFormatting>
  <conditionalFormatting sqref="G283:J313">
    <cfRule type="expression" dxfId="84" priority="20">
      <formula>$O$3="Team-Based"</formula>
    </cfRule>
  </conditionalFormatting>
  <conditionalFormatting sqref="G331:J361">
    <cfRule type="expression" dxfId="83" priority="17">
      <formula>$O$3="Team-Based"</formula>
    </cfRule>
  </conditionalFormatting>
  <conditionalFormatting sqref="H42">
    <cfRule type="expression" dxfId="82" priority="3">
      <formula>$O$3="Team-Based"</formula>
    </cfRule>
  </conditionalFormatting>
  <conditionalFormatting sqref="H43:H69 G91:G115">
    <cfRule type="expression" dxfId="81" priority="4">
      <formula>$O$4="Team-Based"</formula>
    </cfRule>
  </conditionalFormatting>
  <conditionalFormatting sqref="J40">
    <cfRule type="expression" dxfId="80" priority="105">
      <formula>$O$3="Team-Based"</formula>
    </cfRule>
  </conditionalFormatting>
  <conditionalFormatting sqref="J88">
    <cfRule type="expression" dxfId="79" priority="30">
      <formula>$O$3="Team-Based"</formula>
    </cfRule>
  </conditionalFormatting>
  <conditionalFormatting sqref="J138">
    <cfRule type="expression" dxfId="78" priority="27">
      <formula>$O$3="Team-Based"</formula>
    </cfRule>
  </conditionalFormatting>
  <conditionalFormatting sqref="J186">
    <cfRule type="expression" dxfId="77" priority="24">
      <formula>$O$3="Team-Based"</formula>
    </cfRule>
  </conditionalFormatting>
  <conditionalFormatting sqref="J234">
    <cfRule type="expression" dxfId="76" priority="21">
      <formula>$O$3="Team-Based"</formula>
    </cfRule>
  </conditionalFormatting>
  <conditionalFormatting sqref="J282">
    <cfRule type="expression" dxfId="75" priority="18">
      <formula>$O$3="Team-Based"</formula>
    </cfRule>
  </conditionalFormatting>
  <conditionalFormatting sqref="J330">
    <cfRule type="expression" dxfId="74" priority="15">
      <formula>$O$3="Team-Based"</formula>
    </cfRule>
  </conditionalFormatting>
  <conditionalFormatting sqref="O4 O33:O34 Q41:S71 Q89:S121">
    <cfRule type="expression" dxfId="73" priority="230">
      <formula>$O$3="By Hours"</formula>
    </cfRule>
  </conditionalFormatting>
  <conditionalFormatting sqref="O11">
    <cfRule type="expression" dxfId="72" priority="11">
      <formula>$O$3="By Hours"</formula>
    </cfRule>
  </conditionalFormatting>
  <conditionalFormatting sqref="O15">
    <cfRule type="expression" dxfId="71" priority="281">
      <formula>IF(AND($O$14&lt;&gt;0,ISBLANK($O$15)),TRUE,FALSE)</formula>
    </cfRule>
  </conditionalFormatting>
  <conditionalFormatting sqref="O81:O82">
    <cfRule type="expression" dxfId="70" priority="14">
      <formula>$O$3="By Hours"</formula>
    </cfRule>
  </conditionalFormatting>
  <conditionalFormatting sqref="O131:O132 Q139:S169">
    <cfRule type="expression" dxfId="69" priority="28">
      <formula>$O$3="By Hours"</formula>
    </cfRule>
  </conditionalFormatting>
  <conditionalFormatting sqref="O179:O180 Q187:S217">
    <cfRule type="expression" dxfId="68" priority="25">
      <formula>$O$3="By Hours"</formula>
    </cfRule>
  </conditionalFormatting>
  <conditionalFormatting sqref="O227:O228 Q235:S265">
    <cfRule type="expression" dxfId="67" priority="22">
      <formula>$O$3="By Hours"</formula>
    </cfRule>
  </conditionalFormatting>
  <conditionalFormatting sqref="O275:O276 Q283:S313">
    <cfRule type="expression" dxfId="66" priority="19">
      <formula>$O$3="By Hours"</formula>
    </cfRule>
  </conditionalFormatting>
  <conditionalFormatting sqref="O323:O324 Q331:S361">
    <cfRule type="expression" dxfId="65" priority="16">
      <formula>$O$3="By Hours"</formula>
    </cfRule>
  </conditionalFormatting>
  <dataValidations count="3">
    <dataValidation operator="equal" allowBlank="1" showInputMessage="1" showErrorMessage="1" sqref="O4" xr:uid="{E79B0A4C-6611-4410-989F-9A4991DBC597}"/>
    <dataValidation type="list" allowBlank="1" showInputMessage="1" showErrorMessage="1" sqref="O332:O361 O140:O169 O188:O217 O236:O265 O284:O313 O90:O121 O42:O71" xr:uid="{1F728378-4BB7-954A-A3C1-BCEB81CF4D0A}">
      <formula1>OFFSET(INDIRECT("FilterSL!" &amp; X42 &amp; "$2"),0,0,COUNTA(INDIRECT("FilterSL!" &amp; X42 &amp; "1:" &amp; X42 &amp; "1048576"))-1,1)</formula1>
    </dataValidation>
    <dataValidation type="list" allowBlank="1" showInputMessage="1" showErrorMessage="1" sqref="P332:P361 P140:P169 P188:P217 P236:P265 P284:P313 P90:P121 P42:P71" xr:uid="{9BE14270-5297-2446-AEF1-A4A7E9429241}">
      <formula1>OFFSET(INDIRECT("FilterJP!" &amp; Y42 &amp; "$2"),0,0,COUNTA(INDIRECT("FilterJP!" &amp; Y42 &amp; "1:" &amp; Y42 &amp; "1048576"))-1,1)</formula1>
    </dataValidation>
  </dataValidations>
  <hyperlinks>
    <hyperlink ref="B12" r:id="rId1" xr:uid="{917C5938-464C-4893-80CC-3F35EADA23C2}"/>
  </hyperlinks>
  <pageMargins left="0.7" right="0.7" top="0.75" bottom="0.75" header="0.3" footer="0.3"/>
  <pageSetup orientation="portrait"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4F725630-2A20-4C73-AFF4-2B4C72CC3DDA}">
          <x14:formula1>
            <xm:f>Paramenters!$D$2:$D$3</xm:f>
          </x14:formula1>
          <xm:sqref>O3</xm:sqref>
        </x14:dataValidation>
        <x14:dataValidation type="list" allowBlank="1" showInputMessage="1" showErrorMessage="1" xr:uid="{6F9DE183-3272-2247-AD3E-6C1242034236}">
          <x14:formula1>
            <xm:f>Paramenters!$E$2:$E$4</xm:f>
          </x14:formula1>
          <xm:sqref>C10</xm:sqref>
        </x14:dataValidation>
        <x14:dataValidation type="list" allowBlank="1" showInputMessage="1" showErrorMessage="1" xr:uid="{930BD26B-7223-5E4D-B320-50A0189A957B}">
          <x14:formula1>
            <xm:f>Paramenters!$F$2:$F$7</xm:f>
          </x14:formula1>
          <xm:sqref>H332:H361 H140:H169 H188:H217 H236:H265 H284:H313 H90:H121</xm:sqref>
        </x14:dataValidation>
        <x14:dataValidation type="list" allowBlank="1" showInputMessage="1" showErrorMessage="1" xr:uid="{8591701A-6DD2-E742-9AC6-0039387137A6}">
          <x14:formula1>
            <xm:f>Paramenters!$G$2:$G$7</xm:f>
          </x14:formula1>
          <xm:sqref>I332:I361 I140:I169 I188:I217 I236:I265 I284:I313 I90:I121 I42:I71</xm:sqref>
        </x14:dataValidation>
        <x14:dataValidation type="list" allowBlank="1" showInputMessage="1" showErrorMessage="1" xr:uid="{3F7D8B72-586C-455D-970F-BC9558419AA0}">
          <x14:formula1>
            <xm:f>Paramenters!$C$2:$C$12</xm:f>
          </x14:formula1>
          <xm:sqref>C9</xm:sqref>
        </x14:dataValidation>
        <x14:dataValidation type="list" allowBlank="1" showInputMessage="1" showErrorMessage="1" xr:uid="{242287E5-6563-4517-8002-9F240F3001CE}">
          <x14:formula1>
            <xm:f>Paramenters!$B$2:$B$15</xm:f>
          </x14:formula1>
          <xm:sqref>C8</xm:sqref>
        </x14:dataValidation>
        <x14:dataValidation type="list" allowBlank="1" showInputMessage="1" showErrorMessage="1" xr:uid="{D1F0F9B9-AC17-4CD9-AF74-847CDCB6A979}">
          <x14:formula1>
            <xm:f>Paramenters!$A$2:$A$22</xm:f>
          </x14:formula1>
          <xm:sqref>C3 O10</xm:sqref>
        </x14:dataValidation>
        <x14:dataValidation type="list" allowBlank="1" showInputMessage="1" xr:uid="{4705BF2F-1589-B24D-AE69-CE328C990834}">
          <x14:formula1>
            <xm:f>Users!$B$2:$B$60</xm:f>
          </x14:formula1>
          <xm:sqref>O6</xm:sqref>
        </x14:dataValidation>
        <x14:dataValidation type="list" allowBlank="1" showInputMessage="1" xr:uid="{DFE04F73-2FF7-2249-BAF6-E2A3260421AF}">
          <x14:formula1>
            <xm:f>Users!$B$61:$B$122</xm:f>
          </x14:formula1>
          <xm:sqref>O7</xm:sqref>
        </x14:dataValidation>
        <x14:dataValidation type="list" allowBlank="1" showInputMessage="1" xr:uid="{E63DDF90-F0DC-408B-BCC2-F3A7491752EC}">
          <x14:formula1>
            <xm:f>Users!$B$123:$B$134</xm:f>
          </x14:formula1>
          <xm:sqref>O8</xm:sqref>
        </x14:dataValidation>
        <x14:dataValidation type="list" allowBlank="1" showInputMessage="1" showErrorMessage="1" xr:uid="{9A2A50AC-764E-144B-A3B5-EDE67656BD82}">
          <x14:formula1>
            <xm:f>OFFSET(FilterSL!$A$1,0,0,COUNTA(FilterSL!A:A),1)</xm:f>
          </x14:formula1>
          <xm:sqref>N332:N361 N236:N265 N140:N169 N188:N217 N284:N313 N90:N121 N42:N71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70F2B-5508-984E-9C24-2091AAE619DD}">
  <dimension ref="A1:CD363"/>
  <sheetViews>
    <sheetView showGridLines="0" zoomScale="110" zoomScaleNormal="110" workbookViewId="0">
      <selection activeCell="X1" sqref="X1:Y1048576"/>
    </sheetView>
  </sheetViews>
  <sheetFormatPr defaultColWidth="8.7109375" defaultRowHeight="14.45" outlineLevelRow="1" outlineLevelCol="1"/>
  <cols>
    <col min="1" max="1" width="1.42578125" style="18" customWidth="1"/>
    <col min="2" max="2" width="21" style="379" customWidth="1" outlineLevel="1"/>
    <col min="3" max="3" width="54.28515625" style="379" customWidth="1" outlineLevel="1"/>
    <col min="4" max="4" width="2.140625" style="379" customWidth="1" outlineLevel="1"/>
    <col min="5" max="5" width="3.140625" style="349" customWidth="1"/>
    <col min="6" max="6" width="2.140625" style="349" customWidth="1"/>
    <col min="7" max="7" width="8.7109375" style="10" hidden="1" customWidth="1" outlineLevel="1"/>
    <col min="8" max="9" width="6.7109375" style="10" hidden="1" customWidth="1" outlineLevel="1"/>
    <col min="10" max="10" width="8.7109375" style="10" hidden="1" customWidth="1" outlineLevel="1"/>
    <col min="11" max="11" width="2.140625" style="10" hidden="1" customWidth="1" outlineLevel="1"/>
    <col min="12" max="12" width="3.140625" style="10" customWidth="1" collapsed="1"/>
    <col min="13" max="13" width="2.140625" style="10" customWidth="1"/>
    <col min="14" max="14" width="24" style="10" customWidth="1" outlineLevel="1"/>
    <col min="15" max="15" width="40.42578125" style="10" customWidth="1" outlineLevel="1"/>
    <col min="16" max="16" width="55.28515625" style="10" customWidth="1" outlineLevel="1"/>
    <col min="17" max="17" width="8.140625" style="10" customWidth="1" outlineLevel="1"/>
    <col min="18" max="18" width="12.42578125" style="10" customWidth="1" outlineLevel="1"/>
    <col min="19" max="19" width="10.28515625" style="10" customWidth="1" outlineLevel="1"/>
    <col min="20" max="21" width="18.28515625" style="10" customWidth="1" outlineLevel="1"/>
    <col min="22" max="23" width="22.140625" style="10" customWidth="1" outlineLevel="1"/>
    <col min="24" max="24" width="17.28515625" style="10" hidden="1" customWidth="1" outlineLevel="1"/>
    <col min="25" max="25" width="17.7109375" style="10" hidden="1" customWidth="1" outlineLevel="1"/>
    <col min="26" max="26" width="2.140625" style="10" customWidth="1" outlineLevel="1"/>
    <col min="27" max="27" width="3.140625" style="380" customWidth="1"/>
    <col min="28" max="28" width="2.140625" style="10" customWidth="1"/>
    <col min="29" max="29" width="18.140625" style="10" customWidth="1"/>
    <col min="30" max="30" width="22.7109375" style="10" customWidth="1"/>
    <col min="31" max="31" width="18.7109375" style="10" customWidth="1" outlineLevel="1"/>
    <col min="32" max="32" width="4.7109375" style="10" customWidth="1" outlineLevel="1"/>
    <col min="33" max="34" width="17.28515625" style="10" customWidth="1" outlineLevel="1"/>
    <col min="35" max="35" width="4.7109375" style="10" customWidth="1" outlineLevel="1"/>
    <col min="36" max="36" width="17.28515625" style="10" customWidth="1" outlineLevel="1"/>
    <col min="37" max="37" width="18.7109375" style="10" customWidth="1" outlineLevel="1"/>
    <col min="38" max="38" width="4.28515625" style="10" customWidth="1" outlineLevel="1"/>
    <col min="39" max="40" width="23" style="10" customWidth="1" outlineLevel="1"/>
    <col min="41" max="41" width="21.7109375" style="10" customWidth="1" outlineLevel="1"/>
    <col min="42" max="42" width="2.140625" style="10" customWidth="1" outlineLevel="1"/>
    <col min="43" max="43" width="3.140625" style="349" customWidth="1"/>
    <col min="44" max="44" width="2.140625" style="10" customWidth="1" outlineLevel="1"/>
    <col min="45" max="45" width="6.42578125" style="10" customWidth="1" outlineLevel="1"/>
    <col min="46" max="46" width="12.7109375" style="10" customWidth="1" outlineLevel="1"/>
    <col min="47" max="47" width="10.28515625" style="10" customWidth="1" outlineLevel="1"/>
    <col min="48" max="48" width="22.28515625" style="10" customWidth="1" outlineLevel="1"/>
    <col min="49" max="49" width="20" style="10" customWidth="1" outlineLevel="1"/>
    <col min="50" max="50" width="2.140625" style="10" customWidth="1" outlineLevel="1"/>
    <col min="51" max="51" width="3.140625" style="349" customWidth="1"/>
    <col min="52" max="52" width="2.140625" style="10" customWidth="1" outlineLevel="1"/>
    <col min="53" max="53" width="13.42578125" style="10" customWidth="1" outlineLevel="1"/>
    <col min="54" max="54" width="10.28515625" style="10" customWidth="1" outlineLevel="1"/>
    <col min="55" max="56" width="22.28515625" style="10" customWidth="1" outlineLevel="1"/>
    <col min="57" max="57" width="2.140625" style="10" customWidth="1" outlineLevel="1"/>
    <col min="58" max="58" width="3.140625" style="349" customWidth="1"/>
    <col min="59" max="59" width="2.140625" style="10" customWidth="1" outlineLevel="1"/>
    <col min="60" max="60" width="13.42578125" style="10" customWidth="1" outlineLevel="1"/>
    <col min="61" max="61" width="10.28515625" style="10" customWidth="1" outlineLevel="1"/>
    <col min="62" max="63" width="22.28515625" style="10" customWidth="1" outlineLevel="1"/>
    <col min="64" max="64" width="2.140625" style="10" customWidth="1" outlineLevel="1"/>
    <col min="65" max="65" width="3.140625" style="349" customWidth="1"/>
    <col min="66" max="66" width="2.140625" style="10" customWidth="1" outlineLevel="1"/>
    <col min="67" max="67" width="13.42578125" style="10" customWidth="1" outlineLevel="1"/>
    <col min="68" max="68" width="10.28515625" style="10" customWidth="1" outlineLevel="1"/>
    <col min="69" max="70" width="22.28515625" style="10" customWidth="1" outlineLevel="1"/>
    <col min="71" max="71" width="2.140625" style="10" customWidth="1" outlineLevel="1"/>
    <col min="72" max="72" width="3.140625" style="349" customWidth="1"/>
    <col min="73" max="73" width="2.140625" style="10" customWidth="1" outlineLevel="1"/>
    <col min="74" max="74" width="13.42578125" style="10" customWidth="1" outlineLevel="1"/>
    <col min="75" max="75" width="10.28515625" style="10" customWidth="1" outlineLevel="1"/>
    <col min="76" max="77" width="22.28515625" style="10" customWidth="1" outlineLevel="1"/>
    <col min="78" max="78" width="2.140625" style="10" customWidth="1" outlineLevel="1"/>
    <col min="79" max="16384" width="8.7109375" style="18"/>
  </cols>
  <sheetData>
    <row r="1" spans="1:78" ht="19.149999999999999" customHeight="1" outlineLevel="1">
      <c r="A1" s="512" t="s">
        <v>0</v>
      </c>
      <c r="B1" s="512"/>
      <c r="C1" s="512"/>
      <c r="D1" s="512"/>
      <c r="E1" s="18"/>
      <c r="F1" s="277"/>
      <c r="G1" s="277"/>
      <c r="H1" s="277"/>
      <c r="I1" s="277"/>
      <c r="J1" s="277"/>
      <c r="K1" s="277"/>
      <c r="L1" s="18"/>
      <c r="M1" s="278"/>
      <c r="N1" s="512" t="s">
        <v>1</v>
      </c>
      <c r="O1" s="512"/>
      <c r="P1" s="512"/>
      <c r="Q1" s="512"/>
      <c r="R1" s="512"/>
      <c r="S1" s="512"/>
      <c r="T1" s="512"/>
      <c r="U1" s="512"/>
      <c r="V1" s="512"/>
      <c r="W1" s="512"/>
      <c r="X1" s="279"/>
      <c r="Y1" s="279"/>
      <c r="Z1" s="280"/>
      <c r="AA1" s="281"/>
      <c r="AB1" s="280"/>
      <c r="AC1" s="512" t="s">
        <v>2</v>
      </c>
      <c r="AD1" s="512"/>
      <c r="AE1" s="512"/>
      <c r="AF1" s="512"/>
      <c r="AG1" s="512"/>
      <c r="AH1" s="512"/>
      <c r="AI1" s="512"/>
      <c r="AJ1" s="512"/>
      <c r="AK1" s="512"/>
      <c r="AL1" s="512"/>
      <c r="AM1" s="512"/>
      <c r="AN1" s="512"/>
      <c r="AO1" s="512"/>
      <c r="AP1" s="278"/>
      <c r="AQ1" s="18"/>
      <c r="AR1" s="277"/>
      <c r="AS1" s="277"/>
      <c r="AT1" s="511" t="s">
        <v>3</v>
      </c>
      <c r="AU1" s="511"/>
      <c r="AV1" s="511"/>
      <c r="AW1" s="511"/>
      <c r="AX1" s="277"/>
      <c r="AY1" s="18"/>
      <c r="AZ1" s="277"/>
      <c r="BA1" s="511" t="s">
        <v>4</v>
      </c>
      <c r="BB1" s="511"/>
      <c r="BC1" s="511"/>
      <c r="BD1" s="511"/>
      <c r="BE1" s="277"/>
      <c r="BF1" s="18"/>
      <c r="BG1" s="277"/>
      <c r="BH1" s="511" t="s">
        <v>5</v>
      </c>
      <c r="BI1" s="511"/>
      <c r="BJ1" s="511"/>
      <c r="BK1" s="511"/>
      <c r="BL1" s="277"/>
      <c r="BM1" s="18"/>
      <c r="BN1" s="277"/>
      <c r="BO1" s="511" t="s">
        <v>6</v>
      </c>
      <c r="BP1" s="511"/>
      <c r="BQ1" s="511"/>
      <c r="BR1" s="511"/>
      <c r="BS1" s="277"/>
      <c r="BT1" s="18"/>
      <c r="BU1" s="277"/>
      <c r="BV1" s="511" t="s">
        <v>7</v>
      </c>
      <c r="BW1" s="511"/>
      <c r="BX1" s="511"/>
      <c r="BY1" s="511"/>
      <c r="BZ1" s="277"/>
    </row>
    <row r="2" spans="1:78" s="288" customFormat="1" outlineLevel="1">
      <c r="A2" s="7"/>
      <c r="B2" s="282" t="s">
        <v>8</v>
      </c>
      <c r="C2" s="283"/>
      <c r="D2" s="283"/>
      <c r="E2" s="284"/>
      <c r="F2" s="285"/>
      <c r="G2" s="285"/>
      <c r="H2" s="285"/>
      <c r="I2" s="285"/>
      <c r="J2" s="285"/>
      <c r="K2" s="285"/>
      <c r="L2" s="284"/>
      <c r="M2" s="286"/>
      <c r="N2" s="282" t="s">
        <v>8</v>
      </c>
      <c r="O2" s="3"/>
      <c r="P2" s="3"/>
      <c r="Q2" s="2"/>
      <c r="R2" s="2"/>
      <c r="S2" s="2"/>
      <c r="T2" s="2"/>
      <c r="U2" s="2"/>
      <c r="V2" s="2"/>
      <c r="W2" s="2"/>
      <c r="X2" s="2"/>
      <c r="Y2" s="2"/>
      <c r="Z2" s="3"/>
      <c r="AA2" s="281"/>
      <c r="AB2" s="3"/>
      <c r="AC2" s="3"/>
      <c r="AD2" s="3"/>
      <c r="AE2" s="3"/>
      <c r="AF2" s="3"/>
      <c r="AG2" s="3"/>
      <c r="AH2" s="3"/>
      <c r="AI2" s="3"/>
      <c r="AJ2" s="3"/>
      <c r="AK2" s="3"/>
      <c r="AL2" s="3"/>
      <c r="AM2" s="3"/>
      <c r="AN2" s="3"/>
      <c r="AO2" s="3"/>
      <c r="AP2" s="3"/>
      <c r="AR2" s="3"/>
      <c r="AS2" s="3"/>
      <c r="AT2" s="3"/>
      <c r="AU2" s="3"/>
      <c r="AV2" s="3"/>
      <c r="AW2" s="3"/>
      <c r="AX2" s="3"/>
      <c r="AZ2" s="3"/>
      <c r="BA2" s="3"/>
      <c r="BB2" s="3"/>
      <c r="BC2" s="3"/>
      <c r="BD2" s="3"/>
      <c r="BE2" s="3"/>
      <c r="BG2" s="3"/>
      <c r="BH2" s="3"/>
      <c r="BI2" s="3"/>
      <c r="BJ2" s="3"/>
      <c r="BK2" s="3"/>
      <c r="BL2" s="3"/>
      <c r="BN2" s="3"/>
      <c r="BO2" s="3"/>
      <c r="BP2" s="3"/>
      <c r="BQ2" s="3"/>
      <c r="BR2" s="3"/>
      <c r="BS2" s="3"/>
      <c r="BU2" s="3"/>
      <c r="BV2" s="3"/>
      <c r="BW2" s="3"/>
      <c r="BX2" s="3"/>
      <c r="BY2" s="3"/>
      <c r="BZ2" s="3"/>
    </row>
    <row r="3" spans="1:78" s="288" customFormat="1" ht="15.6" outlineLevel="1">
      <c r="A3" s="7"/>
      <c r="B3" s="6" t="s">
        <v>9</v>
      </c>
      <c r="C3" s="289" t="s">
        <v>167</v>
      </c>
      <c r="D3" s="7"/>
      <c r="F3" s="290"/>
      <c r="G3" s="290"/>
      <c r="H3" s="290"/>
      <c r="I3" s="290"/>
      <c r="J3" s="290"/>
      <c r="K3" s="290"/>
      <c r="M3" s="3"/>
      <c r="N3" s="13" t="s">
        <v>11</v>
      </c>
      <c r="O3" s="289" t="s">
        <v>168</v>
      </c>
      <c r="P3" s="3"/>
      <c r="Q3" s="3"/>
      <c r="R3" s="3"/>
      <c r="S3" s="3"/>
      <c r="T3" s="2"/>
      <c r="U3" s="70" t="s">
        <v>13</v>
      </c>
      <c r="V3" s="428" t="str">
        <f>_xlfn.CONCAT("DELIVERY COST (",BillingCountryCurrency,")")</f>
        <v>DELIVERY COST (COP)</v>
      </c>
      <c r="W3" s="428" t="str">
        <f>_xlfn.CONCAT("DELIVERY COST (",IF(ISBLANK(BusinessCurrency),"N/A",BusinessCurrency),")")</f>
        <v>DELIVERY COST (USD)</v>
      </c>
      <c r="X3" s="3"/>
      <c r="Y3" s="3"/>
      <c r="Z3" s="3"/>
      <c r="AA3" s="291"/>
      <c r="AB3" s="3"/>
      <c r="AC3" s="3"/>
      <c r="AD3" s="428" t="str">
        <f>_xlfn.CONCAT("PRICING (",BillingCountryCurrency,")")</f>
        <v>PRICING (COP)</v>
      </c>
      <c r="AE3" s="428" t="str">
        <f>_xlfn.CONCAT("PRICING (",IF(ISBLANK(BusinessCurrency),"N/A",BusinessCurrency),")")</f>
        <v>PRICING (USD)</v>
      </c>
      <c r="AF3" s="70" t="s">
        <v>14</v>
      </c>
      <c r="AG3" s="428" t="str">
        <f>_xlfn.CONCAT("Intercompany (",BillingCountryCurrency,")")</f>
        <v>Intercompany (COP)</v>
      </c>
      <c r="AH3" s="428" t="str">
        <f>_xlfn.CONCAT("Intercompany (",IF(ISBLANK(BusinessCurrency),"N/A",BusinessCurrency),")")</f>
        <v>Intercompany (USD)</v>
      </c>
      <c r="AI3" s="70" t="s">
        <v>14</v>
      </c>
      <c r="AJ3" s="428" t="str">
        <f>_xlfn.CONCAT("WHT (",BillingCountryCurrency,")")</f>
        <v>WHT (COP)</v>
      </c>
      <c r="AK3" s="428" t="str">
        <f>_xlfn.CONCAT("WHT (",IF(ISBLANK(BusinessCurrency),"N/A",BusinessCurrency),")")</f>
        <v>WHT (USD)</v>
      </c>
      <c r="AL3" s="70"/>
      <c r="AM3" s="70" t="s">
        <v>15</v>
      </c>
      <c r="AN3" s="428" t="str">
        <f>_xlfn.CONCAT("BUSINESS VOLUME (",BillingCountryCurrency,")")</f>
        <v>BUSINESS VOLUME (COP)</v>
      </c>
      <c r="AO3" s="428" t="str">
        <f>_xlfn.CONCAT("BUSINESS VOLUME (",IF(ISBLANK(BusinessCurrency),"N/A",BusinessCurrency),")")</f>
        <v>BUSINESS VOLUME (USD)</v>
      </c>
      <c r="AP3" s="3"/>
      <c r="AR3" s="292"/>
      <c r="AS3" s="452" t="s">
        <v>16</v>
      </c>
      <c r="AT3" s="452"/>
      <c r="AU3" s="292"/>
      <c r="AV3" s="414" t="str">
        <f>BillingCountryCurrency</f>
        <v>COP</v>
      </c>
      <c r="AW3" s="414" t="str">
        <f>IF(ISBLANK(BusinessCurrency),"N/A",BusinessCurrency)</f>
        <v>USD</v>
      </c>
      <c r="AX3" s="290"/>
      <c r="AZ3" s="292"/>
      <c r="BA3" s="293" t="s">
        <v>16</v>
      </c>
      <c r="BB3" s="292"/>
      <c r="BC3" s="414" t="str">
        <f>BillingCountryCurrency</f>
        <v>COP</v>
      </c>
      <c r="BD3" s="414" t="str">
        <f>IF(ISBLANK(BusinessCurrency),"N/A",BusinessCurrency)</f>
        <v>USD</v>
      </c>
      <c r="BE3" s="290"/>
      <c r="BG3" s="292"/>
      <c r="BH3" s="293" t="s">
        <v>16</v>
      </c>
      <c r="BI3" s="292"/>
      <c r="BJ3" s="414" t="str">
        <f>BillingCountryCurrency</f>
        <v>COP</v>
      </c>
      <c r="BK3" s="414" t="str">
        <f>IF(ISBLANK(BusinessCurrency),"N/A",BusinessCurrency)</f>
        <v>USD</v>
      </c>
      <c r="BL3" s="290"/>
      <c r="BN3" s="292"/>
      <c r="BO3" s="293" t="s">
        <v>16</v>
      </c>
      <c r="BP3" s="292"/>
      <c r="BQ3" s="414" t="str">
        <f>BillingCountryCurrency</f>
        <v>COP</v>
      </c>
      <c r="BR3" s="414" t="str">
        <f>IF(ISBLANK(BusinessCurrency),"N/A",BusinessCurrency)</f>
        <v>USD</v>
      </c>
      <c r="BS3" s="290"/>
      <c r="BU3" s="292"/>
      <c r="BV3" s="293" t="s">
        <v>16</v>
      </c>
      <c r="BW3" s="292"/>
      <c r="BX3" s="414" t="str">
        <f>BillingCountryCurrency</f>
        <v>COP</v>
      </c>
      <c r="BY3" s="414" t="str">
        <f>IF(ISBLANK(BusinessCurrency),"N/A",BusinessCurrency)</f>
        <v>USD</v>
      </c>
      <c r="BZ3" s="290"/>
    </row>
    <row r="4" spans="1:78" s="288" customFormat="1" ht="15.6" outlineLevel="1">
      <c r="A4" s="7"/>
      <c r="B4" s="6" t="s">
        <v>17</v>
      </c>
      <c r="C4" s="289"/>
      <c r="D4" s="7"/>
      <c r="F4" s="290"/>
      <c r="G4" s="290"/>
      <c r="H4" s="290"/>
      <c r="I4" s="290"/>
      <c r="J4" s="290"/>
      <c r="K4" s="290"/>
      <c r="M4" s="3"/>
      <c r="N4" s="13" t="str">
        <f>IF(Approach="By Hours", "N/A for ByHours", "Hours/Day")</f>
        <v>Hours/Day</v>
      </c>
      <c r="O4" s="399">
        <v>8.1</v>
      </c>
      <c r="P4" s="3"/>
      <c r="Q4" s="3"/>
      <c r="R4" s="294"/>
      <c r="S4" s="3"/>
      <c r="T4" s="13" t="s">
        <v>19</v>
      </c>
      <c r="U4" s="33"/>
      <c r="V4" s="33"/>
      <c r="W4" s="33"/>
      <c r="X4" s="294"/>
      <c r="Y4" s="294"/>
      <c r="Z4" s="3"/>
      <c r="AA4" s="281"/>
      <c r="AB4" s="3"/>
      <c r="AC4" s="13" t="s">
        <v>20</v>
      </c>
      <c r="AD4" s="13"/>
      <c r="AE4" s="13"/>
      <c r="AF4" s="3"/>
      <c r="AG4" s="13"/>
      <c r="AH4" s="13"/>
      <c r="AI4" s="3"/>
      <c r="AJ4" s="3"/>
      <c r="AK4" s="3"/>
      <c r="AL4" s="3"/>
      <c r="AM4" s="3"/>
      <c r="AN4" s="294"/>
      <c r="AO4" s="3"/>
      <c r="AP4" s="3"/>
      <c r="AR4" s="290"/>
      <c r="AS4" s="4" t="s">
        <v>21</v>
      </c>
      <c r="AT4" s="294"/>
      <c r="AU4" s="453">
        <v>0</v>
      </c>
      <c r="AV4" s="415">
        <v>0</v>
      </c>
      <c r="AW4" s="413">
        <f t="shared" ref="AW4:AW15" si="0">IFERROR(AV4/BusinessCurrencyTRM,"N/A")</f>
        <v>0</v>
      </c>
      <c r="AX4" s="3"/>
      <c r="AZ4" s="290"/>
      <c r="BA4" s="295" t="s">
        <v>21</v>
      </c>
      <c r="BB4" s="453">
        <v>0</v>
      </c>
      <c r="BC4" s="415">
        <v>0</v>
      </c>
      <c r="BD4" s="413">
        <f t="shared" ref="BD4:BD15" si="1">IFERROR(BC4/BusinessCurrencyTRM,"N/A")</f>
        <v>0</v>
      </c>
      <c r="BE4" s="3"/>
      <c r="BG4" s="290"/>
      <c r="BH4" s="295" t="s">
        <v>21</v>
      </c>
      <c r="BI4" s="453">
        <v>0</v>
      </c>
      <c r="BJ4" s="415">
        <v>0</v>
      </c>
      <c r="BK4" s="413">
        <f t="shared" ref="BK4:BK15" si="2">IFERROR(BJ4/BusinessCurrencyTRM,"N/A")</f>
        <v>0</v>
      </c>
      <c r="BL4" s="3"/>
      <c r="BN4" s="290"/>
      <c r="BO4" s="295" t="s">
        <v>21</v>
      </c>
      <c r="BP4" s="453">
        <v>0</v>
      </c>
      <c r="BQ4" s="415">
        <v>0</v>
      </c>
      <c r="BR4" s="413">
        <f t="shared" ref="BR4:BR15" si="3">IFERROR(BQ4/BusinessCurrencyTRM,"N/A")</f>
        <v>0</v>
      </c>
      <c r="BS4" s="3"/>
      <c r="BU4" s="290"/>
      <c r="BV4" s="295" t="s">
        <v>21</v>
      </c>
      <c r="BW4" s="453">
        <v>0</v>
      </c>
      <c r="BX4" s="415">
        <v>0</v>
      </c>
      <c r="BY4" s="413">
        <f t="shared" ref="BY4:BY15" si="4">IFERROR(BX4/BusinessCurrencyTRM,"N/A")</f>
        <v>0</v>
      </c>
      <c r="BZ4" s="3"/>
    </row>
    <row r="5" spans="1:78" s="288" customFormat="1" ht="15.6" outlineLevel="1">
      <c r="A5" s="7"/>
      <c r="B5" s="6" t="s">
        <v>22</v>
      </c>
      <c r="C5" s="289"/>
      <c r="D5" s="7"/>
      <c r="F5" s="290"/>
      <c r="G5" s="290"/>
      <c r="H5" s="290"/>
      <c r="I5" s="290"/>
      <c r="J5" s="290"/>
      <c r="K5" s="290"/>
      <c r="M5" s="3"/>
      <c r="N5" s="13"/>
      <c r="O5" s="294"/>
      <c r="P5" s="294"/>
      <c r="Q5" s="297"/>
      <c r="R5" s="294"/>
      <c r="S5" s="3"/>
      <c r="T5" s="4" t="s">
        <v>24</v>
      </c>
      <c r="U5" s="72">
        <f ca="1">IFERROR(SUMIFS(O:O,Y:Y,"varTotalConsultant"),0)</f>
        <v>157.36582800000002</v>
      </c>
      <c r="V5" s="422">
        <f ca="1">IFERROR(SUMIFS(V:V,Y:Y,"varTotalConsultant"),0)</f>
        <v>6327455.9416929018</v>
      </c>
      <c r="W5" s="419">
        <f ca="1">IFERROR(V5/BusinessCurrencyTRM,"N/A")</f>
        <v>1622.4246004340773</v>
      </c>
      <c r="X5" s="294"/>
      <c r="Y5" s="294"/>
      <c r="Z5" s="3"/>
      <c r="AA5" s="281"/>
      <c r="AB5" s="3"/>
      <c r="AC5" s="4" t="s">
        <v>24</v>
      </c>
      <c r="AD5" s="298">
        <f ca="1">IFERROR(SUMIF(Y:Y,"varTotalConsultant",AD:AD),0)</f>
        <v>9039222.8810099997</v>
      </c>
      <c r="AE5" s="419">
        <f ca="1">IFERROR(AD5/BusinessCurrencyTRM,"N/A")</f>
        <v>2317.7494566692308</v>
      </c>
      <c r="AF5" s="3"/>
      <c r="AG5" s="298">
        <f ca="1">IFERROR(SUMIF(Y:Y,"varTotalConsultant",AG:AG),0)</f>
        <v>0</v>
      </c>
      <c r="AH5" s="433">
        <f ca="1">IFERROR(AG5/BusinessCurrencyTRM,"N/A")</f>
        <v>0</v>
      </c>
      <c r="AI5" s="3"/>
      <c r="AJ5" s="298">
        <f ca="1">IFERROR(SUMIF(Y:Y,"varTotalConsultant",AJ:AJ),0)</f>
        <v>0</v>
      </c>
      <c r="AK5" s="419">
        <f ca="1">IFERROR(AJ5/BusinessCurrencyTRM,"N/A")</f>
        <v>0</v>
      </c>
      <c r="AL5" s="3"/>
      <c r="AM5" s="3"/>
      <c r="AN5" s="298">
        <f ca="1">SUM(AD5,AG5,AJ5)</f>
        <v>9039222.8810099997</v>
      </c>
      <c r="AO5" s="419">
        <f ca="1">IFERROR(AN5/BusinessCurrencyTRM,"N/A")</f>
        <v>2317.7494566692308</v>
      </c>
      <c r="AP5" s="3"/>
      <c r="AR5" s="290"/>
      <c r="AS5" s="4" t="s">
        <v>25</v>
      </c>
      <c r="AT5" s="294"/>
      <c r="AU5" s="453">
        <v>0</v>
      </c>
      <c r="AV5" s="415">
        <v>0</v>
      </c>
      <c r="AW5" s="413">
        <f t="shared" si="0"/>
        <v>0</v>
      </c>
      <c r="AX5" s="290"/>
      <c r="AZ5" s="290"/>
      <c r="BA5" s="295" t="s">
        <v>25</v>
      </c>
      <c r="BB5" s="453">
        <v>0</v>
      </c>
      <c r="BC5" s="415">
        <v>0</v>
      </c>
      <c r="BD5" s="413">
        <f t="shared" si="1"/>
        <v>0</v>
      </c>
      <c r="BE5" s="290"/>
      <c r="BG5" s="290"/>
      <c r="BH5" s="295" t="s">
        <v>25</v>
      </c>
      <c r="BI5" s="453">
        <v>0</v>
      </c>
      <c r="BJ5" s="415">
        <v>0</v>
      </c>
      <c r="BK5" s="413">
        <f t="shared" si="2"/>
        <v>0</v>
      </c>
      <c r="BL5" s="290"/>
      <c r="BN5" s="290"/>
      <c r="BO5" s="295" t="s">
        <v>25</v>
      </c>
      <c r="BP5" s="453">
        <v>0</v>
      </c>
      <c r="BQ5" s="415">
        <v>0</v>
      </c>
      <c r="BR5" s="413">
        <f t="shared" si="3"/>
        <v>0</v>
      </c>
      <c r="BS5" s="290"/>
      <c r="BU5" s="290"/>
      <c r="BV5" s="295" t="s">
        <v>25</v>
      </c>
      <c r="BW5" s="453">
        <v>0</v>
      </c>
      <c r="BX5" s="415">
        <v>0</v>
      </c>
      <c r="BY5" s="413">
        <f t="shared" si="4"/>
        <v>0</v>
      </c>
      <c r="BZ5" s="290"/>
    </row>
    <row r="6" spans="1:78" s="288" customFormat="1" ht="16.149999999999999" outlineLevel="1" thickBot="1">
      <c r="A6" s="7"/>
      <c r="B6" s="6" t="s">
        <v>26</v>
      </c>
      <c r="C6" s="289"/>
      <c r="D6" s="7"/>
      <c r="F6" s="290"/>
      <c r="G6" s="290"/>
      <c r="H6" s="290"/>
      <c r="I6" s="290"/>
      <c r="J6" s="290"/>
      <c r="K6" s="290"/>
      <c r="M6" s="3"/>
      <c r="N6" s="13" t="s">
        <v>28</v>
      </c>
      <c r="O6" s="289"/>
      <c r="P6" s="294"/>
      <c r="Q6" s="299"/>
      <c r="R6" s="294"/>
      <c r="S6" s="3"/>
      <c r="T6" s="4" t="s">
        <v>30</v>
      </c>
      <c r="U6" s="74">
        <f ca="1">IFERROR(SUMIFS(O:O,Y:Y,"varTotalPM"),0)</f>
        <v>34.020000000000003</v>
      </c>
      <c r="V6" s="423">
        <f ca="1">IFERROR(SUMIFS(V:V,Y:Y,"varTotalPM"),0)</f>
        <v>0</v>
      </c>
      <c r="W6" s="420">
        <f ca="1">IFERROR(V6/BusinessCurrencyTRM,"N/A")</f>
        <v>0</v>
      </c>
      <c r="X6" s="294"/>
      <c r="Y6" s="294"/>
      <c r="Z6" s="3"/>
      <c r="AA6" s="281"/>
      <c r="AB6" s="3"/>
      <c r="AC6" s="4" t="s">
        <v>30</v>
      </c>
      <c r="AD6" s="75">
        <f ca="1">IFERROR(SUMIF(Y:Y,"varTotalPM",AD:AD),0)</f>
        <v>0</v>
      </c>
      <c r="AE6" s="420">
        <f ca="1">IFERROR(AD6/BusinessCurrencyTRM,"N/A")</f>
        <v>0</v>
      </c>
      <c r="AF6" s="3"/>
      <c r="AG6" s="75">
        <f ca="1">IFERROR(SUMIF(Y:Y,"varTotalPM",AG:AG),0)</f>
        <v>0</v>
      </c>
      <c r="AH6" s="434">
        <f ca="1">IFERROR(AG6/BusinessCurrencyTRM,"N/A")</f>
        <v>0</v>
      </c>
      <c r="AI6" s="3"/>
      <c r="AJ6" s="75">
        <f ca="1">IFERROR(SUMIF(Y:Y,"varTotalPM",AJ:AJ),0)</f>
        <v>0</v>
      </c>
      <c r="AK6" s="420">
        <f ca="1">IFERROR(AJ6/BusinessCurrencyTRM,"N/A")</f>
        <v>0</v>
      </c>
      <c r="AL6" s="3"/>
      <c r="AM6" s="3"/>
      <c r="AN6" s="75">
        <f ca="1">SUM(AD6,AG6,AJ6)</f>
        <v>0</v>
      </c>
      <c r="AO6" s="420">
        <f ca="1">IFERROR(AN6/BusinessCurrencyTRM,"N/A")</f>
        <v>0</v>
      </c>
      <c r="AP6" s="76"/>
      <c r="AR6" s="290"/>
      <c r="AS6" s="4" t="s">
        <v>31</v>
      </c>
      <c r="AT6" s="294"/>
      <c r="AU6" s="453">
        <v>0</v>
      </c>
      <c r="AV6" s="415">
        <v>0</v>
      </c>
      <c r="AW6" s="413">
        <f t="shared" si="0"/>
        <v>0</v>
      </c>
      <c r="AX6" s="3"/>
      <c r="AZ6" s="290"/>
      <c r="BA6" s="295" t="s">
        <v>31</v>
      </c>
      <c r="BB6" s="453">
        <v>0</v>
      </c>
      <c r="BC6" s="415">
        <v>0</v>
      </c>
      <c r="BD6" s="413">
        <f t="shared" si="1"/>
        <v>0</v>
      </c>
      <c r="BE6" s="3"/>
      <c r="BG6" s="290"/>
      <c r="BH6" s="295" t="s">
        <v>31</v>
      </c>
      <c r="BI6" s="453">
        <v>0</v>
      </c>
      <c r="BJ6" s="415">
        <v>0</v>
      </c>
      <c r="BK6" s="413">
        <f t="shared" si="2"/>
        <v>0</v>
      </c>
      <c r="BL6" s="3"/>
      <c r="BN6" s="290"/>
      <c r="BO6" s="295" t="s">
        <v>31</v>
      </c>
      <c r="BP6" s="453">
        <v>0</v>
      </c>
      <c r="BQ6" s="415">
        <v>0</v>
      </c>
      <c r="BR6" s="413">
        <f t="shared" si="3"/>
        <v>0</v>
      </c>
      <c r="BS6" s="3"/>
      <c r="BU6" s="290"/>
      <c r="BV6" s="295" t="s">
        <v>31</v>
      </c>
      <c r="BW6" s="453">
        <v>0</v>
      </c>
      <c r="BX6" s="415">
        <v>0</v>
      </c>
      <c r="BY6" s="413">
        <f t="shared" si="4"/>
        <v>0</v>
      </c>
      <c r="BZ6" s="3"/>
    </row>
    <row r="7" spans="1:78" s="302" customFormat="1" ht="16.149999999999999" outlineLevel="1" thickTop="1">
      <c r="A7" s="7"/>
      <c r="B7" s="6" t="s">
        <v>32</v>
      </c>
      <c r="C7" s="289"/>
      <c r="D7" s="7"/>
      <c r="E7" s="288"/>
      <c r="F7" s="290"/>
      <c r="G7" s="290"/>
      <c r="H7" s="290"/>
      <c r="I7" s="290"/>
      <c r="J7" s="290"/>
      <c r="K7" s="290"/>
      <c r="L7" s="288"/>
      <c r="M7" s="3"/>
      <c r="N7" s="13" t="s">
        <v>33</v>
      </c>
      <c r="O7" s="289"/>
      <c r="P7" s="294"/>
      <c r="Q7" s="300"/>
      <c r="R7" s="300"/>
      <c r="S7" s="3"/>
      <c r="T7" s="35" t="s">
        <v>35</v>
      </c>
      <c r="U7" s="301">
        <f ca="1">IFERROR(SUM(U5:U6),0)</f>
        <v>191.38582800000003</v>
      </c>
      <c r="V7" s="424">
        <f ca="1">IFERROR(SUM($V$5:$V$6),0)</f>
        <v>6327455.9416929018</v>
      </c>
      <c r="W7" s="418">
        <f ca="1">IFERROR(V7/BusinessCurrencyTRM,"N/A")</f>
        <v>1622.4246004340773</v>
      </c>
      <c r="X7" s="294"/>
      <c r="Y7" s="294"/>
      <c r="Z7" s="294"/>
      <c r="AA7" s="291"/>
      <c r="AB7" s="294"/>
      <c r="AC7" s="4" t="s">
        <v>35</v>
      </c>
      <c r="AD7" s="298">
        <f ca="1">IFERROR(SUM(AD5:AD6),0)</f>
        <v>9039222.8810099997</v>
      </c>
      <c r="AE7" s="418">
        <f ca="1">IFERROR(AD7/BusinessCurrencyTRM,"N/A")</f>
        <v>2317.7494566692308</v>
      </c>
      <c r="AF7" s="3"/>
      <c r="AG7" s="298">
        <f ca="1">IFERROR(SUM(AG5:AG6),0)</f>
        <v>0</v>
      </c>
      <c r="AH7" s="435">
        <f ca="1">IFERROR(AG7/BusinessCurrencyTRM,"N/A")</f>
        <v>0</v>
      </c>
      <c r="AI7" s="3"/>
      <c r="AJ7" s="436">
        <f ca="1">IFERROR(SUM(AJ5:AJ6),0)</f>
        <v>0</v>
      </c>
      <c r="AK7" s="418">
        <f ca="1">IFERROR(AJ7/BusinessCurrencyTRM,"N/A")</f>
        <v>0</v>
      </c>
      <c r="AL7" s="3"/>
      <c r="AM7" s="3"/>
      <c r="AN7" s="298">
        <f ca="1">IFERROR(SUM(AN5:AN6),0)</f>
        <v>9039222.8810099997</v>
      </c>
      <c r="AO7" s="418">
        <f ca="1">IFERROR(AN7/BusinessCurrencyTRM,"N/A")</f>
        <v>2317.7494566692308</v>
      </c>
      <c r="AP7" s="76"/>
      <c r="AQ7" s="288"/>
      <c r="AR7" s="290"/>
      <c r="AS7" s="4" t="s">
        <v>36</v>
      </c>
      <c r="AT7" s="294"/>
      <c r="AU7" s="453">
        <v>0</v>
      </c>
      <c r="AV7" s="415">
        <v>0</v>
      </c>
      <c r="AW7" s="413">
        <f t="shared" si="0"/>
        <v>0</v>
      </c>
      <c r="AX7" s="290"/>
      <c r="AY7" s="288"/>
      <c r="AZ7" s="290"/>
      <c r="BA7" s="295" t="s">
        <v>36</v>
      </c>
      <c r="BB7" s="453">
        <v>0</v>
      </c>
      <c r="BC7" s="415">
        <v>0</v>
      </c>
      <c r="BD7" s="413">
        <f t="shared" si="1"/>
        <v>0</v>
      </c>
      <c r="BE7" s="290"/>
      <c r="BF7" s="288"/>
      <c r="BG7" s="290"/>
      <c r="BH7" s="295" t="s">
        <v>36</v>
      </c>
      <c r="BI7" s="453">
        <v>0</v>
      </c>
      <c r="BJ7" s="415">
        <v>0</v>
      </c>
      <c r="BK7" s="413">
        <f t="shared" si="2"/>
        <v>0</v>
      </c>
      <c r="BL7" s="290"/>
      <c r="BM7" s="288"/>
      <c r="BN7" s="290"/>
      <c r="BO7" s="295" t="s">
        <v>36</v>
      </c>
      <c r="BP7" s="453">
        <v>0</v>
      </c>
      <c r="BQ7" s="415">
        <v>0</v>
      </c>
      <c r="BR7" s="413">
        <f t="shared" si="3"/>
        <v>0</v>
      </c>
      <c r="BS7" s="290"/>
      <c r="BT7" s="288"/>
      <c r="BU7" s="290"/>
      <c r="BV7" s="295" t="s">
        <v>36</v>
      </c>
      <c r="BW7" s="453">
        <v>0</v>
      </c>
      <c r="BX7" s="415">
        <v>0</v>
      </c>
      <c r="BY7" s="413">
        <f t="shared" si="4"/>
        <v>0</v>
      </c>
      <c r="BZ7" s="290"/>
    </row>
    <row r="8" spans="1:78" s="302" customFormat="1" ht="15.6" outlineLevel="1">
      <c r="A8" s="7"/>
      <c r="B8" s="6" t="s">
        <v>37</v>
      </c>
      <c r="C8" s="289" t="s">
        <v>169</v>
      </c>
      <c r="D8" s="7"/>
      <c r="E8" s="288"/>
      <c r="F8" s="290"/>
      <c r="G8" s="290"/>
      <c r="H8" s="290"/>
      <c r="I8" s="290"/>
      <c r="J8" s="290"/>
      <c r="K8" s="290"/>
      <c r="L8" s="288"/>
      <c r="M8" s="3"/>
      <c r="N8" s="13" t="s">
        <v>39</v>
      </c>
      <c r="O8" s="289"/>
      <c r="P8" s="294"/>
      <c r="Q8" s="303"/>
      <c r="R8" s="300"/>
      <c r="S8" s="294"/>
      <c r="T8" s="13"/>
      <c r="U8" s="13"/>
      <c r="V8" s="13"/>
      <c r="W8" s="13"/>
      <c r="X8" s="294"/>
      <c r="Y8" s="294"/>
      <c r="Z8" s="3"/>
      <c r="AA8" s="304"/>
      <c r="AB8" s="3"/>
      <c r="AC8" s="3"/>
      <c r="AD8" s="3"/>
      <c r="AE8" s="3"/>
      <c r="AF8" s="3"/>
      <c r="AG8" s="3"/>
      <c r="AH8" s="3"/>
      <c r="AI8" s="3"/>
      <c r="AJ8" s="3"/>
      <c r="AK8" s="3"/>
      <c r="AL8" s="3"/>
      <c r="AM8" s="3"/>
      <c r="AN8" s="3"/>
      <c r="AO8" s="3"/>
      <c r="AP8" s="76"/>
      <c r="AQ8" s="288"/>
      <c r="AR8" s="290"/>
      <c r="AS8" s="4" t="s">
        <v>40</v>
      </c>
      <c r="AT8" s="294"/>
      <c r="AU8" s="453">
        <v>0</v>
      </c>
      <c r="AV8" s="415">
        <v>0</v>
      </c>
      <c r="AW8" s="413">
        <f t="shared" si="0"/>
        <v>0</v>
      </c>
      <c r="AX8" s="3"/>
      <c r="AY8" s="288"/>
      <c r="AZ8" s="290"/>
      <c r="BA8" s="295" t="s">
        <v>40</v>
      </c>
      <c r="BB8" s="453">
        <v>0</v>
      </c>
      <c r="BC8" s="415">
        <v>0</v>
      </c>
      <c r="BD8" s="413">
        <f t="shared" si="1"/>
        <v>0</v>
      </c>
      <c r="BE8" s="3"/>
      <c r="BF8" s="288"/>
      <c r="BG8" s="290"/>
      <c r="BH8" s="295" t="s">
        <v>40</v>
      </c>
      <c r="BI8" s="453">
        <v>0</v>
      </c>
      <c r="BJ8" s="415">
        <v>0</v>
      </c>
      <c r="BK8" s="413">
        <f t="shared" si="2"/>
        <v>0</v>
      </c>
      <c r="BL8" s="3"/>
      <c r="BM8" s="288"/>
      <c r="BN8" s="290"/>
      <c r="BO8" s="295" t="s">
        <v>40</v>
      </c>
      <c r="BP8" s="453">
        <v>0</v>
      </c>
      <c r="BQ8" s="415">
        <v>0</v>
      </c>
      <c r="BR8" s="413">
        <f t="shared" si="3"/>
        <v>0</v>
      </c>
      <c r="BS8" s="3"/>
      <c r="BT8" s="288"/>
      <c r="BU8" s="290"/>
      <c r="BV8" s="295" t="s">
        <v>40</v>
      </c>
      <c r="BW8" s="453">
        <v>0</v>
      </c>
      <c r="BX8" s="415">
        <v>0</v>
      </c>
      <c r="BY8" s="413">
        <f t="shared" si="4"/>
        <v>0</v>
      </c>
      <c r="BZ8" s="3"/>
    </row>
    <row r="9" spans="1:78" s="302" customFormat="1" ht="15.6" outlineLevel="1">
      <c r="A9" s="7"/>
      <c r="B9" s="6" t="s">
        <v>41</v>
      </c>
      <c r="C9" s="289" t="s">
        <v>170</v>
      </c>
      <c r="D9" s="7"/>
      <c r="E9" s="288"/>
      <c r="F9" s="290"/>
      <c r="G9" s="290"/>
      <c r="H9" s="290"/>
      <c r="I9" s="290"/>
      <c r="J9" s="290"/>
      <c r="K9" s="290"/>
      <c r="L9" s="288"/>
      <c r="M9" s="3"/>
      <c r="N9" s="13"/>
      <c r="O9" s="294"/>
      <c r="P9" s="294"/>
      <c r="Q9" s="305"/>
      <c r="R9" s="294"/>
      <c r="S9" s="77"/>
      <c r="T9" s="13" t="s">
        <v>42</v>
      </c>
      <c r="U9" s="13"/>
      <c r="V9" s="13"/>
      <c r="W9" s="13"/>
      <c r="X9" s="294"/>
      <c r="Y9" s="294"/>
      <c r="Z9" s="3"/>
      <c r="AA9" s="304"/>
      <c r="AB9" s="3"/>
      <c r="AC9" s="13" t="s">
        <v>43</v>
      </c>
      <c r="AD9" s="294"/>
      <c r="AE9" s="294"/>
      <c r="AF9" s="3"/>
      <c r="AG9" s="294"/>
      <c r="AH9" s="294"/>
      <c r="AI9" s="3"/>
      <c r="AJ9" s="294"/>
      <c r="AK9" s="294"/>
      <c r="AL9" s="3"/>
      <c r="AM9" s="3"/>
      <c r="AN9" s="294"/>
      <c r="AO9" s="294"/>
      <c r="AP9" s="306"/>
      <c r="AQ9" s="288"/>
      <c r="AR9" s="290"/>
      <c r="AS9" s="4" t="s">
        <v>44</v>
      </c>
      <c r="AT9" s="294"/>
      <c r="AU9" s="453">
        <v>0</v>
      </c>
      <c r="AV9" s="415">
        <v>0</v>
      </c>
      <c r="AW9" s="413">
        <f t="shared" si="0"/>
        <v>0</v>
      </c>
      <c r="AX9" s="292"/>
      <c r="AY9" s="288"/>
      <c r="AZ9" s="290"/>
      <c r="BA9" s="295" t="s">
        <v>44</v>
      </c>
      <c r="BB9" s="453">
        <v>0</v>
      </c>
      <c r="BC9" s="415">
        <v>0</v>
      </c>
      <c r="BD9" s="413">
        <f t="shared" si="1"/>
        <v>0</v>
      </c>
      <c r="BE9" s="292"/>
      <c r="BF9" s="288"/>
      <c r="BG9" s="290"/>
      <c r="BH9" s="295" t="s">
        <v>44</v>
      </c>
      <c r="BI9" s="453">
        <v>0</v>
      </c>
      <c r="BJ9" s="415">
        <v>0</v>
      </c>
      <c r="BK9" s="413">
        <f t="shared" si="2"/>
        <v>0</v>
      </c>
      <c r="BL9" s="292"/>
      <c r="BM9" s="288"/>
      <c r="BN9" s="290"/>
      <c r="BO9" s="295" t="s">
        <v>44</v>
      </c>
      <c r="BP9" s="453">
        <v>0</v>
      </c>
      <c r="BQ9" s="415">
        <v>0</v>
      </c>
      <c r="BR9" s="413">
        <f t="shared" si="3"/>
        <v>0</v>
      </c>
      <c r="BS9" s="292"/>
      <c r="BT9" s="288"/>
      <c r="BU9" s="290"/>
      <c r="BV9" s="295" t="s">
        <v>44</v>
      </c>
      <c r="BW9" s="453">
        <v>0</v>
      </c>
      <c r="BX9" s="415">
        <v>0</v>
      </c>
      <c r="BY9" s="413">
        <f t="shared" si="4"/>
        <v>0</v>
      </c>
      <c r="BZ9" s="292"/>
    </row>
    <row r="10" spans="1:78" s="302" customFormat="1" ht="15.6" outlineLevel="1">
      <c r="A10" s="7"/>
      <c r="B10" s="6" t="s">
        <v>45</v>
      </c>
      <c r="C10" s="289" t="s">
        <v>171</v>
      </c>
      <c r="D10" s="7"/>
      <c r="E10" s="288"/>
      <c r="F10" s="290"/>
      <c r="G10" s="290"/>
      <c r="H10" s="290"/>
      <c r="I10" s="290"/>
      <c r="J10" s="290"/>
      <c r="K10" s="290"/>
      <c r="L10" s="288"/>
      <c r="M10" s="3"/>
      <c r="N10" s="13" t="s">
        <v>46</v>
      </c>
      <c r="O10" s="289" t="str">
        <f>CustomerCountry</f>
        <v>Colombia</v>
      </c>
      <c r="P10" s="294"/>
      <c r="Q10" s="305"/>
      <c r="R10" s="294"/>
      <c r="S10" s="77"/>
      <c r="T10" s="4" t="s">
        <v>47</v>
      </c>
      <c r="U10" s="2"/>
      <c r="V10" s="73">
        <f ca="1">IFERROR(SUMIF(Y:Y,"varTotalRisks",V:V),0)</f>
        <v>0</v>
      </c>
      <c r="W10" s="419">
        <f t="shared" ref="W10:W15" ca="1" si="5">IFERROR(V10/BusinessCurrencyTRM,"N/A")</f>
        <v>0</v>
      </c>
      <c r="X10" s="294"/>
      <c r="Y10" s="294"/>
      <c r="Z10" s="3"/>
      <c r="AA10" s="304"/>
      <c r="AB10" s="3"/>
      <c r="AC10" s="4" t="s">
        <v>47</v>
      </c>
      <c r="AD10" s="298">
        <f ca="1">IFERROR(SUMIF(Y:Y,"varTotalRisks",AD:AD),0)</f>
        <v>0</v>
      </c>
      <c r="AE10" s="419">
        <f t="shared" ref="AE10:AE15" ca="1" si="6">IFERROR(AD10/BusinessCurrencyTRM,"N/A")</f>
        <v>0</v>
      </c>
      <c r="AF10" s="3"/>
      <c r="AG10" s="298">
        <f ca="1">IFERROR(SUMIF(Y:Y,"varTotalRisks",AG:AG),0)</f>
        <v>0</v>
      </c>
      <c r="AH10" s="433">
        <f t="shared" ref="AH10:AH16" ca="1" si="7">IFERROR(AG10/BusinessCurrencyTRM,"N/A")</f>
        <v>0</v>
      </c>
      <c r="AI10" s="3"/>
      <c r="AJ10" s="298">
        <f ca="1">IFERROR(SUMIF(Y:Y,"varTotalRisks",AJ:AJ),0)</f>
        <v>0</v>
      </c>
      <c r="AK10" s="419">
        <f t="shared" ref="AK10:AK16" ca="1" si="8">IFERROR(AJ10/BusinessCurrencyTRM,"N/A")</f>
        <v>0</v>
      </c>
      <c r="AL10" s="3"/>
      <c r="AM10" s="3"/>
      <c r="AN10" s="298">
        <f t="shared" ref="AN10:AN15" ca="1" si="9">SUM(AD10,AG10,AJ10)</f>
        <v>0</v>
      </c>
      <c r="AO10" s="419">
        <f t="shared" ref="AO10:AO16" ca="1" si="10">IFERROR(AN10/BusinessCurrencyTRM,"N/A")</f>
        <v>0</v>
      </c>
      <c r="AP10" s="306"/>
      <c r="AQ10" s="288"/>
      <c r="AR10" s="290"/>
      <c r="AS10" s="4" t="s">
        <v>48</v>
      </c>
      <c r="AT10" s="294"/>
      <c r="AU10" s="453">
        <v>0</v>
      </c>
      <c r="AV10" s="415">
        <v>0</v>
      </c>
      <c r="AW10" s="413">
        <f t="shared" si="0"/>
        <v>0</v>
      </c>
      <c r="AX10" s="290"/>
      <c r="AY10" s="288"/>
      <c r="AZ10" s="290"/>
      <c r="BA10" s="295" t="s">
        <v>48</v>
      </c>
      <c r="BB10" s="453">
        <v>0</v>
      </c>
      <c r="BC10" s="415">
        <v>0</v>
      </c>
      <c r="BD10" s="413">
        <f t="shared" si="1"/>
        <v>0</v>
      </c>
      <c r="BE10" s="290"/>
      <c r="BF10" s="288"/>
      <c r="BG10" s="290"/>
      <c r="BH10" s="295" t="s">
        <v>48</v>
      </c>
      <c r="BI10" s="453">
        <v>0</v>
      </c>
      <c r="BJ10" s="415">
        <v>0</v>
      </c>
      <c r="BK10" s="413">
        <f t="shared" si="2"/>
        <v>0</v>
      </c>
      <c r="BL10" s="290"/>
      <c r="BM10" s="288"/>
      <c r="BN10" s="290"/>
      <c r="BO10" s="295" t="s">
        <v>48</v>
      </c>
      <c r="BP10" s="453">
        <v>0</v>
      </c>
      <c r="BQ10" s="415">
        <v>0</v>
      </c>
      <c r="BR10" s="413">
        <f t="shared" si="3"/>
        <v>0</v>
      </c>
      <c r="BS10" s="290"/>
      <c r="BT10" s="288"/>
      <c r="BU10" s="290"/>
      <c r="BV10" s="295" t="s">
        <v>48</v>
      </c>
      <c r="BW10" s="453">
        <v>0</v>
      </c>
      <c r="BX10" s="415">
        <v>0</v>
      </c>
      <c r="BY10" s="413">
        <f t="shared" si="4"/>
        <v>0</v>
      </c>
      <c r="BZ10" s="290"/>
    </row>
    <row r="11" spans="1:78" s="288" customFormat="1" ht="15.6" outlineLevel="1">
      <c r="A11" s="7"/>
      <c r="B11" s="7"/>
      <c r="C11" s="7"/>
      <c r="D11" s="7"/>
      <c r="F11" s="290"/>
      <c r="G11" s="290"/>
      <c r="H11" s="290"/>
      <c r="I11" s="290"/>
      <c r="J11" s="290"/>
      <c r="K11" s="290"/>
      <c r="M11" s="3"/>
      <c r="N11" s="13" t="s">
        <v>49</v>
      </c>
      <c r="O11" s="399" t="str">
        <f>INDEX(Paramenters!$C$28:$C$85,MATCH(BillingCountry,Paramenters!$A$28:$A$85,0))</f>
        <v>COP</v>
      </c>
      <c r="P11" s="294"/>
      <c r="Q11" s="305"/>
      <c r="R11" s="294"/>
      <c r="S11" s="77"/>
      <c r="T11" s="4" t="s">
        <v>50</v>
      </c>
      <c r="U11" s="2"/>
      <c r="V11" s="73">
        <f>IFERROR(SUMIF(Y:Y,"varTotalPayRise",V:V),0)</f>
        <v>0</v>
      </c>
      <c r="W11" s="419">
        <f t="shared" si="5"/>
        <v>0</v>
      </c>
      <c r="X11" s="2"/>
      <c r="Y11" s="2"/>
      <c r="Z11" s="3"/>
      <c r="AA11" s="304"/>
      <c r="AB11" s="3"/>
      <c r="AC11" s="4" t="s">
        <v>51</v>
      </c>
      <c r="AD11" s="298">
        <f>IFERROR(SUMIF(Y:Y,"varTotalPayRise",AD:AD),0)</f>
        <v>0</v>
      </c>
      <c r="AE11" s="419">
        <f t="shared" si="6"/>
        <v>0</v>
      </c>
      <c r="AF11" s="3"/>
      <c r="AG11" s="298">
        <f>IFERROR(SUMIF(Y:Y,"varTotalPayRise",AG:AG),0)</f>
        <v>0</v>
      </c>
      <c r="AH11" s="440">
        <f t="shared" si="7"/>
        <v>0</v>
      </c>
      <c r="AI11" s="3"/>
      <c r="AJ11" s="451">
        <f>IFERROR(SUMIF(Y:Y,"varTotalPayRise",AJ:AJ),0)</f>
        <v>0</v>
      </c>
      <c r="AK11" s="419">
        <f t="shared" si="8"/>
        <v>0</v>
      </c>
      <c r="AL11" s="3"/>
      <c r="AM11" s="3"/>
      <c r="AN11" s="298">
        <f t="shared" si="9"/>
        <v>0</v>
      </c>
      <c r="AO11" s="419">
        <f t="shared" si="10"/>
        <v>0</v>
      </c>
      <c r="AP11" s="306"/>
      <c r="AR11" s="290"/>
      <c r="AS11" s="4" t="s">
        <v>52</v>
      </c>
      <c r="AT11" s="294"/>
      <c r="AU11" s="453">
        <v>0</v>
      </c>
      <c r="AV11" s="415">
        <v>0</v>
      </c>
      <c r="AW11" s="413">
        <f t="shared" si="0"/>
        <v>0</v>
      </c>
      <c r="AX11" s="292"/>
      <c r="AZ11" s="290"/>
      <c r="BA11" s="295" t="s">
        <v>52</v>
      </c>
      <c r="BB11" s="453">
        <v>0</v>
      </c>
      <c r="BC11" s="415">
        <v>0</v>
      </c>
      <c r="BD11" s="413">
        <f t="shared" si="1"/>
        <v>0</v>
      </c>
      <c r="BE11" s="292"/>
      <c r="BG11" s="290"/>
      <c r="BH11" s="295" t="s">
        <v>52</v>
      </c>
      <c r="BI11" s="453">
        <v>0</v>
      </c>
      <c r="BJ11" s="415">
        <v>0</v>
      </c>
      <c r="BK11" s="413">
        <f t="shared" si="2"/>
        <v>0</v>
      </c>
      <c r="BL11" s="292"/>
      <c r="BN11" s="290"/>
      <c r="BO11" s="295" t="s">
        <v>52</v>
      </c>
      <c r="BP11" s="453">
        <v>0</v>
      </c>
      <c r="BQ11" s="415">
        <v>0</v>
      </c>
      <c r="BR11" s="413">
        <f t="shared" si="3"/>
        <v>0</v>
      </c>
      <c r="BS11" s="292"/>
      <c r="BU11" s="290"/>
      <c r="BV11" s="295" t="s">
        <v>52</v>
      </c>
      <c r="BW11" s="453">
        <v>0</v>
      </c>
      <c r="BX11" s="415">
        <v>0</v>
      </c>
      <c r="BY11" s="413">
        <f t="shared" si="4"/>
        <v>0</v>
      </c>
      <c r="BZ11" s="292"/>
    </row>
    <row r="12" spans="1:78" s="288" customFormat="1" ht="15.6" outlineLevel="1">
      <c r="A12" s="7"/>
      <c r="B12" s="71" t="s">
        <v>53</v>
      </c>
      <c r="C12" s="35" t="s">
        <v>54</v>
      </c>
      <c r="D12" s="7"/>
      <c r="F12" s="290"/>
      <c r="G12" s="290"/>
      <c r="H12" s="290"/>
      <c r="I12" s="290"/>
      <c r="J12" s="290"/>
      <c r="K12" s="290"/>
      <c r="M12" s="3"/>
      <c r="N12" s="13"/>
      <c r="O12" s="294"/>
      <c r="P12" s="294"/>
      <c r="Q12" s="305"/>
      <c r="R12" s="13"/>
      <c r="S12" s="307"/>
      <c r="T12" s="4" t="s">
        <v>55</v>
      </c>
      <c r="U12" s="295"/>
      <c r="V12" s="73">
        <f>IFERROR(SUMIF(Y:Y,"varTotalProducts",V:V),0)</f>
        <v>0</v>
      </c>
      <c r="W12" s="419">
        <f t="shared" si="5"/>
        <v>0</v>
      </c>
      <c r="X12" s="294"/>
      <c r="Y12" s="294"/>
      <c r="Z12" s="3"/>
      <c r="AA12" s="304"/>
      <c r="AB12" s="3"/>
      <c r="AC12" s="4" t="s">
        <v>55</v>
      </c>
      <c r="AD12" s="298">
        <f>IFERROR(SUMIF(Y:Y,"varTotalProducts",AD:AD),0)</f>
        <v>0</v>
      </c>
      <c r="AE12" s="419">
        <f t="shared" si="6"/>
        <v>0</v>
      </c>
      <c r="AF12" s="3"/>
      <c r="AG12" s="298">
        <f>IFERROR(SUMIF(Y:Y,"varTotalProducts",AG:AG),0)</f>
        <v>0</v>
      </c>
      <c r="AH12" s="440">
        <f t="shared" si="7"/>
        <v>0</v>
      </c>
      <c r="AI12" s="3"/>
      <c r="AJ12" s="451">
        <f>IFERROR(SUMIF(Y:Y,"varTotalProducts",AJ:AJ),0)</f>
        <v>0</v>
      </c>
      <c r="AK12" s="419">
        <f t="shared" si="8"/>
        <v>0</v>
      </c>
      <c r="AL12" s="3"/>
      <c r="AM12" s="3"/>
      <c r="AN12" s="298">
        <f t="shared" si="9"/>
        <v>0</v>
      </c>
      <c r="AO12" s="419">
        <f t="shared" si="10"/>
        <v>0</v>
      </c>
      <c r="AP12" s="306"/>
      <c r="AR12" s="290"/>
      <c r="AS12" s="4" t="s">
        <v>56</v>
      </c>
      <c r="AT12" s="294"/>
      <c r="AU12" s="453">
        <v>0</v>
      </c>
      <c r="AV12" s="415">
        <v>0</v>
      </c>
      <c r="AW12" s="413">
        <f t="shared" si="0"/>
        <v>0</v>
      </c>
      <c r="AX12" s="292"/>
      <c r="AZ12" s="290"/>
      <c r="BA12" s="295" t="s">
        <v>56</v>
      </c>
      <c r="BB12" s="453">
        <v>0</v>
      </c>
      <c r="BC12" s="415">
        <v>0</v>
      </c>
      <c r="BD12" s="413">
        <f t="shared" si="1"/>
        <v>0</v>
      </c>
      <c r="BE12" s="292"/>
      <c r="BG12" s="290"/>
      <c r="BH12" s="295" t="s">
        <v>56</v>
      </c>
      <c r="BI12" s="453">
        <v>0</v>
      </c>
      <c r="BJ12" s="415">
        <v>0</v>
      </c>
      <c r="BK12" s="413">
        <f t="shared" si="2"/>
        <v>0</v>
      </c>
      <c r="BL12" s="292"/>
      <c r="BN12" s="290"/>
      <c r="BO12" s="295" t="s">
        <v>56</v>
      </c>
      <c r="BP12" s="453">
        <v>0</v>
      </c>
      <c r="BQ12" s="415">
        <v>0</v>
      </c>
      <c r="BR12" s="413">
        <f t="shared" si="3"/>
        <v>0</v>
      </c>
      <c r="BS12" s="292"/>
      <c r="BU12" s="290"/>
      <c r="BV12" s="295" t="s">
        <v>56</v>
      </c>
      <c r="BW12" s="453">
        <v>0</v>
      </c>
      <c r="BX12" s="415">
        <v>0</v>
      </c>
      <c r="BY12" s="413">
        <f t="shared" si="4"/>
        <v>0</v>
      </c>
      <c r="BZ12" s="292"/>
    </row>
    <row r="13" spans="1:78" s="288" customFormat="1" ht="15.6" outlineLevel="1">
      <c r="A13" s="7"/>
      <c r="B13" s="308"/>
      <c r="C13" s="289"/>
      <c r="D13" s="7"/>
      <c r="F13" s="290"/>
      <c r="G13" s="290"/>
      <c r="H13" s="290"/>
      <c r="I13" s="290"/>
      <c r="J13" s="290"/>
      <c r="K13" s="290"/>
      <c r="M13" s="3"/>
      <c r="N13" s="13" t="s">
        <v>57</v>
      </c>
      <c r="O13" s="394" t="s">
        <v>172</v>
      </c>
      <c r="P13" s="294"/>
      <c r="Q13" s="294"/>
      <c r="R13" s="13"/>
      <c r="S13" s="309"/>
      <c r="T13" s="4" t="s">
        <v>58</v>
      </c>
      <c r="U13" s="295"/>
      <c r="V13" s="73">
        <f>IFERROR(SUMIF(Y:Y,"varTotalVAR",V:V),0)</f>
        <v>0</v>
      </c>
      <c r="W13" s="419">
        <f t="shared" si="5"/>
        <v>0</v>
      </c>
      <c r="X13" s="294"/>
      <c r="Y13" s="294"/>
      <c r="Z13" s="3"/>
      <c r="AA13" s="304"/>
      <c r="AB13" s="3"/>
      <c r="AC13" s="4" t="s">
        <v>58</v>
      </c>
      <c r="AD13" s="298">
        <f>IFERROR(SUMIF(Y:Y,"varTotalVAR",AD:AD),0)</f>
        <v>0</v>
      </c>
      <c r="AE13" s="419">
        <f t="shared" si="6"/>
        <v>0</v>
      </c>
      <c r="AF13" s="3"/>
      <c r="AG13" s="298">
        <f>IFERROR(SUMIF(Y:Y,"varTotalVAR",AG:AG),0)</f>
        <v>0</v>
      </c>
      <c r="AH13" s="440">
        <f t="shared" si="7"/>
        <v>0</v>
      </c>
      <c r="AI13" s="3"/>
      <c r="AJ13" s="451">
        <f>IFERROR(SUMIF(Y:Y,"varTotalVAR",AJ:AJ),0)</f>
        <v>0</v>
      </c>
      <c r="AK13" s="419">
        <f t="shared" si="8"/>
        <v>0</v>
      </c>
      <c r="AL13" s="3"/>
      <c r="AM13" s="3"/>
      <c r="AN13" s="298">
        <f t="shared" si="9"/>
        <v>0</v>
      </c>
      <c r="AO13" s="419">
        <f t="shared" si="10"/>
        <v>0</v>
      </c>
      <c r="AP13" s="306"/>
      <c r="AR13" s="290"/>
      <c r="AS13" s="4" t="s">
        <v>59</v>
      </c>
      <c r="AT13" s="294"/>
      <c r="AU13" s="453">
        <v>0</v>
      </c>
      <c r="AV13" s="415">
        <v>0</v>
      </c>
      <c r="AW13" s="413">
        <f t="shared" si="0"/>
        <v>0</v>
      </c>
      <c r="AX13" s="292"/>
      <c r="AZ13" s="290"/>
      <c r="BA13" s="295" t="s">
        <v>59</v>
      </c>
      <c r="BB13" s="453">
        <v>0</v>
      </c>
      <c r="BC13" s="415">
        <v>0</v>
      </c>
      <c r="BD13" s="413">
        <f t="shared" si="1"/>
        <v>0</v>
      </c>
      <c r="BE13" s="292"/>
      <c r="BG13" s="290"/>
      <c r="BH13" s="295" t="s">
        <v>59</v>
      </c>
      <c r="BI13" s="453">
        <v>0</v>
      </c>
      <c r="BJ13" s="415">
        <v>0</v>
      </c>
      <c r="BK13" s="413">
        <f t="shared" si="2"/>
        <v>0</v>
      </c>
      <c r="BL13" s="292"/>
      <c r="BN13" s="290"/>
      <c r="BO13" s="295" t="s">
        <v>59</v>
      </c>
      <c r="BP13" s="453">
        <v>0</v>
      </c>
      <c r="BQ13" s="415">
        <v>0</v>
      </c>
      <c r="BR13" s="413">
        <f t="shared" si="3"/>
        <v>0</v>
      </c>
      <c r="BS13" s="292"/>
      <c r="BU13" s="290"/>
      <c r="BV13" s="295" t="s">
        <v>59</v>
      </c>
      <c r="BW13" s="453">
        <v>0</v>
      </c>
      <c r="BX13" s="415">
        <v>0</v>
      </c>
      <c r="BY13" s="413">
        <f t="shared" si="4"/>
        <v>0</v>
      </c>
      <c r="BZ13" s="292"/>
    </row>
    <row r="14" spans="1:78" s="288" customFormat="1" ht="15.6" outlineLevel="1">
      <c r="A14" s="7"/>
      <c r="B14" s="308"/>
      <c r="C14" s="289"/>
      <c r="D14" s="7"/>
      <c r="F14" s="290"/>
      <c r="G14" s="290"/>
      <c r="H14" s="290"/>
      <c r="I14" s="290"/>
      <c r="J14" s="290"/>
      <c r="K14" s="290"/>
      <c r="M14" s="3"/>
      <c r="N14" s="401" t="s">
        <v>60</v>
      </c>
      <c r="O14" s="296">
        <v>3900</v>
      </c>
      <c r="P14" s="294"/>
      <c r="Q14" s="310"/>
      <c r="R14" s="13"/>
      <c r="S14" s="309"/>
      <c r="T14" s="4" t="s">
        <v>61</v>
      </c>
      <c r="U14" s="295"/>
      <c r="V14" s="73">
        <f>IFERROR(SUMIF(Y:Y,"varTotalInsurances",V:V),0)</f>
        <v>0</v>
      </c>
      <c r="W14" s="419">
        <f t="shared" si="5"/>
        <v>0</v>
      </c>
      <c r="X14" s="2"/>
      <c r="Y14" s="294"/>
      <c r="Z14" s="3"/>
      <c r="AA14" s="304"/>
      <c r="AB14" s="3"/>
      <c r="AC14" s="4" t="s">
        <v>61</v>
      </c>
      <c r="AD14" s="298">
        <f>IFERROR(SUMIF(Y:Y,"varTotalInsurances",AD:AD),0)</f>
        <v>0</v>
      </c>
      <c r="AE14" s="419">
        <f t="shared" si="6"/>
        <v>0</v>
      </c>
      <c r="AF14" s="3"/>
      <c r="AG14" s="298">
        <f>IFERROR(SUMIF(Y:Y,"varTotalInsurances",AG:AG),0)</f>
        <v>0</v>
      </c>
      <c r="AH14" s="440">
        <f t="shared" si="7"/>
        <v>0</v>
      </c>
      <c r="AI14" s="3"/>
      <c r="AJ14" s="451">
        <f>IFERROR(SUMIF(Y:Y,"varTotalInsurances",AJ:AJ),0)</f>
        <v>0</v>
      </c>
      <c r="AK14" s="419">
        <f t="shared" si="8"/>
        <v>0</v>
      </c>
      <c r="AL14" s="3"/>
      <c r="AM14" s="3"/>
      <c r="AN14" s="298">
        <f t="shared" si="9"/>
        <v>0</v>
      </c>
      <c r="AO14" s="419">
        <f t="shared" si="10"/>
        <v>0</v>
      </c>
      <c r="AP14" s="306"/>
      <c r="AR14" s="290"/>
      <c r="AS14" s="4" t="s">
        <v>62</v>
      </c>
      <c r="AT14" s="294"/>
      <c r="AU14" s="453">
        <v>0</v>
      </c>
      <c r="AV14" s="415">
        <v>0</v>
      </c>
      <c r="AW14" s="413">
        <f t="shared" si="0"/>
        <v>0</v>
      </c>
      <c r="AX14" s="292"/>
      <c r="AZ14" s="290"/>
      <c r="BA14" s="295" t="s">
        <v>62</v>
      </c>
      <c r="BB14" s="453">
        <v>0</v>
      </c>
      <c r="BC14" s="415">
        <v>0</v>
      </c>
      <c r="BD14" s="413">
        <f t="shared" si="1"/>
        <v>0</v>
      </c>
      <c r="BE14" s="292"/>
      <c r="BG14" s="290"/>
      <c r="BH14" s="295" t="s">
        <v>62</v>
      </c>
      <c r="BI14" s="453">
        <v>0</v>
      </c>
      <c r="BJ14" s="415">
        <v>0</v>
      </c>
      <c r="BK14" s="413">
        <f t="shared" si="2"/>
        <v>0</v>
      </c>
      <c r="BL14" s="292"/>
      <c r="BN14" s="290"/>
      <c r="BO14" s="295" t="s">
        <v>62</v>
      </c>
      <c r="BP14" s="453">
        <v>0</v>
      </c>
      <c r="BQ14" s="415">
        <v>0</v>
      </c>
      <c r="BR14" s="413">
        <f t="shared" si="3"/>
        <v>0</v>
      </c>
      <c r="BS14" s="292"/>
      <c r="BU14" s="290"/>
      <c r="BV14" s="295" t="s">
        <v>62</v>
      </c>
      <c r="BW14" s="453">
        <v>0</v>
      </c>
      <c r="BX14" s="415">
        <v>0</v>
      </c>
      <c r="BY14" s="413">
        <f t="shared" si="4"/>
        <v>0</v>
      </c>
      <c r="BZ14" s="292"/>
    </row>
    <row r="15" spans="1:78" s="288" customFormat="1" ht="16.149999999999999" outlineLevel="1" thickBot="1">
      <c r="A15" s="7"/>
      <c r="B15" s="308"/>
      <c r="C15" s="289"/>
      <c r="D15" s="7"/>
      <c r="F15" s="290"/>
      <c r="G15" s="290"/>
      <c r="H15" s="290"/>
      <c r="I15" s="290"/>
      <c r="J15" s="290"/>
      <c r="K15" s="290"/>
      <c r="M15" s="3"/>
      <c r="N15" s="13" t="s">
        <v>63</v>
      </c>
      <c r="O15" s="431">
        <v>45909</v>
      </c>
      <c r="P15" s="294"/>
      <c r="Q15" s="310"/>
      <c r="R15" s="13"/>
      <c r="S15" s="309"/>
      <c r="T15" s="4" t="s">
        <v>64</v>
      </c>
      <c r="U15" s="13"/>
      <c r="V15" s="312">
        <f>IFERROR(SUMIF(Y:Y,"varTotalOthers",V:V),0)</f>
        <v>0</v>
      </c>
      <c r="W15" s="421">
        <f t="shared" si="5"/>
        <v>0</v>
      </c>
      <c r="X15" s="294"/>
      <c r="Y15" s="294"/>
      <c r="Z15" s="3"/>
      <c r="AA15" s="304"/>
      <c r="AB15" s="3"/>
      <c r="AC15" s="4" t="s">
        <v>64</v>
      </c>
      <c r="AD15" s="312">
        <f>IFERROR(SUMIF(Y:Y,"varTotalOthers",AD:AD),0)</f>
        <v>0</v>
      </c>
      <c r="AE15" s="421">
        <f t="shared" si="6"/>
        <v>0</v>
      </c>
      <c r="AF15" s="3"/>
      <c r="AG15" s="312">
        <f>IFERROR(SUMIF(Y:Y,"varTotalOthers",AG:AG),0)</f>
        <v>0</v>
      </c>
      <c r="AH15" s="437">
        <f t="shared" si="7"/>
        <v>0</v>
      </c>
      <c r="AI15" s="3"/>
      <c r="AJ15" s="312">
        <f>IFERROR(SUMIF(Y:Y,"varTotalOthers",AJ:AJ),0)</f>
        <v>0</v>
      </c>
      <c r="AK15" s="421">
        <f t="shared" si="8"/>
        <v>0</v>
      </c>
      <c r="AL15" s="3"/>
      <c r="AM15" s="3"/>
      <c r="AN15" s="312">
        <f t="shared" si="9"/>
        <v>0</v>
      </c>
      <c r="AO15" s="421">
        <f t="shared" si="10"/>
        <v>0</v>
      </c>
      <c r="AP15" s="306"/>
      <c r="AR15" s="290"/>
      <c r="AS15" s="4" t="s">
        <v>65</v>
      </c>
      <c r="AT15" s="294"/>
      <c r="AU15" s="454">
        <v>0</v>
      </c>
      <c r="AV15" s="415">
        <v>0</v>
      </c>
      <c r="AW15" s="413">
        <f t="shared" si="0"/>
        <v>0</v>
      </c>
      <c r="AX15" s="292"/>
      <c r="AZ15" s="290"/>
      <c r="BA15" s="295" t="s">
        <v>65</v>
      </c>
      <c r="BB15" s="454">
        <v>0</v>
      </c>
      <c r="BC15" s="415">
        <v>0</v>
      </c>
      <c r="BD15" s="413">
        <f t="shared" si="1"/>
        <v>0</v>
      </c>
      <c r="BE15" s="292"/>
      <c r="BG15" s="290"/>
      <c r="BH15" s="295" t="s">
        <v>65</v>
      </c>
      <c r="BI15" s="454">
        <v>0</v>
      </c>
      <c r="BJ15" s="415">
        <v>0</v>
      </c>
      <c r="BK15" s="413">
        <f t="shared" si="2"/>
        <v>0</v>
      </c>
      <c r="BL15" s="292"/>
      <c r="BN15" s="290"/>
      <c r="BO15" s="295" t="s">
        <v>65</v>
      </c>
      <c r="BP15" s="454">
        <v>0</v>
      </c>
      <c r="BQ15" s="415">
        <v>0</v>
      </c>
      <c r="BR15" s="413">
        <f t="shared" si="3"/>
        <v>0</v>
      </c>
      <c r="BS15" s="292"/>
      <c r="BU15" s="290"/>
      <c r="BV15" s="295" t="s">
        <v>65</v>
      </c>
      <c r="BW15" s="454">
        <v>0</v>
      </c>
      <c r="BX15" s="415">
        <v>0</v>
      </c>
      <c r="BY15" s="413">
        <f t="shared" si="4"/>
        <v>0</v>
      </c>
      <c r="BZ15" s="292"/>
    </row>
    <row r="16" spans="1:78" s="288" customFormat="1" ht="16.149999999999999" outlineLevel="1" thickTop="1">
      <c r="A16" s="7"/>
      <c r="B16" s="7"/>
      <c r="C16" s="7"/>
      <c r="D16" s="7"/>
      <c r="F16" s="290"/>
      <c r="G16" s="290"/>
      <c r="H16" s="290"/>
      <c r="I16" s="290"/>
      <c r="J16" s="290"/>
      <c r="K16" s="290"/>
      <c r="M16" s="3"/>
      <c r="N16" s="71"/>
      <c r="O16" s="111" t="s">
        <v>173</v>
      </c>
      <c r="P16" s="294"/>
      <c r="Q16" s="310"/>
      <c r="R16" s="13"/>
      <c r="S16" s="309"/>
      <c r="T16" s="35" t="s">
        <v>35</v>
      </c>
      <c r="U16" s="3"/>
      <c r="V16" s="298">
        <f ca="1">IFERROR(SUM(V10:V15),0)</f>
        <v>0</v>
      </c>
      <c r="W16" s="418">
        <f ca="1">IFERROR(V16/BusinessCurrencyTRM,"N/A")</f>
        <v>0</v>
      </c>
      <c r="X16" s="294"/>
      <c r="Y16" s="294"/>
      <c r="Z16" s="3"/>
      <c r="AA16" s="304"/>
      <c r="AB16" s="3"/>
      <c r="AC16" s="4" t="s">
        <v>35</v>
      </c>
      <c r="AD16" s="298">
        <f ca="1">IFERROR(SUM(AD10:AD15),0)</f>
        <v>0</v>
      </c>
      <c r="AE16" s="418">
        <f ca="1">IFERROR(AD16/BusinessCurrencyTRM,"N/A")</f>
        <v>0</v>
      </c>
      <c r="AF16" s="3"/>
      <c r="AG16" s="298">
        <f ca="1">IFERROR(SUM(AG10:AG15),0)</f>
        <v>0</v>
      </c>
      <c r="AH16" s="438">
        <f t="shared" ca="1" si="7"/>
        <v>0</v>
      </c>
      <c r="AI16" s="3"/>
      <c r="AJ16" s="439">
        <f ca="1">IFERROR(SUM(AJ10:AJ15),0)</f>
        <v>0</v>
      </c>
      <c r="AK16" s="418">
        <f t="shared" ca="1" si="8"/>
        <v>0</v>
      </c>
      <c r="AL16" s="3"/>
      <c r="AM16" s="3"/>
      <c r="AN16" s="298">
        <f ca="1">IFERROR(SUM(AN10:AN15),0)</f>
        <v>0</v>
      </c>
      <c r="AO16" s="418">
        <f t="shared" ca="1" si="10"/>
        <v>0</v>
      </c>
      <c r="AP16" s="306"/>
      <c r="AR16" s="290"/>
      <c r="AS16" s="290"/>
      <c r="AT16" s="295"/>
      <c r="AU16" s="429">
        <f>SUM(AU4:AU15)</f>
        <v>0</v>
      </c>
      <c r="AV16" s="259">
        <f>SUM(AV4:AV15)</f>
        <v>0</v>
      </c>
      <c r="AW16" s="259">
        <f>SUM(AW4:AW15)</f>
        <v>0</v>
      </c>
      <c r="AX16" s="292"/>
      <c r="AZ16" s="290"/>
      <c r="BA16" s="295"/>
      <c r="BB16" s="429">
        <f>SUM(BB4:BB15)</f>
        <v>0</v>
      </c>
      <c r="BC16" s="259">
        <f>SUM(BC4:BC15)</f>
        <v>0</v>
      </c>
      <c r="BD16" s="259">
        <f>SUM(BD4:BD15)</f>
        <v>0</v>
      </c>
      <c r="BE16" s="292"/>
      <c r="BG16" s="290"/>
      <c r="BH16" s="295"/>
      <c r="BI16" s="429">
        <f>SUM(BI4:BI15)</f>
        <v>0</v>
      </c>
      <c r="BJ16" s="259">
        <f>SUM(BJ4:BJ15)</f>
        <v>0</v>
      </c>
      <c r="BK16" s="259">
        <f>SUM(BK4:BK15)</f>
        <v>0</v>
      </c>
      <c r="BL16" s="292"/>
      <c r="BN16" s="290"/>
      <c r="BO16" s="295"/>
      <c r="BP16" s="429">
        <f>SUM(BP4:BP15)</f>
        <v>0</v>
      </c>
      <c r="BQ16" s="259">
        <f>SUM(BQ4:BQ15)</f>
        <v>0</v>
      </c>
      <c r="BR16" s="259">
        <f>SUM(BR4:BR15)</f>
        <v>0</v>
      </c>
      <c r="BS16" s="292"/>
      <c r="BU16" s="290"/>
      <c r="BV16" s="295"/>
      <c r="BW16" s="429">
        <f>SUM(BW4:BW15)</f>
        <v>0</v>
      </c>
      <c r="BX16" s="259">
        <f>SUM(BX4:BX15)</f>
        <v>0</v>
      </c>
      <c r="BY16" s="259">
        <f>SUM(BY4:BY15)</f>
        <v>0</v>
      </c>
      <c r="BZ16" s="292"/>
    </row>
    <row r="17" spans="1:82" s="288" customFormat="1" ht="15.6" outlineLevel="1">
      <c r="A17" s="7"/>
      <c r="B17" s="306" t="s">
        <v>66</v>
      </c>
      <c r="C17" s="7"/>
      <c r="D17" s="7"/>
      <c r="F17" s="290"/>
      <c r="G17" s="290"/>
      <c r="H17" s="290"/>
      <c r="I17" s="290"/>
      <c r="J17" s="290"/>
      <c r="K17" s="290"/>
      <c r="M17" s="3"/>
      <c r="N17" s="71"/>
      <c r="O17" s="311"/>
      <c r="P17" s="294"/>
      <c r="Q17" s="310"/>
      <c r="R17" s="13"/>
      <c r="S17" s="309"/>
      <c r="T17" s="13"/>
      <c r="U17" s="13"/>
      <c r="V17" s="13"/>
      <c r="W17" s="13"/>
      <c r="X17" s="294"/>
      <c r="Y17" s="294"/>
      <c r="Z17" s="3"/>
      <c r="AA17" s="304"/>
      <c r="AB17" s="3"/>
      <c r="AC17" s="13"/>
      <c r="AD17" s="3"/>
      <c r="AE17" s="3"/>
      <c r="AF17" s="3"/>
      <c r="AG17" s="3"/>
      <c r="AH17" s="3"/>
      <c r="AI17" s="3"/>
      <c r="AJ17" s="3"/>
      <c r="AK17" s="3"/>
      <c r="AL17" s="3"/>
      <c r="AM17" s="3"/>
      <c r="AN17" s="3"/>
      <c r="AO17" s="3"/>
      <c r="AP17" s="306"/>
      <c r="AR17" s="290"/>
      <c r="AS17" s="290"/>
      <c r="AT17" s="313"/>
      <c r="AU17" s="3"/>
      <c r="AV17" s="3"/>
      <c r="AW17" s="3"/>
      <c r="AX17" s="292"/>
      <c r="AZ17" s="290"/>
      <c r="BA17" s="313"/>
      <c r="BB17" s="3"/>
      <c r="BC17" s="3"/>
      <c r="BD17" s="3"/>
      <c r="BE17" s="292"/>
      <c r="BG17" s="290"/>
      <c r="BH17" s="313"/>
      <c r="BI17" s="3"/>
      <c r="BJ17" s="3"/>
      <c r="BK17" s="3"/>
      <c r="BL17" s="292"/>
      <c r="BN17" s="290"/>
      <c r="BO17" s="313"/>
      <c r="BP17" s="3"/>
      <c r="BQ17" s="3"/>
      <c r="BR17" s="3"/>
      <c r="BS17" s="292"/>
      <c r="BU17" s="290"/>
      <c r="BV17" s="313"/>
      <c r="BW17" s="3"/>
      <c r="BX17" s="3"/>
      <c r="BY17" s="3"/>
      <c r="BZ17" s="292"/>
    </row>
    <row r="18" spans="1:82" s="288" customFormat="1" ht="15.6" outlineLevel="1">
      <c r="A18" s="7"/>
      <c r="B18" s="513" t="s">
        <v>174</v>
      </c>
      <c r="C18" s="513"/>
      <c r="D18" s="7"/>
      <c r="F18" s="290"/>
      <c r="G18" s="290"/>
      <c r="H18" s="290"/>
      <c r="I18" s="290"/>
      <c r="J18" s="290"/>
      <c r="K18" s="290"/>
      <c r="M18" s="3"/>
      <c r="N18" s="71"/>
      <c r="O18" s="311"/>
      <c r="P18" s="314"/>
      <c r="Q18" s="310"/>
      <c r="R18" s="13"/>
      <c r="S18" s="309"/>
      <c r="T18" s="13"/>
      <c r="U18" s="13"/>
      <c r="V18" s="13"/>
      <c r="W18" s="13"/>
      <c r="X18" s="294"/>
      <c r="Y18" s="294"/>
      <c r="Z18" s="3"/>
      <c r="AA18" s="304"/>
      <c r="AB18" s="3"/>
      <c r="AC18" s="13"/>
      <c r="AD18" s="3"/>
      <c r="AE18" s="3"/>
      <c r="AF18" s="3"/>
      <c r="AG18" s="3"/>
      <c r="AH18" s="3"/>
      <c r="AI18" s="3"/>
      <c r="AJ18" s="3"/>
      <c r="AK18" s="3"/>
      <c r="AL18" s="3"/>
      <c r="AM18" s="3"/>
      <c r="AN18" s="3"/>
      <c r="AO18" s="3"/>
      <c r="AP18" s="306"/>
      <c r="AR18" s="290"/>
      <c r="AS18" s="290"/>
      <c r="AT18" s="315"/>
      <c r="AU18" s="3"/>
      <c r="AV18" s="417" t="str">
        <f>BillingCountryCurrency</f>
        <v>COP</v>
      </c>
      <c r="AW18" s="417" t="str">
        <f>IF(ISBLANK(BusinessCurrency),"N/A",BusinessCurrency)</f>
        <v>USD</v>
      </c>
      <c r="AX18" s="316"/>
      <c r="AZ18" s="290"/>
      <c r="BA18" s="313"/>
      <c r="BB18" s="3"/>
      <c r="BC18" s="3"/>
      <c r="BD18" s="3"/>
      <c r="BE18" s="316"/>
      <c r="BG18" s="290"/>
      <c r="BH18" s="315"/>
      <c r="BI18" s="3"/>
      <c r="BJ18" s="3"/>
      <c r="BK18" s="3"/>
      <c r="BL18" s="316"/>
      <c r="BN18" s="290"/>
      <c r="BO18" s="315"/>
      <c r="BP18" s="3"/>
      <c r="BQ18" s="3"/>
      <c r="BR18" s="3"/>
      <c r="BS18" s="316"/>
      <c r="BU18" s="290"/>
      <c r="BV18" s="315"/>
      <c r="BW18" s="3"/>
      <c r="BX18" s="3"/>
      <c r="BY18" s="3"/>
      <c r="BZ18" s="316"/>
    </row>
    <row r="19" spans="1:82" s="288" customFormat="1" ht="15.6" outlineLevel="1">
      <c r="A19" s="7"/>
      <c r="B19" s="513"/>
      <c r="C19" s="513"/>
      <c r="D19" s="7"/>
      <c r="F19" s="290"/>
      <c r="G19" s="290"/>
      <c r="H19" s="290"/>
      <c r="I19" s="290"/>
      <c r="J19" s="290"/>
      <c r="K19" s="290"/>
      <c r="M19" s="3"/>
      <c r="N19" s="71"/>
      <c r="O19" s="311"/>
      <c r="P19" s="294"/>
      <c r="Q19" s="294"/>
      <c r="R19" s="13"/>
      <c r="S19" s="309"/>
      <c r="T19" s="13"/>
      <c r="U19" s="13"/>
      <c r="V19" s="13"/>
      <c r="W19" s="13"/>
      <c r="X19" s="400"/>
      <c r="Y19" s="7"/>
      <c r="Z19" s="13"/>
      <c r="AA19" s="304"/>
      <c r="AB19" s="13"/>
      <c r="AC19" s="3" t="s">
        <v>68</v>
      </c>
      <c r="AD19" s="317">
        <f ca="1">SUM(AD7,AD16)</f>
        <v>9039222.8810099997</v>
      </c>
      <c r="AE19" s="416">
        <f ca="1">IFERROR(AD19/BusinessCurrencyTRM,"N/A")</f>
        <v>2317.7494566692308</v>
      </c>
      <c r="AF19" s="3"/>
      <c r="AG19" s="317">
        <f ca="1">SUM(AG7,AG16)</f>
        <v>0</v>
      </c>
      <c r="AH19" s="441">
        <f ca="1">IFERROR(AG19/BusinessCurrencyTRM,"N/A")</f>
        <v>0</v>
      </c>
      <c r="AI19" s="3"/>
      <c r="AJ19" s="317">
        <f ca="1">SUM(AJ7,AJ16)</f>
        <v>0</v>
      </c>
      <c r="AK19" s="416">
        <f ca="1">IFERROR(AJ19/BusinessCurrencyTRM,"N/A")</f>
        <v>0</v>
      </c>
      <c r="AL19" s="3"/>
      <c r="AM19" s="3"/>
      <c r="AN19" s="317">
        <f ca="1">SUM(AN7,AN16)</f>
        <v>9039222.8810099997</v>
      </c>
      <c r="AO19" s="416">
        <f ca="1">IFERROR(AN19/BusinessCurrencyTRM,"N/A")</f>
        <v>2317.7494566692308</v>
      </c>
      <c r="AP19" s="306"/>
      <c r="AR19" s="290"/>
      <c r="AS19" s="3" t="s">
        <v>69</v>
      </c>
      <c r="AT19" s="3"/>
      <c r="AU19" s="3"/>
      <c r="AV19" s="317">
        <f ca="1">AN21</f>
        <v>9039222.8810099997</v>
      </c>
      <c r="AW19" s="416">
        <f ca="1">IFERROR(AV19/BusinessCurrencyTRM,"N/A")</f>
        <v>2317.7494566692308</v>
      </c>
      <c r="AX19" s="316"/>
      <c r="AZ19" s="290"/>
      <c r="BA19" s="313"/>
      <c r="BB19" s="3"/>
      <c r="BC19" s="3"/>
      <c r="BD19" s="3"/>
      <c r="BE19" s="316"/>
      <c r="BG19" s="290"/>
      <c r="BH19" s="315"/>
      <c r="BI19" s="3"/>
      <c r="BJ19" s="3"/>
      <c r="BK19" s="3"/>
      <c r="BL19" s="316"/>
      <c r="BN19" s="290"/>
      <c r="BO19" s="315"/>
      <c r="BP19" s="3"/>
      <c r="BQ19" s="3"/>
      <c r="BR19" s="3"/>
      <c r="BS19" s="316"/>
      <c r="BU19" s="290"/>
      <c r="BV19" s="315"/>
      <c r="BW19" s="3"/>
      <c r="BX19" s="3"/>
      <c r="BY19" s="3"/>
      <c r="BZ19" s="316"/>
    </row>
    <row r="20" spans="1:82" s="288" customFormat="1" ht="15.6" outlineLevel="1">
      <c r="A20" s="7"/>
      <c r="B20" s="513"/>
      <c r="C20" s="513"/>
      <c r="D20" s="7"/>
      <c r="F20" s="290"/>
      <c r="G20" s="290"/>
      <c r="H20" s="290"/>
      <c r="I20" s="290"/>
      <c r="J20" s="290"/>
      <c r="K20" s="290"/>
      <c r="M20" s="3"/>
      <c r="N20" s="71"/>
      <c r="O20" s="311"/>
      <c r="P20" s="294"/>
      <c r="Q20" s="294"/>
      <c r="R20" s="13"/>
      <c r="S20" s="318"/>
      <c r="T20" s="13"/>
      <c r="U20" s="13"/>
      <c r="V20" s="13"/>
      <c r="W20" s="13"/>
      <c r="X20" s="400"/>
      <c r="Y20" s="7"/>
      <c r="Z20" s="13"/>
      <c r="AA20" s="304"/>
      <c r="AB20" s="13"/>
      <c r="AC20" s="3" t="s">
        <v>70</v>
      </c>
      <c r="AD20" s="319">
        <v>0</v>
      </c>
      <c r="AE20" s="416">
        <f>IFERROR(AD20/BusinessCurrencyTRM,"N/A")</f>
        <v>0</v>
      </c>
      <c r="AF20" s="3"/>
      <c r="AG20" s="317">
        <v>0</v>
      </c>
      <c r="AH20" s="442">
        <f>IFERROR(AG20/BusinessCurrencyTRM,"N/A")</f>
        <v>0</v>
      </c>
      <c r="AI20" s="3"/>
      <c r="AJ20" s="317">
        <v>0</v>
      </c>
      <c r="AK20" s="416">
        <f>IFERROR(AJ20/BusinessCurrencyTRM,"N/A")</f>
        <v>0</v>
      </c>
      <c r="AL20" s="3"/>
      <c r="AM20" s="3"/>
      <c r="AN20" s="317">
        <f>SUM(AD20,AG20,AJ20)</f>
        <v>0</v>
      </c>
      <c r="AO20" s="416">
        <f>IFERROR(AN20/BusinessCurrencyTRM,"N/A")</f>
        <v>0</v>
      </c>
      <c r="AP20" s="306"/>
      <c r="AR20" s="290"/>
      <c r="AS20" s="3" t="s">
        <v>71</v>
      </c>
      <c r="AT20" s="3"/>
      <c r="AU20" s="3"/>
      <c r="AV20" s="317">
        <f ca="1">SUM($V$21,$AG$21,$AJ$21)</f>
        <v>6327455.9416929018</v>
      </c>
      <c r="AW20" s="416">
        <f ca="1">IFERROR(AV20/BusinessCurrencyTRM,"N/A")</f>
        <v>1622.4246004340773</v>
      </c>
      <c r="AX20" s="316"/>
      <c r="AZ20" s="290"/>
      <c r="BA20" s="313"/>
      <c r="BB20" s="3"/>
      <c r="BC20" s="3"/>
      <c r="BD20" s="3"/>
      <c r="BE20" s="316"/>
      <c r="BG20" s="290"/>
      <c r="BH20" s="315"/>
      <c r="BI20" s="3"/>
      <c r="BJ20" s="3"/>
      <c r="BK20" s="3"/>
      <c r="BL20" s="316"/>
      <c r="BN20" s="290"/>
      <c r="BO20" s="315"/>
      <c r="BP20" s="3"/>
      <c r="BQ20" s="3"/>
      <c r="BR20" s="3"/>
      <c r="BS20" s="316"/>
      <c r="BU20" s="290"/>
      <c r="BV20" s="315"/>
      <c r="BW20" s="3"/>
      <c r="BX20" s="3"/>
      <c r="BY20" s="3"/>
      <c r="BZ20" s="316"/>
    </row>
    <row r="21" spans="1:82" s="288" customFormat="1" ht="15.6" outlineLevel="1">
      <c r="A21" s="7"/>
      <c r="B21" s="514"/>
      <c r="C21" s="514"/>
      <c r="D21" s="7"/>
      <c r="F21" s="290"/>
      <c r="G21" s="290"/>
      <c r="H21" s="290"/>
      <c r="I21" s="290"/>
      <c r="J21" s="290"/>
      <c r="K21" s="290"/>
      <c r="M21" s="3"/>
      <c r="N21" s="110" t="str">
        <f>IF(CustomerCountry="Colombia","Impuesto de Timbre","")</f>
        <v>Impuesto de Timbre</v>
      </c>
      <c r="O21" s="111" t="str">
        <f>IF(CustomerCountry="Colombia","Aplica a nuevos contratos donde la cuantia supera los 6.000 UVT (COP 298.794.000)","")</f>
        <v>Aplica a nuevos contratos donde la cuantia supera los 6.000 UVT (COP 298.794.000)</v>
      </c>
      <c r="P21" s="300"/>
      <c r="Q21" s="294"/>
      <c r="R21" s="13"/>
      <c r="S21" s="13"/>
      <c r="T21" s="3" t="s">
        <v>72</v>
      </c>
      <c r="U21" s="3"/>
      <c r="V21" s="317">
        <f ca="1">V7+V16</f>
        <v>6327455.9416929018</v>
      </c>
      <c r="W21" s="416">
        <f ca="1">IFERROR(V21/BusinessCurrencyTRM,"N/A")</f>
        <v>1622.4246004340773</v>
      </c>
      <c r="X21" s="261">
        <f>INDEX(Paramenters!$D$28:$D$85,MATCH(BillingCountryCurrency,Paramenters!$C$28:$C$85,0))</f>
        <v>4919.6912460900639</v>
      </c>
      <c r="Y21" s="7" t="s">
        <v>73</v>
      </c>
      <c r="Z21" s="13"/>
      <c r="AA21" s="304"/>
      <c r="AB21" s="3"/>
      <c r="AC21" s="3" t="s">
        <v>74</v>
      </c>
      <c r="AD21" s="317">
        <f ca="1">SUM(AD19:AD20)</f>
        <v>9039222.8810099997</v>
      </c>
      <c r="AE21" s="416">
        <f ca="1">IFERROR(AD21/BusinessCurrencyTRM,"N/A")</f>
        <v>2317.7494566692308</v>
      </c>
      <c r="AF21" s="3"/>
      <c r="AG21" s="317">
        <f ca="1">SUM(AG19:AG20)</f>
        <v>0</v>
      </c>
      <c r="AH21" s="442">
        <f ca="1">IFERROR(AG21/BusinessCurrencyTRM,"N/A")</f>
        <v>0</v>
      </c>
      <c r="AI21" s="3"/>
      <c r="AJ21" s="443">
        <f ca="1">SUM(AJ19:AJ20)</f>
        <v>0</v>
      </c>
      <c r="AK21" s="416">
        <f ca="1">IFERROR(AJ21/BusinessCurrencyTRM,"N/A")</f>
        <v>0</v>
      </c>
      <c r="AL21" s="3"/>
      <c r="AM21" s="3"/>
      <c r="AN21" s="78">
        <f ca="1">SUM(AN19:AN20)</f>
        <v>9039222.8810099997</v>
      </c>
      <c r="AO21" s="416">
        <f ca="1">IFERROR(AN21/BusinessCurrencyTRM,"N/A")</f>
        <v>2317.7494566692308</v>
      </c>
      <c r="AP21" s="3"/>
      <c r="AR21" s="3"/>
      <c r="AS21" s="3" t="s">
        <v>75</v>
      </c>
      <c r="AT21" s="3"/>
      <c r="AU21" s="3"/>
      <c r="AV21" s="515">
        <f ca="1">IFERROR(1-AV20/AV19,0)</f>
        <v>0.30000000829873308</v>
      </c>
      <c r="AW21" s="515"/>
      <c r="AX21" s="316"/>
      <c r="AZ21" s="3"/>
      <c r="BA21" s="313"/>
      <c r="BB21" s="3"/>
      <c r="BC21" s="3"/>
      <c r="BD21" s="3"/>
      <c r="BE21" s="316"/>
      <c r="BG21" s="3"/>
      <c r="BH21" s="315"/>
      <c r="BI21" s="3"/>
      <c r="BJ21" s="3"/>
      <c r="BK21" s="3"/>
      <c r="BL21" s="316"/>
      <c r="BN21" s="3"/>
      <c r="BO21" s="315"/>
      <c r="BP21" s="3"/>
      <c r="BQ21" s="3"/>
      <c r="BR21" s="3"/>
      <c r="BS21" s="316"/>
      <c r="BU21" s="3"/>
      <c r="BV21" s="315"/>
      <c r="BW21" s="3"/>
      <c r="BX21" s="3"/>
      <c r="BY21" s="3"/>
      <c r="BZ21" s="316"/>
    </row>
    <row r="22" spans="1:82" s="288" customFormat="1" ht="15.6" outlineLevel="1">
      <c r="A22" s="7"/>
      <c r="B22" s="7"/>
      <c r="C22" s="7"/>
      <c r="D22" s="7"/>
      <c r="F22" s="290"/>
      <c r="G22" s="290"/>
      <c r="H22" s="290"/>
      <c r="I22" s="290"/>
      <c r="J22" s="290"/>
      <c r="K22" s="290"/>
      <c r="M22" s="3"/>
      <c r="N22" s="110"/>
      <c r="O22" s="111"/>
      <c r="P22" s="294"/>
      <c r="Q22" s="294"/>
      <c r="R22" s="13"/>
      <c r="S22" s="13"/>
      <c r="T22" s="3"/>
      <c r="U22" s="13"/>
      <c r="V22" s="13"/>
      <c r="W22" s="13"/>
      <c r="X22" s="294"/>
      <c r="Y22" s="294"/>
      <c r="Z22" s="3"/>
      <c r="AA22" s="304"/>
      <c r="AB22" s="3"/>
      <c r="AC22" s="13"/>
      <c r="AD22" s="3"/>
      <c r="AE22" s="3"/>
      <c r="AF22" s="3"/>
      <c r="AG22" s="3"/>
      <c r="AH22" s="3"/>
      <c r="AI22" s="3"/>
      <c r="AJ22" s="3"/>
      <c r="AK22" s="3"/>
      <c r="AL22" s="3"/>
      <c r="AM22" s="3"/>
      <c r="AN22" s="3"/>
      <c r="AO22" s="3"/>
      <c r="AP22" s="3"/>
      <c r="AR22" s="315"/>
      <c r="AS22" s="315"/>
      <c r="AT22" s="315"/>
      <c r="AU22" s="315"/>
      <c r="AV22" s="315"/>
      <c r="AW22" s="315"/>
      <c r="AX22" s="3"/>
      <c r="AZ22" s="3"/>
      <c r="BA22" s="313"/>
      <c r="BB22" s="3"/>
      <c r="BC22" s="3"/>
      <c r="BD22" s="3"/>
      <c r="BE22" s="3"/>
      <c r="BG22" s="3"/>
      <c r="BH22" s="315"/>
      <c r="BI22" s="3"/>
      <c r="BJ22" s="3"/>
      <c r="BK22" s="3"/>
      <c r="BL22" s="3"/>
      <c r="BN22" s="3"/>
      <c r="BO22" s="315"/>
      <c r="BP22" s="3"/>
      <c r="BQ22" s="3"/>
      <c r="BR22" s="3"/>
      <c r="BS22" s="3"/>
      <c r="BU22" s="3"/>
      <c r="BV22" s="315"/>
      <c r="BW22" s="3"/>
      <c r="BX22" s="3"/>
      <c r="BY22" s="3"/>
      <c r="BZ22" s="3"/>
    </row>
    <row r="23" spans="1:82" s="389" customFormat="1">
      <c r="A23" s="390"/>
      <c r="B23" s="390"/>
      <c r="C23" s="390"/>
      <c r="D23" s="390"/>
      <c r="E23" s="390"/>
      <c r="F23" s="390"/>
      <c r="G23" s="390"/>
      <c r="H23" s="390"/>
      <c r="I23" s="390"/>
      <c r="J23" s="390"/>
      <c r="K23" s="390"/>
      <c r="L23" s="390"/>
      <c r="M23" s="392"/>
      <c r="N23" s="392"/>
      <c r="O23" s="392"/>
      <c r="P23" s="392"/>
      <c r="Q23" s="392"/>
      <c r="R23" s="392"/>
      <c r="S23" s="392"/>
      <c r="T23" s="392"/>
      <c r="U23" s="392"/>
      <c r="V23" s="392"/>
      <c r="W23" s="392"/>
      <c r="X23" s="392"/>
      <c r="Y23" s="392"/>
      <c r="Z23" s="392"/>
      <c r="AA23" s="320"/>
      <c r="AB23" s="321"/>
      <c r="AC23" s="322"/>
      <c r="AD23" s="322"/>
      <c r="AE23" s="322"/>
      <c r="AF23" s="322"/>
      <c r="AG23" s="322"/>
      <c r="AH23" s="322"/>
      <c r="AI23" s="322"/>
      <c r="AJ23" s="323"/>
      <c r="AK23" s="322"/>
      <c r="AL23" s="322"/>
      <c r="AM23" s="322"/>
      <c r="AN23" s="323"/>
      <c r="AO23" s="323"/>
      <c r="AP23" s="323"/>
      <c r="AR23" s="390"/>
      <c r="AS23" s="390"/>
      <c r="AT23" s="390"/>
      <c r="AU23" s="390"/>
      <c r="AV23" s="390"/>
      <c r="AW23" s="390"/>
      <c r="AX23" s="390"/>
      <c r="AZ23" s="390"/>
      <c r="BA23" s="390"/>
      <c r="BB23" s="390"/>
      <c r="BC23" s="390"/>
      <c r="BD23" s="390"/>
      <c r="BE23" s="390"/>
      <c r="BF23" s="390"/>
      <c r="BG23" s="390"/>
      <c r="BH23" s="390"/>
      <c r="BI23" s="390"/>
      <c r="BJ23" s="390"/>
      <c r="BK23" s="390"/>
      <c r="BL23" s="390"/>
      <c r="BM23" s="390"/>
      <c r="BN23" s="390"/>
      <c r="BO23" s="390"/>
      <c r="BP23" s="390"/>
      <c r="BQ23" s="390"/>
      <c r="BR23" s="390"/>
      <c r="BS23" s="390"/>
      <c r="BT23" s="390"/>
      <c r="BU23" s="390"/>
      <c r="BV23" s="390"/>
      <c r="BW23" s="390"/>
      <c r="BX23" s="390"/>
      <c r="BY23" s="390"/>
      <c r="BZ23" s="390"/>
      <c r="CA23" s="390"/>
      <c r="CB23" s="390"/>
      <c r="CC23" s="390"/>
      <c r="CD23" s="390"/>
    </row>
    <row r="24" spans="1:82" s="389" customFormat="1">
      <c r="A24" s="390"/>
      <c r="B24" s="470" t="s">
        <v>76</v>
      </c>
      <c r="C24" s="390"/>
      <c r="D24" s="390"/>
      <c r="E24" s="390"/>
      <c r="F24" s="390"/>
      <c r="G24" s="390"/>
      <c r="H24" s="390"/>
      <c r="I24" s="390"/>
      <c r="J24" s="390"/>
      <c r="K24" s="390"/>
      <c r="L24" s="390"/>
      <c r="M24" s="392"/>
      <c r="N24" s="392"/>
      <c r="O24" s="392"/>
      <c r="P24" s="392"/>
      <c r="Q24" s="392"/>
      <c r="R24" s="392"/>
      <c r="S24" s="392"/>
      <c r="T24" s="392"/>
      <c r="U24" s="392"/>
      <c r="V24" s="392"/>
      <c r="W24" s="392"/>
      <c r="X24" s="392"/>
      <c r="Y24" s="392"/>
      <c r="Z24" s="392"/>
      <c r="AA24" s="320"/>
      <c r="AB24" s="321"/>
      <c r="AC24" s="322"/>
      <c r="AD24" s="322"/>
      <c r="AE24" s="322"/>
      <c r="AF24" s="322"/>
      <c r="AG24" s="322"/>
      <c r="AH24" s="322"/>
      <c r="AI24" s="322"/>
      <c r="AJ24" s="323"/>
      <c r="AK24" s="322"/>
      <c r="AL24" s="322"/>
      <c r="AM24" s="322"/>
      <c r="AN24" s="323"/>
      <c r="AO24" s="323"/>
      <c r="AP24" s="323"/>
      <c r="AR24" s="390"/>
      <c r="AS24" s="390"/>
      <c r="AT24" s="390"/>
      <c r="AU24" s="390"/>
      <c r="AV24" s="390"/>
      <c r="AW24" s="390"/>
      <c r="AX24" s="390"/>
      <c r="AZ24" s="390"/>
      <c r="BA24" s="390"/>
      <c r="BB24" s="390"/>
      <c r="BC24" s="390"/>
      <c r="BD24" s="390"/>
      <c r="BE24" s="390"/>
      <c r="BF24" s="390"/>
      <c r="BG24" s="390"/>
      <c r="BH24" s="390"/>
      <c r="BI24" s="390"/>
      <c r="BJ24" s="390"/>
      <c r="BK24" s="390"/>
      <c r="BL24" s="390"/>
      <c r="BM24" s="390"/>
      <c r="BN24" s="390"/>
      <c r="BO24" s="390"/>
      <c r="BP24" s="390"/>
      <c r="BQ24" s="390"/>
      <c r="BR24" s="390"/>
      <c r="BS24" s="390"/>
      <c r="BT24" s="390"/>
      <c r="BU24" s="390"/>
      <c r="BV24" s="390"/>
      <c r="BW24" s="390"/>
      <c r="BX24" s="390"/>
      <c r="BY24" s="390"/>
      <c r="BZ24" s="390"/>
      <c r="CA24" s="390"/>
      <c r="CB24" s="390"/>
      <c r="CC24" s="390"/>
      <c r="CD24" s="390"/>
    </row>
    <row r="25" spans="1:82" s="389" customFormat="1">
      <c r="A25" s="390"/>
      <c r="B25" s="390"/>
      <c r="C25" s="390"/>
      <c r="D25" s="390"/>
      <c r="E25" s="390"/>
      <c r="F25" s="390"/>
      <c r="G25" s="390"/>
      <c r="H25" s="390"/>
      <c r="I25" s="390"/>
      <c r="J25" s="390"/>
      <c r="K25" s="390"/>
      <c r="L25" s="390"/>
      <c r="M25" s="392"/>
      <c r="N25" s="392"/>
      <c r="O25" s="392"/>
      <c r="P25" s="392"/>
      <c r="Q25" s="392"/>
      <c r="R25" s="392"/>
      <c r="S25" s="392"/>
      <c r="T25" s="392"/>
      <c r="U25" s="392"/>
      <c r="V25" s="392"/>
      <c r="W25" s="392"/>
      <c r="X25" s="392"/>
      <c r="Y25" s="392"/>
      <c r="Z25" s="392"/>
      <c r="AA25" s="320"/>
      <c r="AB25" s="321"/>
      <c r="AC25" s="322"/>
      <c r="AD25" s="322"/>
      <c r="AE25" s="322"/>
      <c r="AF25" s="322"/>
      <c r="AG25" s="322"/>
      <c r="AH25" s="322"/>
      <c r="AI25" s="322"/>
      <c r="AJ25" s="323"/>
      <c r="AK25" s="322"/>
      <c r="AL25" s="322"/>
      <c r="AM25" s="322"/>
      <c r="AN25" s="323"/>
      <c r="AO25" s="323"/>
      <c r="AP25" s="323"/>
      <c r="AR25" s="390"/>
      <c r="AS25" s="390"/>
      <c r="AT25" s="390"/>
      <c r="AU25" s="390"/>
      <c r="AV25" s="390"/>
      <c r="AW25" s="390"/>
      <c r="AX25" s="390"/>
      <c r="AZ25" s="390"/>
      <c r="BA25" s="390"/>
      <c r="BB25" s="390"/>
      <c r="BC25" s="390"/>
      <c r="BD25" s="390"/>
      <c r="BE25" s="390"/>
      <c r="BF25" s="390"/>
      <c r="BG25" s="390"/>
      <c r="BH25" s="390"/>
      <c r="BI25" s="390"/>
      <c r="BJ25" s="390"/>
      <c r="BK25" s="390"/>
      <c r="BL25" s="390"/>
      <c r="BM25" s="390"/>
      <c r="BN25" s="390"/>
      <c r="BO25" s="390"/>
      <c r="BP25" s="390"/>
      <c r="BQ25" s="390"/>
      <c r="BR25" s="390"/>
      <c r="BS25" s="390"/>
      <c r="BT25" s="390"/>
      <c r="BU25" s="390"/>
      <c r="BV25" s="390"/>
      <c r="BW25" s="390"/>
      <c r="BX25" s="390"/>
      <c r="BY25" s="390"/>
      <c r="BZ25" s="390"/>
      <c r="CA25" s="390"/>
      <c r="CB25" s="390"/>
      <c r="CC25" s="390"/>
      <c r="CD25" s="390"/>
    </row>
    <row r="26" spans="1:82" s="325" customFormat="1" ht="15.6">
      <c r="A26" s="480"/>
      <c r="B26" s="507" t="s">
        <v>175</v>
      </c>
      <c r="C26" s="507"/>
      <c r="D26" s="324"/>
      <c r="E26" s="342"/>
      <c r="F26" s="290"/>
      <c r="G26" s="79"/>
      <c r="H26" s="326"/>
      <c r="I26" s="326"/>
      <c r="J26" s="80"/>
      <c r="K26" s="290"/>
      <c r="L26" s="342"/>
      <c r="M26" s="2"/>
      <c r="N26" s="7"/>
      <c r="O26" s="7"/>
      <c r="P26" s="77"/>
      <c r="Q26" s="77"/>
      <c r="R26" s="77"/>
      <c r="S26" s="77"/>
      <c r="T26" s="77"/>
      <c r="U26" s="77"/>
      <c r="V26" s="77"/>
      <c r="W26" s="77"/>
      <c r="X26" s="77"/>
      <c r="Y26" s="77"/>
      <c r="Z26" s="2"/>
      <c r="AA26" s="304"/>
      <c r="AB26" s="7"/>
      <c r="AC26" s="13"/>
      <c r="AD26" s="13"/>
      <c r="AE26" s="13"/>
      <c r="AF26" s="13"/>
      <c r="AG26" s="13"/>
      <c r="AH26" s="13"/>
      <c r="AI26" s="13"/>
      <c r="AJ26" s="70"/>
      <c r="AK26" s="70"/>
      <c r="AL26" s="13"/>
      <c r="AM26" s="13"/>
      <c r="AN26" s="70"/>
      <c r="AO26" s="70"/>
      <c r="AP26" s="7"/>
      <c r="AQ26" s="342"/>
      <c r="AR26" s="290"/>
      <c r="AS26" s="290"/>
      <c r="AT26" s="290"/>
      <c r="AU26" s="290"/>
      <c r="AV26" s="290"/>
      <c r="AW26" s="290"/>
      <c r="AX26" s="290"/>
      <c r="AY26" s="342"/>
      <c r="AZ26" s="3"/>
      <c r="BA26" s="315"/>
      <c r="BB26" s="3"/>
      <c r="BC26" s="3"/>
      <c r="BD26" s="3"/>
      <c r="BE26" s="3"/>
      <c r="BF26" s="342"/>
      <c r="BG26" s="3"/>
      <c r="BH26" s="315"/>
      <c r="BI26" s="3"/>
      <c r="BJ26" s="3"/>
      <c r="BK26" s="3"/>
      <c r="BL26" s="3"/>
      <c r="BM26" s="342"/>
      <c r="BN26" s="3"/>
      <c r="BO26" s="315"/>
      <c r="BP26" s="3"/>
      <c r="BQ26" s="3"/>
      <c r="BR26" s="3"/>
      <c r="BS26" s="3"/>
      <c r="BT26" s="342"/>
      <c r="BU26" s="3"/>
      <c r="BV26" s="315"/>
      <c r="BW26" s="3"/>
      <c r="BX26" s="3"/>
      <c r="BY26" s="3"/>
      <c r="BZ26" s="3"/>
      <c r="CA26" s="342"/>
      <c r="CB26" s="342"/>
      <c r="CC26" s="342"/>
      <c r="CD26" s="342"/>
    </row>
    <row r="27" spans="1:82" s="325" customFormat="1" ht="15.6">
      <c r="A27" s="480"/>
      <c r="B27" s="507"/>
      <c r="C27" s="507"/>
      <c r="D27" s="324"/>
      <c r="E27" s="342"/>
      <c r="F27" s="290"/>
      <c r="G27" s="79"/>
      <c r="H27" s="326"/>
      <c r="I27" s="326"/>
      <c r="J27" s="80"/>
      <c r="K27" s="290"/>
      <c r="L27" s="342"/>
      <c r="M27" s="2"/>
      <c r="N27" s="13" t="s">
        <v>78</v>
      </c>
      <c r="O27" s="395" t="s">
        <v>79</v>
      </c>
      <c r="P27" s="395" t="s">
        <v>80</v>
      </c>
      <c r="Q27" s="77"/>
      <c r="R27" s="77"/>
      <c r="S27" s="77"/>
      <c r="T27" s="77"/>
      <c r="U27" s="13" t="s">
        <v>81</v>
      </c>
      <c r="V27" s="428" t="str">
        <f>_xlfn.CONCAT("DELIVERY COST (",BillingCountryCurrency,")")</f>
        <v>DELIVERY COST (COP)</v>
      </c>
      <c r="W27" s="428" t="str">
        <f>_xlfn.CONCAT("DELIVERY COST (",IF(ISBLANK(BusinessCurrency),"N/A",BusinessCurrency),")")</f>
        <v>DELIVERY COST (USD)</v>
      </c>
      <c r="X27" s="77"/>
      <c r="Y27" s="77"/>
      <c r="Z27" s="2"/>
      <c r="AA27" s="304"/>
      <c r="AB27" s="7"/>
      <c r="AC27" s="13" t="s">
        <v>82</v>
      </c>
      <c r="AD27" s="428" t="str">
        <f>_xlfn.CONCAT("PRICING (",BillingCountryCurrency,")")</f>
        <v>PRICING (COP)</v>
      </c>
      <c r="AE27" s="428" t="str">
        <f>_xlfn.CONCAT("PRICING (",IF(ISBLANK(BusinessCurrency),"N/A",BusinessCurrency),")")</f>
        <v>PRICING (USD)</v>
      </c>
      <c r="AF27" s="70" t="s">
        <v>14</v>
      </c>
      <c r="AG27" s="428" t="str">
        <f>_xlfn.CONCAT("Intercompany (",BillingCountryCurrency,")")</f>
        <v>Intercompany (COP)</v>
      </c>
      <c r="AH27" s="428" t="str">
        <f>_xlfn.CONCAT("Intercompany (",IF(ISBLANK(BusinessCurrency),"N/A",BusinessCurrency),")")</f>
        <v>Intercompany (USD)</v>
      </c>
      <c r="AI27" s="70" t="s">
        <v>14</v>
      </c>
      <c r="AJ27" s="428" t="str">
        <f>_xlfn.CONCAT("WHT (",BillingCountryCurrency,")")</f>
        <v>WHT (COP)</v>
      </c>
      <c r="AK27" s="428" t="str">
        <f>_xlfn.CONCAT("WHT (",IF(ISBLANK(BusinessCurrency),"N/A",BusinessCurrency),")")</f>
        <v>WHT (USD)</v>
      </c>
      <c r="AL27" s="70"/>
      <c r="AM27" s="70" t="s">
        <v>15</v>
      </c>
      <c r="AN27" s="428" t="str">
        <f>_xlfn.CONCAT("SUBTOTAL PRICE (",BillingCountryCurrency,")")</f>
        <v>SUBTOTAL PRICE (COP)</v>
      </c>
      <c r="AO27" s="428" t="str">
        <f>_xlfn.CONCAT("SUBTOTAL PRICE (",IF(ISBLANK(BusinessCurrency),"N/A",BusinessCurrency),")")</f>
        <v>SUBTOTAL PRICE (USD)</v>
      </c>
      <c r="AP27" s="7"/>
      <c r="AQ27" s="342"/>
      <c r="AR27" s="290"/>
      <c r="AS27" s="13" t="s">
        <v>83</v>
      </c>
      <c r="AT27" s="290"/>
      <c r="AU27" s="100"/>
      <c r="AV27" s="417"/>
      <c r="AW27" s="417"/>
      <c r="AX27" s="290"/>
      <c r="AY27" s="342"/>
      <c r="AZ27" s="3"/>
      <c r="BA27" s="315"/>
      <c r="BB27" s="3"/>
      <c r="BC27" s="3"/>
      <c r="BD27" s="3"/>
      <c r="BE27" s="3"/>
      <c r="BF27" s="342"/>
      <c r="BG27" s="3"/>
      <c r="BH27" s="315"/>
      <c r="BI27" s="3"/>
      <c r="BJ27" s="3"/>
      <c r="BK27" s="3"/>
      <c r="BL27" s="3"/>
      <c r="BM27" s="342"/>
      <c r="BN27" s="3"/>
      <c r="BO27" s="315"/>
      <c r="BP27" s="3"/>
      <c r="BQ27" s="3"/>
      <c r="BR27" s="3"/>
      <c r="BS27" s="3"/>
      <c r="BT27" s="342"/>
      <c r="BU27" s="3"/>
      <c r="BV27" s="315"/>
      <c r="BW27" s="3"/>
      <c r="BX27" s="3"/>
      <c r="BY27" s="3"/>
      <c r="BZ27" s="3"/>
      <c r="CA27" s="342"/>
      <c r="CB27" s="342"/>
      <c r="CC27" s="342"/>
      <c r="CD27" s="342"/>
    </row>
    <row r="28" spans="1:82" s="325" customFormat="1" ht="15.6">
      <c r="A28" s="480"/>
      <c r="B28" s="507"/>
      <c r="C28" s="507"/>
      <c r="D28" s="324"/>
      <c r="E28" s="342"/>
      <c r="F28" s="290"/>
      <c r="G28" s="79"/>
      <c r="H28" s="326"/>
      <c r="I28" s="326"/>
      <c r="J28" s="80"/>
      <c r="K28" s="290"/>
      <c r="L28" s="342"/>
      <c r="M28" s="2"/>
      <c r="N28" s="79" t="s">
        <v>84</v>
      </c>
      <c r="O28" s="103">
        <f>SUMIF($P42:$P71,"&lt;&gt;*Project Management*",$T42:$T71)</f>
        <v>26.227638000000002</v>
      </c>
      <c r="P28" s="396">
        <f>IFERROR(O28/O31,0)</f>
        <v>0.82224389153830146</v>
      </c>
      <c r="Q28" s="82"/>
      <c r="R28" s="77"/>
      <c r="S28" s="77"/>
      <c r="T28" s="77"/>
      <c r="U28" s="4" t="s">
        <v>24</v>
      </c>
      <c r="V28" s="328">
        <f>SUMIF(P42:P71,"&lt;&gt;*Project Management*",W42:W71)</f>
        <v>1061346.1850334001</v>
      </c>
      <c r="W28" s="425">
        <f t="shared" ref="W28:W37" si="11">IFERROR(V28/BusinessCurrencyTRM,"N/A")</f>
        <v>272.14004744446157</v>
      </c>
      <c r="X28" s="7"/>
      <c r="Y28" s="7" t="s">
        <v>85</v>
      </c>
      <c r="Z28" s="2"/>
      <c r="AA28" s="304"/>
      <c r="AB28" s="7"/>
      <c r="AC28" s="4" t="s">
        <v>24</v>
      </c>
      <c r="AD28" s="329">
        <f>SUMIF(P42:P71,"&lt;&gt;*Project Management*",AD42:AD71)</f>
        <v>1516208.8519619999</v>
      </c>
      <c r="AE28" s="425">
        <f t="shared" ref="AE28:AE37" si="12">IFERROR(AD28/BusinessCurrencyTRM,"N/A")</f>
        <v>388.77150050307688</v>
      </c>
      <c r="AF28" s="330"/>
      <c r="AG28" s="328">
        <f>SUMIF(P42:P71,"&lt;&gt;*Project Management*",AH42:AH71)</f>
        <v>0</v>
      </c>
      <c r="AH28" s="449">
        <f t="shared" ref="AH28:AH37" si="13">IFERROR(AG28/BusinessCurrencyTRM,"N/A")</f>
        <v>0</v>
      </c>
      <c r="AI28" s="330"/>
      <c r="AJ28" s="328">
        <f>SUMIF(P42:P71,"&lt;&gt;*Project Management*",AK42:AK71)</f>
        <v>0</v>
      </c>
      <c r="AK28" s="425">
        <f t="shared" ref="AK28:AK37" si="14">IFERROR(AJ28/BusinessCurrencyTRM,"N/A")</f>
        <v>0</v>
      </c>
      <c r="AL28" s="330"/>
      <c r="AM28" s="330"/>
      <c r="AN28" s="329">
        <f>SUM(AD28,AG28,AJ28)</f>
        <v>1516208.8519619999</v>
      </c>
      <c r="AO28" s="425">
        <f t="shared" ref="AO28:AO37" si="15">IFERROR(AN28/BusinessCurrencyTRM,"N/A")</f>
        <v>388.77150050307688</v>
      </c>
      <c r="AP28" s="7"/>
      <c r="AQ28" s="342"/>
      <c r="AR28" s="290"/>
      <c r="AS28" s="402" t="s">
        <v>86</v>
      </c>
      <c r="AT28" s="290"/>
      <c r="AU28" s="81"/>
      <c r="AV28" s="508">
        <f>CMSResumen!H21</f>
        <v>0.3</v>
      </c>
      <c r="AW28" s="508"/>
      <c r="AX28" s="290"/>
      <c r="AY28" s="342"/>
      <c r="AZ28" s="3"/>
      <c r="BA28" s="315"/>
      <c r="BB28" s="3"/>
      <c r="BC28" s="3"/>
      <c r="BD28" s="3"/>
      <c r="BE28" s="3"/>
      <c r="BF28" s="342"/>
      <c r="BG28" s="3"/>
      <c r="BH28" s="315"/>
      <c r="BI28" s="3"/>
      <c r="BJ28" s="3"/>
      <c r="BK28" s="3"/>
      <c r="BL28" s="3"/>
      <c r="BM28" s="342"/>
      <c r="BN28" s="3"/>
      <c r="BO28" s="315"/>
      <c r="BP28" s="3"/>
      <c r="BQ28" s="3"/>
      <c r="BR28" s="3"/>
      <c r="BS28" s="3"/>
      <c r="BT28" s="342"/>
      <c r="BU28" s="3"/>
      <c r="BV28" s="315"/>
      <c r="BW28" s="3"/>
      <c r="BX28" s="3"/>
      <c r="BY28" s="3"/>
      <c r="BZ28" s="3"/>
      <c r="CA28" s="342"/>
      <c r="CB28" s="342"/>
      <c r="CC28" s="342"/>
      <c r="CD28" s="342"/>
    </row>
    <row r="29" spans="1:82" s="325" customFormat="1" ht="16.149999999999999" thickBot="1">
      <c r="A29" s="480"/>
      <c r="B29" s="507"/>
      <c r="C29" s="507"/>
      <c r="D29" s="324"/>
      <c r="E29" s="342"/>
      <c r="F29" s="290"/>
      <c r="G29" s="79"/>
      <c r="H29" s="326"/>
      <c r="I29" s="326"/>
      <c r="J29" s="80"/>
      <c r="K29" s="290"/>
      <c r="L29" s="342"/>
      <c r="M29" s="2"/>
      <c r="N29" s="79" t="s">
        <v>87</v>
      </c>
      <c r="O29" s="103">
        <f>SUMIF($P42:$P71,"=*Project Management*",$T42:T71)</f>
        <v>5.67</v>
      </c>
      <c r="P29" s="396">
        <f>IFERROR(O29/O31,0)</f>
        <v>0.17775610846169862</v>
      </c>
      <c r="Q29" s="82"/>
      <c r="R29" s="77"/>
      <c r="S29" s="77"/>
      <c r="T29" s="77"/>
      <c r="U29" s="4" t="s">
        <v>30</v>
      </c>
      <c r="V29" s="328">
        <f>SUMIF(P42:P71,"=*Project Management*",W42:W71)</f>
        <v>0</v>
      </c>
      <c r="W29" s="425">
        <f t="shared" si="11"/>
        <v>0</v>
      </c>
      <c r="X29" s="7"/>
      <c r="Y29" s="7" t="s">
        <v>88</v>
      </c>
      <c r="Z29" s="2"/>
      <c r="AA29" s="304"/>
      <c r="AB29" s="7"/>
      <c r="AC29" s="4" t="s">
        <v>30</v>
      </c>
      <c r="AD29" s="329">
        <f>SUMIF(P42:P71,"=*Project Management*",AD42:AD71)</f>
        <v>0</v>
      </c>
      <c r="AE29" s="425">
        <f t="shared" si="12"/>
        <v>0</v>
      </c>
      <c r="AF29" s="330"/>
      <c r="AG29" s="328">
        <f>SUMIF(P42:P71,"=*Project Management*",AH42:AH71)</f>
        <v>0</v>
      </c>
      <c r="AH29" s="447">
        <f t="shared" si="13"/>
        <v>0</v>
      </c>
      <c r="AI29" s="330"/>
      <c r="AJ29" s="448">
        <f>SUMIF(P42:P71,"=*Project Management*",AK42:AK71)</f>
        <v>0</v>
      </c>
      <c r="AK29" s="425">
        <f t="shared" si="14"/>
        <v>0</v>
      </c>
      <c r="AL29" s="330"/>
      <c r="AM29" s="330"/>
      <c r="AN29" s="329">
        <f t="shared" ref="AN29:AN37" si="16">SUM(AD29,AG29,AJ29)</f>
        <v>0</v>
      </c>
      <c r="AO29" s="425">
        <f t="shared" si="15"/>
        <v>0</v>
      </c>
      <c r="AP29" s="7"/>
      <c r="AQ29" s="342"/>
      <c r="AR29" s="290"/>
      <c r="AS29" s="402" t="s">
        <v>89</v>
      </c>
      <c r="AT29" s="290"/>
      <c r="AU29" s="81"/>
      <c r="AV29" s="509">
        <f>IFERROR(1-AV31/AV32,0)</f>
        <v>0.30000000747918065</v>
      </c>
      <c r="AW29" s="509"/>
      <c r="AX29" s="290"/>
      <c r="AY29" s="342"/>
      <c r="AZ29" s="3"/>
      <c r="BA29" s="315"/>
      <c r="BB29" s="3"/>
      <c r="BC29" s="3"/>
      <c r="BD29" s="3"/>
      <c r="BE29" s="3"/>
      <c r="BF29" s="342"/>
      <c r="BG29" s="3"/>
      <c r="BH29" s="315"/>
      <c r="BI29" s="3"/>
      <c r="BJ29" s="3"/>
      <c r="BK29" s="3"/>
      <c r="BL29" s="3"/>
      <c r="BM29" s="342"/>
      <c r="BN29" s="3"/>
      <c r="BO29" s="315"/>
      <c r="BP29" s="3"/>
      <c r="BQ29" s="3"/>
      <c r="BR29" s="3"/>
      <c r="BS29" s="3"/>
      <c r="BT29" s="342"/>
      <c r="BU29" s="3"/>
      <c r="BV29" s="315"/>
      <c r="BW29" s="3"/>
      <c r="BX29" s="3"/>
      <c r="BY29" s="3"/>
      <c r="BZ29" s="3"/>
      <c r="CA29" s="342"/>
      <c r="CB29" s="342"/>
      <c r="CC29" s="342"/>
      <c r="CD29" s="342"/>
    </row>
    <row r="30" spans="1:82" s="325" customFormat="1" ht="16.899999999999999" thickTop="1" thickBot="1">
      <c r="A30" s="480"/>
      <c r="B30" s="507"/>
      <c r="C30" s="507"/>
      <c r="D30" s="324"/>
      <c r="E30" s="342"/>
      <c r="F30" s="290"/>
      <c r="G30" s="79"/>
      <c r="H30" s="326"/>
      <c r="I30" s="326"/>
      <c r="J30" s="80"/>
      <c r="K30" s="290"/>
      <c r="L30" s="342"/>
      <c r="M30" s="2"/>
      <c r="N30" s="79" t="s">
        <v>90</v>
      </c>
      <c r="O30" s="103">
        <f>IF(Approach="Team-Based",SUM(O28:O29)*$O33,$J40-$G40)</f>
        <v>0</v>
      </c>
      <c r="P30" s="396">
        <f>IFERROR(O30/O31,0)</f>
        <v>0</v>
      </c>
      <c r="Q30" s="77"/>
      <c r="R30" s="77"/>
      <c r="S30" s="77"/>
      <c r="T30" s="77"/>
      <c r="U30" s="13" t="s">
        <v>35</v>
      </c>
      <c r="V30" s="84">
        <f>SUM(V28:V29)</f>
        <v>1061346.1850334001</v>
      </c>
      <c r="W30" s="426">
        <f t="shared" si="11"/>
        <v>272.14004744446157</v>
      </c>
      <c r="X30" s="77"/>
      <c r="Y30" s="77"/>
      <c r="Z30" s="2"/>
      <c r="AA30" s="304"/>
      <c r="AB30" s="7"/>
      <c r="AC30" s="13" t="s">
        <v>35</v>
      </c>
      <c r="AD30" s="84">
        <f>SUM(AD28:AD29)</f>
        <v>1516208.8519619999</v>
      </c>
      <c r="AE30" s="426">
        <f t="shared" si="12"/>
        <v>388.77150050307688</v>
      </c>
      <c r="AF30" s="330"/>
      <c r="AG30" s="84">
        <f>SUM(AG28:AG29)</f>
        <v>0</v>
      </c>
      <c r="AH30" s="450">
        <f t="shared" si="13"/>
        <v>0</v>
      </c>
      <c r="AI30" s="330"/>
      <c r="AJ30" s="84">
        <f>SUM(AJ28:AJ29)</f>
        <v>0</v>
      </c>
      <c r="AK30" s="426">
        <f t="shared" si="14"/>
        <v>0</v>
      </c>
      <c r="AL30" s="330"/>
      <c r="AM30" s="330"/>
      <c r="AN30" s="84">
        <f t="shared" si="16"/>
        <v>1516208.8519619999</v>
      </c>
      <c r="AO30" s="426">
        <f t="shared" si="15"/>
        <v>388.77150050307688</v>
      </c>
      <c r="AP30" s="7"/>
      <c r="AQ30" s="342"/>
      <c r="AR30" s="290"/>
      <c r="AS30" s="81"/>
      <c r="AT30" s="81"/>
      <c r="AU30" s="81"/>
      <c r="AV30" s="417" t="str">
        <f>BillingCountryCurrency</f>
        <v>COP</v>
      </c>
      <c r="AW30" s="417" t="str">
        <f>IF(ISBLANK(BusinessCurrency),"N/A",BusinessCurrency)</f>
        <v>USD</v>
      </c>
      <c r="AX30" s="290"/>
      <c r="AY30" s="342"/>
      <c r="AZ30" s="3"/>
      <c r="BA30" s="315"/>
      <c r="BB30" s="3"/>
      <c r="BC30" s="3"/>
      <c r="BD30" s="3"/>
      <c r="BE30" s="3"/>
      <c r="BF30" s="342"/>
      <c r="BG30" s="3"/>
      <c r="BH30" s="315"/>
      <c r="BI30" s="3"/>
      <c r="BJ30" s="3"/>
      <c r="BK30" s="3"/>
      <c r="BL30" s="3"/>
      <c r="BM30" s="342"/>
      <c r="BN30" s="3"/>
      <c r="BO30" s="315"/>
      <c r="BP30" s="3"/>
      <c r="BQ30" s="3"/>
      <c r="BR30" s="3"/>
      <c r="BS30" s="3"/>
      <c r="BT30" s="342"/>
      <c r="BU30" s="3"/>
      <c r="BV30" s="315"/>
      <c r="BW30" s="3"/>
      <c r="BX30" s="3"/>
      <c r="BY30" s="3"/>
      <c r="BZ30" s="3"/>
      <c r="CA30" s="342"/>
      <c r="CB30" s="342"/>
      <c r="CC30" s="342"/>
      <c r="CD30" s="342"/>
    </row>
    <row r="31" spans="1:82" s="325" customFormat="1" ht="16.149999999999999" thickTop="1">
      <c r="A31" s="480"/>
      <c r="B31" s="507"/>
      <c r="C31" s="507"/>
      <c r="D31" s="324"/>
      <c r="E31" s="342"/>
      <c r="F31" s="290"/>
      <c r="G31" s="79"/>
      <c r="H31" s="326"/>
      <c r="I31" s="326"/>
      <c r="J31" s="80"/>
      <c r="K31" s="290"/>
      <c r="L31" s="342"/>
      <c r="M31" s="2"/>
      <c r="N31" s="83" t="s">
        <v>91</v>
      </c>
      <c r="O31" s="102">
        <f>SUM(O28:O30)</f>
        <v>31.897638000000001</v>
      </c>
      <c r="P31" s="397">
        <f>SUM(P28:P30)</f>
        <v>1</v>
      </c>
      <c r="Q31" s="77"/>
      <c r="R31" s="77"/>
      <c r="S31" s="77"/>
      <c r="T31" s="77"/>
      <c r="U31" s="4" t="s">
        <v>47</v>
      </c>
      <c r="V31" s="328">
        <f>ROUNDUP(V30*O33,2)</f>
        <v>0</v>
      </c>
      <c r="W31" s="425">
        <f t="shared" si="11"/>
        <v>0</v>
      </c>
      <c r="X31" s="7"/>
      <c r="Y31" s="7" t="s">
        <v>92</v>
      </c>
      <c r="Z31" s="2"/>
      <c r="AA31" s="304"/>
      <c r="AB31" s="7"/>
      <c r="AC31" s="4" t="s">
        <v>47</v>
      </c>
      <c r="AD31" s="328">
        <f>ROUNDUP(V31/(1-$AV$28),2)</f>
        <v>0</v>
      </c>
      <c r="AE31" s="425">
        <f t="shared" si="12"/>
        <v>0</v>
      </c>
      <c r="AF31" s="330"/>
      <c r="AG31" s="328">
        <f>IFERROR(V31*MAX(AG42:AG71),0)</f>
        <v>0</v>
      </c>
      <c r="AH31" s="449">
        <f t="shared" si="13"/>
        <v>0</v>
      </c>
      <c r="AI31" s="330"/>
      <c r="AJ31" s="328">
        <f>IFERROR(SUM(V31,AG31)*MAX(AJ42:AJ71),0)</f>
        <v>0</v>
      </c>
      <c r="AK31" s="425">
        <f t="shared" si="14"/>
        <v>0</v>
      </c>
      <c r="AL31" s="330"/>
      <c r="AM31" s="330"/>
      <c r="AN31" s="329">
        <f t="shared" si="16"/>
        <v>0</v>
      </c>
      <c r="AO31" s="425">
        <f t="shared" si="15"/>
        <v>0</v>
      </c>
      <c r="AP31" s="7"/>
      <c r="AQ31" s="342"/>
      <c r="AR31" s="290"/>
      <c r="AS31" s="402" t="s">
        <v>93</v>
      </c>
      <c r="AT31" s="290"/>
      <c r="AU31" s="81"/>
      <c r="AV31" s="298">
        <f>SUM(V37,AG37,AJ37)</f>
        <v>1061346.1850334001</v>
      </c>
      <c r="AW31" s="418">
        <f>IFERROR(AV31/BusinessCurrencyTRM,"N/A")</f>
        <v>272.14004744446157</v>
      </c>
      <c r="AX31" s="290"/>
      <c r="AY31" s="342"/>
      <c r="AZ31" s="3"/>
      <c r="BA31" s="315"/>
      <c r="BB31" s="3"/>
      <c r="BC31" s="3"/>
      <c r="BD31" s="3"/>
      <c r="BE31" s="3"/>
      <c r="BF31" s="342"/>
      <c r="BG31" s="3"/>
      <c r="BH31" s="315"/>
      <c r="BI31" s="3"/>
      <c r="BJ31" s="3"/>
      <c r="BK31" s="3"/>
      <c r="BL31" s="3"/>
      <c r="BM31" s="342"/>
      <c r="BN31" s="3"/>
      <c r="BO31" s="315"/>
      <c r="BP31" s="3"/>
      <c r="BQ31" s="3"/>
      <c r="BR31" s="3"/>
      <c r="BS31" s="3"/>
      <c r="BT31" s="342"/>
      <c r="BU31" s="3"/>
      <c r="BV31" s="315"/>
      <c r="BW31" s="3"/>
      <c r="BX31" s="3"/>
      <c r="BY31" s="3"/>
      <c r="BZ31" s="3"/>
      <c r="CA31" s="342"/>
      <c r="CB31" s="342"/>
      <c r="CC31" s="342"/>
      <c r="CD31" s="342"/>
    </row>
    <row r="32" spans="1:82" s="325" customFormat="1" ht="15.6">
      <c r="A32" s="480"/>
      <c r="B32" s="507"/>
      <c r="C32" s="507"/>
      <c r="D32" s="324"/>
      <c r="E32" s="342"/>
      <c r="F32" s="290"/>
      <c r="G32" s="79"/>
      <c r="H32" s="326"/>
      <c r="I32" s="326"/>
      <c r="J32" s="80"/>
      <c r="K32" s="290"/>
      <c r="L32" s="342"/>
      <c r="M32" s="2"/>
      <c r="N32" s="2"/>
      <c r="O32" s="2"/>
      <c r="P32" s="32"/>
      <c r="Q32" s="77"/>
      <c r="R32" s="77"/>
      <c r="S32" s="77"/>
      <c r="T32" s="77"/>
      <c r="U32" s="4" t="s">
        <v>50</v>
      </c>
      <c r="V32" s="328">
        <f>IFERROR(SUMIF(PayRise!A:A,B26,PayRise!J:J),0)</f>
        <v>0</v>
      </c>
      <c r="W32" s="425">
        <f t="shared" si="11"/>
        <v>0</v>
      </c>
      <c r="X32" s="7"/>
      <c r="Y32" s="7" t="s">
        <v>94</v>
      </c>
      <c r="Z32" s="2"/>
      <c r="AA32" s="304"/>
      <c r="AB32" s="7"/>
      <c r="AC32" s="4" t="s">
        <v>50</v>
      </c>
      <c r="AD32" s="328">
        <f>IFERROR(SUMIF(PayRise!A:A,B26,PayRise!K:K),0)</f>
        <v>0</v>
      </c>
      <c r="AE32" s="425">
        <f t="shared" si="12"/>
        <v>0</v>
      </c>
      <c r="AF32" s="330"/>
      <c r="AG32" s="328">
        <f>IFERROR(SUMIF(PayRise!A:A,B26,PayRise!L:L),0)</f>
        <v>0</v>
      </c>
      <c r="AH32" s="445">
        <f t="shared" si="13"/>
        <v>0</v>
      </c>
      <c r="AI32" s="330"/>
      <c r="AJ32" s="446">
        <f>IFERROR(SUMIF(PayRise!A:A,B26,PayRise!M:M),0)</f>
        <v>0</v>
      </c>
      <c r="AK32" s="425">
        <f t="shared" si="14"/>
        <v>0</v>
      </c>
      <c r="AL32" s="330"/>
      <c r="AM32" s="330"/>
      <c r="AN32" s="329">
        <f t="shared" si="16"/>
        <v>0</v>
      </c>
      <c r="AO32" s="425">
        <f t="shared" si="15"/>
        <v>0</v>
      </c>
      <c r="AP32" s="7"/>
      <c r="AQ32" s="342"/>
      <c r="AR32" s="290"/>
      <c r="AS32" s="402" t="s">
        <v>95</v>
      </c>
      <c r="AT32" s="290"/>
      <c r="AU32" s="100"/>
      <c r="AV32" s="298">
        <f>AN37</f>
        <v>1516208.8519619999</v>
      </c>
      <c r="AW32" s="418">
        <f>IFERROR(AV32/BusinessCurrencyTRM,"N/A")</f>
        <v>388.77150050307688</v>
      </c>
      <c r="AX32" s="290"/>
      <c r="AY32" s="342"/>
      <c r="AZ32" s="3"/>
      <c r="BA32" s="315"/>
      <c r="BB32" s="3"/>
      <c r="BC32" s="3"/>
      <c r="BD32" s="3"/>
      <c r="BE32" s="3"/>
      <c r="BF32" s="342"/>
      <c r="BG32" s="3"/>
      <c r="BH32" s="315"/>
      <c r="BI32" s="3"/>
      <c r="BJ32" s="3"/>
      <c r="BK32" s="3"/>
      <c r="BL32" s="3"/>
      <c r="BM32" s="342"/>
      <c r="BN32" s="3"/>
      <c r="BO32" s="315"/>
      <c r="BP32" s="3"/>
      <c r="BQ32" s="3"/>
      <c r="BR32" s="3"/>
      <c r="BS32" s="3"/>
      <c r="BT32" s="342"/>
      <c r="BU32" s="3"/>
      <c r="BV32" s="315"/>
      <c r="BW32" s="3"/>
      <c r="BX32" s="3"/>
      <c r="BY32" s="3"/>
      <c r="BZ32" s="3"/>
      <c r="CA32" s="342"/>
      <c r="CB32" s="342"/>
      <c r="CC32" s="342"/>
      <c r="CD32" s="342"/>
    </row>
    <row r="33" spans="1:79" s="325" customFormat="1" ht="15.6">
      <c r="A33" s="480"/>
      <c r="B33" s="507"/>
      <c r="C33" s="507"/>
      <c r="D33" s="324"/>
      <c r="E33" s="342"/>
      <c r="F33" s="290"/>
      <c r="G33" s="79"/>
      <c r="H33" s="326"/>
      <c r="I33" s="326"/>
      <c r="J33" s="80"/>
      <c r="K33" s="290"/>
      <c r="L33" s="342"/>
      <c r="M33" s="2"/>
      <c r="N33" s="13" t="str">
        <f>IF(Approach="By Hours", "N/A for ByHours", "% Risks")</f>
        <v>% Risks</v>
      </c>
      <c r="O33" s="331">
        <v>0</v>
      </c>
      <c r="P33" s="32"/>
      <c r="Q33" s="77"/>
      <c r="R33" s="77"/>
      <c r="S33" s="309"/>
      <c r="T33" s="309"/>
      <c r="U33" s="4" t="s">
        <v>55</v>
      </c>
      <c r="V33" s="328">
        <f>IFERROR(SUMIFS(OtherCosts!Q:Q,OtherCosts!A:A,B26,OtherCosts!B:B,"Hardware/Software"),0)</f>
        <v>0</v>
      </c>
      <c r="W33" s="425">
        <f t="shared" si="11"/>
        <v>0</v>
      </c>
      <c r="X33" s="7"/>
      <c r="Y33" s="7" t="s">
        <v>96</v>
      </c>
      <c r="Z33" s="2"/>
      <c r="AA33" s="304"/>
      <c r="AB33" s="7"/>
      <c r="AC33" s="4" t="s">
        <v>55</v>
      </c>
      <c r="AD33" s="328">
        <f>IFERROR(SUMIFS(OtherCosts!R:R,OtherCosts!A:A,B26,OtherCosts!B:B,"Hardware/Software"),0)</f>
        <v>0</v>
      </c>
      <c r="AE33" s="425">
        <f t="shared" si="12"/>
        <v>0</v>
      </c>
      <c r="AF33" s="330"/>
      <c r="AG33" s="328">
        <f>IFERROR(SUMIFS(OtherCosts!S:S,OtherCosts!A:A,B26,OtherCosts!B:B,"Hardware/Software"),0)</f>
        <v>0</v>
      </c>
      <c r="AH33" s="445">
        <f t="shared" si="13"/>
        <v>0</v>
      </c>
      <c r="AI33" s="330"/>
      <c r="AJ33" s="446">
        <f>IFERROR(SUMIFS(OtherCosts!T:T,OtherCosts!A:A,B26,OtherCosts!B:B,"Hardware/Software"),0)</f>
        <v>0</v>
      </c>
      <c r="AK33" s="425">
        <f t="shared" si="14"/>
        <v>0</v>
      </c>
      <c r="AL33" s="330"/>
      <c r="AM33" s="330"/>
      <c r="AN33" s="329">
        <f t="shared" si="16"/>
        <v>0</v>
      </c>
      <c r="AO33" s="425">
        <f t="shared" si="15"/>
        <v>0</v>
      </c>
      <c r="AP33" s="7"/>
      <c r="AQ33" s="342"/>
      <c r="AR33" s="290"/>
      <c r="AS33" s="402" t="s">
        <v>97</v>
      </c>
      <c r="AT33" s="290"/>
      <c r="AU33" s="100"/>
      <c r="AV33" s="298">
        <f>IFERROR(IF(O34&lt;1,AN37,AN37/O34),0)</f>
        <v>1516208.8519619999</v>
      </c>
      <c r="AW33" s="418">
        <f>IFERROR(AV33/BusinessCurrencyTRM,"N/A")</f>
        <v>388.77150050307688</v>
      </c>
      <c r="AX33" s="290"/>
      <c r="AY33" s="342"/>
      <c r="AZ33" s="3"/>
      <c r="BA33" s="315"/>
      <c r="BB33" s="3"/>
      <c r="BC33" s="3"/>
      <c r="BD33" s="3"/>
      <c r="BE33" s="3"/>
      <c r="BF33" s="342"/>
      <c r="BG33" s="3"/>
      <c r="BH33" s="315"/>
      <c r="BI33" s="3"/>
      <c r="BJ33" s="3"/>
      <c r="BK33" s="3"/>
      <c r="BL33" s="3"/>
      <c r="BM33" s="342"/>
      <c r="BN33" s="3"/>
      <c r="BO33" s="315"/>
      <c r="BP33" s="3"/>
      <c r="BQ33" s="3"/>
      <c r="BR33" s="3"/>
      <c r="BS33" s="3"/>
      <c r="BT33" s="342"/>
      <c r="BU33" s="3"/>
      <c r="BV33" s="315"/>
      <c r="BW33" s="3"/>
      <c r="BX33" s="3"/>
      <c r="BY33" s="3"/>
      <c r="BZ33" s="3"/>
      <c r="CA33" s="342"/>
    </row>
    <row r="34" spans="1:79" s="325" customFormat="1" ht="15.6">
      <c r="A34" s="480"/>
      <c r="B34" s="507"/>
      <c r="C34" s="507"/>
      <c r="D34" s="324"/>
      <c r="E34" s="342"/>
      <c r="F34" s="290"/>
      <c r="G34" s="79"/>
      <c r="H34" s="326"/>
      <c r="I34" s="326"/>
      <c r="J34" s="80"/>
      <c r="K34" s="290"/>
      <c r="L34" s="342"/>
      <c r="M34" s="2"/>
      <c r="N34" s="13" t="str">
        <f>IF(Approach="By Hours", "N/A for ByHours", "Duration (Months) *")</f>
        <v>Duration (Months) *</v>
      </c>
      <c r="O34" s="332">
        <v>1</v>
      </c>
      <c r="P34" s="32"/>
      <c r="Q34" s="77"/>
      <c r="R34" s="77"/>
      <c r="S34" s="309"/>
      <c r="T34" s="309"/>
      <c r="U34" s="4" t="s">
        <v>58</v>
      </c>
      <c r="V34" s="328">
        <f>IFERROR(SUMIFS(OtherCosts!Q:Q,OtherCosts!A:A,B26,OtherCosts!B:B,"Vendor"),0)</f>
        <v>0</v>
      </c>
      <c r="W34" s="425">
        <f t="shared" si="11"/>
        <v>0</v>
      </c>
      <c r="X34" s="7"/>
      <c r="Y34" s="7" t="s">
        <v>98</v>
      </c>
      <c r="Z34" s="2"/>
      <c r="AA34" s="304"/>
      <c r="AB34" s="7"/>
      <c r="AC34" s="4" t="s">
        <v>58</v>
      </c>
      <c r="AD34" s="328">
        <f>IFERROR(SUMIFS(OtherCosts!R:R,OtherCosts!A:A,B26,OtherCosts!B:B,"Vendor"),0)</f>
        <v>0</v>
      </c>
      <c r="AE34" s="425">
        <f t="shared" si="12"/>
        <v>0</v>
      </c>
      <c r="AF34" s="330"/>
      <c r="AG34" s="328">
        <f>IFERROR(SUMIFS(OtherCosts!S:S,OtherCosts!A:A,B26,OtherCosts!B:B,"Vendor"),0)</f>
        <v>0</v>
      </c>
      <c r="AH34" s="445">
        <f t="shared" si="13"/>
        <v>0</v>
      </c>
      <c r="AI34" s="330"/>
      <c r="AJ34" s="446">
        <f>IFERROR(SUMIFS(OtherCosts!T:T,OtherCosts!A:A,B26,OtherCosts!B:B,"Vendor"),0)</f>
        <v>0</v>
      </c>
      <c r="AK34" s="425">
        <f t="shared" si="14"/>
        <v>0</v>
      </c>
      <c r="AL34" s="330"/>
      <c r="AM34" s="330"/>
      <c r="AN34" s="329">
        <f t="shared" si="16"/>
        <v>0</v>
      </c>
      <c r="AO34" s="425">
        <f t="shared" si="15"/>
        <v>0</v>
      </c>
      <c r="AP34" s="7"/>
      <c r="AQ34" s="342"/>
      <c r="AR34" s="290"/>
      <c r="AS34" s="402" t="s">
        <v>99</v>
      </c>
      <c r="AT34" s="290"/>
      <c r="AU34" s="100"/>
      <c r="AV34" s="298">
        <f>IFERROR(AN37/T40,0)</f>
        <v>47530.058055235102</v>
      </c>
      <c r="AW34" s="418">
        <f>IFERROR(AV34/BusinessCurrencyTRM,"N/A")</f>
        <v>12.187194373137206</v>
      </c>
      <c r="AX34" s="290"/>
      <c r="AY34" s="342"/>
      <c r="AZ34" s="3"/>
      <c r="BA34" s="315"/>
      <c r="BB34" s="3"/>
      <c r="BC34" s="3"/>
      <c r="BD34" s="3"/>
      <c r="BE34" s="3"/>
      <c r="BF34" s="342"/>
      <c r="BG34" s="3"/>
      <c r="BH34" s="315"/>
      <c r="BI34" s="3"/>
      <c r="BJ34" s="3"/>
      <c r="BK34" s="3"/>
      <c r="BL34" s="3"/>
      <c r="BM34" s="342"/>
      <c r="BN34" s="3"/>
      <c r="BO34" s="315"/>
      <c r="BP34" s="3"/>
      <c r="BQ34" s="3"/>
      <c r="BR34" s="3"/>
      <c r="BS34" s="3"/>
      <c r="BT34" s="342"/>
      <c r="BU34" s="3"/>
      <c r="BV34" s="315"/>
      <c r="BW34" s="3"/>
      <c r="BX34" s="3"/>
      <c r="BY34" s="3"/>
      <c r="BZ34" s="3"/>
      <c r="CA34" s="342"/>
    </row>
    <row r="35" spans="1:79" s="325" customFormat="1" ht="15.6">
      <c r="A35" s="480"/>
      <c r="B35" s="507"/>
      <c r="C35" s="507"/>
      <c r="D35" s="324"/>
      <c r="E35" s="342"/>
      <c r="F35" s="290"/>
      <c r="G35" s="79"/>
      <c r="H35" s="326"/>
      <c r="I35" s="326"/>
      <c r="J35" s="80"/>
      <c r="K35" s="290"/>
      <c r="L35" s="342"/>
      <c r="M35" s="2"/>
      <c r="N35" s="83"/>
      <c r="O35" s="333"/>
      <c r="P35" s="32"/>
      <c r="Q35" s="77"/>
      <c r="R35" s="77"/>
      <c r="S35" s="309"/>
      <c r="T35" s="309"/>
      <c r="U35" s="4" t="s">
        <v>61</v>
      </c>
      <c r="V35" s="328">
        <f>IFERROR(SUMIFS(OtherCosts!Q:Q,OtherCosts!A:A,B26,OtherCosts!B:B,"Insurance"),0)</f>
        <v>0</v>
      </c>
      <c r="W35" s="425">
        <f t="shared" si="11"/>
        <v>0</v>
      </c>
      <c r="X35" s="7"/>
      <c r="Y35" s="7" t="s">
        <v>100</v>
      </c>
      <c r="Z35" s="2"/>
      <c r="AA35" s="304"/>
      <c r="AB35" s="7"/>
      <c r="AC35" s="4" t="s">
        <v>61</v>
      </c>
      <c r="AD35" s="328">
        <f>IFERROR(SUMIFS(OtherCosts!R:R,OtherCosts!A:A,B26,OtherCosts!B:B,"Insurance"),0)</f>
        <v>0</v>
      </c>
      <c r="AE35" s="425">
        <f t="shared" si="12"/>
        <v>0</v>
      </c>
      <c r="AF35" s="330"/>
      <c r="AG35" s="328">
        <f>IFERROR(SUMIFS(OtherCosts!S:S,OtherCosts!A:A,B26,OtherCosts!B:B,"Insurance"),0)</f>
        <v>0</v>
      </c>
      <c r="AH35" s="445">
        <f t="shared" si="13"/>
        <v>0</v>
      </c>
      <c r="AI35" s="330"/>
      <c r="AJ35" s="446">
        <f>IFERROR(SUMIFS(OtherCosts!T:T,OtherCosts!A:A,B26,OtherCosts!B:B,"Insurance"),0)</f>
        <v>0</v>
      </c>
      <c r="AK35" s="425">
        <f t="shared" si="14"/>
        <v>0</v>
      </c>
      <c r="AL35" s="330"/>
      <c r="AM35" s="330"/>
      <c r="AN35" s="329">
        <f t="shared" si="16"/>
        <v>0</v>
      </c>
      <c r="AO35" s="425">
        <f t="shared" si="15"/>
        <v>0</v>
      </c>
      <c r="AP35" s="7"/>
      <c r="AQ35" s="342"/>
      <c r="AR35" s="290"/>
      <c r="AS35" s="290"/>
      <c r="AT35" s="81"/>
      <c r="AU35" s="81"/>
      <c r="AV35" s="81"/>
      <c r="AW35" s="81"/>
      <c r="AX35" s="290"/>
      <c r="AY35" s="342"/>
      <c r="AZ35" s="3"/>
      <c r="BA35" s="315"/>
      <c r="BB35" s="3"/>
      <c r="BC35" s="3"/>
      <c r="BD35" s="3"/>
      <c r="BE35" s="3"/>
      <c r="BF35" s="342"/>
      <c r="BG35" s="3"/>
      <c r="BH35" s="315"/>
      <c r="BI35" s="3"/>
      <c r="BJ35" s="3"/>
      <c r="BK35" s="3"/>
      <c r="BL35" s="3"/>
      <c r="BM35" s="342"/>
      <c r="BN35" s="3"/>
      <c r="BO35" s="315"/>
      <c r="BP35" s="3"/>
      <c r="BQ35" s="3"/>
      <c r="BR35" s="3"/>
      <c r="BS35" s="3"/>
      <c r="BT35" s="342"/>
      <c r="BU35" s="3"/>
      <c r="BV35" s="315"/>
      <c r="BW35" s="3"/>
      <c r="BX35" s="3"/>
      <c r="BY35" s="3"/>
      <c r="BZ35" s="3"/>
      <c r="CA35" s="342"/>
    </row>
    <row r="36" spans="1:79" s="325" customFormat="1" ht="16.149999999999999" thickBot="1">
      <c r="A36" s="480"/>
      <c r="B36" s="507"/>
      <c r="C36" s="507"/>
      <c r="D36" s="324"/>
      <c r="E36" s="342"/>
      <c r="F36" s="290"/>
      <c r="G36" s="79"/>
      <c r="H36" s="326"/>
      <c r="I36" s="326"/>
      <c r="J36" s="80"/>
      <c r="K36" s="290"/>
      <c r="L36" s="342"/>
      <c r="M36" s="7"/>
      <c r="N36" s="83"/>
      <c r="O36" s="333"/>
      <c r="P36" s="32"/>
      <c r="Q36" s="77"/>
      <c r="R36" s="77"/>
      <c r="S36" s="309"/>
      <c r="T36" s="309"/>
      <c r="U36" s="4" t="s">
        <v>64</v>
      </c>
      <c r="V36" s="328">
        <f>IFERROR(SUMIFS(OtherCosts!Q:Q,OtherCosts!A:A,B26,OtherCosts!B:B,"Other"),0)</f>
        <v>0</v>
      </c>
      <c r="W36" s="425">
        <f t="shared" si="11"/>
        <v>0</v>
      </c>
      <c r="X36" s="7"/>
      <c r="Y36" s="7" t="s">
        <v>101</v>
      </c>
      <c r="Z36" s="82"/>
      <c r="AA36" s="334"/>
      <c r="AB36" s="13"/>
      <c r="AC36" s="4" t="s">
        <v>64</v>
      </c>
      <c r="AD36" s="328">
        <f>IFERROR(SUMIFS(OtherCosts!R:R,OtherCosts!A:A,B26,OtherCosts!B:B,"Other"),0)</f>
        <v>0</v>
      </c>
      <c r="AE36" s="425">
        <f t="shared" si="12"/>
        <v>0</v>
      </c>
      <c r="AF36" s="83"/>
      <c r="AG36" s="328">
        <f>IFERROR(SUMIFS(OtherCosts!S:S,OtherCosts!A:A,B26,OtherCosts!B:B,"Other"),0)</f>
        <v>0</v>
      </c>
      <c r="AH36" s="447">
        <f t="shared" si="13"/>
        <v>0</v>
      </c>
      <c r="AI36" s="83"/>
      <c r="AJ36" s="448">
        <f>IFERROR(SUMIFS(OtherCosts!T:T,OtherCosts!A:A,B26,OtherCosts!B:B,"Other"),0)</f>
        <v>0</v>
      </c>
      <c r="AK36" s="425">
        <f t="shared" si="14"/>
        <v>0</v>
      </c>
      <c r="AL36" s="83"/>
      <c r="AM36" s="83"/>
      <c r="AN36" s="329">
        <f t="shared" si="16"/>
        <v>0</v>
      </c>
      <c r="AO36" s="425">
        <f t="shared" si="15"/>
        <v>0</v>
      </c>
      <c r="AP36" s="85"/>
      <c r="AQ36" s="342"/>
      <c r="AR36" s="290"/>
      <c r="AS36" s="290"/>
      <c r="AT36" s="13"/>
      <c r="AU36" s="81"/>
      <c r="AV36" s="81"/>
      <c r="AW36" s="81"/>
      <c r="AX36" s="290"/>
      <c r="AY36" s="342"/>
      <c r="AZ36" s="3"/>
      <c r="BA36" s="315"/>
      <c r="BB36" s="3"/>
      <c r="BC36" s="3"/>
      <c r="BD36" s="3"/>
      <c r="BE36" s="3"/>
      <c r="BF36" s="342"/>
      <c r="BG36" s="3"/>
      <c r="BH36" s="315"/>
      <c r="BI36" s="3"/>
      <c r="BJ36" s="3"/>
      <c r="BK36" s="3"/>
      <c r="BL36" s="3"/>
      <c r="BM36" s="342"/>
      <c r="BN36" s="3"/>
      <c r="BO36" s="315"/>
      <c r="BP36" s="3"/>
      <c r="BQ36" s="3"/>
      <c r="BR36" s="3"/>
      <c r="BS36" s="3"/>
      <c r="BT36" s="342"/>
      <c r="BU36" s="3"/>
      <c r="BV36" s="315"/>
      <c r="BW36" s="3"/>
      <c r="BX36" s="3"/>
      <c r="BY36" s="3"/>
      <c r="BZ36" s="3"/>
      <c r="CA36" s="342"/>
    </row>
    <row r="37" spans="1:79" s="325" customFormat="1" ht="16.149999999999999" thickTop="1">
      <c r="A37" s="480"/>
      <c r="B37" s="507"/>
      <c r="C37" s="507"/>
      <c r="D37" s="324"/>
      <c r="E37" s="342"/>
      <c r="F37" s="290"/>
      <c r="G37" s="79"/>
      <c r="H37" s="326"/>
      <c r="I37" s="326"/>
      <c r="J37" s="80"/>
      <c r="K37" s="290"/>
      <c r="L37" s="342"/>
      <c r="M37" s="7"/>
      <c r="N37" s="83"/>
      <c r="O37" s="333"/>
      <c r="P37" s="32"/>
      <c r="Q37" s="77"/>
      <c r="R37" s="77"/>
      <c r="S37" s="309"/>
      <c r="T37" s="309"/>
      <c r="U37" s="3" t="s">
        <v>35</v>
      </c>
      <c r="V37" s="86">
        <f>SUM(V30:V36)</f>
        <v>1061346.1850334001</v>
      </c>
      <c r="W37" s="427">
        <f t="shared" si="11"/>
        <v>272.14004744446157</v>
      </c>
      <c r="X37" s="335"/>
      <c r="Y37" s="335"/>
      <c r="Z37" s="82"/>
      <c r="AA37" s="334"/>
      <c r="AB37" s="13"/>
      <c r="AC37" s="3" t="s">
        <v>35</v>
      </c>
      <c r="AD37" s="86">
        <f>SUM(AD30:AD36)</f>
        <v>1516208.8519619999</v>
      </c>
      <c r="AE37" s="427">
        <f t="shared" si="12"/>
        <v>388.77150050307688</v>
      </c>
      <c r="AF37" s="83"/>
      <c r="AG37" s="86">
        <f>SUM(AG30:AG36)</f>
        <v>0</v>
      </c>
      <c r="AH37" s="444">
        <f t="shared" si="13"/>
        <v>0</v>
      </c>
      <c r="AI37" s="83"/>
      <c r="AJ37" s="86">
        <f>SUM(AJ30:AJ36)</f>
        <v>0</v>
      </c>
      <c r="AK37" s="427">
        <f t="shared" si="14"/>
        <v>0</v>
      </c>
      <c r="AL37" s="83"/>
      <c r="AM37" s="83"/>
      <c r="AN37" s="86">
        <f t="shared" si="16"/>
        <v>1516208.8519619999</v>
      </c>
      <c r="AO37" s="427">
        <f t="shared" si="15"/>
        <v>388.77150050307688</v>
      </c>
      <c r="AP37" s="85"/>
      <c r="AQ37" s="342"/>
      <c r="AR37" s="290"/>
      <c r="AS37" s="290"/>
      <c r="AT37" s="13"/>
      <c r="AU37" s="81"/>
      <c r="AV37" s="81"/>
      <c r="AW37" s="81"/>
      <c r="AX37" s="290"/>
      <c r="AY37" s="342"/>
      <c r="AZ37" s="3"/>
      <c r="BA37" s="315"/>
      <c r="BB37" s="3"/>
      <c r="BC37" s="3"/>
      <c r="BD37" s="3"/>
      <c r="BE37" s="3"/>
      <c r="BF37" s="342"/>
      <c r="BG37" s="3"/>
      <c r="BH37" s="315"/>
      <c r="BI37" s="3"/>
      <c r="BJ37" s="3"/>
      <c r="BK37" s="3"/>
      <c r="BL37" s="3"/>
      <c r="BM37" s="342"/>
      <c r="BN37" s="3"/>
      <c r="BO37" s="315"/>
      <c r="BP37" s="3"/>
      <c r="BQ37" s="3"/>
      <c r="BR37" s="3"/>
      <c r="BS37" s="3"/>
      <c r="BT37" s="342"/>
      <c r="BU37" s="3"/>
      <c r="BV37" s="315"/>
      <c r="BW37" s="3"/>
      <c r="BX37" s="3"/>
      <c r="BY37" s="3"/>
      <c r="BZ37" s="3"/>
      <c r="CA37" s="342"/>
    </row>
    <row r="38" spans="1:79" s="325" customFormat="1" ht="15.6">
      <c r="A38" s="480"/>
      <c r="B38" s="507"/>
      <c r="C38" s="507"/>
      <c r="D38" s="324"/>
      <c r="E38" s="342"/>
      <c r="F38" s="290"/>
      <c r="G38" s="336"/>
      <c r="H38" s="336"/>
      <c r="I38" s="336"/>
      <c r="J38" s="336"/>
      <c r="K38" s="290"/>
      <c r="L38" s="342"/>
      <c r="M38" s="7"/>
      <c r="N38" s="83"/>
      <c r="O38" s="333"/>
      <c r="P38" s="77"/>
      <c r="Q38" s="77"/>
      <c r="R38" s="77"/>
      <c r="S38" s="77"/>
      <c r="T38" s="77"/>
      <c r="U38" s="3"/>
      <c r="V38" s="77"/>
      <c r="W38" s="77"/>
      <c r="X38" s="77"/>
      <c r="Y38" s="77"/>
      <c r="Z38" s="82"/>
      <c r="AA38" s="334"/>
      <c r="AB38" s="13"/>
      <c r="AC38" s="13"/>
      <c r="AD38" s="13"/>
      <c r="AE38" s="13"/>
      <c r="AF38" s="13"/>
      <c r="AG38" s="13"/>
      <c r="AH38" s="13"/>
      <c r="AI38" s="13"/>
      <c r="AJ38" s="13"/>
      <c r="AK38" s="13"/>
      <c r="AL38" s="13"/>
      <c r="AM38" s="13"/>
      <c r="AN38" s="327"/>
      <c r="AO38" s="327"/>
      <c r="AP38" s="85"/>
      <c r="AQ38" s="342"/>
      <c r="AR38" s="290"/>
      <c r="AS38" s="81"/>
      <c r="AT38" s="81"/>
      <c r="AU38" s="81"/>
      <c r="AV38" s="81"/>
      <c r="AW38" s="81"/>
      <c r="AX38" s="290"/>
      <c r="AY38" s="342"/>
      <c r="AZ38" s="3"/>
      <c r="BA38" s="315"/>
      <c r="BB38" s="3"/>
      <c r="BC38" s="3"/>
      <c r="BD38" s="3"/>
      <c r="BE38" s="3"/>
      <c r="BF38" s="342"/>
      <c r="BG38" s="3"/>
      <c r="BH38" s="315"/>
      <c r="BI38" s="3"/>
      <c r="BJ38" s="3"/>
      <c r="BK38" s="3"/>
      <c r="BL38" s="3"/>
      <c r="BM38" s="342"/>
      <c r="BN38" s="3"/>
      <c r="BO38" s="315"/>
      <c r="BP38" s="3"/>
      <c r="BQ38" s="3"/>
      <c r="BR38" s="3"/>
      <c r="BS38" s="3"/>
      <c r="BT38" s="342"/>
      <c r="BU38" s="3"/>
      <c r="BV38" s="315"/>
      <c r="BW38" s="3"/>
      <c r="BX38" s="3"/>
      <c r="BY38" s="3"/>
      <c r="BZ38" s="3"/>
      <c r="CA38" s="342"/>
    </row>
    <row r="39" spans="1:79" s="304" customFormat="1" outlineLevel="1">
      <c r="B39" s="320"/>
      <c r="C39" s="320"/>
      <c r="D39" s="391"/>
      <c r="F39" s="391"/>
      <c r="G39" s="391"/>
      <c r="H39" s="391"/>
      <c r="I39" s="391"/>
      <c r="J39" s="391"/>
      <c r="K39" s="391"/>
      <c r="N39" s="337"/>
      <c r="O39" s="337"/>
      <c r="S39" s="337"/>
      <c r="T39" s="320"/>
      <c r="U39" s="320"/>
      <c r="V39" s="320"/>
      <c r="W39" s="393"/>
      <c r="Z39" s="338"/>
      <c r="AO39" s="338"/>
      <c r="AP39" s="340"/>
      <c r="AR39" s="391"/>
      <c r="AS39" s="391"/>
      <c r="AT39" s="391"/>
      <c r="AU39" s="391"/>
      <c r="AV39" s="391"/>
      <c r="AW39" s="391"/>
      <c r="AX39" s="391"/>
      <c r="AZ39"/>
      <c r="BA39"/>
      <c r="BB39"/>
      <c r="BC39"/>
      <c r="BD39"/>
      <c r="BE39"/>
      <c r="BG39"/>
      <c r="BH39"/>
      <c r="BI39"/>
      <c r="BJ39"/>
      <c r="BK39"/>
      <c r="BL39"/>
      <c r="BN39"/>
      <c r="BO39"/>
      <c r="BP39"/>
      <c r="BQ39"/>
      <c r="BR39"/>
      <c r="BS39"/>
      <c r="BU39"/>
      <c r="BV39"/>
      <c r="BW39"/>
      <c r="BX39"/>
      <c r="BY39"/>
      <c r="BZ39"/>
    </row>
    <row r="40" spans="1:79" s="325" customFormat="1" ht="15.6" outlineLevel="1">
      <c r="A40" s="480"/>
      <c r="B40" s="341"/>
      <c r="C40" s="341"/>
      <c r="D40" s="290"/>
      <c r="E40" s="342"/>
      <c r="F40" s="290"/>
      <c r="G40" s="343">
        <f>ROUNDUP(SUM(G42:G71),2)</f>
        <v>0</v>
      </c>
      <c r="H40" s="344"/>
      <c r="I40" s="344"/>
      <c r="J40" s="345">
        <f>ROUNDUP(SUM(J42:J71),2)</f>
        <v>0</v>
      </c>
      <c r="K40" s="290"/>
      <c r="L40" s="342"/>
      <c r="M40" s="7"/>
      <c r="N40" s="7"/>
      <c r="O40" s="7"/>
      <c r="P40" s="7"/>
      <c r="Q40" s="7"/>
      <c r="R40" s="7"/>
      <c r="S40" s="7"/>
      <c r="T40" s="398">
        <f>ROUNDUP(SUM(T42:T71),2)</f>
        <v>31.900000000000002</v>
      </c>
      <c r="U40" s="7"/>
      <c r="V40" s="7"/>
      <c r="W40" s="87">
        <f>SUM(W42:W69)</f>
        <v>1061346.1850334001</v>
      </c>
      <c r="X40" s="7"/>
      <c r="Y40" s="7" t="s">
        <v>102</v>
      </c>
      <c r="Z40" s="7"/>
      <c r="AA40" s="304"/>
      <c r="AB40" s="7"/>
      <c r="AC40" s="7"/>
      <c r="AD40" s="87">
        <f>SUM(AD42:AD71)</f>
        <v>1516208.8519619999</v>
      </c>
      <c r="AE40" s="432">
        <f>IFERROR(1-($W40/$AD40),0)</f>
        <v>0.30000000747918065</v>
      </c>
      <c r="AF40" s="7"/>
      <c r="AG40" s="7"/>
      <c r="AH40" s="88">
        <f>SUM(AH42:AH71)</f>
        <v>0</v>
      </c>
      <c r="AI40" s="7"/>
      <c r="AJ40" s="7"/>
      <c r="AK40" s="88">
        <f>ROUNDUP(SUM(AK42:AK71),2)</f>
        <v>0</v>
      </c>
      <c r="AL40" s="7"/>
      <c r="AM40" s="88">
        <f>SUM(AM42:AM71)</f>
        <v>1516208.8519619999</v>
      </c>
      <c r="AN40" s="88">
        <f>SUM(AN42:AN71)</f>
        <v>1516208.8519619999</v>
      </c>
      <c r="AO40" s="417" t="str">
        <f>BillingCountryCurrency</f>
        <v>COP</v>
      </c>
      <c r="AP40" s="7"/>
      <c r="AQ40" s="18"/>
      <c r="AR40" s="290"/>
      <c r="AS40" s="290"/>
      <c r="AT40" s="503">
        <f>SUM(AT42:AU71)</f>
        <v>1516208.8519619999</v>
      </c>
      <c r="AU40" s="504"/>
      <c r="AV40" s="417" t="str">
        <f>BillingCountryCurrency</f>
        <v>COP</v>
      </c>
      <c r="AW40" s="417" t="str">
        <f>IF(ISBLANK(BusinessCurrency),"N/A",BusinessCurrency)</f>
        <v>USD</v>
      </c>
      <c r="AX40" s="290"/>
      <c r="AY40" s="18"/>
      <c r="AZ40" s="3"/>
      <c r="BA40" s="315"/>
      <c r="BB40" s="3"/>
      <c r="BC40" s="3"/>
      <c r="BD40" s="3"/>
      <c r="BE40" s="3"/>
      <c r="BF40" s="18"/>
      <c r="BG40" s="3"/>
      <c r="BH40" s="315"/>
      <c r="BI40" s="3"/>
      <c r="BJ40" s="3"/>
      <c r="BK40" s="3"/>
      <c r="BL40" s="3"/>
      <c r="BM40" s="18"/>
      <c r="BN40" s="3"/>
      <c r="BO40" s="315"/>
      <c r="BP40" s="3"/>
      <c r="BQ40" s="3"/>
      <c r="BR40" s="3"/>
      <c r="BS40" s="3"/>
      <c r="BT40" s="18"/>
      <c r="BU40" s="3"/>
      <c r="BV40" s="315"/>
      <c r="BW40" s="3"/>
      <c r="BX40" s="3"/>
      <c r="BY40" s="3"/>
      <c r="BZ40" s="3"/>
      <c r="CA40" s="342"/>
    </row>
    <row r="41" spans="1:79" ht="15.6" outlineLevel="1">
      <c r="A41" s="7"/>
      <c r="B41" s="346"/>
      <c r="C41" s="346"/>
      <c r="D41" s="346"/>
      <c r="E41" s="342"/>
      <c r="F41" s="290"/>
      <c r="G41" s="347" t="s">
        <v>79</v>
      </c>
      <c r="H41" s="347" t="s">
        <v>103</v>
      </c>
      <c r="I41" s="347" t="s">
        <v>104</v>
      </c>
      <c r="J41" s="348" t="s">
        <v>91</v>
      </c>
      <c r="K41" s="290"/>
      <c r="L41" s="349"/>
      <c r="M41" s="7"/>
      <c r="N41" s="16" t="s">
        <v>105</v>
      </c>
      <c r="O41" s="16" t="s">
        <v>106</v>
      </c>
      <c r="P41" s="16" t="s">
        <v>107</v>
      </c>
      <c r="Q41" s="16" t="s">
        <v>108</v>
      </c>
      <c r="R41" s="16" t="s">
        <v>109</v>
      </c>
      <c r="S41" s="16" t="s">
        <v>110</v>
      </c>
      <c r="T41" s="16" t="s">
        <v>111</v>
      </c>
      <c r="U41" s="16" t="s">
        <v>112</v>
      </c>
      <c r="V41" s="350" t="s">
        <v>113</v>
      </c>
      <c r="W41" s="16" t="s">
        <v>114</v>
      </c>
      <c r="X41" s="16" t="s">
        <v>115</v>
      </c>
      <c r="Y41" s="16" t="s">
        <v>116</v>
      </c>
      <c r="Z41" s="6"/>
      <c r="AA41" s="304"/>
      <c r="AB41" s="7"/>
      <c r="AC41" s="351" t="s">
        <v>117</v>
      </c>
      <c r="AD41" s="352" t="s">
        <v>118</v>
      </c>
      <c r="AE41" s="89" t="s">
        <v>119</v>
      </c>
      <c r="AF41" s="7"/>
      <c r="AG41" s="89" t="s">
        <v>120</v>
      </c>
      <c r="AH41" s="353" t="s">
        <v>121</v>
      </c>
      <c r="AI41" s="7"/>
      <c r="AJ41" s="89" t="s">
        <v>122</v>
      </c>
      <c r="AK41" s="353" t="s">
        <v>123</v>
      </c>
      <c r="AL41" s="7"/>
      <c r="AM41" s="16" t="s">
        <v>118</v>
      </c>
      <c r="AN41" s="16" t="s">
        <v>124</v>
      </c>
      <c r="AO41" s="8" t="s">
        <v>125</v>
      </c>
      <c r="AP41" s="7"/>
      <c r="AQ41" s="18"/>
      <c r="AR41" s="290"/>
      <c r="AS41" s="8" t="s">
        <v>126</v>
      </c>
      <c r="AT41" s="505" t="s">
        <v>124</v>
      </c>
      <c r="AU41" s="506"/>
      <c r="AV41" s="8" t="s">
        <v>127</v>
      </c>
      <c r="AW41" s="8" t="s">
        <v>127</v>
      </c>
      <c r="AX41" s="290"/>
      <c r="AY41" s="18"/>
      <c r="AZ41" s="3"/>
      <c r="BA41" s="315"/>
      <c r="BB41" s="3"/>
      <c r="BC41" s="3"/>
      <c r="BD41" s="3"/>
      <c r="BE41" s="3"/>
      <c r="BF41" s="18"/>
      <c r="BG41" s="3"/>
      <c r="BH41" s="315"/>
      <c r="BI41" s="3"/>
      <c r="BJ41" s="3"/>
      <c r="BK41" s="3"/>
      <c r="BL41" s="3"/>
      <c r="BM41" s="18"/>
      <c r="BN41" s="3"/>
      <c r="BO41" s="315"/>
      <c r="BP41" s="3"/>
      <c r="BQ41" s="3"/>
      <c r="BR41" s="3"/>
      <c r="BS41" s="3"/>
      <c r="BT41" s="18"/>
      <c r="BU41" s="3"/>
      <c r="BV41" s="315"/>
      <c r="BW41" s="3"/>
      <c r="BX41" s="3"/>
      <c r="BY41" s="3"/>
      <c r="BZ41" s="3"/>
    </row>
    <row r="42" spans="1:79" ht="28.9" outlineLevel="1">
      <c r="A42" s="7"/>
      <c r="B42" s="354" t="s">
        <v>128</v>
      </c>
      <c r="C42" s="355" t="s">
        <v>176</v>
      </c>
      <c r="D42" s="356"/>
      <c r="E42" s="342"/>
      <c r="F42" s="290"/>
      <c r="G42" s="357">
        <v>0</v>
      </c>
      <c r="H42" s="358">
        <v>0</v>
      </c>
      <c r="I42" s="358">
        <v>0</v>
      </c>
      <c r="J42" s="359">
        <f>IFERROR(G42/(1-(H42+I42)),0)</f>
        <v>0</v>
      </c>
      <c r="K42" s="360"/>
      <c r="L42" s="349"/>
      <c r="M42" s="7"/>
      <c r="N42" s="12" t="s">
        <v>130</v>
      </c>
      <c r="O42" s="12" t="s">
        <v>177</v>
      </c>
      <c r="P42" s="12" t="s">
        <v>178</v>
      </c>
      <c r="Q42" s="468">
        <v>1</v>
      </c>
      <c r="R42" s="362">
        <v>3.5000000000000003E-2</v>
      </c>
      <c r="S42" s="363">
        <v>20</v>
      </c>
      <c r="T42" s="364">
        <f t="shared" ref="T42" si="17">IF(ISBLANK($P42),0,IF(Approach="Team-Based",$Q42*$R42*$S42*HoursPerDayTeamBased,$J42))</f>
        <v>5.67</v>
      </c>
      <c r="U42" s="365">
        <v>0</v>
      </c>
      <c r="V42" s="91">
        <f>ROUNDUP(IFERROR(INDEX(CostRateTbl[Cost Rate],MATCH(_xlfn.CONCAT(N42,O42,P42,"NA"),CostRateTbl[KeyCostRate],0)),0)*BillingCurrencyTRM*(1+U42),2)</f>
        <v>0</v>
      </c>
      <c r="W42" s="92">
        <f t="shared" ref="W42:W71" si="18">T42*V42</f>
        <v>0</v>
      </c>
      <c r="X42" s="366" t="str" cm="1">
        <f t="array" ref="X42">_xlfn.LET(
    _xlpm.valor, INDEX(CostRate!H:H, MATCH(1, (CostRate!A:A=N42)*1, 0)),
    _xlpm.posicion, MATCH(_xlpm.valor, FilterSL!$F$1:$Z$1, 0),
    _xlpm.direccionCompleta, ADDRESS(1, _xlpm.posicion + 5, 4),
    _xlpm.letraColumna, SUBSTITUTE(_xlpm.direccionCompleta, "1", ""),
    _xlpm.letraColumna
)</f>
        <v>R</v>
      </c>
      <c r="Y42" s="366" t="str" cm="1">
        <f t="array" ref="Y42">_xlfn.LET(
    _xlpm.valor, INDEX(CostRate!I:I, MATCH(1, (CostRate!A:A=N42)*(CostRate!B:B=O42), 0)),
    _xlpm.posicion, MATCH(_xlpm.valor, FilterJP!$E$1:$FZ$1, 0),
    _xlpm.direccionCompleta, ADDRESS(1, _xlpm.posicion + 4, 4),
    _xlpm.letraColumna, SUBSTITUTE(_xlpm.direccionCompleta, "1", ""),
    _xlpm.letraColumna
)</f>
        <v>BO</v>
      </c>
      <c r="Z42" s="7"/>
      <c r="AA42" s="367"/>
      <c r="AB42" s="7"/>
      <c r="AC42" s="93">
        <f t="shared" ref="AC42:AC71" si="19">ROUNDUP($V42/(1-$AV$28),2)</f>
        <v>0</v>
      </c>
      <c r="AD42" s="94">
        <f>$T42*$AC42</f>
        <v>0</v>
      </c>
      <c r="AE42" s="109">
        <f>IFERROR(1-($W42/$AD42),0)</f>
        <v>0</v>
      </c>
      <c r="AF42" s="7"/>
      <c r="AG42" s="369">
        <f t="shared" ref="AG42:AG71" si="20">IFERROR(IF(OR(ISBLANK(N42),N42=CustomerCountry,COUNTIF($N42,"*xDC*")),0,10%),0)</f>
        <v>0</v>
      </c>
      <c r="AH42" s="368">
        <f>W42*AG42</f>
        <v>0</v>
      </c>
      <c r="AI42" s="7"/>
      <c r="AJ42" s="369" cm="1">
        <f t="array" ref="AJ42">IFERROR(INDEX(WHT!$C$7:$W$18,MATCH(
_xlfn.SWITCH(N42,"xDC Medellin","Colombia","xDC Belo Horizonte","Brazil","xDC Guadalajara","Mexico","xDC Gurugram","India","xDC Leon","Spain","xDC San Jose","Costa Rica","xDC Warsaw","Poland",N42),
WHT!$B$7:$B$18,0),MATCH(CustomerCountry,WHT!$C$5:$W$5,0)),0)</f>
        <v>0</v>
      </c>
      <c r="AK42" s="368">
        <f t="shared" ref="AK42:AK71" si="21">(W42+AH42)*AJ42</f>
        <v>0</v>
      </c>
      <c r="AL42" s="7"/>
      <c r="AM42" s="95">
        <f>SUM($AD42,$AH42,$AK42)</f>
        <v>0</v>
      </c>
      <c r="AN42" s="95">
        <f t="shared" ref="AN42:AN71" si="22">AM42+IFERROR(SUM($AN$31:$AN$36)*AM42/$AM$40,0)</f>
        <v>0</v>
      </c>
      <c r="AO42" s="95">
        <f>IFERROR($AN42/$T42,0)</f>
        <v>0</v>
      </c>
      <c r="AP42" s="7"/>
      <c r="AQ42" s="18"/>
      <c r="AR42" s="290"/>
      <c r="AS42" s="467" t="s">
        <v>133</v>
      </c>
      <c r="AT42" s="501">
        <f t="shared" ref="AT42:AT70" si="23">IF(AS42="x",AM42+((SUM($AN$31:$AN$36)+SUMIF($AS$42:$AS$71,"&lt;&gt;x",$AM$42:$AM$71))*IFERROR(AM42/SUMIF($AS$42:$AS$71,"x",$AM$42:$AM$71),0)),0)</f>
        <v>0</v>
      </c>
      <c r="AU42" s="502"/>
      <c r="AV42" s="95">
        <f>IFERROR(AT42/T42,0)</f>
        <v>0</v>
      </c>
      <c r="AW42" s="469">
        <f t="shared" ref="AW42:AW71" si="24">IFERROR(AV42/BusinessCurrencyTRM,"N/A")</f>
        <v>0</v>
      </c>
      <c r="AX42" s="290"/>
      <c r="AY42" s="18"/>
      <c r="AZ42" s="3"/>
      <c r="BA42" s="315"/>
      <c r="BB42" s="3"/>
      <c r="BC42" s="3"/>
      <c r="BD42" s="3"/>
      <c r="BE42" s="3"/>
      <c r="BF42" s="18"/>
      <c r="BG42" s="3"/>
      <c r="BH42" s="315"/>
      <c r="BI42" s="3"/>
      <c r="BJ42" s="3"/>
      <c r="BK42" s="3"/>
      <c r="BL42" s="3"/>
      <c r="BM42" s="18"/>
      <c r="BN42" s="3"/>
      <c r="BO42" s="315"/>
      <c r="BP42" s="3"/>
      <c r="BQ42" s="3"/>
      <c r="BR42" s="3"/>
      <c r="BS42" s="3"/>
      <c r="BT42" s="18"/>
      <c r="BU42" s="3"/>
      <c r="BV42" s="315"/>
      <c r="BW42" s="3"/>
      <c r="BX42" s="3"/>
      <c r="BY42" s="3"/>
      <c r="BZ42" s="3"/>
    </row>
    <row r="43" spans="1:79" ht="15.6" outlineLevel="1">
      <c r="A43" s="7"/>
      <c r="B43" s="370"/>
      <c r="C43" s="355" t="s">
        <v>179</v>
      </c>
      <c r="D43" s="356"/>
      <c r="E43" s="342"/>
      <c r="F43" s="290"/>
      <c r="G43" s="357">
        <v>0</v>
      </c>
      <c r="H43" s="358">
        <v>0</v>
      </c>
      <c r="I43" s="358">
        <v>0</v>
      </c>
      <c r="J43" s="359">
        <f t="shared" ref="J43:J71" si="25">IFERROR(G43/(1-(H43+I43)),0)</f>
        <v>0</v>
      </c>
      <c r="K43" s="290"/>
      <c r="L43" s="349"/>
      <c r="M43" s="7"/>
      <c r="N43" s="12" t="s">
        <v>130</v>
      </c>
      <c r="O43" s="12" t="s">
        <v>177</v>
      </c>
      <c r="P43" s="12" t="s">
        <v>180</v>
      </c>
      <c r="Q43" s="468">
        <v>1</v>
      </c>
      <c r="R43" s="362">
        <v>7.8E-2</v>
      </c>
      <c r="S43" s="363">
        <v>20</v>
      </c>
      <c r="T43" s="364">
        <f t="shared" ref="T43" si="26">IF(ISBLANK($P43),0,IF(Approach="Team-Based",$Q43*$R43*$S43*HoursPerDayTeamBased,$J43))</f>
        <v>12.635999999999999</v>
      </c>
      <c r="U43" s="365">
        <v>0</v>
      </c>
      <c r="V43" s="91">
        <f>ROUNDUP(IFERROR(INDEX(CostRateTbl[Cost Rate],MATCH(_xlfn.CONCAT(N43,O43,P43,"NA"),CostRateTbl[KeyCostRate],0)),0)*BillingCurrencyTRM*(1+U43),2)</f>
        <v>0</v>
      </c>
      <c r="W43" s="92">
        <f t="shared" si="18"/>
        <v>0</v>
      </c>
      <c r="X43" s="366" t="str" cm="1">
        <f t="array" ref="X43">_xlfn.LET(
    _xlpm.valor, INDEX(CostRate!H:H, MATCH(1, (CostRate!A:A=N43)*1, 0)),
    _xlpm.posicion, MATCH(_xlpm.valor, FilterSL!$F$1:$Z$1, 0),
    _xlpm.direccionCompleta, ADDRESS(1, _xlpm.posicion + 5, 4),
    _xlpm.letraColumna, SUBSTITUTE(_xlpm.direccionCompleta, "1", ""),
    _xlpm.letraColumna
)</f>
        <v>R</v>
      </c>
      <c r="Y43" s="366" t="str" cm="1">
        <f t="array" ref="Y43">_xlfn.LET(
    _xlpm.valor, INDEX(CostRate!I:I, MATCH(1, (CostRate!A:A=N43)*(CostRate!B:B=O43), 0)),
    _xlpm.posicion, MATCH(_xlpm.valor, FilterJP!$E$1:$FZ$1, 0),
    _xlpm.direccionCompleta, ADDRESS(1, _xlpm.posicion + 4, 4),
    _xlpm.letraColumna, SUBSTITUTE(_xlpm.direccionCompleta, "1", ""),
    _xlpm.letraColumna
)</f>
        <v>BO</v>
      </c>
      <c r="Z43" s="7"/>
      <c r="AA43" s="367"/>
      <c r="AB43" s="7"/>
      <c r="AC43" s="93">
        <f t="shared" si="19"/>
        <v>0</v>
      </c>
      <c r="AD43" s="94">
        <f t="shared" ref="AD43:AD71" si="27">$T43*$AC43</f>
        <v>0</v>
      </c>
      <c r="AE43" s="109">
        <f t="shared" ref="AE43:AE71" si="28">IFERROR(1-($W43/$AD43),0)</f>
        <v>0</v>
      </c>
      <c r="AF43" s="7"/>
      <c r="AG43" s="369">
        <f t="shared" si="20"/>
        <v>0</v>
      </c>
      <c r="AH43" s="368">
        <f t="shared" ref="AH43:AH71" si="29">W43*AG43</f>
        <v>0</v>
      </c>
      <c r="AI43" s="7"/>
      <c r="AJ43" s="369" cm="1">
        <f t="array" ref="AJ43">IFERROR(INDEX(WHT!$C$7:$W$18,MATCH(
_xlfn.SWITCH(N43,"xDC Medellin","Colombia","xDC Belo Horizonte","Brazil","xDC Guadalajara","Mexico","xDC Gurugram","India","xDC Leon","Spain","xDC San Jose","Costa Rica","xDC Warsaw","Poland",N43),
WHT!$B$7:$B$18,0),MATCH(CustomerCountry,WHT!$C$5:$W$5,0)),0)</f>
        <v>0</v>
      </c>
      <c r="AK43" s="368">
        <f t="shared" si="21"/>
        <v>0</v>
      </c>
      <c r="AL43" s="7"/>
      <c r="AM43" s="95">
        <f t="shared" ref="AM43:AM71" si="30">SUM($AD43,$AH43,$AK43)</f>
        <v>0</v>
      </c>
      <c r="AN43" s="95">
        <f t="shared" si="22"/>
        <v>0</v>
      </c>
      <c r="AO43" s="95">
        <f t="shared" ref="AO43:AO71" si="31">IFERROR($AN43/$T43,0)</f>
        <v>0</v>
      </c>
      <c r="AP43" s="90"/>
      <c r="AQ43" s="18"/>
      <c r="AR43" s="290"/>
      <c r="AS43" s="467" t="s">
        <v>133</v>
      </c>
      <c r="AT43" s="501">
        <f t="shared" si="23"/>
        <v>0</v>
      </c>
      <c r="AU43" s="502"/>
      <c r="AV43" s="95">
        <f t="shared" ref="AV43:AV71" si="32">IFERROR(AT43/T43,0)</f>
        <v>0</v>
      </c>
      <c r="AW43" s="469">
        <f t="shared" si="24"/>
        <v>0</v>
      </c>
      <c r="AX43" s="290"/>
      <c r="AY43" s="18"/>
      <c r="AZ43" s="3"/>
      <c r="BA43" s="315"/>
      <c r="BB43" s="3"/>
      <c r="BC43" s="3"/>
      <c r="BD43" s="3"/>
      <c r="BE43" s="3"/>
      <c r="BF43" s="18"/>
      <c r="BG43" s="3"/>
      <c r="BH43" s="315"/>
      <c r="BI43" s="3"/>
      <c r="BJ43" s="3"/>
      <c r="BK43" s="3"/>
      <c r="BL43" s="3"/>
      <c r="BM43" s="18"/>
      <c r="BN43" s="3"/>
      <c r="BO43" s="315"/>
      <c r="BP43" s="3"/>
      <c r="BQ43" s="3"/>
      <c r="BR43" s="3"/>
      <c r="BS43" s="3"/>
      <c r="BT43" s="18"/>
      <c r="BU43" s="3"/>
      <c r="BV43" s="315"/>
      <c r="BW43" s="3"/>
      <c r="BX43" s="3"/>
      <c r="BY43" s="3"/>
      <c r="BZ43" s="3"/>
      <c r="CA43" s="371"/>
    </row>
    <row r="44" spans="1:79" ht="15.6" outlineLevel="1">
      <c r="A44" s="7"/>
      <c r="B44" s="370"/>
      <c r="C44" s="355" t="s">
        <v>181</v>
      </c>
      <c r="D44" s="356"/>
      <c r="E44" s="342"/>
      <c r="F44" s="290"/>
      <c r="G44" s="357">
        <v>0</v>
      </c>
      <c r="H44" s="358">
        <v>0</v>
      </c>
      <c r="I44" s="358">
        <v>0</v>
      </c>
      <c r="J44" s="359">
        <f t="shared" si="25"/>
        <v>0</v>
      </c>
      <c r="K44" s="290"/>
      <c r="L44" s="349"/>
      <c r="M44" s="7"/>
      <c r="N44" s="12" t="s">
        <v>130</v>
      </c>
      <c r="O44" s="12" t="s">
        <v>169</v>
      </c>
      <c r="P44" s="12" t="s">
        <v>182</v>
      </c>
      <c r="Q44" s="468">
        <v>1</v>
      </c>
      <c r="R44" s="362">
        <v>3.5000000000000003E-2</v>
      </c>
      <c r="S44" s="363">
        <v>20</v>
      </c>
      <c r="T44" s="364">
        <f t="shared" ref="T44" si="33">IF(ISBLANK($P44),0,IF(Approach="Team-Based",$Q44*$R44*$S44*HoursPerDayTeamBased,$J44))</f>
        <v>5.67</v>
      </c>
      <c r="U44" s="365">
        <v>0</v>
      </c>
      <c r="V44" s="91">
        <f>ROUNDUP(IFERROR(INDEX(CostRateTbl[Cost Rate],MATCH(_xlfn.CONCAT(N44,O44,P44,"NA"),CostRateTbl[KeyCostRate],0)),0)*BillingCurrencyTRM*(1+U44),2)</f>
        <v>133425.46000000002</v>
      </c>
      <c r="W44" s="92">
        <f t="shared" si="18"/>
        <v>756522.35820000013</v>
      </c>
      <c r="X44" s="366" t="str" cm="1">
        <f t="array" ref="X44">_xlfn.LET(
    _xlpm.valor, INDEX(CostRate!H:H, MATCH(1, (CostRate!A:A=N44)*1, 0)),
    _xlpm.posicion, MATCH(_xlpm.valor, FilterSL!$F$1:$Z$1, 0),
    _xlpm.direccionCompleta, ADDRESS(1, _xlpm.posicion + 5, 4),
    _xlpm.letraColumna, SUBSTITUTE(_xlpm.direccionCompleta, "1", ""),
    _xlpm.letraColumna
)</f>
        <v>R</v>
      </c>
      <c r="Y44" s="366" t="str" cm="1">
        <f t="array" ref="Y44">_xlfn.LET(
    _xlpm.valor, INDEX(CostRate!I:I, MATCH(1, (CostRate!A:A=N44)*(CostRate!B:B=O44), 0)),
    _xlpm.posicion, MATCH(_xlpm.valor, FilterJP!$E$1:$FZ$1, 0),
    _xlpm.direccionCompleta, ADDRESS(1, _xlpm.posicion + 4, 4),
    _xlpm.letraColumna, SUBSTITUTE(_xlpm.direccionCompleta, "1", ""),
    _xlpm.letraColumna
)</f>
        <v>BI</v>
      </c>
      <c r="Z44" s="7"/>
      <c r="AA44" s="367"/>
      <c r="AB44" s="7"/>
      <c r="AC44" s="93">
        <f t="shared" si="19"/>
        <v>190607.8</v>
      </c>
      <c r="AD44" s="94">
        <f t="shared" si="27"/>
        <v>1080746.226</v>
      </c>
      <c r="AE44" s="109">
        <f t="shared" si="28"/>
        <v>0.29999999999999993</v>
      </c>
      <c r="AF44" s="7"/>
      <c r="AG44" s="369">
        <f t="shared" si="20"/>
        <v>0</v>
      </c>
      <c r="AH44" s="368">
        <f t="shared" si="29"/>
        <v>0</v>
      </c>
      <c r="AI44" s="7"/>
      <c r="AJ44" s="369" cm="1">
        <f t="array" ref="AJ44">IFERROR(INDEX(WHT!$C$7:$W$18,MATCH(
_xlfn.SWITCH(N44,"xDC Medellin","Colombia","xDC Belo Horizonte","Brazil","xDC Guadalajara","Mexico","xDC Gurugram","India","xDC Leon","Spain","xDC San Jose","Costa Rica","xDC Warsaw","Poland",N44),
WHT!$B$7:$B$18,0),MATCH(CustomerCountry,WHT!$C$5:$W$5,0)),0)</f>
        <v>0</v>
      </c>
      <c r="AK44" s="368">
        <f t="shared" si="21"/>
        <v>0</v>
      </c>
      <c r="AL44" s="7"/>
      <c r="AM44" s="95">
        <f t="shared" si="30"/>
        <v>1080746.226</v>
      </c>
      <c r="AN44" s="95">
        <f t="shared" si="22"/>
        <v>1080746.226</v>
      </c>
      <c r="AO44" s="95">
        <f t="shared" si="31"/>
        <v>190607.80000000002</v>
      </c>
      <c r="AP44" s="90"/>
      <c r="AQ44" s="18"/>
      <c r="AR44" s="290"/>
      <c r="AS44" s="467" t="s">
        <v>133</v>
      </c>
      <c r="AT44" s="501">
        <f t="shared" si="23"/>
        <v>1080746.226</v>
      </c>
      <c r="AU44" s="502"/>
      <c r="AV44" s="95">
        <f t="shared" si="32"/>
        <v>190607.80000000002</v>
      </c>
      <c r="AW44" s="469">
        <f t="shared" si="24"/>
        <v>48.873794871794878</v>
      </c>
      <c r="AX44" s="290"/>
      <c r="AY44" s="18"/>
      <c r="AZ44" s="3"/>
      <c r="BA44" s="315"/>
      <c r="BB44" s="3"/>
      <c r="BC44" s="3"/>
      <c r="BD44" s="3"/>
      <c r="BE44" s="3"/>
      <c r="BF44" s="18"/>
      <c r="BG44" s="3"/>
      <c r="BH44" s="315"/>
      <c r="BI44" s="3"/>
      <c r="BJ44" s="3"/>
      <c r="BK44" s="3"/>
      <c r="BL44" s="3"/>
      <c r="BM44" s="18"/>
      <c r="BN44" s="3"/>
      <c r="BO44" s="315"/>
      <c r="BP44" s="3"/>
      <c r="BQ44" s="3"/>
      <c r="BR44" s="3"/>
      <c r="BS44" s="3"/>
      <c r="BT44" s="18"/>
      <c r="BU44" s="3"/>
      <c r="BV44" s="315"/>
      <c r="BW44" s="3"/>
      <c r="BX44" s="3"/>
      <c r="BY44" s="3"/>
      <c r="BZ44" s="3"/>
    </row>
    <row r="45" spans="1:79" ht="15.6" outlineLevel="1">
      <c r="A45" s="7"/>
      <c r="B45" s="370"/>
      <c r="C45" s="355" t="s">
        <v>183</v>
      </c>
      <c r="D45" s="356"/>
      <c r="E45" s="342"/>
      <c r="F45" s="290"/>
      <c r="G45" s="357">
        <v>0</v>
      </c>
      <c r="H45" s="358">
        <v>0</v>
      </c>
      <c r="I45" s="358">
        <v>0</v>
      </c>
      <c r="J45" s="359">
        <f t="shared" si="25"/>
        <v>0</v>
      </c>
      <c r="K45" s="290"/>
      <c r="L45" s="349"/>
      <c r="M45" s="7"/>
      <c r="N45" s="12" t="s">
        <v>130</v>
      </c>
      <c r="O45" s="12" t="s">
        <v>177</v>
      </c>
      <c r="P45" s="12" t="s">
        <v>184</v>
      </c>
      <c r="Q45" s="468">
        <v>1</v>
      </c>
      <c r="R45" s="362">
        <v>3.5000000000000003E-2</v>
      </c>
      <c r="S45" s="363">
        <v>20</v>
      </c>
      <c r="T45" s="364">
        <f t="shared" ref="T45" si="34">IF(ISBLANK($P45),0,IF(Approach="Team-Based",$Q45*$R45*$S45*HoursPerDayTeamBased,$J45))</f>
        <v>5.67</v>
      </c>
      <c r="U45" s="365">
        <v>0</v>
      </c>
      <c r="V45" s="91">
        <f>ROUNDUP(IFERROR(INDEX(CostRateTbl[Cost Rate],MATCH(_xlfn.CONCAT(N45,O45,P45,"NA"),CostRateTbl[KeyCostRate],0)),0)*BillingCurrencyTRM*(1+U45),2)</f>
        <v>46596.590000000004</v>
      </c>
      <c r="W45" s="92">
        <f t="shared" si="18"/>
        <v>264202.66529999999</v>
      </c>
      <c r="X45" s="366" t="str" cm="1">
        <f t="array" ref="X45">_xlfn.LET(
    _xlpm.valor, INDEX(CostRate!H:H, MATCH(1, (CostRate!A:A=N45)*1, 0)),
    _xlpm.posicion, MATCH(_xlpm.valor, FilterSL!$F$1:$Z$1, 0),
    _xlpm.direccionCompleta, ADDRESS(1, _xlpm.posicion + 5, 4),
    _xlpm.letraColumna, SUBSTITUTE(_xlpm.direccionCompleta, "1", ""),
    _xlpm.letraColumna
)</f>
        <v>R</v>
      </c>
      <c r="Y45" s="366" t="str" cm="1">
        <f t="array" ref="Y45">_xlfn.LET(
    _xlpm.valor, INDEX(CostRate!I:I, MATCH(1, (CostRate!A:A=N45)*(CostRate!B:B=O45), 0)),
    _xlpm.posicion, MATCH(_xlpm.valor, FilterJP!$E$1:$FZ$1, 0),
    _xlpm.direccionCompleta, ADDRESS(1, _xlpm.posicion + 4, 4),
    _xlpm.letraColumna, SUBSTITUTE(_xlpm.direccionCompleta, "1", ""),
    _xlpm.letraColumna
)</f>
        <v>BO</v>
      </c>
      <c r="Z45" s="7"/>
      <c r="AA45" s="367"/>
      <c r="AB45" s="7"/>
      <c r="AC45" s="93">
        <f t="shared" si="19"/>
        <v>66566.559999999998</v>
      </c>
      <c r="AD45" s="94">
        <f t="shared" si="27"/>
        <v>377432.39519999997</v>
      </c>
      <c r="AE45" s="109">
        <f t="shared" si="28"/>
        <v>0.30000003004511566</v>
      </c>
      <c r="AF45" s="7"/>
      <c r="AG45" s="369">
        <f t="shared" si="20"/>
        <v>0</v>
      </c>
      <c r="AH45" s="368">
        <f t="shared" si="29"/>
        <v>0</v>
      </c>
      <c r="AI45" s="7"/>
      <c r="AJ45" s="369" cm="1">
        <f t="array" ref="AJ45">IFERROR(INDEX(WHT!$C$7:$W$18,MATCH(
_xlfn.SWITCH(N45,"xDC Medellin","Colombia","xDC Belo Horizonte","Brazil","xDC Guadalajara","Mexico","xDC Gurugram","India","xDC Leon","Spain","xDC San Jose","Costa Rica","xDC Warsaw","Poland",N45),
WHT!$B$7:$B$18,0),MATCH(CustomerCountry,WHT!$C$5:$W$5,0)),0)</f>
        <v>0</v>
      </c>
      <c r="AK45" s="368">
        <f t="shared" si="21"/>
        <v>0</v>
      </c>
      <c r="AL45" s="7"/>
      <c r="AM45" s="95">
        <f t="shared" si="30"/>
        <v>377432.39519999997</v>
      </c>
      <c r="AN45" s="95">
        <f t="shared" si="22"/>
        <v>377432.39519999997</v>
      </c>
      <c r="AO45" s="95">
        <f t="shared" si="31"/>
        <v>66566.559999999998</v>
      </c>
      <c r="AP45" s="90"/>
      <c r="AQ45" s="18"/>
      <c r="AR45" s="290"/>
      <c r="AS45" s="467" t="s">
        <v>133</v>
      </c>
      <c r="AT45" s="501">
        <f t="shared" si="23"/>
        <v>377432.39519999997</v>
      </c>
      <c r="AU45" s="502"/>
      <c r="AV45" s="95">
        <f t="shared" si="32"/>
        <v>66566.559999999998</v>
      </c>
      <c r="AW45" s="469">
        <f t="shared" si="24"/>
        <v>17.068348717948716</v>
      </c>
      <c r="AX45" s="290"/>
      <c r="AY45" s="18"/>
      <c r="AZ45" s="3"/>
      <c r="BA45" s="315"/>
      <c r="BB45" s="3"/>
      <c r="BC45" s="3"/>
      <c r="BD45" s="3"/>
      <c r="BE45" s="3"/>
      <c r="BF45" s="18"/>
      <c r="BG45" s="3"/>
      <c r="BH45" s="315"/>
      <c r="BI45" s="3"/>
      <c r="BJ45" s="3"/>
      <c r="BK45" s="3"/>
      <c r="BL45" s="3"/>
      <c r="BM45" s="18"/>
      <c r="BN45" s="3"/>
      <c r="BO45" s="315"/>
      <c r="BP45" s="3"/>
      <c r="BQ45" s="3"/>
      <c r="BR45" s="3"/>
      <c r="BS45" s="3"/>
      <c r="BT45" s="18"/>
      <c r="BU45" s="3"/>
      <c r="BV45" s="315"/>
      <c r="BW45" s="3"/>
      <c r="BX45" s="3"/>
      <c r="BY45" s="3"/>
      <c r="BZ45" s="3"/>
    </row>
    <row r="46" spans="1:79" ht="15.6" outlineLevel="1">
      <c r="A46" s="7"/>
      <c r="B46" s="370"/>
      <c r="C46" s="355" t="s">
        <v>185</v>
      </c>
      <c r="D46" s="356"/>
      <c r="E46" s="342"/>
      <c r="F46" s="290"/>
      <c r="G46" s="357">
        <v>0</v>
      </c>
      <c r="H46" s="358">
        <v>0</v>
      </c>
      <c r="I46" s="358">
        <v>0</v>
      </c>
      <c r="J46" s="359">
        <f t="shared" si="25"/>
        <v>0</v>
      </c>
      <c r="K46" s="290"/>
      <c r="L46" s="349"/>
      <c r="M46" s="7"/>
      <c r="N46" s="12" t="s">
        <v>130</v>
      </c>
      <c r="O46" s="12" t="s">
        <v>177</v>
      </c>
      <c r="P46" s="12" t="s">
        <v>180</v>
      </c>
      <c r="Q46" s="468">
        <v>1.23</v>
      </c>
      <c r="R46" s="362">
        <f>(10%*T43)/S46/HoursPerDayTeamBased</f>
        <v>7.8000000000000014E-2</v>
      </c>
      <c r="S46" s="363">
        <f>20*10%</f>
        <v>2</v>
      </c>
      <c r="T46" s="364">
        <f t="shared" ref="T46" si="35">IF(ISBLANK($P46),0,IF(Approach="Team-Based",$Q46*$R46*$S46*HoursPerDayTeamBased,$J46))</f>
        <v>1.5542280000000002</v>
      </c>
      <c r="U46" s="365">
        <v>0.25</v>
      </c>
      <c r="V46" s="91">
        <f>ROUNDUP(IFERROR(INDEX(CostRateTbl[Cost Rate],MATCH(_xlfn.CONCAT(N46,O46,P46,"NA"),CostRateTbl[KeyCostRate],0)),0)*BillingCurrencyTRM*(1+U46),2)</f>
        <v>0</v>
      </c>
      <c r="W46" s="92">
        <f t="shared" si="18"/>
        <v>0</v>
      </c>
      <c r="X46" s="366" t="str" cm="1">
        <f t="array" ref="X46">_xlfn.LET(
    _xlpm.valor, INDEX(CostRate!H:H, MATCH(1, (CostRate!A:A=N46)*1, 0)),
    _xlpm.posicion, MATCH(_xlpm.valor, FilterSL!$F$1:$Z$1, 0),
    _xlpm.direccionCompleta, ADDRESS(1, _xlpm.posicion + 5, 4),
    _xlpm.letraColumna, SUBSTITUTE(_xlpm.direccionCompleta, "1", ""),
    _xlpm.letraColumna
)</f>
        <v>R</v>
      </c>
      <c r="Y46" s="366" t="str" cm="1">
        <f t="array" ref="Y46">_xlfn.LET(
    _xlpm.valor, INDEX(CostRate!I:I, MATCH(1, (CostRate!A:A=N46)*(CostRate!B:B=O46), 0)),
    _xlpm.posicion, MATCH(_xlpm.valor, FilterJP!$E$1:$FZ$1, 0),
    _xlpm.direccionCompleta, ADDRESS(1, _xlpm.posicion + 4, 4),
    _xlpm.letraColumna, SUBSTITUTE(_xlpm.direccionCompleta, "1", ""),
    _xlpm.letraColumna
)</f>
        <v>BO</v>
      </c>
      <c r="Z46" s="7"/>
      <c r="AA46" s="367"/>
      <c r="AB46" s="7"/>
      <c r="AC46" s="93">
        <f t="shared" si="19"/>
        <v>0</v>
      </c>
      <c r="AD46" s="94">
        <f t="shared" si="27"/>
        <v>0</v>
      </c>
      <c r="AE46" s="109">
        <f t="shared" si="28"/>
        <v>0</v>
      </c>
      <c r="AF46" s="7"/>
      <c r="AG46" s="369">
        <f t="shared" si="20"/>
        <v>0</v>
      </c>
      <c r="AH46" s="368">
        <f t="shared" si="29"/>
        <v>0</v>
      </c>
      <c r="AI46" s="7"/>
      <c r="AJ46" s="369" cm="1">
        <f t="array" ref="AJ46">IFERROR(INDEX(WHT!$C$7:$W$18,MATCH(
_xlfn.SWITCH(N46,"xDC Medellin","Colombia","xDC Belo Horizonte","Brazil","xDC Guadalajara","Mexico","xDC Gurugram","India","xDC Leon","Spain","xDC San Jose","Costa Rica","xDC Warsaw","Poland",N46),
WHT!$B$7:$B$18,0),MATCH(CustomerCountry,WHT!$C$5:$W$5,0)),0)</f>
        <v>0</v>
      </c>
      <c r="AK46" s="368">
        <f t="shared" si="21"/>
        <v>0</v>
      </c>
      <c r="AL46" s="7"/>
      <c r="AM46" s="95">
        <f t="shared" si="30"/>
        <v>0</v>
      </c>
      <c r="AN46" s="95">
        <f t="shared" si="22"/>
        <v>0</v>
      </c>
      <c r="AO46" s="95">
        <f t="shared" si="31"/>
        <v>0</v>
      </c>
      <c r="AP46" s="90"/>
      <c r="AQ46" s="18"/>
      <c r="AR46" s="290"/>
      <c r="AS46" s="467" t="s">
        <v>133</v>
      </c>
      <c r="AT46" s="501">
        <f t="shared" si="23"/>
        <v>0</v>
      </c>
      <c r="AU46" s="502"/>
      <c r="AV46" s="95">
        <f t="shared" si="32"/>
        <v>0</v>
      </c>
      <c r="AW46" s="469">
        <f t="shared" si="24"/>
        <v>0</v>
      </c>
      <c r="AX46" s="290"/>
      <c r="AY46" s="18"/>
      <c r="AZ46" s="3"/>
      <c r="BA46" s="315"/>
      <c r="BB46" s="3"/>
      <c r="BC46" s="3"/>
      <c r="BD46" s="3"/>
      <c r="BE46" s="3"/>
      <c r="BF46" s="18"/>
      <c r="BG46" s="3"/>
      <c r="BH46" s="315"/>
      <c r="BI46" s="3"/>
      <c r="BJ46" s="3"/>
      <c r="BK46" s="3"/>
      <c r="BL46" s="3"/>
      <c r="BM46" s="18"/>
      <c r="BN46" s="3"/>
      <c r="BO46" s="315"/>
      <c r="BP46" s="3"/>
      <c r="BQ46" s="3"/>
      <c r="BR46" s="3"/>
      <c r="BS46" s="3"/>
      <c r="BT46" s="18"/>
      <c r="BU46" s="3"/>
      <c r="BV46" s="315"/>
      <c r="BW46" s="3"/>
      <c r="BX46" s="3"/>
      <c r="BY46" s="3"/>
      <c r="BZ46" s="3"/>
    </row>
    <row r="47" spans="1:79" ht="15.6" outlineLevel="1">
      <c r="A47" s="7"/>
      <c r="B47" s="370"/>
      <c r="C47" s="355" t="s">
        <v>186</v>
      </c>
      <c r="D47" s="356"/>
      <c r="E47" s="342"/>
      <c r="F47" s="290"/>
      <c r="G47" s="357">
        <v>0</v>
      </c>
      <c r="H47" s="358">
        <v>0</v>
      </c>
      <c r="I47" s="358">
        <v>0</v>
      </c>
      <c r="J47" s="359">
        <f t="shared" si="25"/>
        <v>0</v>
      </c>
      <c r="K47" s="290"/>
      <c r="L47" s="349"/>
      <c r="M47" s="7"/>
      <c r="N47" s="12" t="s">
        <v>130</v>
      </c>
      <c r="O47" s="12" t="s">
        <v>177</v>
      </c>
      <c r="P47" s="12" t="s">
        <v>184</v>
      </c>
      <c r="Q47" s="468">
        <v>1.23</v>
      </c>
      <c r="R47" s="362">
        <f>(10%*T44)/S47/HoursPerDayTeamBased</f>
        <v>3.5000000000000003E-2</v>
      </c>
      <c r="S47" s="363">
        <f>20*10%</f>
        <v>2</v>
      </c>
      <c r="T47" s="364">
        <f t="shared" ref="T47" si="36">IF(ISBLANK($P47),0,IF(Approach="Team-Based",$Q47*$R47*$S47*HoursPerDayTeamBased,$J47))</f>
        <v>0.69741000000000009</v>
      </c>
      <c r="U47" s="365">
        <v>0.25</v>
      </c>
      <c r="V47" s="91">
        <f>ROUNDUP(IFERROR(INDEX(CostRateTbl[Cost Rate],MATCH(_xlfn.CONCAT(N47,O47,P47,"NA"),CostRateTbl[KeyCostRate],0)),0)*BillingCurrencyTRM*(1+U47),2)</f>
        <v>58245.740000000005</v>
      </c>
      <c r="W47" s="92">
        <f t="shared" si="18"/>
        <v>40621.161533400009</v>
      </c>
      <c r="X47" s="366" t="str" cm="1">
        <f t="array" ref="X47">_xlfn.LET(
    _xlpm.valor, INDEX(CostRate!H:H, MATCH(1, (CostRate!A:A=N47)*1, 0)),
    _xlpm.posicion, MATCH(_xlpm.valor, FilterSL!$F$1:$Z$1, 0),
    _xlpm.direccionCompleta, ADDRESS(1, _xlpm.posicion + 5, 4),
    _xlpm.letraColumna, SUBSTITUTE(_xlpm.direccionCompleta, "1", ""),
    _xlpm.letraColumna
)</f>
        <v>R</v>
      </c>
      <c r="Y47" s="366" t="str" cm="1">
        <f t="array" ref="Y47">_xlfn.LET(
    _xlpm.valor, INDEX(CostRate!I:I, MATCH(1, (CostRate!A:A=N47)*(CostRate!B:B=O47), 0)),
    _xlpm.posicion, MATCH(_xlpm.valor, FilterJP!$E$1:$FZ$1, 0),
    _xlpm.direccionCompleta, ADDRESS(1, _xlpm.posicion + 4, 4),
    _xlpm.letraColumna, SUBSTITUTE(_xlpm.direccionCompleta, "1", ""),
    _xlpm.letraColumna
)</f>
        <v>BO</v>
      </c>
      <c r="Z47" s="7"/>
      <c r="AA47" s="367"/>
      <c r="AB47" s="7"/>
      <c r="AC47" s="93">
        <f t="shared" si="19"/>
        <v>83208.2</v>
      </c>
      <c r="AD47" s="94">
        <f t="shared" si="27"/>
        <v>58030.230762000007</v>
      </c>
      <c r="AE47" s="109">
        <f t="shared" si="28"/>
        <v>0.29999999999999993</v>
      </c>
      <c r="AF47" s="7"/>
      <c r="AG47" s="369">
        <f t="shared" si="20"/>
        <v>0</v>
      </c>
      <c r="AH47" s="368">
        <f t="shared" si="29"/>
        <v>0</v>
      </c>
      <c r="AI47" s="7"/>
      <c r="AJ47" s="369" cm="1">
        <f t="array" ref="AJ47">IFERROR(INDEX(WHT!$C$7:$W$18,MATCH(
_xlfn.SWITCH(N47,"xDC Medellin","Colombia","xDC Belo Horizonte","Brazil","xDC Guadalajara","Mexico","xDC Gurugram","India","xDC Leon","Spain","xDC San Jose","Costa Rica","xDC Warsaw","Poland",N47),
WHT!$B$7:$B$18,0),MATCH(CustomerCountry,WHT!$C$5:$W$5,0)),0)</f>
        <v>0</v>
      </c>
      <c r="AK47" s="368">
        <f t="shared" si="21"/>
        <v>0</v>
      </c>
      <c r="AL47" s="7"/>
      <c r="AM47" s="95">
        <f t="shared" si="30"/>
        <v>58030.230762000007</v>
      </c>
      <c r="AN47" s="95">
        <f t="shared" si="22"/>
        <v>58030.230762000007</v>
      </c>
      <c r="AO47" s="95">
        <f t="shared" si="31"/>
        <v>83208.2</v>
      </c>
      <c r="AP47" s="90"/>
      <c r="AQ47" s="18"/>
      <c r="AR47" s="290"/>
      <c r="AS47" s="467" t="s">
        <v>133</v>
      </c>
      <c r="AT47" s="501">
        <f t="shared" si="23"/>
        <v>58030.230762000007</v>
      </c>
      <c r="AU47" s="502"/>
      <c r="AV47" s="95">
        <f t="shared" si="32"/>
        <v>83208.2</v>
      </c>
      <c r="AW47" s="469">
        <f t="shared" si="24"/>
        <v>21.335435897435897</v>
      </c>
      <c r="AX47" s="290"/>
      <c r="AY47" s="18"/>
      <c r="AZ47" s="3"/>
      <c r="BA47" s="315"/>
      <c r="BB47" s="3"/>
      <c r="BC47" s="3"/>
      <c r="BD47" s="3"/>
      <c r="BE47" s="3"/>
      <c r="BF47" s="18"/>
      <c r="BG47" s="3"/>
      <c r="BH47" s="315"/>
      <c r="BI47" s="3"/>
      <c r="BJ47" s="3"/>
      <c r="BK47" s="3"/>
      <c r="BL47" s="3"/>
      <c r="BM47" s="18"/>
      <c r="BN47" s="3"/>
      <c r="BO47" s="315"/>
      <c r="BP47" s="3"/>
      <c r="BQ47" s="3"/>
      <c r="BR47" s="3"/>
      <c r="BS47" s="3"/>
      <c r="BT47" s="18"/>
      <c r="BU47" s="3"/>
      <c r="BV47" s="315"/>
      <c r="BW47" s="3"/>
      <c r="BX47" s="3"/>
      <c r="BY47" s="3"/>
      <c r="BZ47" s="3"/>
    </row>
    <row r="48" spans="1:79" ht="28.9" outlineLevel="1">
      <c r="A48" s="7"/>
      <c r="B48" s="370"/>
      <c r="C48" s="355" t="s">
        <v>187</v>
      </c>
      <c r="D48" s="356"/>
      <c r="E48" s="342"/>
      <c r="F48" s="290"/>
      <c r="G48" s="357">
        <v>0</v>
      </c>
      <c r="H48" s="358">
        <v>0</v>
      </c>
      <c r="I48" s="358">
        <v>0</v>
      </c>
      <c r="J48" s="359">
        <f t="shared" si="25"/>
        <v>0</v>
      </c>
      <c r="K48" s="290"/>
      <c r="L48" s="349"/>
      <c r="M48" s="7"/>
      <c r="N48" s="12"/>
      <c r="O48" s="12"/>
      <c r="P48" s="12"/>
      <c r="Q48" s="361"/>
      <c r="R48" s="362"/>
      <c r="S48" s="363">
        <f t="shared" ref="S48:S71" si="37">IF(ISBLANK(P48),0,$O$34*20)</f>
        <v>0</v>
      </c>
      <c r="T48" s="364">
        <f t="shared" ref="T48" si="38">IF(ISBLANK($P48),0,IF(Approach="Team-Based",$Q48*$R48*$S48*HoursPerDayTeamBased,$J48))</f>
        <v>0</v>
      </c>
      <c r="U48" s="365">
        <v>0</v>
      </c>
      <c r="V48" s="91">
        <f>ROUNDUP(IFERROR(INDEX(CostRateTbl[Cost Rate],MATCH(_xlfn.CONCAT(N48,O48,P48,"NA"),CostRateTbl[KeyCostRate],0)),0)*BillingCurrencyTRM*(1+U48),2)</f>
        <v>0</v>
      </c>
      <c r="W48" s="92">
        <f t="shared" si="18"/>
        <v>0</v>
      </c>
      <c r="X48" s="366" t="e" cm="1">
        <f t="array" ref="X48">_xlfn.LET(
    _xlpm.valor, INDEX(CostRate!H:H, MATCH(1, (CostRate!A:A=N48)*1, 0)),
    _xlpm.posicion, MATCH(_xlpm.valor, FilterSL!$F$1:$Z$1, 0),
    _xlpm.direccionCompleta, ADDRESS(1, _xlpm.posicion + 5, 4),
    _xlpm.letraColumna, SUBSTITUTE(_xlpm.direccionCompleta, "1", ""),
    _xlpm.letraColumna
)</f>
        <v>#N/A</v>
      </c>
      <c r="Y48" s="366" t="e" cm="1">
        <f t="array" ref="Y48">_xlfn.LET(
    _xlpm.valor, INDEX(CostRate!I:I, MATCH(1, (CostRate!A:A=N48)*(CostRate!B:B=O48), 0)),
    _xlpm.posicion, MATCH(_xlpm.valor, FilterJP!$E$1:$FZ$1, 0),
    _xlpm.direccionCompleta, ADDRESS(1, _xlpm.posicion + 4, 4),
    _xlpm.letraColumna, SUBSTITUTE(_xlpm.direccionCompleta, "1", ""),
    _xlpm.letraColumna
)</f>
        <v>#N/A</v>
      </c>
      <c r="Z48" s="7"/>
      <c r="AA48" s="367"/>
      <c r="AB48" s="7"/>
      <c r="AC48" s="93">
        <f t="shared" si="19"/>
        <v>0</v>
      </c>
      <c r="AD48" s="94">
        <f t="shared" si="27"/>
        <v>0</v>
      </c>
      <c r="AE48" s="109">
        <f t="shared" si="28"/>
        <v>0</v>
      </c>
      <c r="AF48" s="7"/>
      <c r="AG48" s="369">
        <f t="shared" si="20"/>
        <v>0</v>
      </c>
      <c r="AH48" s="368">
        <f t="shared" si="29"/>
        <v>0</v>
      </c>
      <c r="AI48" s="7"/>
      <c r="AJ48" s="369" cm="1">
        <f t="array" ref="AJ48">IFERROR(INDEX(WHT!$C$7:$W$18,MATCH(
_xlfn.SWITCH(N48,"xDC Medellin","Colombia","xDC Belo Horizonte","Brazil","xDC Guadalajara","Mexico","xDC Gurugram","India","xDC Leon","Spain","xDC San Jose","Costa Rica","xDC Warsaw","Poland",N48),
WHT!$B$7:$B$18,0),MATCH(CustomerCountry,WHT!$C$5:$W$5,0)),0)</f>
        <v>0</v>
      </c>
      <c r="AK48" s="368">
        <f t="shared" si="21"/>
        <v>0</v>
      </c>
      <c r="AL48" s="7"/>
      <c r="AM48" s="95">
        <f t="shared" si="30"/>
        <v>0</v>
      </c>
      <c r="AN48" s="95">
        <f t="shared" si="22"/>
        <v>0</v>
      </c>
      <c r="AO48" s="95">
        <f t="shared" si="31"/>
        <v>0</v>
      </c>
      <c r="AP48" s="90"/>
      <c r="AQ48" s="18"/>
      <c r="AR48" s="290"/>
      <c r="AS48" s="467" t="s">
        <v>133</v>
      </c>
      <c r="AT48" s="501">
        <f t="shared" si="23"/>
        <v>0</v>
      </c>
      <c r="AU48" s="502"/>
      <c r="AV48" s="95">
        <f t="shared" si="32"/>
        <v>0</v>
      </c>
      <c r="AW48" s="469">
        <f t="shared" si="24"/>
        <v>0</v>
      </c>
      <c r="AX48" s="290"/>
      <c r="AY48" s="18"/>
      <c r="AZ48" s="3"/>
      <c r="BA48" s="315"/>
      <c r="BB48" s="3"/>
      <c r="BC48" s="3"/>
      <c r="BD48" s="3"/>
      <c r="BE48" s="3"/>
      <c r="BF48" s="18"/>
      <c r="BG48" s="3"/>
      <c r="BH48" s="315"/>
      <c r="BI48" s="3"/>
      <c r="BJ48" s="3"/>
      <c r="BK48" s="3"/>
      <c r="BL48" s="3"/>
      <c r="BM48" s="18"/>
      <c r="BN48" s="3"/>
      <c r="BO48" s="315"/>
      <c r="BP48" s="3"/>
      <c r="BQ48" s="3"/>
      <c r="BR48" s="3"/>
      <c r="BS48" s="3"/>
      <c r="BT48" s="18"/>
      <c r="BU48" s="3"/>
      <c r="BV48" s="315"/>
      <c r="BW48" s="3"/>
      <c r="BX48" s="3"/>
      <c r="BY48" s="3"/>
      <c r="BZ48" s="3"/>
    </row>
    <row r="49" spans="1:78" ht="15.6" outlineLevel="1">
      <c r="A49" s="7"/>
      <c r="B49" s="370"/>
      <c r="C49" s="355"/>
      <c r="D49" s="356"/>
      <c r="E49" s="342"/>
      <c r="F49" s="290"/>
      <c r="G49" s="357">
        <v>0</v>
      </c>
      <c r="H49" s="358">
        <v>0</v>
      </c>
      <c r="I49" s="358">
        <v>0</v>
      </c>
      <c r="J49" s="359">
        <f t="shared" si="25"/>
        <v>0</v>
      </c>
      <c r="K49" s="290"/>
      <c r="L49" s="349"/>
      <c r="M49" s="7"/>
      <c r="N49" s="12"/>
      <c r="O49" s="12"/>
      <c r="P49" s="12"/>
      <c r="Q49" s="361"/>
      <c r="R49" s="362"/>
      <c r="S49" s="363">
        <f t="shared" si="37"/>
        <v>0</v>
      </c>
      <c r="T49" s="364">
        <f t="shared" ref="T49" si="39">IF(ISBLANK($P49),0,IF(Approach="Team-Based",$Q49*$R49*$S49*HoursPerDayTeamBased,$J49))</f>
        <v>0</v>
      </c>
      <c r="U49" s="365">
        <v>0</v>
      </c>
      <c r="V49" s="91">
        <f>ROUNDUP(IFERROR(INDEX(CostRateTbl[Cost Rate],MATCH(_xlfn.CONCAT(N49,O49,P49,"NA"),CostRateTbl[KeyCostRate],0)),0)*BillingCurrencyTRM*(1+U49),2)</f>
        <v>0</v>
      </c>
      <c r="W49" s="92">
        <f t="shared" si="18"/>
        <v>0</v>
      </c>
      <c r="X49" s="366" t="e" cm="1">
        <f t="array" ref="X49">_xlfn.LET(
    _xlpm.valor, INDEX(CostRate!H:H, MATCH(1, (CostRate!A:A=N49)*1, 0)),
    _xlpm.posicion, MATCH(_xlpm.valor, FilterSL!$F$1:$Z$1, 0),
    _xlpm.direccionCompleta, ADDRESS(1, _xlpm.posicion + 5, 4),
    _xlpm.letraColumna, SUBSTITUTE(_xlpm.direccionCompleta, "1", ""),
    _xlpm.letraColumna
)</f>
        <v>#N/A</v>
      </c>
      <c r="Y49" s="366" t="e" cm="1">
        <f t="array" ref="Y49">_xlfn.LET(
    _xlpm.valor, INDEX(CostRate!I:I, MATCH(1, (CostRate!A:A=N49)*(CostRate!B:B=O49), 0)),
    _xlpm.posicion, MATCH(_xlpm.valor, FilterJP!$E$1:$FZ$1, 0),
    _xlpm.direccionCompleta, ADDRESS(1, _xlpm.posicion + 4, 4),
    _xlpm.letraColumna, SUBSTITUTE(_xlpm.direccionCompleta, "1", ""),
    _xlpm.letraColumna
)</f>
        <v>#N/A</v>
      </c>
      <c r="Z49" s="7"/>
      <c r="AA49" s="367"/>
      <c r="AB49" s="7"/>
      <c r="AC49" s="93">
        <f t="shared" si="19"/>
        <v>0</v>
      </c>
      <c r="AD49" s="94">
        <f t="shared" si="27"/>
        <v>0</v>
      </c>
      <c r="AE49" s="109">
        <f t="shared" si="28"/>
        <v>0</v>
      </c>
      <c r="AF49" s="7"/>
      <c r="AG49" s="369">
        <f t="shared" si="20"/>
        <v>0</v>
      </c>
      <c r="AH49" s="368">
        <f t="shared" si="29"/>
        <v>0</v>
      </c>
      <c r="AI49" s="7"/>
      <c r="AJ49" s="369" cm="1">
        <f t="array" ref="AJ49">IFERROR(INDEX(WHT!$C$7:$W$18,MATCH(
_xlfn.SWITCH(N49,"xDC Medellin","Colombia","xDC Belo Horizonte","Brazil","xDC Guadalajara","Mexico","xDC Gurugram","India","xDC Leon","Spain","xDC San Jose","Costa Rica","xDC Warsaw","Poland",N49),
WHT!$B$7:$B$18,0),MATCH(CustomerCountry,WHT!$C$5:$W$5,0)),0)</f>
        <v>0</v>
      </c>
      <c r="AK49" s="368">
        <f t="shared" si="21"/>
        <v>0</v>
      </c>
      <c r="AL49" s="7"/>
      <c r="AM49" s="95">
        <f t="shared" si="30"/>
        <v>0</v>
      </c>
      <c r="AN49" s="95">
        <f t="shared" si="22"/>
        <v>0</v>
      </c>
      <c r="AO49" s="95">
        <f t="shared" si="31"/>
        <v>0</v>
      </c>
      <c r="AP49" s="90"/>
      <c r="AQ49" s="18"/>
      <c r="AR49" s="290"/>
      <c r="AS49" s="467" t="s">
        <v>133</v>
      </c>
      <c r="AT49" s="501">
        <f t="shared" si="23"/>
        <v>0</v>
      </c>
      <c r="AU49" s="502"/>
      <c r="AV49" s="95">
        <f t="shared" si="32"/>
        <v>0</v>
      </c>
      <c r="AW49" s="469">
        <f t="shared" si="24"/>
        <v>0</v>
      </c>
      <c r="AX49" s="290"/>
      <c r="AY49" s="18"/>
      <c r="AZ49" s="3"/>
      <c r="BA49" s="315"/>
      <c r="BB49" s="3"/>
      <c r="BC49" s="3"/>
      <c r="BD49" s="3"/>
      <c r="BE49" s="3"/>
      <c r="BF49" s="18"/>
      <c r="BG49" s="3"/>
      <c r="BH49" s="315"/>
      <c r="BI49" s="3"/>
      <c r="BJ49" s="3"/>
      <c r="BK49" s="3"/>
      <c r="BL49" s="3"/>
      <c r="BM49" s="18"/>
      <c r="BN49" s="3"/>
      <c r="BO49" s="315"/>
      <c r="BP49" s="3"/>
      <c r="BQ49" s="3"/>
      <c r="BR49" s="3"/>
      <c r="BS49" s="3"/>
      <c r="BT49" s="18"/>
      <c r="BU49" s="3"/>
      <c r="BV49" s="315"/>
      <c r="BW49" s="3"/>
      <c r="BX49" s="3"/>
      <c r="BY49" s="3"/>
      <c r="BZ49" s="3"/>
    </row>
    <row r="50" spans="1:78" ht="15.6" outlineLevel="1">
      <c r="A50" s="7"/>
      <c r="B50" s="370"/>
      <c r="C50" s="355"/>
      <c r="D50" s="356"/>
      <c r="E50" s="342"/>
      <c r="F50" s="290"/>
      <c r="G50" s="357">
        <v>0</v>
      </c>
      <c r="H50" s="358">
        <v>0</v>
      </c>
      <c r="I50" s="358">
        <v>0</v>
      </c>
      <c r="J50" s="359">
        <f t="shared" si="25"/>
        <v>0</v>
      </c>
      <c r="K50" s="290"/>
      <c r="L50" s="349"/>
      <c r="M50" s="7"/>
      <c r="N50" s="12"/>
      <c r="O50" s="12"/>
      <c r="P50" s="12"/>
      <c r="Q50" s="361"/>
      <c r="R50" s="362"/>
      <c r="S50" s="363">
        <f t="shared" si="37"/>
        <v>0</v>
      </c>
      <c r="T50" s="364">
        <f t="shared" ref="T50" si="40">IF(ISBLANK($P50),0,IF(Approach="Team-Based",$Q50*$R50*$S50*HoursPerDayTeamBased,$J50))</f>
        <v>0</v>
      </c>
      <c r="U50" s="365">
        <v>0</v>
      </c>
      <c r="V50" s="91">
        <f>ROUNDUP(IFERROR(INDEX(CostRateTbl[Cost Rate],MATCH(_xlfn.CONCAT(N50,O50,P50,"NA"),CostRateTbl[KeyCostRate],0)),0)*BillingCurrencyTRM*(1+U50),2)</f>
        <v>0</v>
      </c>
      <c r="W50" s="92">
        <f t="shared" si="18"/>
        <v>0</v>
      </c>
      <c r="X50" s="366" t="e" cm="1">
        <f t="array" ref="X50">_xlfn.LET(
    _xlpm.valor, INDEX(CostRate!H:H, MATCH(1, (CostRate!A:A=N50)*1, 0)),
    _xlpm.posicion, MATCH(_xlpm.valor, FilterSL!$F$1:$Z$1, 0),
    _xlpm.direccionCompleta, ADDRESS(1, _xlpm.posicion + 5, 4),
    _xlpm.letraColumna, SUBSTITUTE(_xlpm.direccionCompleta, "1", ""),
    _xlpm.letraColumna
)</f>
        <v>#N/A</v>
      </c>
      <c r="Y50" s="366" t="e" cm="1">
        <f t="array" ref="Y50">_xlfn.LET(
    _xlpm.valor, INDEX(CostRate!I:I, MATCH(1, (CostRate!A:A=N50)*(CostRate!B:B=O50), 0)),
    _xlpm.posicion, MATCH(_xlpm.valor, FilterJP!$E$1:$FZ$1, 0),
    _xlpm.direccionCompleta, ADDRESS(1, _xlpm.posicion + 4, 4),
    _xlpm.letraColumna, SUBSTITUTE(_xlpm.direccionCompleta, "1", ""),
    _xlpm.letraColumna
)</f>
        <v>#N/A</v>
      </c>
      <c r="Z50" s="7"/>
      <c r="AA50" s="367"/>
      <c r="AB50" s="7"/>
      <c r="AC50" s="93">
        <f t="shared" si="19"/>
        <v>0</v>
      </c>
      <c r="AD50" s="94">
        <f t="shared" si="27"/>
        <v>0</v>
      </c>
      <c r="AE50" s="109">
        <f t="shared" si="28"/>
        <v>0</v>
      </c>
      <c r="AF50" s="7"/>
      <c r="AG50" s="369">
        <f t="shared" si="20"/>
        <v>0</v>
      </c>
      <c r="AH50" s="368">
        <f t="shared" si="29"/>
        <v>0</v>
      </c>
      <c r="AI50" s="7"/>
      <c r="AJ50" s="369" cm="1">
        <f t="array" ref="AJ50">IFERROR(INDEX(WHT!$C$7:$W$18,MATCH(
_xlfn.SWITCH(N50,"xDC Medellin","Colombia","xDC Belo Horizonte","Brazil","xDC Guadalajara","Mexico","xDC Gurugram","India","xDC Leon","Spain","xDC San Jose","Costa Rica","xDC Warsaw","Poland",N50),
WHT!$B$7:$B$18,0),MATCH(CustomerCountry,WHT!$C$5:$W$5,0)),0)</f>
        <v>0</v>
      </c>
      <c r="AK50" s="368">
        <f t="shared" si="21"/>
        <v>0</v>
      </c>
      <c r="AL50" s="7"/>
      <c r="AM50" s="95">
        <f t="shared" si="30"/>
        <v>0</v>
      </c>
      <c r="AN50" s="95">
        <f t="shared" si="22"/>
        <v>0</v>
      </c>
      <c r="AO50" s="95">
        <f t="shared" si="31"/>
        <v>0</v>
      </c>
      <c r="AP50" s="90"/>
      <c r="AQ50" s="18"/>
      <c r="AR50" s="290"/>
      <c r="AS50" s="467" t="s">
        <v>133</v>
      </c>
      <c r="AT50" s="501">
        <f t="shared" si="23"/>
        <v>0</v>
      </c>
      <c r="AU50" s="502"/>
      <c r="AV50" s="95">
        <f t="shared" si="32"/>
        <v>0</v>
      </c>
      <c r="AW50" s="469">
        <f t="shared" si="24"/>
        <v>0</v>
      </c>
      <c r="AX50" s="290"/>
      <c r="AY50" s="18"/>
      <c r="AZ50" s="3"/>
      <c r="BA50" s="315"/>
      <c r="BB50" s="3"/>
      <c r="BC50" s="3"/>
      <c r="BD50" s="3"/>
      <c r="BE50" s="3"/>
      <c r="BF50" s="18"/>
      <c r="BG50" s="3"/>
      <c r="BH50" s="315"/>
      <c r="BI50" s="3"/>
      <c r="BJ50" s="3"/>
      <c r="BK50" s="3"/>
      <c r="BL50" s="3"/>
      <c r="BM50" s="18"/>
      <c r="BN50" s="3"/>
      <c r="BO50" s="315"/>
      <c r="BP50" s="3"/>
      <c r="BQ50" s="3"/>
      <c r="BR50" s="3"/>
      <c r="BS50" s="3"/>
      <c r="BT50" s="18"/>
      <c r="BU50" s="3"/>
      <c r="BV50" s="315"/>
      <c r="BW50" s="3"/>
      <c r="BX50" s="3"/>
      <c r="BY50" s="3"/>
      <c r="BZ50" s="3"/>
    </row>
    <row r="51" spans="1:78" ht="15.6" outlineLevel="1">
      <c r="A51" s="7"/>
      <c r="B51" s="370"/>
      <c r="C51" s="355"/>
      <c r="D51" s="356"/>
      <c r="E51" s="342"/>
      <c r="F51" s="290"/>
      <c r="G51" s="357">
        <v>0</v>
      </c>
      <c r="H51" s="358">
        <v>0</v>
      </c>
      <c r="I51" s="358">
        <v>0</v>
      </c>
      <c r="J51" s="359">
        <f t="shared" si="25"/>
        <v>0</v>
      </c>
      <c r="K51" s="290"/>
      <c r="L51" s="349"/>
      <c r="M51" s="7"/>
      <c r="N51" s="12"/>
      <c r="O51" s="12"/>
      <c r="P51" s="12"/>
      <c r="Q51" s="361"/>
      <c r="R51" s="362"/>
      <c r="S51" s="363">
        <f t="shared" si="37"/>
        <v>0</v>
      </c>
      <c r="T51" s="364">
        <f t="shared" ref="T51" si="41">IF(ISBLANK($P51),0,IF(Approach="Team-Based",$Q51*$R51*$S51*HoursPerDayTeamBased,$J51))</f>
        <v>0</v>
      </c>
      <c r="U51" s="365">
        <v>0</v>
      </c>
      <c r="V51" s="91">
        <f>ROUNDUP(IFERROR(INDEX(CostRateTbl[Cost Rate],MATCH(_xlfn.CONCAT(N51,O51,P51,"NA"),CostRateTbl[KeyCostRate],0)),0)*BillingCurrencyTRM*(1+U51),2)</f>
        <v>0</v>
      </c>
      <c r="W51" s="92">
        <f t="shared" si="18"/>
        <v>0</v>
      </c>
      <c r="X51" s="366" t="e" cm="1">
        <f t="array" ref="X51">_xlfn.LET(
    _xlpm.valor, INDEX(CostRate!H:H, MATCH(1, (CostRate!A:A=N51)*1, 0)),
    _xlpm.posicion, MATCH(_xlpm.valor, FilterSL!$F$1:$Z$1, 0),
    _xlpm.direccionCompleta, ADDRESS(1, _xlpm.posicion + 5, 4),
    _xlpm.letraColumna, SUBSTITUTE(_xlpm.direccionCompleta, "1", ""),
    _xlpm.letraColumna
)</f>
        <v>#N/A</v>
      </c>
      <c r="Y51" s="366" t="e" cm="1">
        <f t="array" ref="Y51">_xlfn.LET(
    _xlpm.valor, INDEX(CostRate!I:I, MATCH(1, (CostRate!A:A=N51)*(CostRate!B:B=O51), 0)),
    _xlpm.posicion, MATCH(_xlpm.valor, FilterJP!$E$1:$FZ$1, 0),
    _xlpm.direccionCompleta, ADDRESS(1, _xlpm.posicion + 4, 4),
    _xlpm.letraColumna, SUBSTITUTE(_xlpm.direccionCompleta, "1", ""),
    _xlpm.letraColumna
)</f>
        <v>#N/A</v>
      </c>
      <c r="Z51" s="7"/>
      <c r="AA51" s="367"/>
      <c r="AB51" s="7"/>
      <c r="AC51" s="93">
        <f t="shared" si="19"/>
        <v>0</v>
      </c>
      <c r="AD51" s="94">
        <f t="shared" si="27"/>
        <v>0</v>
      </c>
      <c r="AE51" s="109">
        <f t="shared" si="28"/>
        <v>0</v>
      </c>
      <c r="AF51" s="7"/>
      <c r="AG51" s="369">
        <f t="shared" si="20"/>
        <v>0</v>
      </c>
      <c r="AH51" s="368">
        <f t="shared" si="29"/>
        <v>0</v>
      </c>
      <c r="AI51" s="7"/>
      <c r="AJ51" s="369" cm="1">
        <f t="array" ref="AJ51">IFERROR(INDEX(WHT!$C$7:$W$18,MATCH(
_xlfn.SWITCH(N51,"xDC Medellin","Colombia","xDC Belo Horizonte","Brazil","xDC Guadalajara","Mexico","xDC Gurugram","India","xDC Leon","Spain","xDC San Jose","Costa Rica","xDC Warsaw","Poland",N51),
WHT!$B$7:$B$18,0),MATCH(CustomerCountry,WHT!$C$5:$W$5,0)),0)</f>
        <v>0</v>
      </c>
      <c r="AK51" s="368">
        <f t="shared" si="21"/>
        <v>0</v>
      </c>
      <c r="AL51" s="7"/>
      <c r="AM51" s="95">
        <f t="shared" si="30"/>
        <v>0</v>
      </c>
      <c r="AN51" s="95">
        <f t="shared" si="22"/>
        <v>0</v>
      </c>
      <c r="AO51" s="95">
        <f t="shared" si="31"/>
        <v>0</v>
      </c>
      <c r="AP51" s="90"/>
      <c r="AQ51" s="18"/>
      <c r="AR51" s="290"/>
      <c r="AS51" s="467" t="s">
        <v>133</v>
      </c>
      <c r="AT51" s="501">
        <f t="shared" si="23"/>
        <v>0</v>
      </c>
      <c r="AU51" s="502"/>
      <c r="AV51" s="95">
        <f t="shared" si="32"/>
        <v>0</v>
      </c>
      <c r="AW51" s="469">
        <f t="shared" si="24"/>
        <v>0</v>
      </c>
      <c r="AX51" s="290"/>
      <c r="AY51" s="18"/>
      <c r="AZ51" s="3"/>
      <c r="BA51" s="315"/>
      <c r="BB51" s="3"/>
      <c r="BC51" s="3"/>
      <c r="BD51" s="3"/>
      <c r="BE51" s="3"/>
      <c r="BF51" s="18"/>
      <c r="BG51" s="3"/>
      <c r="BH51" s="315"/>
      <c r="BI51" s="3"/>
      <c r="BJ51" s="3"/>
      <c r="BK51" s="3"/>
      <c r="BL51" s="3"/>
      <c r="BM51" s="18"/>
      <c r="BN51" s="3"/>
      <c r="BO51" s="315"/>
      <c r="BP51" s="3"/>
      <c r="BQ51" s="3"/>
      <c r="BR51" s="3"/>
      <c r="BS51" s="3"/>
      <c r="BT51" s="18"/>
      <c r="BU51" s="3"/>
      <c r="BV51" s="315"/>
      <c r="BW51" s="3"/>
      <c r="BX51" s="3"/>
      <c r="BY51" s="3"/>
      <c r="BZ51" s="3"/>
    </row>
    <row r="52" spans="1:78" ht="15.6" outlineLevel="1">
      <c r="A52" s="7"/>
      <c r="B52" s="370"/>
      <c r="C52" s="355"/>
      <c r="D52" s="356"/>
      <c r="E52" s="342"/>
      <c r="F52" s="290"/>
      <c r="G52" s="357">
        <v>0</v>
      </c>
      <c r="H52" s="358">
        <v>0</v>
      </c>
      <c r="I52" s="358">
        <v>0</v>
      </c>
      <c r="J52" s="359">
        <f t="shared" si="25"/>
        <v>0</v>
      </c>
      <c r="K52" s="290"/>
      <c r="L52" s="349"/>
      <c r="M52" s="7"/>
      <c r="N52" s="12"/>
      <c r="O52" s="12"/>
      <c r="P52" s="12"/>
      <c r="Q52" s="361"/>
      <c r="R52" s="362"/>
      <c r="S52" s="363">
        <f t="shared" si="37"/>
        <v>0</v>
      </c>
      <c r="T52" s="364">
        <f t="shared" ref="T52" si="42">IF(ISBLANK($P52),0,IF(Approach="Team-Based",$Q52*$R52*$S52*HoursPerDayTeamBased,$J52))</f>
        <v>0</v>
      </c>
      <c r="U52" s="365">
        <v>0</v>
      </c>
      <c r="V52" s="91">
        <f>ROUNDUP(IFERROR(INDEX(CostRateTbl[Cost Rate],MATCH(_xlfn.CONCAT(N52,O52,P52,"NA"),CostRateTbl[KeyCostRate],0)),0)*BillingCurrencyTRM*(1+U52),2)</f>
        <v>0</v>
      </c>
      <c r="W52" s="92">
        <f t="shared" si="18"/>
        <v>0</v>
      </c>
      <c r="X52" s="366" t="e" cm="1">
        <f t="array" ref="X52">_xlfn.LET(
    _xlpm.valor, INDEX(CostRate!H:H, MATCH(1, (CostRate!A:A=N52)*1, 0)),
    _xlpm.posicion, MATCH(_xlpm.valor, FilterSL!$F$1:$Z$1, 0),
    _xlpm.direccionCompleta, ADDRESS(1, _xlpm.posicion + 5, 4),
    _xlpm.letraColumna, SUBSTITUTE(_xlpm.direccionCompleta, "1", ""),
    _xlpm.letraColumna
)</f>
        <v>#N/A</v>
      </c>
      <c r="Y52" s="366" t="e" cm="1">
        <f t="array" ref="Y52">_xlfn.LET(
    _xlpm.valor, INDEX(CostRate!I:I, MATCH(1, (CostRate!A:A=N52)*(CostRate!B:B=O52), 0)),
    _xlpm.posicion, MATCH(_xlpm.valor, FilterJP!$E$1:$FZ$1, 0),
    _xlpm.direccionCompleta, ADDRESS(1, _xlpm.posicion + 4, 4),
    _xlpm.letraColumna, SUBSTITUTE(_xlpm.direccionCompleta, "1", ""),
    _xlpm.letraColumna
)</f>
        <v>#N/A</v>
      </c>
      <c r="Z52" s="7"/>
      <c r="AA52" s="367"/>
      <c r="AB52" s="7"/>
      <c r="AC52" s="93">
        <f t="shared" si="19"/>
        <v>0</v>
      </c>
      <c r="AD52" s="94">
        <f t="shared" si="27"/>
        <v>0</v>
      </c>
      <c r="AE52" s="109">
        <f t="shared" si="28"/>
        <v>0</v>
      </c>
      <c r="AF52" s="7"/>
      <c r="AG52" s="369">
        <f t="shared" si="20"/>
        <v>0</v>
      </c>
      <c r="AH52" s="368">
        <f t="shared" si="29"/>
        <v>0</v>
      </c>
      <c r="AI52" s="7"/>
      <c r="AJ52" s="369" cm="1">
        <f t="array" ref="AJ52">IFERROR(INDEX(WHT!$C$7:$W$18,MATCH(
_xlfn.SWITCH(N52,"xDC Medellin","Colombia","xDC Belo Horizonte","Brazil","xDC Guadalajara","Mexico","xDC Gurugram","India","xDC Leon","Spain","xDC San Jose","Costa Rica","xDC Warsaw","Poland",N52),
WHT!$B$7:$B$18,0),MATCH(CustomerCountry,WHT!$C$5:$W$5,0)),0)</f>
        <v>0</v>
      </c>
      <c r="AK52" s="368">
        <f t="shared" si="21"/>
        <v>0</v>
      </c>
      <c r="AL52" s="7"/>
      <c r="AM52" s="95">
        <f t="shared" si="30"/>
        <v>0</v>
      </c>
      <c r="AN52" s="95">
        <f t="shared" si="22"/>
        <v>0</v>
      </c>
      <c r="AO52" s="95">
        <f t="shared" si="31"/>
        <v>0</v>
      </c>
      <c r="AP52" s="90"/>
      <c r="AQ52" s="18"/>
      <c r="AR52" s="290"/>
      <c r="AS52" s="467" t="s">
        <v>133</v>
      </c>
      <c r="AT52" s="501">
        <f t="shared" si="23"/>
        <v>0</v>
      </c>
      <c r="AU52" s="502"/>
      <c r="AV52" s="95">
        <f t="shared" si="32"/>
        <v>0</v>
      </c>
      <c r="AW52" s="469">
        <f t="shared" si="24"/>
        <v>0</v>
      </c>
      <c r="AX52" s="290"/>
      <c r="AY52" s="18"/>
      <c r="AZ52" s="3"/>
      <c r="BA52" s="315"/>
      <c r="BB52" s="3"/>
      <c r="BC52" s="3"/>
      <c r="BD52" s="3"/>
      <c r="BE52" s="3"/>
      <c r="BF52" s="18"/>
      <c r="BG52" s="3"/>
      <c r="BH52" s="315"/>
      <c r="BI52" s="3"/>
      <c r="BJ52" s="3"/>
      <c r="BK52" s="3"/>
      <c r="BL52" s="3"/>
      <c r="BM52" s="18"/>
      <c r="BN52" s="3"/>
      <c r="BO52" s="315"/>
      <c r="BP52" s="3"/>
      <c r="BQ52" s="3"/>
      <c r="BR52" s="3"/>
      <c r="BS52" s="3"/>
      <c r="BT52" s="18"/>
      <c r="BU52" s="3"/>
      <c r="BV52" s="315"/>
      <c r="BW52" s="3"/>
      <c r="BX52" s="3"/>
      <c r="BY52" s="3"/>
      <c r="BZ52" s="3"/>
    </row>
    <row r="53" spans="1:78" ht="15.6" outlineLevel="1">
      <c r="A53" s="7"/>
      <c r="B53" s="370"/>
      <c r="C53" s="355"/>
      <c r="D53" s="356"/>
      <c r="E53" s="342"/>
      <c r="F53" s="290"/>
      <c r="G53" s="357">
        <v>0</v>
      </c>
      <c r="H53" s="358">
        <v>0</v>
      </c>
      <c r="I53" s="358">
        <v>0</v>
      </c>
      <c r="J53" s="359">
        <f t="shared" si="25"/>
        <v>0</v>
      </c>
      <c r="K53" s="290"/>
      <c r="L53" s="349"/>
      <c r="M53" s="7"/>
      <c r="N53" s="12"/>
      <c r="O53" s="12"/>
      <c r="P53" s="12"/>
      <c r="Q53" s="361"/>
      <c r="R53" s="362"/>
      <c r="S53" s="363">
        <f t="shared" si="37"/>
        <v>0</v>
      </c>
      <c r="T53" s="364">
        <f t="shared" ref="T53" si="43">IF(ISBLANK($P53),0,IF(Approach="Team-Based",$Q53*$R53*$S53*HoursPerDayTeamBased,$J53))</f>
        <v>0</v>
      </c>
      <c r="U53" s="365">
        <v>0</v>
      </c>
      <c r="V53" s="91">
        <f>ROUNDUP(IFERROR(INDEX(CostRateTbl[Cost Rate],MATCH(_xlfn.CONCAT(N53,O53,P53,"NA"),CostRateTbl[KeyCostRate],0)),0)*BillingCurrencyTRM*(1+U53),2)</f>
        <v>0</v>
      </c>
      <c r="W53" s="92">
        <f t="shared" si="18"/>
        <v>0</v>
      </c>
      <c r="X53" s="366" t="e" cm="1">
        <f t="array" ref="X53">_xlfn.LET(
    _xlpm.valor, INDEX(CostRate!H:H, MATCH(1, (CostRate!A:A=N53)*1, 0)),
    _xlpm.posicion, MATCH(_xlpm.valor, FilterSL!$F$1:$Z$1, 0),
    _xlpm.direccionCompleta, ADDRESS(1, _xlpm.posicion + 5, 4),
    _xlpm.letraColumna, SUBSTITUTE(_xlpm.direccionCompleta, "1", ""),
    _xlpm.letraColumna
)</f>
        <v>#N/A</v>
      </c>
      <c r="Y53" s="366" t="e" cm="1">
        <f t="array" ref="Y53">_xlfn.LET(
    _xlpm.valor, INDEX(CostRate!I:I, MATCH(1, (CostRate!A:A=N53)*(CostRate!B:B=O53), 0)),
    _xlpm.posicion, MATCH(_xlpm.valor, FilterJP!$E$1:$FZ$1, 0),
    _xlpm.direccionCompleta, ADDRESS(1, _xlpm.posicion + 4, 4),
    _xlpm.letraColumna, SUBSTITUTE(_xlpm.direccionCompleta, "1", ""),
    _xlpm.letraColumna
)</f>
        <v>#N/A</v>
      </c>
      <c r="Z53" s="7"/>
      <c r="AA53" s="367"/>
      <c r="AB53" s="7"/>
      <c r="AC53" s="93">
        <f t="shared" si="19"/>
        <v>0</v>
      </c>
      <c r="AD53" s="94">
        <f t="shared" si="27"/>
        <v>0</v>
      </c>
      <c r="AE53" s="109">
        <f t="shared" si="28"/>
        <v>0</v>
      </c>
      <c r="AF53" s="7"/>
      <c r="AG53" s="369">
        <f t="shared" si="20"/>
        <v>0</v>
      </c>
      <c r="AH53" s="368">
        <f t="shared" si="29"/>
        <v>0</v>
      </c>
      <c r="AI53" s="7"/>
      <c r="AJ53" s="369" cm="1">
        <f t="array" ref="AJ53">IFERROR(INDEX(WHT!$C$7:$W$18,MATCH(
_xlfn.SWITCH(N53,"xDC Medellin","Colombia","xDC Belo Horizonte","Brazil","xDC Guadalajara","Mexico","xDC Gurugram","India","xDC Leon","Spain","xDC San Jose","Costa Rica","xDC Warsaw","Poland",N53),
WHT!$B$7:$B$18,0),MATCH(CustomerCountry,WHT!$C$5:$W$5,0)),0)</f>
        <v>0</v>
      </c>
      <c r="AK53" s="368">
        <f t="shared" si="21"/>
        <v>0</v>
      </c>
      <c r="AL53" s="7"/>
      <c r="AM53" s="95">
        <f t="shared" si="30"/>
        <v>0</v>
      </c>
      <c r="AN53" s="95">
        <f t="shared" si="22"/>
        <v>0</v>
      </c>
      <c r="AO53" s="95">
        <f t="shared" si="31"/>
        <v>0</v>
      </c>
      <c r="AP53" s="90"/>
      <c r="AQ53" s="18"/>
      <c r="AR53" s="290"/>
      <c r="AS53" s="467" t="s">
        <v>133</v>
      </c>
      <c r="AT53" s="501">
        <f t="shared" si="23"/>
        <v>0</v>
      </c>
      <c r="AU53" s="502"/>
      <c r="AV53" s="95">
        <f t="shared" si="32"/>
        <v>0</v>
      </c>
      <c r="AW53" s="469">
        <f t="shared" si="24"/>
        <v>0</v>
      </c>
      <c r="AX53" s="290"/>
      <c r="AY53" s="18"/>
      <c r="AZ53" s="3"/>
      <c r="BA53" s="315"/>
      <c r="BB53" s="3"/>
      <c r="BC53" s="3"/>
      <c r="BD53" s="3"/>
      <c r="BE53" s="3"/>
      <c r="BF53" s="18"/>
      <c r="BG53" s="3"/>
      <c r="BH53" s="315"/>
      <c r="BI53" s="3"/>
      <c r="BJ53" s="3"/>
      <c r="BK53" s="3"/>
      <c r="BL53" s="3"/>
      <c r="BM53" s="18"/>
      <c r="BN53" s="3"/>
      <c r="BO53" s="315"/>
      <c r="BP53" s="3"/>
      <c r="BQ53" s="3"/>
      <c r="BR53" s="3"/>
      <c r="BS53" s="3"/>
      <c r="BT53" s="18"/>
      <c r="BU53" s="3"/>
      <c r="BV53" s="315"/>
      <c r="BW53" s="3"/>
      <c r="BX53" s="3"/>
      <c r="BY53" s="3"/>
      <c r="BZ53" s="3"/>
    </row>
    <row r="54" spans="1:78" ht="15.6" outlineLevel="1">
      <c r="A54" s="7"/>
      <c r="B54" s="370"/>
      <c r="C54" s="355"/>
      <c r="D54" s="356"/>
      <c r="E54" s="342"/>
      <c r="F54" s="290"/>
      <c r="G54" s="357">
        <v>0</v>
      </c>
      <c r="H54" s="358">
        <v>0</v>
      </c>
      <c r="I54" s="358">
        <v>0</v>
      </c>
      <c r="J54" s="359">
        <f t="shared" si="25"/>
        <v>0</v>
      </c>
      <c r="K54" s="290"/>
      <c r="L54" s="349"/>
      <c r="M54" s="7"/>
      <c r="N54" s="12"/>
      <c r="O54" s="12"/>
      <c r="P54" s="12"/>
      <c r="Q54" s="361"/>
      <c r="R54" s="362"/>
      <c r="S54" s="363">
        <f t="shared" si="37"/>
        <v>0</v>
      </c>
      <c r="T54" s="364">
        <f t="shared" ref="T54" si="44">IF(ISBLANK($P54),0,IF(Approach="Team-Based",$Q54*$R54*$S54*HoursPerDayTeamBased,$J54))</f>
        <v>0</v>
      </c>
      <c r="U54" s="365">
        <v>0</v>
      </c>
      <c r="V54" s="91">
        <f>ROUNDUP(IFERROR(INDEX(CostRateTbl[Cost Rate],MATCH(_xlfn.CONCAT(N54,O54,P54,"NA"),CostRateTbl[KeyCostRate],0)),0)*BillingCurrencyTRM*(1+U54),2)</f>
        <v>0</v>
      </c>
      <c r="W54" s="92">
        <f t="shared" si="18"/>
        <v>0</v>
      </c>
      <c r="X54" s="366" t="e" cm="1">
        <f t="array" ref="X54">_xlfn.LET(
    _xlpm.valor, INDEX(CostRate!H:H, MATCH(1, (CostRate!A:A=N54)*1, 0)),
    _xlpm.posicion, MATCH(_xlpm.valor, FilterSL!$F$1:$Z$1, 0),
    _xlpm.direccionCompleta, ADDRESS(1, _xlpm.posicion + 5, 4),
    _xlpm.letraColumna, SUBSTITUTE(_xlpm.direccionCompleta, "1", ""),
    _xlpm.letraColumna
)</f>
        <v>#N/A</v>
      </c>
      <c r="Y54" s="366" t="e" cm="1">
        <f t="array" ref="Y54">_xlfn.LET(
    _xlpm.valor, INDEX(CostRate!I:I, MATCH(1, (CostRate!A:A=N54)*(CostRate!B:B=O54), 0)),
    _xlpm.posicion, MATCH(_xlpm.valor, FilterJP!$E$1:$FZ$1, 0),
    _xlpm.direccionCompleta, ADDRESS(1, _xlpm.posicion + 4, 4),
    _xlpm.letraColumna, SUBSTITUTE(_xlpm.direccionCompleta, "1", ""),
    _xlpm.letraColumna
)</f>
        <v>#N/A</v>
      </c>
      <c r="Z54" s="7"/>
      <c r="AA54" s="367"/>
      <c r="AB54" s="7"/>
      <c r="AC54" s="93">
        <f t="shared" si="19"/>
        <v>0</v>
      </c>
      <c r="AD54" s="94">
        <f t="shared" si="27"/>
        <v>0</v>
      </c>
      <c r="AE54" s="109">
        <f t="shared" si="28"/>
        <v>0</v>
      </c>
      <c r="AF54" s="7"/>
      <c r="AG54" s="369">
        <f t="shared" si="20"/>
        <v>0</v>
      </c>
      <c r="AH54" s="368">
        <f t="shared" si="29"/>
        <v>0</v>
      </c>
      <c r="AI54" s="7"/>
      <c r="AJ54" s="369" cm="1">
        <f t="array" ref="AJ54">IFERROR(INDEX(WHT!$C$7:$W$18,MATCH(
_xlfn.SWITCH(N54,"xDC Medellin","Colombia","xDC Belo Horizonte","Brazil","xDC Guadalajara","Mexico","xDC Gurugram","India","xDC Leon","Spain","xDC San Jose","Costa Rica","xDC Warsaw","Poland",N54),
WHT!$B$7:$B$18,0),MATCH(CustomerCountry,WHT!$C$5:$W$5,0)),0)</f>
        <v>0</v>
      </c>
      <c r="AK54" s="368">
        <f t="shared" si="21"/>
        <v>0</v>
      </c>
      <c r="AL54" s="7"/>
      <c r="AM54" s="95">
        <f t="shared" si="30"/>
        <v>0</v>
      </c>
      <c r="AN54" s="95">
        <f t="shared" si="22"/>
        <v>0</v>
      </c>
      <c r="AO54" s="95">
        <f t="shared" si="31"/>
        <v>0</v>
      </c>
      <c r="AP54" s="90"/>
      <c r="AQ54" s="18"/>
      <c r="AR54" s="290"/>
      <c r="AS54" s="467" t="s">
        <v>133</v>
      </c>
      <c r="AT54" s="501">
        <f t="shared" si="23"/>
        <v>0</v>
      </c>
      <c r="AU54" s="502"/>
      <c r="AV54" s="95">
        <f t="shared" si="32"/>
        <v>0</v>
      </c>
      <c r="AW54" s="469">
        <f t="shared" si="24"/>
        <v>0</v>
      </c>
      <c r="AX54" s="290"/>
      <c r="AY54" s="18"/>
      <c r="AZ54" s="3"/>
      <c r="BA54" s="315"/>
      <c r="BB54" s="3"/>
      <c r="BC54" s="3"/>
      <c r="BD54" s="3"/>
      <c r="BE54" s="3"/>
      <c r="BF54" s="18"/>
      <c r="BG54" s="3"/>
      <c r="BH54" s="315"/>
      <c r="BI54" s="3"/>
      <c r="BJ54" s="3"/>
      <c r="BK54" s="3"/>
      <c r="BL54" s="3"/>
      <c r="BM54" s="18"/>
      <c r="BN54" s="3"/>
      <c r="BO54" s="315"/>
      <c r="BP54" s="3"/>
      <c r="BQ54" s="3"/>
      <c r="BR54" s="3"/>
      <c r="BS54" s="3"/>
      <c r="BT54" s="18"/>
      <c r="BU54" s="3"/>
      <c r="BV54" s="315"/>
      <c r="BW54" s="3"/>
      <c r="BX54" s="3"/>
      <c r="BY54" s="3"/>
      <c r="BZ54" s="3"/>
    </row>
    <row r="55" spans="1:78" ht="15.6" outlineLevel="1">
      <c r="A55" s="7"/>
      <c r="B55" s="370"/>
      <c r="C55" s="355"/>
      <c r="D55" s="356"/>
      <c r="E55" s="342"/>
      <c r="F55" s="290"/>
      <c r="G55" s="357">
        <v>0</v>
      </c>
      <c r="H55" s="358">
        <v>0</v>
      </c>
      <c r="I55" s="358">
        <v>0</v>
      </c>
      <c r="J55" s="359">
        <f t="shared" si="25"/>
        <v>0</v>
      </c>
      <c r="K55" s="290"/>
      <c r="L55" s="349"/>
      <c r="M55" s="7"/>
      <c r="N55" s="12"/>
      <c r="O55" s="12"/>
      <c r="P55" s="12"/>
      <c r="Q55" s="361"/>
      <c r="R55" s="362"/>
      <c r="S55" s="363">
        <f t="shared" si="37"/>
        <v>0</v>
      </c>
      <c r="T55" s="364">
        <f t="shared" ref="T55" si="45">IF(ISBLANK($P55),0,IF(Approach="Team-Based",$Q55*$R55*$S55*HoursPerDayTeamBased,$J55))</f>
        <v>0</v>
      </c>
      <c r="U55" s="365">
        <v>0</v>
      </c>
      <c r="V55" s="91">
        <f>ROUNDUP(IFERROR(INDEX(CostRateTbl[Cost Rate],MATCH(_xlfn.CONCAT(N55,O55,P55,"NA"),CostRateTbl[KeyCostRate],0)),0)*BillingCurrencyTRM*(1+U55),2)</f>
        <v>0</v>
      </c>
      <c r="W55" s="92">
        <f t="shared" si="18"/>
        <v>0</v>
      </c>
      <c r="X55" s="366" t="e" cm="1">
        <f t="array" ref="X55">_xlfn.LET(
    _xlpm.valor, INDEX(CostRate!H:H, MATCH(1, (CostRate!A:A=N55)*1, 0)),
    _xlpm.posicion, MATCH(_xlpm.valor, FilterSL!$F$1:$Z$1, 0),
    _xlpm.direccionCompleta, ADDRESS(1, _xlpm.posicion + 5, 4),
    _xlpm.letraColumna, SUBSTITUTE(_xlpm.direccionCompleta, "1", ""),
    _xlpm.letraColumna
)</f>
        <v>#N/A</v>
      </c>
      <c r="Y55" s="366" t="e" cm="1">
        <f t="array" ref="Y55">_xlfn.LET(
    _xlpm.valor, INDEX(CostRate!I:I, MATCH(1, (CostRate!A:A=N55)*(CostRate!B:B=O55), 0)),
    _xlpm.posicion, MATCH(_xlpm.valor, FilterJP!$E$1:$FZ$1, 0),
    _xlpm.direccionCompleta, ADDRESS(1, _xlpm.posicion + 4, 4),
    _xlpm.letraColumna, SUBSTITUTE(_xlpm.direccionCompleta, "1", ""),
    _xlpm.letraColumna
)</f>
        <v>#N/A</v>
      </c>
      <c r="Z55" s="7"/>
      <c r="AA55" s="367"/>
      <c r="AB55" s="7"/>
      <c r="AC55" s="93">
        <f t="shared" si="19"/>
        <v>0</v>
      </c>
      <c r="AD55" s="94">
        <f t="shared" si="27"/>
        <v>0</v>
      </c>
      <c r="AE55" s="109">
        <f t="shared" si="28"/>
        <v>0</v>
      </c>
      <c r="AF55" s="7"/>
      <c r="AG55" s="369">
        <f t="shared" si="20"/>
        <v>0</v>
      </c>
      <c r="AH55" s="368">
        <f t="shared" si="29"/>
        <v>0</v>
      </c>
      <c r="AI55" s="7"/>
      <c r="AJ55" s="369" cm="1">
        <f t="array" ref="AJ55">IFERROR(INDEX(WHT!$C$7:$W$18,MATCH(
_xlfn.SWITCH(N55,"xDC Medellin","Colombia","xDC Belo Horizonte","Brazil","xDC Guadalajara","Mexico","xDC Gurugram","India","xDC Leon","Spain","xDC San Jose","Costa Rica","xDC Warsaw","Poland",N55),
WHT!$B$7:$B$18,0),MATCH(CustomerCountry,WHT!$C$5:$W$5,0)),0)</f>
        <v>0</v>
      </c>
      <c r="AK55" s="368">
        <f t="shared" si="21"/>
        <v>0</v>
      </c>
      <c r="AL55" s="7"/>
      <c r="AM55" s="95">
        <f t="shared" si="30"/>
        <v>0</v>
      </c>
      <c r="AN55" s="95">
        <f t="shared" si="22"/>
        <v>0</v>
      </c>
      <c r="AO55" s="95">
        <f t="shared" si="31"/>
        <v>0</v>
      </c>
      <c r="AP55" s="90"/>
      <c r="AQ55" s="18"/>
      <c r="AR55" s="290"/>
      <c r="AS55" s="467" t="s">
        <v>133</v>
      </c>
      <c r="AT55" s="501">
        <f t="shared" si="23"/>
        <v>0</v>
      </c>
      <c r="AU55" s="502"/>
      <c r="AV55" s="95">
        <f t="shared" si="32"/>
        <v>0</v>
      </c>
      <c r="AW55" s="469">
        <f t="shared" si="24"/>
        <v>0</v>
      </c>
      <c r="AX55" s="290"/>
      <c r="AY55" s="18"/>
      <c r="AZ55" s="3"/>
      <c r="BA55" s="315"/>
      <c r="BB55" s="3"/>
      <c r="BC55" s="3"/>
      <c r="BD55" s="3"/>
      <c r="BE55" s="3"/>
      <c r="BF55" s="18"/>
      <c r="BG55" s="3"/>
      <c r="BH55" s="315"/>
      <c r="BI55" s="3"/>
      <c r="BJ55" s="3"/>
      <c r="BK55" s="3"/>
      <c r="BL55" s="3"/>
      <c r="BM55" s="18"/>
      <c r="BN55" s="3"/>
      <c r="BO55" s="315"/>
      <c r="BP55" s="3"/>
      <c r="BQ55" s="3"/>
      <c r="BR55" s="3"/>
      <c r="BS55" s="3"/>
      <c r="BT55" s="18"/>
      <c r="BU55" s="3"/>
      <c r="BV55" s="315"/>
      <c r="BW55" s="3"/>
      <c r="BX55" s="3"/>
      <c r="BY55" s="3"/>
      <c r="BZ55" s="3"/>
    </row>
    <row r="56" spans="1:78" ht="15.6" outlineLevel="1">
      <c r="A56" s="7"/>
      <c r="B56" s="370"/>
      <c r="C56" s="355"/>
      <c r="D56" s="356"/>
      <c r="E56" s="342"/>
      <c r="F56" s="290"/>
      <c r="G56" s="357">
        <v>0</v>
      </c>
      <c r="H56" s="358">
        <v>0</v>
      </c>
      <c r="I56" s="358">
        <v>0</v>
      </c>
      <c r="J56" s="359">
        <f t="shared" si="25"/>
        <v>0</v>
      </c>
      <c r="K56" s="290"/>
      <c r="L56" s="349"/>
      <c r="M56" s="7"/>
      <c r="N56" s="12"/>
      <c r="O56" s="12"/>
      <c r="P56" s="12"/>
      <c r="Q56" s="361"/>
      <c r="R56" s="362"/>
      <c r="S56" s="363">
        <f t="shared" si="37"/>
        <v>0</v>
      </c>
      <c r="T56" s="364">
        <f t="shared" ref="T56" si="46">IF(ISBLANK($P56),0,IF(Approach="Team-Based",$Q56*$R56*$S56*HoursPerDayTeamBased,$J56))</f>
        <v>0</v>
      </c>
      <c r="U56" s="365">
        <v>0</v>
      </c>
      <c r="V56" s="91">
        <f>ROUNDUP(IFERROR(INDEX(CostRateTbl[Cost Rate],MATCH(_xlfn.CONCAT(N56,O56,P56,"NA"),CostRateTbl[KeyCostRate],0)),0)*BillingCurrencyTRM*(1+U56),2)</f>
        <v>0</v>
      </c>
      <c r="W56" s="92">
        <f t="shared" si="18"/>
        <v>0</v>
      </c>
      <c r="X56" s="366" t="e" cm="1">
        <f t="array" ref="X56">_xlfn.LET(
    _xlpm.valor, INDEX(CostRate!H:H, MATCH(1, (CostRate!A:A=N56)*1, 0)),
    _xlpm.posicion, MATCH(_xlpm.valor, FilterSL!$F$1:$Z$1, 0),
    _xlpm.direccionCompleta, ADDRESS(1, _xlpm.posicion + 5, 4),
    _xlpm.letraColumna, SUBSTITUTE(_xlpm.direccionCompleta, "1", ""),
    _xlpm.letraColumna
)</f>
        <v>#N/A</v>
      </c>
      <c r="Y56" s="366" t="e" cm="1">
        <f t="array" ref="Y56">_xlfn.LET(
    _xlpm.valor, INDEX(CostRate!I:I, MATCH(1, (CostRate!A:A=N56)*(CostRate!B:B=O56), 0)),
    _xlpm.posicion, MATCH(_xlpm.valor, FilterJP!$E$1:$FZ$1, 0),
    _xlpm.direccionCompleta, ADDRESS(1, _xlpm.posicion + 4, 4),
    _xlpm.letraColumna, SUBSTITUTE(_xlpm.direccionCompleta, "1", ""),
    _xlpm.letraColumna
)</f>
        <v>#N/A</v>
      </c>
      <c r="Z56" s="7"/>
      <c r="AA56" s="367"/>
      <c r="AB56" s="7"/>
      <c r="AC56" s="93">
        <f t="shared" si="19"/>
        <v>0</v>
      </c>
      <c r="AD56" s="94">
        <f t="shared" si="27"/>
        <v>0</v>
      </c>
      <c r="AE56" s="109">
        <f t="shared" si="28"/>
        <v>0</v>
      </c>
      <c r="AF56" s="7"/>
      <c r="AG56" s="369">
        <f t="shared" si="20"/>
        <v>0</v>
      </c>
      <c r="AH56" s="368">
        <f t="shared" si="29"/>
        <v>0</v>
      </c>
      <c r="AI56" s="7"/>
      <c r="AJ56" s="369" cm="1">
        <f t="array" ref="AJ56">IFERROR(INDEX(WHT!$C$7:$W$18,MATCH(
_xlfn.SWITCH(N56,"xDC Medellin","Colombia","xDC Belo Horizonte","Brazil","xDC Guadalajara","Mexico","xDC Gurugram","India","xDC Leon","Spain","xDC San Jose","Costa Rica","xDC Warsaw","Poland",N56),
WHT!$B$7:$B$18,0),MATCH(CustomerCountry,WHT!$C$5:$W$5,0)),0)</f>
        <v>0</v>
      </c>
      <c r="AK56" s="368">
        <f t="shared" si="21"/>
        <v>0</v>
      </c>
      <c r="AL56" s="7"/>
      <c r="AM56" s="95">
        <f t="shared" si="30"/>
        <v>0</v>
      </c>
      <c r="AN56" s="95">
        <f t="shared" si="22"/>
        <v>0</v>
      </c>
      <c r="AO56" s="95">
        <f t="shared" si="31"/>
        <v>0</v>
      </c>
      <c r="AP56" s="90"/>
      <c r="AQ56" s="18"/>
      <c r="AR56" s="290"/>
      <c r="AS56" s="467" t="s">
        <v>133</v>
      </c>
      <c r="AT56" s="501">
        <f t="shared" si="23"/>
        <v>0</v>
      </c>
      <c r="AU56" s="502"/>
      <c r="AV56" s="95">
        <f t="shared" si="32"/>
        <v>0</v>
      </c>
      <c r="AW56" s="469">
        <f t="shared" si="24"/>
        <v>0</v>
      </c>
      <c r="AX56" s="290"/>
      <c r="AY56" s="18"/>
      <c r="AZ56" s="3"/>
      <c r="BA56" s="315"/>
      <c r="BB56" s="3"/>
      <c r="BC56" s="3"/>
      <c r="BD56" s="3"/>
      <c r="BE56" s="3"/>
      <c r="BF56" s="18"/>
      <c r="BG56" s="3"/>
      <c r="BH56" s="315"/>
      <c r="BI56" s="3"/>
      <c r="BJ56" s="3"/>
      <c r="BK56" s="3"/>
      <c r="BL56" s="3"/>
      <c r="BM56" s="18"/>
      <c r="BN56" s="3"/>
      <c r="BO56" s="315"/>
      <c r="BP56" s="3"/>
      <c r="BQ56" s="3"/>
      <c r="BR56" s="3"/>
      <c r="BS56" s="3"/>
      <c r="BT56" s="18"/>
      <c r="BU56" s="3"/>
      <c r="BV56" s="315"/>
      <c r="BW56" s="3"/>
      <c r="BX56" s="3"/>
      <c r="BY56" s="3"/>
      <c r="BZ56" s="3"/>
    </row>
    <row r="57" spans="1:78" ht="15.6" outlineLevel="1">
      <c r="A57" s="7"/>
      <c r="B57" s="370"/>
      <c r="C57" s="355"/>
      <c r="D57" s="356"/>
      <c r="E57" s="342"/>
      <c r="F57" s="290"/>
      <c r="G57" s="357">
        <v>0</v>
      </c>
      <c r="H57" s="358">
        <v>0</v>
      </c>
      <c r="I57" s="358">
        <v>0</v>
      </c>
      <c r="J57" s="359">
        <f t="shared" si="25"/>
        <v>0</v>
      </c>
      <c r="K57" s="290"/>
      <c r="L57" s="349"/>
      <c r="M57" s="7"/>
      <c r="N57" s="12"/>
      <c r="O57" s="12"/>
      <c r="P57" s="12"/>
      <c r="Q57" s="361"/>
      <c r="R57" s="362"/>
      <c r="S57" s="363">
        <f t="shared" si="37"/>
        <v>0</v>
      </c>
      <c r="T57" s="364">
        <f t="shared" ref="T57" si="47">IF(ISBLANK($P57),0,IF(Approach="Team-Based",$Q57*$R57*$S57*HoursPerDayTeamBased,$J57))</f>
        <v>0</v>
      </c>
      <c r="U57" s="365">
        <v>0</v>
      </c>
      <c r="V57" s="91">
        <f>ROUNDUP(IFERROR(INDEX(CostRateTbl[Cost Rate],MATCH(_xlfn.CONCAT(N57,O57,P57,"NA"),CostRateTbl[KeyCostRate],0)),0)*BillingCurrencyTRM*(1+U57),2)</f>
        <v>0</v>
      </c>
      <c r="W57" s="92">
        <f t="shared" si="18"/>
        <v>0</v>
      </c>
      <c r="X57" s="366" t="e" cm="1">
        <f t="array" ref="X57">_xlfn.LET(
    _xlpm.valor, INDEX(CostRate!H:H, MATCH(1, (CostRate!A:A=N57)*1, 0)),
    _xlpm.posicion, MATCH(_xlpm.valor, FilterSL!$F$1:$Z$1, 0),
    _xlpm.direccionCompleta, ADDRESS(1, _xlpm.posicion + 5, 4),
    _xlpm.letraColumna, SUBSTITUTE(_xlpm.direccionCompleta, "1", ""),
    _xlpm.letraColumna
)</f>
        <v>#N/A</v>
      </c>
      <c r="Y57" s="366" t="e" cm="1">
        <f t="array" ref="Y57">_xlfn.LET(
    _xlpm.valor, INDEX(CostRate!I:I, MATCH(1, (CostRate!A:A=N57)*(CostRate!B:B=O57), 0)),
    _xlpm.posicion, MATCH(_xlpm.valor, FilterJP!$E$1:$FZ$1, 0),
    _xlpm.direccionCompleta, ADDRESS(1, _xlpm.posicion + 4, 4),
    _xlpm.letraColumna, SUBSTITUTE(_xlpm.direccionCompleta, "1", ""),
    _xlpm.letraColumna
)</f>
        <v>#N/A</v>
      </c>
      <c r="Z57" s="7"/>
      <c r="AA57" s="367"/>
      <c r="AB57" s="7"/>
      <c r="AC57" s="93">
        <f t="shared" si="19"/>
        <v>0</v>
      </c>
      <c r="AD57" s="94">
        <f t="shared" si="27"/>
        <v>0</v>
      </c>
      <c r="AE57" s="109">
        <f t="shared" si="28"/>
        <v>0</v>
      </c>
      <c r="AF57" s="7"/>
      <c r="AG57" s="369">
        <f t="shared" si="20"/>
        <v>0</v>
      </c>
      <c r="AH57" s="368">
        <f t="shared" si="29"/>
        <v>0</v>
      </c>
      <c r="AI57" s="7"/>
      <c r="AJ57" s="369" cm="1">
        <f t="array" ref="AJ57">IFERROR(INDEX(WHT!$C$7:$W$18,MATCH(
_xlfn.SWITCH(N57,"xDC Medellin","Colombia","xDC Belo Horizonte","Brazil","xDC Guadalajara","Mexico","xDC Gurugram","India","xDC Leon","Spain","xDC San Jose","Costa Rica","xDC Warsaw","Poland",N57),
WHT!$B$7:$B$18,0),MATCH(CustomerCountry,WHT!$C$5:$W$5,0)),0)</f>
        <v>0</v>
      </c>
      <c r="AK57" s="368">
        <f t="shared" si="21"/>
        <v>0</v>
      </c>
      <c r="AL57" s="7"/>
      <c r="AM57" s="95">
        <f t="shared" si="30"/>
        <v>0</v>
      </c>
      <c r="AN57" s="95">
        <f t="shared" si="22"/>
        <v>0</v>
      </c>
      <c r="AO57" s="95">
        <f t="shared" si="31"/>
        <v>0</v>
      </c>
      <c r="AP57" s="90"/>
      <c r="AQ57" s="18"/>
      <c r="AR57" s="290"/>
      <c r="AS57" s="467" t="s">
        <v>133</v>
      </c>
      <c r="AT57" s="501">
        <f t="shared" si="23"/>
        <v>0</v>
      </c>
      <c r="AU57" s="502"/>
      <c r="AV57" s="95">
        <f t="shared" si="32"/>
        <v>0</v>
      </c>
      <c r="AW57" s="469">
        <f t="shared" si="24"/>
        <v>0</v>
      </c>
      <c r="AX57" s="290"/>
      <c r="AY57" s="18"/>
      <c r="AZ57" s="3"/>
      <c r="BA57" s="315"/>
      <c r="BB57" s="3"/>
      <c r="BC57" s="3"/>
      <c r="BD57" s="3"/>
      <c r="BE57" s="3"/>
      <c r="BF57" s="18"/>
      <c r="BG57" s="3"/>
      <c r="BH57" s="315"/>
      <c r="BI57" s="3"/>
      <c r="BJ57" s="3"/>
      <c r="BK57" s="3"/>
      <c r="BL57" s="3"/>
      <c r="BM57" s="18"/>
      <c r="BN57" s="3"/>
      <c r="BO57" s="315"/>
      <c r="BP57" s="3"/>
      <c r="BQ57" s="3"/>
      <c r="BR57" s="3"/>
      <c r="BS57" s="3"/>
      <c r="BT57" s="18"/>
      <c r="BU57" s="3"/>
      <c r="BV57" s="315"/>
      <c r="BW57" s="3"/>
      <c r="BX57" s="3"/>
      <c r="BY57" s="3"/>
      <c r="BZ57" s="3"/>
    </row>
    <row r="58" spans="1:78" ht="15.6" outlineLevel="1">
      <c r="A58" s="7"/>
      <c r="B58" s="370"/>
      <c r="C58" s="355"/>
      <c r="D58" s="356"/>
      <c r="E58" s="342"/>
      <c r="F58" s="290"/>
      <c r="G58" s="357">
        <v>0</v>
      </c>
      <c r="H58" s="358">
        <v>0</v>
      </c>
      <c r="I58" s="358">
        <v>0</v>
      </c>
      <c r="J58" s="359">
        <f t="shared" si="25"/>
        <v>0</v>
      </c>
      <c r="K58" s="290"/>
      <c r="L58" s="349"/>
      <c r="M58" s="7"/>
      <c r="N58" s="12"/>
      <c r="O58" s="12"/>
      <c r="P58" s="12"/>
      <c r="Q58" s="361"/>
      <c r="R58" s="362"/>
      <c r="S58" s="363">
        <f t="shared" si="37"/>
        <v>0</v>
      </c>
      <c r="T58" s="364">
        <f t="shared" ref="T58" si="48">IF(ISBLANK($P58),0,IF(Approach="Team-Based",$Q58*$R58*$S58*HoursPerDayTeamBased,$J58))</f>
        <v>0</v>
      </c>
      <c r="U58" s="365">
        <v>0</v>
      </c>
      <c r="V58" s="91">
        <f>ROUNDUP(IFERROR(INDEX(CostRateTbl[Cost Rate],MATCH(_xlfn.CONCAT(N58,O58,P58,"NA"),CostRateTbl[KeyCostRate],0)),0)*BillingCurrencyTRM*(1+U58),2)</f>
        <v>0</v>
      </c>
      <c r="W58" s="92">
        <f t="shared" si="18"/>
        <v>0</v>
      </c>
      <c r="X58" s="366" t="e" cm="1">
        <f t="array" ref="X58">_xlfn.LET(
    _xlpm.valor, INDEX(CostRate!H:H, MATCH(1, (CostRate!A:A=N58)*1, 0)),
    _xlpm.posicion, MATCH(_xlpm.valor, FilterSL!$F$1:$Z$1, 0),
    _xlpm.direccionCompleta, ADDRESS(1, _xlpm.posicion + 5, 4),
    _xlpm.letraColumna, SUBSTITUTE(_xlpm.direccionCompleta, "1", ""),
    _xlpm.letraColumna
)</f>
        <v>#N/A</v>
      </c>
      <c r="Y58" s="366" t="e" cm="1">
        <f t="array" ref="Y58">_xlfn.LET(
    _xlpm.valor, INDEX(CostRate!I:I, MATCH(1, (CostRate!A:A=N58)*(CostRate!B:B=O58), 0)),
    _xlpm.posicion, MATCH(_xlpm.valor, FilterJP!$E$1:$FZ$1, 0),
    _xlpm.direccionCompleta, ADDRESS(1, _xlpm.posicion + 4, 4),
    _xlpm.letraColumna, SUBSTITUTE(_xlpm.direccionCompleta, "1", ""),
    _xlpm.letraColumna
)</f>
        <v>#N/A</v>
      </c>
      <c r="Z58" s="7"/>
      <c r="AA58" s="367"/>
      <c r="AB58" s="7"/>
      <c r="AC58" s="93">
        <f t="shared" si="19"/>
        <v>0</v>
      </c>
      <c r="AD58" s="94">
        <f t="shared" si="27"/>
        <v>0</v>
      </c>
      <c r="AE58" s="109">
        <f t="shared" si="28"/>
        <v>0</v>
      </c>
      <c r="AF58" s="7"/>
      <c r="AG58" s="369">
        <f t="shared" si="20"/>
        <v>0</v>
      </c>
      <c r="AH58" s="368">
        <f t="shared" si="29"/>
        <v>0</v>
      </c>
      <c r="AI58" s="7"/>
      <c r="AJ58" s="369" cm="1">
        <f t="array" ref="AJ58">IFERROR(INDEX(WHT!$C$7:$W$18,MATCH(
_xlfn.SWITCH(N58,"xDC Medellin","Colombia","xDC Belo Horizonte","Brazil","xDC Guadalajara","Mexico","xDC Gurugram","India","xDC Leon","Spain","xDC San Jose","Costa Rica","xDC Warsaw","Poland",N58),
WHT!$B$7:$B$18,0),MATCH(CustomerCountry,WHT!$C$5:$W$5,0)),0)</f>
        <v>0</v>
      </c>
      <c r="AK58" s="368">
        <f t="shared" si="21"/>
        <v>0</v>
      </c>
      <c r="AL58" s="7"/>
      <c r="AM58" s="95">
        <f t="shared" si="30"/>
        <v>0</v>
      </c>
      <c r="AN58" s="95">
        <f t="shared" si="22"/>
        <v>0</v>
      </c>
      <c r="AO58" s="95">
        <f t="shared" si="31"/>
        <v>0</v>
      </c>
      <c r="AP58" s="90"/>
      <c r="AQ58" s="18"/>
      <c r="AR58" s="290"/>
      <c r="AS58" s="467" t="s">
        <v>133</v>
      </c>
      <c r="AT58" s="501">
        <f t="shared" si="23"/>
        <v>0</v>
      </c>
      <c r="AU58" s="502"/>
      <c r="AV58" s="95">
        <f t="shared" si="32"/>
        <v>0</v>
      </c>
      <c r="AW58" s="469">
        <f t="shared" si="24"/>
        <v>0</v>
      </c>
      <c r="AX58" s="290"/>
      <c r="AY58" s="18"/>
      <c r="AZ58" s="3"/>
      <c r="BA58" s="315"/>
      <c r="BB58" s="3"/>
      <c r="BC58" s="3"/>
      <c r="BD58" s="3"/>
      <c r="BE58" s="3"/>
      <c r="BF58" s="18"/>
      <c r="BG58" s="3"/>
      <c r="BH58" s="315"/>
      <c r="BI58" s="3"/>
      <c r="BJ58" s="3"/>
      <c r="BK58" s="3"/>
      <c r="BL58" s="3"/>
      <c r="BM58" s="18"/>
      <c r="BN58" s="3"/>
      <c r="BO58" s="315"/>
      <c r="BP58" s="3"/>
      <c r="BQ58" s="3"/>
      <c r="BR58" s="3"/>
      <c r="BS58" s="3"/>
      <c r="BT58" s="18"/>
      <c r="BU58" s="3"/>
      <c r="BV58" s="315"/>
      <c r="BW58" s="3"/>
      <c r="BX58" s="3"/>
      <c r="BY58" s="3"/>
      <c r="BZ58" s="3"/>
    </row>
    <row r="59" spans="1:78" ht="15.6" outlineLevel="1">
      <c r="A59" s="7"/>
      <c r="B59" s="370"/>
      <c r="C59" s="355"/>
      <c r="D59" s="356"/>
      <c r="E59" s="342"/>
      <c r="F59" s="290"/>
      <c r="G59" s="357">
        <v>0</v>
      </c>
      <c r="H59" s="358">
        <v>0</v>
      </c>
      <c r="I59" s="358">
        <v>0</v>
      </c>
      <c r="J59" s="359">
        <f t="shared" si="25"/>
        <v>0</v>
      </c>
      <c r="K59" s="290"/>
      <c r="L59" s="349"/>
      <c r="M59" s="7"/>
      <c r="N59" s="12"/>
      <c r="O59" s="12"/>
      <c r="P59" s="12"/>
      <c r="Q59" s="361"/>
      <c r="R59" s="362"/>
      <c r="S59" s="363">
        <f t="shared" si="37"/>
        <v>0</v>
      </c>
      <c r="T59" s="364">
        <f t="shared" ref="T59" si="49">IF(ISBLANK($P59),0,IF(Approach="Team-Based",$Q59*$R59*$S59*HoursPerDayTeamBased,$J59))</f>
        <v>0</v>
      </c>
      <c r="U59" s="365">
        <v>0</v>
      </c>
      <c r="V59" s="91">
        <f>ROUNDUP(IFERROR(INDEX(CostRateTbl[Cost Rate],MATCH(_xlfn.CONCAT(N59,O59,P59,"NA"),CostRateTbl[KeyCostRate],0)),0)*BillingCurrencyTRM*(1+U59),2)</f>
        <v>0</v>
      </c>
      <c r="W59" s="92">
        <f t="shared" si="18"/>
        <v>0</v>
      </c>
      <c r="X59" s="366" t="e" cm="1">
        <f t="array" ref="X59">_xlfn.LET(
    _xlpm.valor, INDEX(CostRate!H:H, MATCH(1, (CostRate!A:A=N59)*1, 0)),
    _xlpm.posicion, MATCH(_xlpm.valor, FilterSL!$F$1:$Z$1, 0),
    _xlpm.direccionCompleta, ADDRESS(1, _xlpm.posicion + 5, 4),
    _xlpm.letraColumna, SUBSTITUTE(_xlpm.direccionCompleta, "1", ""),
    _xlpm.letraColumna
)</f>
        <v>#N/A</v>
      </c>
      <c r="Y59" s="366" t="e" cm="1">
        <f t="array" ref="Y59">_xlfn.LET(
    _xlpm.valor, INDEX(CostRate!I:I, MATCH(1, (CostRate!A:A=N59)*(CostRate!B:B=O59), 0)),
    _xlpm.posicion, MATCH(_xlpm.valor, FilterJP!$E$1:$FZ$1, 0),
    _xlpm.direccionCompleta, ADDRESS(1, _xlpm.posicion + 4, 4),
    _xlpm.letraColumna, SUBSTITUTE(_xlpm.direccionCompleta, "1", ""),
    _xlpm.letraColumna
)</f>
        <v>#N/A</v>
      </c>
      <c r="Z59" s="7"/>
      <c r="AA59" s="367"/>
      <c r="AB59" s="7"/>
      <c r="AC59" s="93">
        <f t="shared" si="19"/>
        <v>0</v>
      </c>
      <c r="AD59" s="94">
        <f t="shared" si="27"/>
        <v>0</v>
      </c>
      <c r="AE59" s="109">
        <f t="shared" si="28"/>
        <v>0</v>
      </c>
      <c r="AF59" s="7"/>
      <c r="AG59" s="369">
        <f t="shared" si="20"/>
        <v>0</v>
      </c>
      <c r="AH59" s="368">
        <f t="shared" si="29"/>
        <v>0</v>
      </c>
      <c r="AI59" s="7"/>
      <c r="AJ59" s="369" cm="1">
        <f t="array" ref="AJ59">IFERROR(INDEX(WHT!$C$7:$W$18,MATCH(
_xlfn.SWITCH(N59,"xDC Medellin","Colombia","xDC Belo Horizonte","Brazil","xDC Guadalajara","Mexico","xDC Gurugram","India","xDC Leon","Spain","xDC San Jose","Costa Rica","xDC Warsaw","Poland",N59),
WHT!$B$7:$B$18,0),MATCH(CustomerCountry,WHT!$C$5:$W$5,0)),0)</f>
        <v>0</v>
      </c>
      <c r="AK59" s="368">
        <f t="shared" si="21"/>
        <v>0</v>
      </c>
      <c r="AL59" s="7"/>
      <c r="AM59" s="95">
        <f t="shared" si="30"/>
        <v>0</v>
      </c>
      <c r="AN59" s="95">
        <f t="shared" si="22"/>
        <v>0</v>
      </c>
      <c r="AO59" s="95">
        <f t="shared" si="31"/>
        <v>0</v>
      </c>
      <c r="AP59" s="90"/>
      <c r="AQ59" s="18"/>
      <c r="AR59" s="290"/>
      <c r="AS59" s="467" t="s">
        <v>133</v>
      </c>
      <c r="AT59" s="501">
        <f t="shared" si="23"/>
        <v>0</v>
      </c>
      <c r="AU59" s="502"/>
      <c r="AV59" s="95">
        <f t="shared" si="32"/>
        <v>0</v>
      </c>
      <c r="AW59" s="469">
        <f t="shared" si="24"/>
        <v>0</v>
      </c>
      <c r="AX59" s="290"/>
      <c r="AY59" s="18"/>
      <c r="AZ59" s="3"/>
      <c r="BA59" s="315"/>
      <c r="BB59" s="3"/>
      <c r="BC59" s="3"/>
      <c r="BD59" s="3"/>
      <c r="BE59" s="3"/>
      <c r="BF59" s="18"/>
      <c r="BG59" s="3"/>
      <c r="BH59" s="315"/>
      <c r="BI59" s="3"/>
      <c r="BJ59" s="3"/>
      <c r="BK59" s="3"/>
      <c r="BL59" s="3"/>
      <c r="BM59" s="18"/>
      <c r="BN59" s="3"/>
      <c r="BO59" s="315"/>
      <c r="BP59" s="3"/>
      <c r="BQ59" s="3"/>
      <c r="BR59" s="3"/>
      <c r="BS59" s="3"/>
      <c r="BT59" s="18"/>
      <c r="BU59" s="3"/>
      <c r="BV59" s="315"/>
      <c r="BW59" s="3"/>
      <c r="BX59" s="3"/>
      <c r="BY59" s="3"/>
      <c r="BZ59" s="3"/>
    </row>
    <row r="60" spans="1:78" ht="15.6" outlineLevel="1">
      <c r="A60" s="7"/>
      <c r="B60" s="370"/>
      <c r="C60" s="355"/>
      <c r="D60" s="356"/>
      <c r="E60" s="342"/>
      <c r="F60" s="290"/>
      <c r="G60" s="357">
        <v>0</v>
      </c>
      <c r="H60" s="358">
        <v>0</v>
      </c>
      <c r="I60" s="358">
        <v>0</v>
      </c>
      <c r="J60" s="359">
        <f t="shared" si="25"/>
        <v>0</v>
      </c>
      <c r="K60" s="290"/>
      <c r="L60" s="349"/>
      <c r="M60" s="7"/>
      <c r="N60" s="12"/>
      <c r="O60" s="12"/>
      <c r="P60" s="12"/>
      <c r="Q60" s="361"/>
      <c r="R60" s="362"/>
      <c r="S60" s="363">
        <f t="shared" si="37"/>
        <v>0</v>
      </c>
      <c r="T60" s="364">
        <f t="shared" ref="T60" si="50">IF(ISBLANK($P60),0,IF(Approach="Team-Based",$Q60*$R60*$S60*HoursPerDayTeamBased,$J60))</f>
        <v>0</v>
      </c>
      <c r="U60" s="365">
        <v>0</v>
      </c>
      <c r="V60" s="91">
        <f>ROUNDUP(IFERROR(INDEX(CostRateTbl[Cost Rate],MATCH(_xlfn.CONCAT(N60,O60,P60,"NA"),CostRateTbl[KeyCostRate],0)),0)*BillingCurrencyTRM*(1+U60),2)</f>
        <v>0</v>
      </c>
      <c r="W60" s="92">
        <f t="shared" si="18"/>
        <v>0</v>
      </c>
      <c r="X60" s="366" t="e" cm="1">
        <f t="array" ref="X60">_xlfn.LET(
    _xlpm.valor, INDEX(CostRate!H:H, MATCH(1, (CostRate!A:A=N60)*1, 0)),
    _xlpm.posicion, MATCH(_xlpm.valor, FilterSL!$F$1:$Z$1, 0),
    _xlpm.direccionCompleta, ADDRESS(1, _xlpm.posicion + 5, 4),
    _xlpm.letraColumna, SUBSTITUTE(_xlpm.direccionCompleta, "1", ""),
    _xlpm.letraColumna
)</f>
        <v>#N/A</v>
      </c>
      <c r="Y60" s="366" t="e" cm="1">
        <f t="array" ref="Y60">_xlfn.LET(
    _xlpm.valor, INDEX(CostRate!I:I, MATCH(1, (CostRate!A:A=N60)*(CostRate!B:B=O60), 0)),
    _xlpm.posicion, MATCH(_xlpm.valor, FilterJP!$E$1:$FZ$1, 0),
    _xlpm.direccionCompleta, ADDRESS(1, _xlpm.posicion + 4, 4),
    _xlpm.letraColumna, SUBSTITUTE(_xlpm.direccionCompleta, "1", ""),
    _xlpm.letraColumna
)</f>
        <v>#N/A</v>
      </c>
      <c r="Z60" s="7"/>
      <c r="AA60" s="367"/>
      <c r="AB60" s="7"/>
      <c r="AC60" s="93">
        <f t="shared" si="19"/>
        <v>0</v>
      </c>
      <c r="AD60" s="94">
        <f t="shared" si="27"/>
        <v>0</v>
      </c>
      <c r="AE60" s="109">
        <f t="shared" si="28"/>
        <v>0</v>
      </c>
      <c r="AF60" s="7"/>
      <c r="AG60" s="369">
        <f t="shared" si="20"/>
        <v>0</v>
      </c>
      <c r="AH60" s="368">
        <f t="shared" si="29"/>
        <v>0</v>
      </c>
      <c r="AI60" s="7"/>
      <c r="AJ60" s="369" cm="1">
        <f t="array" ref="AJ60">IFERROR(INDEX(WHT!$C$7:$W$18,MATCH(
_xlfn.SWITCH(N60,"xDC Medellin","Colombia","xDC Belo Horizonte","Brazil","xDC Guadalajara","Mexico","xDC Gurugram","India","xDC Leon","Spain","xDC San Jose","Costa Rica","xDC Warsaw","Poland",N60),
WHT!$B$7:$B$18,0),MATCH(CustomerCountry,WHT!$C$5:$W$5,0)),0)</f>
        <v>0</v>
      </c>
      <c r="AK60" s="368">
        <f t="shared" si="21"/>
        <v>0</v>
      </c>
      <c r="AL60" s="7"/>
      <c r="AM60" s="95">
        <f t="shared" si="30"/>
        <v>0</v>
      </c>
      <c r="AN60" s="95">
        <f t="shared" si="22"/>
        <v>0</v>
      </c>
      <c r="AO60" s="95">
        <f t="shared" si="31"/>
        <v>0</v>
      </c>
      <c r="AP60" s="90"/>
      <c r="AQ60" s="18"/>
      <c r="AR60" s="290"/>
      <c r="AS60" s="467" t="s">
        <v>133</v>
      </c>
      <c r="AT60" s="501">
        <f t="shared" si="23"/>
        <v>0</v>
      </c>
      <c r="AU60" s="502"/>
      <c r="AV60" s="95">
        <f t="shared" si="32"/>
        <v>0</v>
      </c>
      <c r="AW60" s="469">
        <f t="shared" si="24"/>
        <v>0</v>
      </c>
      <c r="AX60" s="290"/>
      <c r="AY60" s="18"/>
      <c r="AZ60" s="3"/>
      <c r="BA60" s="315"/>
      <c r="BB60" s="3"/>
      <c r="BC60" s="3"/>
      <c r="BD60" s="3"/>
      <c r="BE60" s="3"/>
      <c r="BF60" s="18"/>
      <c r="BG60" s="3"/>
      <c r="BH60" s="315"/>
      <c r="BI60" s="3"/>
      <c r="BJ60" s="3"/>
      <c r="BK60" s="3"/>
      <c r="BL60" s="3"/>
      <c r="BM60" s="18"/>
      <c r="BN60" s="3"/>
      <c r="BO60" s="315"/>
      <c r="BP60" s="3"/>
      <c r="BQ60" s="3"/>
      <c r="BR60" s="3"/>
      <c r="BS60" s="3"/>
      <c r="BT60" s="18"/>
      <c r="BU60" s="3"/>
      <c r="BV60" s="315"/>
      <c r="BW60" s="3"/>
      <c r="BX60" s="3"/>
      <c r="BY60" s="3"/>
      <c r="BZ60" s="3"/>
    </row>
    <row r="61" spans="1:78" ht="15.6" outlineLevel="1">
      <c r="A61" s="7"/>
      <c r="B61" s="370"/>
      <c r="C61" s="355"/>
      <c r="D61" s="356"/>
      <c r="E61" s="342"/>
      <c r="F61" s="290"/>
      <c r="G61" s="357">
        <v>0</v>
      </c>
      <c r="H61" s="358">
        <v>0</v>
      </c>
      <c r="I61" s="358">
        <v>0</v>
      </c>
      <c r="J61" s="359">
        <f t="shared" si="25"/>
        <v>0</v>
      </c>
      <c r="K61" s="290"/>
      <c r="L61" s="349"/>
      <c r="M61" s="7"/>
      <c r="N61" s="12"/>
      <c r="O61" s="12"/>
      <c r="P61" s="12"/>
      <c r="Q61" s="361"/>
      <c r="R61" s="362"/>
      <c r="S61" s="363">
        <f t="shared" si="37"/>
        <v>0</v>
      </c>
      <c r="T61" s="364">
        <f t="shared" ref="T61" si="51">IF(ISBLANK($P61),0,IF(Approach="Team-Based",$Q61*$R61*$S61*HoursPerDayTeamBased,$J61))</f>
        <v>0</v>
      </c>
      <c r="U61" s="365">
        <v>0</v>
      </c>
      <c r="V61" s="91">
        <f>ROUNDUP(IFERROR(INDEX(CostRateTbl[Cost Rate],MATCH(_xlfn.CONCAT(N61,O61,P61,"NA"),CostRateTbl[KeyCostRate],0)),0)*BillingCurrencyTRM*(1+U61),2)</f>
        <v>0</v>
      </c>
      <c r="W61" s="92">
        <f t="shared" si="18"/>
        <v>0</v>
      </c>
      <c r="X61" s="366" t="e" cm="1">
        <f t="array" ref="X61">_xlfn.LET(
    _xlpm.valor, INDEX(CostRate!H:H, MATCH(1, (CostRate!A:A=N61)*1, 0)),
    _xlpm.posicion, MATCH(_xlpm.valor, FilterSL!$F$1:$Z$1, 0),
    _xlpm.direccionCompleta, ADDRESS(1, _xlpm.posicion + 5, 4),
    _xlpm.letraColumna, SUBSTITUTE(_xlpm.direccionCompleta, "1", ""),
    _xlpm.letraColumna
)</f>
        <v>#N/A</v>
      </c>
      <c r="Y61" s="366" t="e" cm="1">
        <f t="array" ref="Y61">_xlfn.LET(
    _xlpm.valor, INDEX(CostRate!I:I, MATCH(1, (CostRate!A:A=N61)*(CostRate!B:B=O61), 0)),
    _xlpm.posicion, MATCH(_xlpm.valor, FilterJP!$E$1:$FZ$1, 0),
    _xlpm.direccionCompleta, ADDRESS(1, _xlpm.posicion + 4, 4),
    _xlpm.letraColumna, SUBSTITUTE(_xlpm.direccionCompleta, "1", ""),
    _xlpm.letraColumna
)</f>
        <v>#N/A</v>
      </c>
      <c r="Z61" s="7"/>
      <c r="AA61" s="367"/>
      <c r="AB61" s="7"/>
      <c r="AC61" s="93">
        <f t="shared" si="19"/>
        <v>0</v>
      </c>
      <c r="AD61" s="94">
        <f t="shared" si="27"/>
        <v>0</v>
      </c>
      <c r="AE61" s="109">
        <f t="shared" si="28"/>
        <v>0</v>
      </c>
      <c r="AF61" s="7"/>
      <c r="AG61" s="369">
        <f t="shared" si="20"/>
        <v>0</v>
      </c>
      <c r="AH61" s="368">
        <f t="shared" si="29"/>
        <v>0</v>
      </c>
      <c r="AI61" s="7"/>
      <c r="AJ61" s="369" cm="1">
        <f t="array" ref="AJ61">IFERROR(INDEX(WHT!$C$7:$W$18,MATCH(
_xlfn.SWITCH(N61,"xDC Medellin","Colombia","xDC Belo Horizonte","Brazil","xDC Guadalajara","Mexico","xDC Gurugram","India","xDC Leon","Spain","xDC San Jose","Costa Rica","xDC Warsaw","Poland",N61),
WHT!$B$7:$B$18,0),MATCH(CustomerCountry,WHT!$C$5:$W$5,0)),0)</f>
        <v>0</v>
      </c>
      <c r="AK61" s="368">
        <f t="shared" si="21"/>
        <v>0</v>
      </c>
      <c r="AL61" s="7"/>
      <c r="AM61" s="95">
        <f t="shared" si="30"/>
        <v>0</v>
      </c>
      <c r="AN61" s="95">
        <f t="shared" si="22"/>
        <v>0</v>
      </c>
      <c r="AO61" s="95">
        <f t="shared" si="31"/>
        <v>0</v>
      </c>
      <c r="AP61" s="90"/>
      <c r="AQ61" s="18"/>
      <c r="AR61" s="290"/>
      <c r="AS61" s="467" t="s">
        <v>133</v>
      </c>
      <c r="AT61" s="501">
        <f t="shared" si="23"/>
        <v>0</v>
      </c>
      <c r="AU61" s="502"/>
      <c r="AV61" s="95">
        <f t="shared" si="32"/>
        <v>0</v>
      </c>
      <c r="AW61" s="469">
        <f t="shared" si="24"/>
        <v>0</v>
      </c>
      <c r="AX61" s="290"/>
      <c r="AY61" s="18"/>
      <c r="AZ61" s="3"/>
      <c r="BA61" s="315"/>
      <c r="BB61" s="3"/>
      <c r="BC61" s="3"/>
      <c r="BD61" s="3"/>
      <c r="BE61" s="3"/>
      <c r="BF61" s="18"/>
      <c r="BG61" s="3"/>
      <c r="BH61" s="315"/>
      <c r="BI61" s="3"/>
      <c r="BJ61" s="3"/>
      <c r="BK61" s="3"/>
      <c r="BL61" s="3"/>
      <c r="BM61" s="18"/>
      <c r="BN61" s="3"/>
      <c r="BO61" s="315"/>
      <c r="BP61" s="3"/>
      <c r="BQ61" s="3"/>
      <c r="BR61" s="3"/>
      <c r="BS61" s="3"/>
      <c r="BT61" s="18"/>
      <c r="BU61" s="3"/>
      <c r="BV61" s="315"/>
      <c r="BW61" s="3"/>
      <c r="BX61" s="3"/>
      <c r="BY61" s="3"/>
      <c r="BZ61" s="3"/>
    </row>
    <row r="62" spans="1:78" ht="15.6" outlineLevel="1">
      <c r="A62" s="7"/>
      <c r="B62" s="370"/>
      <c r="C62" s="355"/>
      <c r="D62" s="356"/>
      <c r="E62" s="342"/>
      <c r="F62" s="290"/>
      <c r="G62" s="357">
        <v>0</v>
      </c>
      <c r="H62" s="358">
        <v>0</v>
      </c>
      <c r="I62" s="358">
        <v>0</v>
      </c>
      <c r="J62" s="359">
        <f t="shared" si="25"/>
        <v>0</v>
      </c>
      <c r="K62" s="290"/>
      <c r="L62" s="349"/>
      <c r="M62" s="7"/>
      <c r="N62" s="12"/>
      <c r="O62" s="12"/>
      <c r="P62" s="12"/>
      <c r="Q62" s="361"/>
      <c r="R62" s="362"/>
      <c r="S62" s="363">
        <f t="shared" si="37"/>
        <v>0</v>
      </c>
      <c r="T62" s="364">
        <f t="shared" ref="T62" si="52">IF(ISBLANK($P62),0,IF(Approach="Team-Based",$Q62*$R62*$S62*HoursPerDayTeamBased,$J62))</f>
        <v>0</v>
      </c>
      <c r="U62" s="365">
        <v>0</v>
      </c>
      <c r="V62" s="91">
        <f>ROUNDUP(IFERROR(INDEX(CostRateTbl[Cost Rate],MATCH(_xlfn.CONCAT(N62,O62,P62,"NA"),CostRateTbl[KeyCostRate],0)),0)*BillingCurrencyTRM*(1+U62),2)</f>
        <v>0</v>
      </c>
      <c r="W62" s="92">
        <f t="shared" si="18"/>
        <v>0</v>
      </c>
      <c r="X62" s="366" t="e" cm="1">
        <f t="array" ref="X62">_xlfn.LET(
    _xlpm.valor, INDEX(CostRate!H:H, MATCH(1, (CostRate!A:A=N62)*1, 0)),
    _xlpm.posicion, MATCH(_xlpm.valor, FilterSL!$F$1:$Z$1, 0),
    _xlpm.direccionCompleta, ADDRESS(1, _xlpm.posicion + 5, 4),
    _xlpm.letraColumna, SUBSTITUTE(_xlpm.direccionCompleta, "1", ""),
    _xlpm.letraColumna
)</f>
        <v>#N/A</v>
      </c>
      <c r="Y62" s="366" t="e" cm="1">
        <f t="array" ref="Y62">_xlfn.LET(
    _xlpm.valor, INDEX(CostRate!I:I, MATCH(1, (CostRate!A:A=N62)*(CostRate!B:B=O62), 0)),
    _xlpm.posicion, MATCH(_xlpm.valor, FilterJP!$E$1:$FZ$1, 0),
    _xlpm.direccionCompleta, ADDRESS(1, _xlpm.posicion + 4, 4),
    _xlpm.letraColumna, SUBSTITUTE(_xlpm.direccionCompleta, "1", ""),
    _xlpm.letraColumna
)</f>
        <v>#N/A</v>
      </c>
      <c r="Z62" s="7"/>
      <c r="AA62" s="367"/>
      <c r="AB62" s="7"/>
      <c r="AC62" s="93">
        <f t="shared" si="19"/>
        <v>0</v>
      </c>
      <c r="AD62" s="94">
        <f t="shared" si="27"/>
        <v>0</v>
      </c>
      <c r="AE62" s="109">
        <f t="shared" si="28"/>
        <v>0</v>
      </c>
      <c r="AF62" s="7"/>
      <c r="AG62" s="369">
        <f t="shared" si="20"/>
        <v>0</v>
      </c>
      <c r="AH62" s="368">
        <f t="shared" si="29"/>
        <v>0</v>
      </c>
      <c r="AI62" s="7"/>
      <c r="AJ62" s="369" cm="1">
        <f t="array" ref="AJ62">IFERROR(INDEX(WHT!$C$7:$W$18,MATCH(
_xlfn.SWITCH(N62,"xDC Medellin","Colombia","xDC Belo Horizonte","Brazil","xDC Guadalajara","Mexico","xDC Gurugram","India","xDC Leon","Spain","xDC San Jose","Costa Rica","xDC Warsaw","Poland",N62),
WHT!$B$7:$B$18,0),MATCH(CustomerCountry,WHT!$C$5:$W$5,0)),0)</f>
        <v>0</v>
      </c>
      <c r="AK62" s="368">
        <f t="shared" si="21"/>
        <v>0</v>
      </c>
      <c r="AL62" s="7"/>
      <c r="AM62" s="95">
        <f t="shared" si="30"/>
        <v>0</v>
      </c>
      <c r="AN62" s="95">
        <f t="shared" si="22"/>
        <v>0</v>
      </c>
      <c r="AO62" s="95">
        <f t="shared" si="31"/>
        <v>0</v>
      </c>
      <c r="AP62" s="90"/>
      <c r="AQ62" s="18"/>
      <c r="AR62" s="290"/>
      <c r="AS62" s="467" t="s">
        <v>133</v>
      </c>
      <c r="AT62" s="501">
        <f t="shared" si="23"/>
        <v>0</v>
      </c>
      <c r="AU62" s="502"/>
      <c r="AV62" s="95">
        <f t="shared" si="32"/>
        <v>0</v>
      </c>
      <c r="AW62" s="469">
        <f t="shared" si="24"/>
        <v>0</v>
      </c>
      <c r="AX62" s="290"/>
      <c r="AY62" s="18"/>
      <c r="AZ62" s="3"/>
      <c r="BA62" s="315"/>
      <c r="BB62" s="3"/>
      <c r="BC62" s="3"/>
      <c r="BD62" s="3"/>
      <c r="BE62" s="3"/>
      <c r="BF62" s="18"/>
      <c r="BG62" s="3"/>
      <c r="BH62" s="315"/>
      <c r="BI62" s="3"/>
      <c r="BJ62" s="3"/>
      <c r="BK62" s="3"/>
      <c r="BL62" s="3"/>
      <c r="BM62" s="18"/>
      <c r="BN62" s="3"/>
      <c r="BO62" s="315"/>
      <c r="BP62" s="3"/>
      <c r="BQ62" s="3"/>
      <c r="BR62" s="3"/>
      <c r="BS62" s="3"/>
      <c r="BT62" s="18"/>
      <c r="BU62" s="3"/>
      <c r="BV62" s="315"/>
      <c r="BW62" s="3"/>
      <c r="BX62" s="3"/>
      <c r="BY62" s="3"/>
      <c r="BZ62" s="3"/>
    </row>
    <row r="63" spans="1:78" ht="15.6" outlineLevel="1">
      <c r="A63" s="7"/>
      <c r="B63" s="370"/>
      <c r="C63" s="355"/>
      <c r="D63" s="356"/>
      <c r="E63" s="342"/>
      <c r="F63" s="290"/>
      <c r="G63" s="357">
        <v>0</v>
      </c>
      <c r="H63" s="358">
        <v>0</v>
      </c>
      <c r="I63" s="358">
        <v>0</v>
      </c>
      <c r="J63" s="359">
        <f t="shared" si="25"/>
        <v>0</v>
      </c>
      <c r="K63" s="290"/>
      <c r="L63" s="349"/>
      <c r="M63" s="7"/>
      <c r="N63" s="12"/>
      <c r="O63" s="12"/>
      <c r="P63" s="12"/>
      <c r="Q63" s="361"/>
      <c r="R63" s="362"/>
      <c r="S63" s="363">
        <f t="shared" si="37"/>
        <v>0</v>
      </c>
      <c r="T63" s="364">
        <f t="shared" ref="T63" si="53">IF(ISBLANK($P63),0,IF(Approach="Team-Based",$Q63*$R63*$S63*HoursPerDayTeamBased,$J63))</f>
        <v>0</v>
      </c>
      <c r="U63" s="365">
        <v>0</v>
      </c>
      <c r="V63" s="91">
        <f>ROUNDUP(IFERROR(INDEX(CostRateTbl[Cost Rate],MATCH(_xlfn.CONCAT(N63,O63,P63,"NA"),CostRateTbl[KeyCostRate],0)),0)*BillingCurrencyTRM*(1+U63),2)</f>
        <v>0</v>
      </c>
      <c r="W63" s="92">
        <f t="shared" si="18"/>
        <v>0</v>
      </c>
      <c r="X63" s="366" t="e" cm="1">
        <f t="array" ref="X63">_xlfn.LET(
    _xlpm.valor, INDEX(CostRate!H:H, MATCH(1, (CostRate!A:A=N63)*1, 0)),
    _xlpm.posicion, MATCH(_xlpm.valor, FilterSL!$F$1:$Z$1, 0),
    _xlpm.direccionCompleta, ADDRESS(1, _xlpm.posicion + 5, 4),
    _xlpm.letraColumna, SUBSTITUTE(_xlpm.direccionCompleta, "1", ""),
    _xlpm.letraColumna
)</f>
        <v>#N/A</v>
      </c>
      <c r="Y63" s="366" t="e" cm="1">
        <f t="array" ref="Y63">_xlfn.LET(
    _xlpm.valor, INDEX(CostRate!I:I, MATCH(1, (CostRate!A:A=N63)*(CostRate!B:B=O63), 0)),
    _xlpm.posicion, MATCH(_xlpm.valor, FilterJP!$E$1:$FZ$1, 0),
    _xlpm.direccionCompleta, ADDRESS(1, _xlpm.posicion + 4, 4),
    _xlpm.letraColumna, SUBSTITUTE(_xlpm.direccionCompleta, "1", ""),
    _xlpm.letraColumna
)</f>
        <v>#N/A</v>
      </c>
      <c r="Z63" s="7"/>
      <c r="AA63" s="367"/>
      <c r="AB63" s="7"/>
      <c r="AC63" s="93">
        <f t="shared" si="19"/>
        <v>0</v>
      </c>
      <c r="AD63" s="94">
        <f t="shared" si="27"/>
        <v>0</v>
      </c>
      <c r="AE63" s="109">
        <f t="shared" si="28"/>
        <v>0</v>
      </c>
      <c r="AF63" s="7"/>
      <c r="AG63" s="369">
        <f t="shared" si="20"/>
        <v>0</v>
      </c>
      <c r="AH63" s="368">
        <f t="shared" si="29"/>
        <v>0</v>
      </c>
      <c r="AI63" s="7"/>
      <c r="AJ63" s="369" cm="1">
        <f t="array" ref="AJ63">IFERROR(INDEX(WHT!$C$7:$W$18,MATCH(
_xlfn.SWITCH(N63,"xDC Medellin","Colombia","xDC Belo Horizonte","Brazil","xDC Guadalajara","Mexico","xDC Gurugram","India","xDC Leon","Spain","xDC San Jose","Costa Rica","xDC Warsaw","Poland",N63),
WHT!$B$7:$B$18,0),MATCH(CustomerCountry,WHT!$C$5:$W$5,0)),0)</f>
        <v>0</v>
      </c>
      <c r="AK63" s="368">
        <f t="shared" si="21"/>
        <v>0</v>
      </c>
      <c r="AL63" s="7"/>
      <c r="AM63" s="95">
        <f t="shared" si="30"/>
        <v>0</v>
      </c>
      <c r="AN63" s="95">
        <f t="shared" si="22"/>
        <v>0</v>
      </c>
      <c r="AO63" s="95">
        <f t="shared" si="31"/>
        <v>0</v>
      </c>
      <c r="AP63" s="90"/>
      <c r="AQ63" s="18"/>
      <c r="AR63" s="290"/>
      <c r="AS63" s="467" t="s">
        <v>133</v>
      </c>
      <c r="AT63" s="501">
        <f t="shared" si="23"/>
        <v>0</v>
      </c>
      <c r="AU63" s="502"/>
      <c r="AV63" s="95">
        <f t="shared" si="32"/>
        <v>0</v>
      </c>
      <c r="AW63" s="469">
        <f t="shared" si="24"/>
        <v>0</v>
      </c>
      <c r="AX63" s="290"/>
      <c r="AY63" s="18"/>
      <c r="AZ63" s="3"/>
      <c r="BA63" s="315"/>
      <c r="BB63" s="3"/>
      <c r="BC63" s="3"/>
      <c r="BD63" s="3"/>
      <c r="BE63" s="3"/>
      <c r="BF63" s="18"/>
      <c r="BG63" s="3"/>
      <c r="BH63" s="315"/>
      <c r="BI63" s="3"/>
      <c r="BJ63" s="3"/>
      <c r="BK63" s="3"/>
      <c r="BL63" s="3"/>
      <c r="BM63" s="18"/>
      <c r="BN63" s="3"/>
      <c r="BO63" s="315"/>
      <c r="BP63" s="3"/>
      <c r="BQ63" s="3"/>
      <c r="BR63" s="3"/>
      <c r="BS63" s="3"/>
      <c r="BT63" s="18"/>
      <c r="BU63" s="3"/>
      <c r="BV63" s="315"/>
      <c r="BW63" s="3"/>
      <c r="BX63" s="3"/>
      <c r="BY63" s="3"/>
      <c r="BZ63" s="3"/>
    </row>
    <row r="64" spans="1:78" ht="15.6" outlineLevel="1">
      <c r="A64" s="7"/>
      <c r="B64" s="370"/>
      <c r="C64" s="355"/>
      <c r="D64" s="356"/>
      <c r="E64" s="342"/>
      <c r="F64" s="290"/>
      <c r="G64" s="357">
        <v>0</v>
      </c>
      <c r="H64" s="358">
        <v>0</v>
      </c>
      <c r="I64" s="358">
        <v>0</v>
      </c>
      <c r="J64" s="359">
        <f t="shared" si="25"/>
        <v>0</v>
      </c>
      <c r="K64" s="290"/>
      <c r="L64" s="349"/>
      <c r="M64" s="7"/>
      <c r="N64" s="12"/>
      <c r="O64" s="12"/>
      <c r="P64" s="12"/>
      <c r="Q64" s="361"/>
      <c r="R64" s="362"/>
      <c r="S64" s="363">
        <f t="shared" si="37"/>
        <v>0</v>
      </c>
      <c r="T64" s="364">
        <f t="shared" ref="T64" si="54">IF(ISBLANK($P64),0,IF(Approach="Team-Based",$Q64*$R64*$S64*HoursPerDayTeamBased,$J64))</f>
        <v>0</v>
      </c>
      <c r="U64" s="365">
        <v>0</v>
      </c>
      <c r="V64" s="91">
        <f>ROUNDUP(IFERROR(INDEX(CostRateTbl[Cost Rate],MATCH(_xlfn.CONCAT(N64,O64,P64,"NA"),CostRateTbl[KeyCostRate],0)),0)*BillingCurrencyTRM*(1+U64),2)</f>
        <v>0</v>
      </c>
      <c r="W64" s="92">
        <f t="shared" si="18"/>
        <v>0</v>
      </c>
      <c r="X64" s="366" t="e" cm="1">
        <f t="array" ref="X64">_xlfn.LET(
    _xlpm.valor, INDEX(CostRate!H:H, MATCH(1, (CostRate!A:A=N64)*1, 0)),
    _xlpm.posicion, MATCH(_xlpm.valor, FilterSL!$F$1:$Z$1, 0),
    _xlpm.direccionCompleta, ADDRESS(1, _xlpm.posicion + 5, 4),
    _xlpm.letraColumna, SUBSTITUTE(_xlpm.direccionCompleta, "1", ""),
    _xlpm.letraColumna
)</f>
        <v>#N/A</v>
      </c>
      <c r="Y64" s="366" t="e" cm="1">
        <f t="array" ref="Y64">_xlfn.LET(
    _xlpm.valor, INDEX(CostRate!I:I, MATCH(1, (CostRate!A:A=N64)*(CostRate!B:B=O64), 0)),
    _xlpm.posicion, MATCH(_xlpm.valor, FilterJP!$E$1:$FZ$1, 0),
    _xlpm.direccionCompleta, ADDRESS(1, _xlpm.posicion + 4, 4),
    _xlpm.letraColumna, SUBSTITUTE(_xlpm.direccionCompleta, "1", ""),
    _xlpm.letraColumna
)</f>
        <v>#N/A</v>
      </c>
      <c r="Z64" s="7"/>
      <c r="AA64" s="367"/>
      <c r="AB64" s="7"/>
      <c r="AC64" s="93">
        <f t="shared" si="19"/>
        <v>0</v>
      </c>
      <c r="AD64" s="94">
        <f t="shared" si="27"/>
        <v>0</v>
      </c>
      <c r="AE64" s="109">
        <f t="shared" si="28"/>
        <v>0</v>
      </c>
      <c r="AF64" s="7"/>
      <c r="AG64" s="369">
        <f t="shared" si="20"/>
        <v>0</v>
      </c>
      <c r="AH64" s="368">
        <f t="shared" si="29"/>
        <v>0</v>
      </c>
      <c r="AI64" s="7"/>
      <c r="AJ64" s="369" cm="1">
        <f t="array" ref="AJ64">IFERROR(INDEX(WHT!$C$7:$W$18,MATCH(
_xlfn.SWITCH(N64,"xDC Medellin","Colombia","xDC Belo Horizonte","Brazil","xDC Guadalajara","Mexico","xDC Gurugram","India","xDC Leon","Spain","xDC San Jose","Costa Rica","xDC Warsaw","Poland",N64),
WHT!$B$7:$B$18,0),MATCH(CustomerCountry,WHT!$C$5:$W$5,0)),0)</f>
        <v>0</v>
      </c>
      <c r="AK64" s="368">
        <f t="shared" si="21"/>
        <v>0</v>
      </c>
      <c r="AL64" s="7"/>
      <c r="AM64" s="95">
        <f t="shared" si="30"/>
        <v>0</v>
      </c>
      <c r="AN64" s="95">
        <f t="shared" si="22"/>
        <v>0</v>
      </c>
      <c r="AO64" s="95">
        <f t="shared" si="31"/>
        <v>0</v>
      </c>
      <c r="AP64" s="90"/>
      <c r="AQ64" s="18"/>
      <c r="AR64" s="290"/>
      <c r="AS64" s="467" t="s">
        <v>133</v>
      </c>
      <c r="AT64" s="501">
        <f t="shared" si="23"/>
        <v>0</v>
      </c>
      <c r="AU64" s="502"/>
      <c r="AV64" s="95">
        <f t="shared" si="32"/>
        <v>0</v>
      </c>
      <c r="AW64" s="469">
        <f t="shared" si="24"/>
        <v>0</v>
      </c>
      <c r="AX64" s="290"/>
      <c r="AY64" s="18"/>
      <c r="AZ64" s="3"/>
      <c r="BA64" s="315"/>
      <c r="BB64" s="3"/>
      <c r="BC64" s="3"/>
      <c r="BD64" s="3"/>
      <c r="BE64" s="3"/>
      <c r="BF64" s="18"/>
      <c r="BG64" s="3"/>
      <c r="BH64" s="315"/>
      <c r="BI64" s="3"/>
      <c r="BJ64" s="3"/>
      <c r="BK64" s="3"/>
      <c r="BL64" s="3"/>
      <c r="BM64" s="18"/>
      <c r="BN64" s="3"/>
      <c r="BO64" s="315"/>
      <c r="BP64" s="3"/>
      <c r="BQ64" s="3"/>
      <c r="BR64" s="3"/>
      <c r="BS64" s="3"/>
      <c r="BT64" s="18"/>
      <c r="BU64" s="3"/>
      <c r="BV64" s="315"/>
      <c r="BW64" s="3"/>
      <c r="BX64" s="3"/>
      <c r="BY64" s="3"/>
      <c r="BZ64" s="3"/>
    </row>
    <row r="65" spans="1:82" ht="15.6" outlineLevel="1">
      <c r="A65" s="7"/>
      <c r="B65" s="370"/>
      <c r="C65" s="355"/>
      <c r="D65" s="356"/>
      <c r="E65" s="342"/>
      <c r="F65" s="290"/>
      <c r="G65" s="357">
        <v>0</v>
      </c>
      <c r="H65" s="358">
        <v>0</v>
      </c>
      <c r="I65" s="358">
        <v>0</v>
      </c>
      <c r="J65" s="359">
        <f t="shared" si="25"/>
        <v>0</v>
      </c>
      <c r="K65" s="290"/>
      <c r="L65" s="349"/>
      <c r="M65" s="7"/>
      <c r="N65" s="12"/>
      <c r="O65" s="12"/>
      <c r="P65" s="12"/>
      <c r="Q65" s="361"/>
      <c r="R65" s="362"/>
      <c r="S65" s="363">
        <f t="shared" si="37"/>
        <v>0</v>
      </c>
      <c r="T65" s="364">
        <f t="shared" ref="T65" si="55">IF(ISBLANK($P65),0,IF(Approach="Team-Based",$Q65*$R65*$S65*HoursPerDayTeamBased,$J65))</f>
        <v>0</v>
      </c>
      <c r="U65" s="365">
        <v>0</v>
      </c>
      <c r="V65" s="91">
        <f>ROUNDUP(IFERROR(INDEX(CostRateTbl[Cost Rate],MATCH(_xlfn.CONCAT(N65,O65,P65,"NA"),CostRateTbl[KeyCostRate],0)),0)*BillingCurrencyTRM*(1+U65),2)</f>
        <v>0</v>
      </c>
      <c r="W65" s="92">
        <f t="shared" si="18"/>
        <v>0</v>
      </c>
      <c r="X65" s="366" t="e" cm="1">
        <f t="array" ref="X65">_xlfn.LET(
    _xlpm.valor, INDEX(CostRate!H:H, MATCH(1, (CostRate!A:A=N65)*1, 0)),
    _xlpm.posicion, MATCH(_xlpm.valor, FilterSL!$F$1:$Z$1, 0),
    _xlpm.direccionCompleta, ADDRESS(1, _xlpm.posicion + 5, 4),
    _xlpm.letraColumna, SUBSTITUTE(_xlpm.direccionCompleta, "1", ""),
    _xlpm.letraColumna
)</f>
        <v>#N/A</v>
      </c>
      <c r="Y65" s="366" t="e" cm="1">
        <f t="array" ref="Y65">_xlfn.LET(
    _xlpm.valor, INDEX(CostRate!I:I, MATCH(1, (CostRate!A:A=N65)*(CostRate!B:B=O65), 0)),
    _xlpm.posicion, MATCH(_xlpm.valor, FilterJP!$E$1:$FZ$1, 0),
    _xlpm.direccionCompleta, ADDRESS(1, _xlpm.posicion + 4, 4),
    _xlpm.letraColumna, SUBSTITUTE(_xlpm.direccionCompleta, "1", ""),
    _xlpm.letraColumna
)</f>
        <v>#N/A</v>
      </c>
      <c r="Z65" s="7"/>
      <c r="AA65" s="367"/>
      <c r="AB65" s="7"/>
      <c r="AC65" s="93">
        <f t="shared" si="19"/>
        <v>0</v>
      </c>
      <c r="AD65" s="94">
        <f t="shared" si="27"/>
        <v>0</v>
      </c>
      <c r="AE65" s="109">
        <f t="shared" si="28"/>
        <v>0</v>
      </c>
      <c r="AF65" s="7"/>
      <c r="AG65" s="369">
        <f t="shared" si="20"/>
        <v>0</v>
      </c>
      <c r="AH65" s="368">
        <f t="shared" si="29"/>
        <v>0</v>
      </c>
      <c r="AI65" s="7"/>
      <c r="AJ65" s="369" cm="1">
        <f t="array" ref="AJ65">IFERROR(INDEX(WHT!$C$7:$W$18,MATCH(
_xlfn.SWITCH(N65,"xDC Medellin","Colombia","xDC Belo Horizonte","Brazil","xDC Guadalajara","Mexico","xDC Gurugram","India","xDC Leon","Spain","xDC San Jose","Costa Rica","xDC Warsaw","Poland",N65),
WHT!$B$7:$B$18,0),MATCH(CustomerCountry,WHT!$C$5:$W$5,0)),0)</f>
        <v>0</v>
      </c>
      <c r="AK65" s="368">
        <f t="shared" si="21"/>
        <v>0</v>
      </c>
      <c r="AL65" s="7"/>
      <c r="AM65" s="95">
        <f t="shared" si="30"/>
        <v>0</v>
      </c>
      <c r="AN65" s="95">
        <f t="shared" si="22"/>
        <v>0</v>
      </c>
      <c r="AO65" s="95">
        <f t="shared" si="31"/>
        <v>0</v>
      </c>
      <c r="AP65" s="90"/>
      <c r="AQ65" s="18"/>
      <c r="AR65" s="290"/>
      <c r="AS65" s="467" t="s">
        <v>133</v>
      </c>
      <c r="AT65" s="501">
        <f t="shared" si="23"/>
        <v>0</v>
      </c>
      <c r="AU65" s="502"/>
      <c r="AV65" s="95">
        <f t="shared" si="32"/>
        <v>0</v>
      </c>
      <c r="AW65" s="469">
        <f t="shared" si="24"/>
        <v>0</v>
      </c>
      <c r="AX65" s="290"/>
      <c r="AY65" s="18"/>
      <c r="AZ65" s="3"/>
      <c r="BA65" s="315"/>
      <c r="BB65" s="3"/>
      <c r="BC65" s="3"/>
      <c r="BD65" s="3"/>
      <c r="BE65" s="3"/>
      <c r="BF65" s="18"/>
      <c r="BG65" s="3"/>
      <c r="BH65" s="315"/>
      <c r="BI65" s="3"/>
      <c r="BJ65" s="3"/>
      <c r="BK65" s="3"/>
      <c r="BL65" s="3"/>
      <c r="BM65" s="18"/>
      <c r="BN65" s="3"/>
      <c r="BO65" s="315"/>
      <c r="BP65" s="3"/>
      <c r="BQ65" s="3"/>
      <c r="BR65" s="3"/>
      <c r="BS65" s="3"/>
      <c r="BT65" s="18"/>
      <c r="BU65" s="3"/>
      <c r="BV65" s="315"/>
      <c r="BW65" s="3"/>
      <c r="BX65" s="3"/>
      <c r="BY65" s="3"/>
      <c r="BZ65" s="3"/>
    </row>
    <row r="66" spans="1:82" ht="15.6" outlineLevel="1">
      <c r="A66" s="7"/>
      <c r="B66" s="370"/>
      <c r="C66" s="355"/>
      <c r="D66" s="356"/>
      <c r="E66" s="342"/>
      <c r="F66" s="290"/>
      <c r="G66" s="357">
        <v>0</v>
      </c>
      <c r="H66" s="358">
        <v>0</v>
      </c>
      <c r="I66" s="358">
        <v>0</v>
      </c>
      <c r="J66" s="359">
        <f t="shared" si="25"/>
        <v>0</v>
      </c>
      <c r="K66" s="290"/>
      <c r="L66" s="349"/>
      <c r="M66" s="7"/>
      <c r="N66" s="12"/>
      <c r="O66" s="12"/>
      <c r="P66" s="12"/>
      <c r="Q66" s="361"/>
      <c r="R66" s="362"/>
      <c r="S66" s="363">
        <f t="shared" si="37"/>
        <v>0</v>
      </c>
      <c r="T66" s="364">
        <f t="shared" ref="T66" si="56">IF(ISBLANK($P66),0,IF(Approach="Team-Based",$Q66*$R66*$S66*HoursPerDayTeamBased,$J66))</f>
        <v>0</v>
      </c>
      <c r="U66" s="365">
        <v>0</v>
      </c>
      <c r="V66" s="91">
        <f>ROUNDUP(IFERROR(INDEX(CostRateTbl[Cost Rate],MATCH(_xlfn.CONCAT(N66,O66,P66,"NA"),CostRateTbl[KeyCostRate],0)),0)*BillingCurrencyTRM*(1+U66),2)</f>
        <v>0</v>
      </c>
      <c r="W66" s="92">
        <f t="shared" si="18"/>
        <v>0</v>
      </c>
      <c r="X66" s="366" t="e" cm="1">
        <f t="array" ref="X66">_xlfn.LET(
    _xlpm.valor, INDEX(CostRate!H:H, MATCH(1, (CostRate!A:A=N66)*1, 0)),
    _xlpm.posicion, MATCH(_xlpm.valor, FilterSL!$F$1:$Z$1, 0),
    _xlpm.direccionCompleta, ADDRESS(1, _xlpm.posicion + 5, 4),
    _xlpm.letraColumna, SUBSTITUTE(_xlpm.direccionCompleta, "1", ""),
    _xlpm.letraColumna
)</f>
        <v>#N/A</v>
      </c>
      <c r="Y66" s="366" t="e" cm="1">
        <f t="array" ref="Y66">_xlfn.LET(
    _xlpm.valor, INDEX(CostRate!I:I, MATCH(1, (CostRate!A:A=N66)*(CostRate!B:B=O66), 0)),
    _xlpm.posicion, MATCH(_xlpm.valor, FilterJP!$E$1:$FZ$1, 0),
    _xlpm.direccionCompleta, ADDRESS(1, _xlpm.posicion + 4, 4),
    _xlpm.letraColumna, SUBSTITUTE(_xlpm.direccionCompleta, "1", ""),
    _xlpm.letraColumna
)</f>
        <v>#N/A</v>
      </c>
      <c r="Z66" s="7"/>
      <c r="AA66" s="367"/>
      <c r="AB66" s="7"/>
      <c r="AC66" s="93">
        <f t="shared" si="19"/>
        <v>0</v>
      </c>
      <c r="AD66" s="94">
        <f t="shared" si="27"/>
        <v>0</v>
      </c>
      <c r="AE66" s="109">
        <f t="shared" si="28"/>
        <v>0</v>
      </c>
      <c r="AF66" s="7"/>
      <c r="AG66" s="369">
        <f t="shared" si="20"/>
        <v>0</v>
      </c>
      <c r="AH66" s="368">
        <f t="shared" si="29"/>
        <v>0</v>
      </c>
      <c r="AI66" s="7"/>
      <c r="AJ66" s="369" cm="1">
        <f t="array" ref="AJ66">IFERROR(INDEX(WHT!$C$7:$W$18,MATCH(
_xlfn.SWITCH(N66,"xDC Medellin","Colombia","xDC Belo Horizonte","Brazil","xDC Guadalajara","Mexico","xDC Gurugram","India","xDC Leon","Spain","xDC San Jose","Costa Rica","xDC Warsaw","Poland",N66),
WHT!$B$7:$B$18,0),MATCH(CustomerCountry,WHT!$C$5:$W$5,0)),0)</f>
        <v>0</v>
      </c>
      <c r="AK66" s="368">
        <f t="shared" si="21"/>
        <v>0</v>
      </c>
      <c r="AL66" s="7"/>
      <c r="AM66" s="95">
        <f t="shared" si="30"/>
        <v>0</v>
      </c>
      <c r="AN66" s="95">
        <f t="shared" si="22"/>
        <v>0</v>
      </c>
      <c r="AO66" s="95">
        <f t="shared" si="31"/>
        <v>0</v>
      </c>
      <c r="AP66" s="90"/>
      <c r="AQ66" s="18"/>
      <c r="AR66" s="290"/>
      <c r="AS66" s="467" t="s">
        <v>133</v>
      </c>
      <c r="AT66" s="501">
        <f t="shared" si="23"/>
        <v>0</v>
      </c>
      <c r="AU66" s="502"/>
      <c r="AV66" s="95">
        <f t="shared" si="32"/>
        <v>0</v>
      </c>
      <c r="AW66" s="469">
        <f t="shared" si="24"/>
        <v>0</v>
      </c>
      <c r="AX66" s="290"/>
      <c r="AY66" s="18"/>
      <c r="AZ66" s="3"/>
      <c r="BA66" s="315"/>
      <c r="BB66" s="3"/>
      <c r="BC66" s="3"/>
      <c r="BD66" s="3"/>
      <c r="BE66" s="3"/>
      <c r="BF66" s="18"/>
      <c r="BG66" s="3"/>
      <c r="BH66" s="315"/>
      <c r="BI66" s="3"/>
      <c r="BJ66" s="3"/>
      <c r="BK66" s="3"/>
      <c r="BL66" s="3"/>
      <c r="BM66" s="18"/>
      <c r="BN66" s="3"/>
      <c r="BO66" s="315"/>
      <c r="BP66" s="3"/>
      <c r="BQ66" s="3"/>
      <c r="BR66" s="3"/>
      <c r="BS66" s="3"/>
      <c r="BT66" s="18"/>
      <c r="BU66" s="3"/>
      <c r="BV66" s="315"/>
      <c r="BW66" s="3"/>
      <c r="BX66" s="3"/>
      <c r="BY66" s="3"/>
      <c r="BZ66" s="3"/>
    </row>
    <row r="67" spans="1:82" ht="15.6" outlineLevel="1">
      <c r="A67" s="7"/>
      <c r="B67" s="370"/>
      <c r="C67" s="355"/>
      <c r="D67" s="356"/>
      <c r="E67" s="342"/>
      <c r="F67" s="290"/>
      <c r="G67" s="357">
        <v>0</v>
      </c>
      <c r="H67" s="358">
        <v>0</v>
      </c>
      <c r="I67" s="358">
        <v>0</v>
      </c>
      <c r="J67" s="359">
        <f t="shared" si="25"/>
        <v>0</v>
      </c>
      <c r="K67" s="290"/>
      <c r="L67" s="349"/>
      <c r="M67" s="7"/>
      <c r="N67" s="12"/>
      <c r="O67" s="12"/>
      <c r="P67" s="12"/>
      <c r="Q67" s="361"/>
      <c r="R67" s="362"/>
      <c r="S67" s="363">
        <f t="shared" si="37"/>
        <v>0</v>
      </c>
      <c r="T67" s="364">
        <f t="shared" ref="T67" si="57">IF(ISBLANK($P67),0,IF(Approach="Team-Based",$Q67*$R67*$S67*HoursPerDayTeamBased,$J67))</f>
        <v>0</v>
      </c>
      <c r="U67" s="365">
        <v>0</v>
      </c>
      <c r="V67" s="91">
        <f>ROUNDUP(IFERROR(INDEX(CostRateTbl[Cost Rate],MATCH(_xlfn.CONCAT(N67,O67,P67,"NA"),CostRateTbl[KeyCostRate],0)),0)*BillingCurrencyTRM*(1+U67),2)</f>
        <v>0</v>
      </c>
      <c r="W67" s="92">
        <f t="shared" si="18"/>
        <v>0</v>
      </c>
      <c r="X67" s="366" t="e" cm="1">
        <f t="array" ref="X67">_xlfn.LET(
    _xlpm.valor, INDEX(CostRate!H:H, MATCH(1, (CostRate!A:A=N67)*1, 0)),
    _xlpm.posicion, MATCH(_xlpm.valor, FilterSL!$F$1:$Z$1, 0),
    _xlpm.direccionCompleta, ADDRESS(1, _xlpm.posicion + 5, 4),
    _xlpm.letraColumna, SUBSTITUTE(_xlpm.direccionCompleta, "1", ""),
    _xlpm.letraColumna
)</f>
        <v>#N/A</v>
      </c>
      <c r="Y67" s="366" t="e" cm="1">
        <f t="array" ref="Y67">_xlfn.LET(
    _xlpm.valor, INDEX(CostRate!I:I, MATCH(1, (CostRate!A:A=N67)*(CostRate!B:B=O67), 0)),
    _xlpm.posicion, MATCH(_xlpm.valor, FilterJP!$E$1:$FZ$1, 0),
    _xlpm.direccionCompleta, ADDRESS(1, _xlpm.posicion + 4, 4),
    _xlpm.letraColumna, SUBSTITUTE(_xlpm.direccionCompleta, "1", ""),
    _xlpm.letraColumna
)</f>
        <v>#N/A</v>
      </c>
      <c r="Z67" s="7"/>
      <c r="AA67" s="367"/>
      <c r="AB67" s="7"/>
      <c r="AC67" s="93">
        <f t="shared" si="19"/>
        <v>0</v>
      </c>
      <c r="AD67" s="94">
        <f t="shared" si="27"/>
        <v>0</v>
      </c>
      <c r="AE67" s="109">
        <f t="shared" si="28"/>
        <v>0</v>
      </c>
      <c r="AF67" s="7"/>
      <c r="AG67" s="369">
        <f t="shared" si="20"/>
        <v>0</v>
      </c>
      <c r="AH67" s="368">
        <f t="shared" si="29"/>
        <v>0</v>
      </c>
      <c r="AI67" s="7"/>
      <c r="AJ67" s="369" cm="1">
        <f t="array" ref="AJ67">IFERROR(INDEX(WHT!$C$7:$W$18,MATCH(
_xlfn.SWITCH(N67,"xDC Medellin","Colombia","xDC Belo Horizonte","Brazil","xDC Guadalajara","Mexico","xDC Gurugram","India","xDC Leon","Spain","xDC San Jose","Costa Rica","xDC Warsaw","Poland",N67),
WHT!$B$7:$B$18,0),MATCH(CustomerCountry,WHT!$C$5:$W$5,0)),0)</f>
        <v>0</v>
      </c>
      <c r="AK67" s="368">
        <f t="shared" si="21"/>
        <v>0</v>
      </c>
      <c r="AL67" s="7"/>
      <c r="AM67" s="95">
        <f t="shared" si="30"/>
        <v>0</v>
      </c>
      <c r="AN67" s="95">
        <f t="shared" si="22"/>
        <v>0</v>
      </c>
      <c r="AO67" s="95">
        <f t="shared" si="31"/>
        <v>0</v>
      </c>
      <c r="AP67" s="90"/>
      <c r="AQ67" s="18"/>
      <c r="AR67" s="290"/>
      <c r="AS67" s="467" t="s">
        <v>133</v>
      </c>
      <c r="AT67" s="501">
        <f t="shared" si="23"/>
        <v>0</v>
      </c>
      <c r="AU67" s="502"/>
      <c r="AV67" s="95">
        <f t="shared" si="32"/>
        <v>0</v>
      </c>
      <c r="AW67" s="469">
        <f t="shared" si="24"/>
        <v>0</v>
      </c>
      <c r="AX67" s="290"/>
      <c r="AY67" s="18"/>
      <c r="AZ67" s="3"/>
      <c r="BA67" s="315"/>
      <c r="BB67" s="3"/>
      <c r="BC67" s="3"/>
      <c r="BD67" s="3"/>
      <c r="BE67" s="3"/>
      <c r="BF67" s="18"/>
      <c r="BG67" s="3"/>
      <c r="BH67" s="315"/>
      <c r="BI67" s="3"/>
      <c r="BJ67" s="3"/>
      <c r="BK67" s="3"/>
      <c r="BL67" s="3"/>
      <c r="BM67" s="18"/>
      <c r="BN67" s="3"/>
      <c r="BO67" s="315"/>
      <c r="BP67" s="3"/>
      <c r="BQ67" s="3"/>
      <c r="BR67" s="3"/>
      <c r="BS67" s="3"/>
      <c r="BT67" s="18"/>
      <c r="BU67" s="3"/>
      <c r="BV67" s="315"/>
      <c r="BW67" s="3"/>
      <c r="BX67" s="3"/>
      <c r="BY67" s="3"/>
      <c r="BZ67" s="3"/>
    </row>
    <row r="68" spans="1:82" ht="15.6" outlineLevel="1">
      <c r="A68" s="7"/>
      <c r="B68" s="370"/>
      <c r="C68" s="355"/>
      <c r="D68" s="356"/>
      <c r="E68" s="342"/>
      <c r="F68" s="290"/>
      <c r="G68" s="357">
        <v>0</v>
      </c>
      <c r="H68" s="358">
        <v>0</v>
      </c>
      <c r="I68" s="358">
        <v>0</v>
      </c>
      <c r="J68" s="359">
        <f t="shared" si="25"/>
        <v>0</v>
      </c>
      <c r="K68" s="290"/>
      <c r="L68" s="349"/>
      <c r="M68" s="7"/>
      <c r="N68" s="12"/>
      <c r="O68" s="12"/>
      <c r="P68" s="12"/>
      <c r="Q68" s="361"/>
      <c r="R68" s="362"/>
      <c r="S68" s="363">
        <f t="shared" si="37"/>
        <v>0</v>
      </c>
      <c r="T68" s="364">
        <f t="shared" ref="T68" si="58">IF(ISBLANK($P68),0,IF(Approach="Team-Based",$Q68*$R68*$S68*HoursPerDayTeamBased,$J68))</f>
        <v>0</v>
      </c>
      <c r="U68" s="365">
        <v>0</v>
      </c>
      <c r="V68" s="91">
        <f>ROUNDUP(IFERROR(INDEX(CostRateTbl[Cost Rate],MATCH(_xlfn.CONCAT(N68,O68,P68,"NA"),CostRateTbl[KeyCostRate],0)),0)*BillingCurrencyTRM*(1+U68),2)</f>
        <v>0</v>
      </c>
      <c r="W68" s="92">
        <f t="shared" si="18"/>
        <v>0</v>
      </c>
      <c r="X68" s="366" t="e" cm="1">
        <f t="array" ref="X68">_xlfn.LET(
    _xlpm.valor, INDEX(CostRate!H:H, MATCH(1, (CostRate!A:A=N68)*1, 0)),
    _xlpm.posicion, MATCH(_xlpm.valor, FilterSL!$F$1:$Z$1, 0),
    _xlpm.direccionCompleta, ADDRESS(1, _xlpm.posicion + 5, 4),
    _xlpm.letraColumna, SUBSTITUTE(_xlpm.direccionCompleta, "1", ""),
    _xlpm.letraColumna
)</f>
        <v>#N/A</v>
      </c>
      <c r="Y68" s="366" t="e" cm="1">
        <f t="array" ref="Y68">_xlfn.LET(
    _xlpm.valor, INDEX(CostRate!I:I, MATCH(1, (CostRate!A:A=N68)*(CostRate!B:B=O68), 0)),
    _xlpm.posicion, MATCH(_xlpm.valor, FilterJP!$E$1:$FZ$1, 0),
    _xlpm.direccionCompleta, ADDRESS(1, _xlpm.posicion + 4, 4),
    _xlpm.letraColumna, SUBSTITUTE(_xlpm.direccionCompleta, "1", ""),
    _xlpm.letraColumna
)</f>
        <v>#N/A</v>
      </c>
      <c r="Z68" s="7"/>
      <c r="AA68" s="367"/>
      <c r="AB68" s="7"/>
      <c r="AC68" s="93">
        <f t="shared" si="19"/>
        <v>0</v>
      </c>
      <c r="AD68" s="94">
        <f t="shared" si="27"/>
        <v>0</v>
      </c>
      <c r="AE68" s="109">
        <f t="shared" si="28"/>
        <v>0</v>
      </c>
      <c r="AF68" s="7"/>
      <c r="AG68" s="369">
        <f t="shared" si="20"/>
        <v>0</v>
      </c>
      <c r="AH68" s="368">
        <f t="shared" si="29"/>
        <v>0</v>
      </c>
      <c r="AI68" s="7"/>
      <c r="AJ68" s="369" cm="1">
        <f t="array" ref="AJ68">IFERROR(INDEX(WHT!$C$7:$W$18,MATCH(
_xlfn.SWITCH(N68,"xDC Medellin","Colombia","xDC Belo Horizonte","Brazil","xDC Guadalajara","Mexico","xDC Gurugram","India","xDC Leon","Spain","xDC San Jose","Costa Rica","xDC Warsaw","Poland",N68),
WHT!$B$7:$B$18,0),MATCH(CustomerCountry,WHT!$C$5:$W$5,0)),0)</f>
        <v>0</v>
      </c>
      <c r="AK68" s="368">
        <f t="shared" si="21"/>
        <v>0</v>
      </c>
      <c r="AL68" s="7"/>
      <c r="AM68" s="95">
        <f t="shared" si="30"/>
        <v>0</v>
      </c>
      <c r="AN68" s="95">
        <f t="shared" si="22"/>
        <v>0</v>
      </c>
      <c r="AO68" s="95">
        <f t="shared" si="31"/>
        <v>0</v>
      </c>
      <c r="AP68" s="90"/>
      <c r="AQ68" s="18"/>
      <c r="AR68" s="290"/>
      <c r="AS68" s="467" t="s">
        <v>133</v>
      </c>
      <c r="AT68" s="501">
        <f t="shared" si="23"/>
        <v>0</v>
      </c>
      <c r="AU68" s="502"/>
      <c r="AV68" s="95">
        <f t="shared" si="32"/>
        <v>0</v>
      </c>
      <c r="AW68" s="469">
        <f t="shared" si="24"/>
        <v>0</v>
      </c>
      <c r="AX68" s="290"/>
      <c r="AY68" s="18"/>
      <c r="AZ68" s="3"/>
      <c r="BA68" s="315"/>
      <c r="BB68" s="3"/>
      <c r="BC68" s="3"/>
      <c r="BD68" s="3"/>
      <c r="BE68" s="3"/>
      <c r="BF68" s="18"/>
      <c r="BG68" s="3"/>
      <c r="BH68" s="315"/>
      <c r="BI68" s="3"/>
      <c r="BJ68" s="3"/>
      <c r="BK68" s="3"/>
      <c r="BL68" s="3"/>
      <c r="BM68" s="18"/>
      <c r="BN68" s="3"/>
      <c r="BO68" s="315"/>
      <c r="BP68" s="3"/>
      <c r="BQ68" s="3"/>
      <c r="BR68" s="3"/>
      <c r="BS68" s="3"/>
      <c r="BT68" s="18"/>
      <c r="BU68" s="3"/>
      <c r="BV68" s="315"/>
      <c r="BW68" s="3"/>
      <c r="BX68" s="3"/>
      <c r="BY68" s="3"/>
      <c r="BZ68" s="3"/>
    </row>
    <row r="69" spans="1:82" ht="15.6" outlineLevel="1">
      <c r="A69" s="7"/>
      <c r="B69" s="370"/>
      <c r="C69" s="355"/>
      <c r="D69" s="356"/>
      <c r="E69" s="342"/>
      <c r="F69" s="290"/>
      <c r="G69" s="357">
        <v>0</v>
      </c>
      <c r="H69" s="358">
        <v>0</v>
      </c>
      <c r="I69" s="358">
        <v>0</v>
      </c>
      <c r="J69" s="359">
        <f t="shared" si="25"/>
        <v>0</v>
      </c>
      <c r="K69" s="290"/>
      <c r="L69" s="349"/>
      <c r="M69" s="7"/>
      <c r="N69" s="12"/>
      <c r="O69" s="12"/>
      <c r="P69" s="12"/>
      <c r="Q69" s="361"/>
      <c r="R69" s="362"/>
      <c r="S69" s="363">
        <f t="shared" si="37"/>
        <v>0</v>
      </c>
      <c r="T69" s="364">
        <f t="shared" ref="T69" si="59">IF(ISBLANK($P69),0,IF(Approach="Team-Based",$Q69*$R69*$S69*HoursPerDayTeamBased,$J69))</f>
        <v>0</v>
      </c>
      <c r="U69" s="365">
        <v>0</v>
      </c>
      <c r="V69" s="91">
        <f>ROUNDUP(IFERROR(INDEX(CostRateTbl[Cost Rate],MATCH(_xlfn.CONCAT(N69,O69,P69,"NA"),CostRateTbl[KeyCostRate],0)),0)*BillingCurrencyTRM*(1+U69),2)</f>
        <v>0</v>
      </c>
      <c r="W69" s="92">
        <f t="shared" si="18"/>
        <v>0</v>
      </c>
      <c r="X69" s="366" t="e" cm="1">
        <f t="array" ref="X69">_xlfn.LET(
    _xlpm.valor, INDEX(CostRate!H:H, MATCH(1, (CostRate!A:A=N69)*1, 0)),
    _xlpm.posicion, MATCH(_xlpm.valor, FilterSL!$F$1:$Z$1, 0),
    _xlpm.direccionCompleta, ADDRESS(1, _xlpm.posicion + 5, 4),
    _xlpm.letraColumna, SUBSTITUTE(_xlpm.direccionCompleta, "1", ""),
    _xlpm.letraColumna
)</f>
        <v>#N/A</v>
      </c>
      <c r="Y69" s="366" t="e" cm="1">
        <f t="array" ref="Y69">_xlfn.LET(
    _xlpm.valor, INDEX(CostRate!I:I, MATCH(1, (CostRate!A:A=N69)*(CostRate!B:B=O69), 0)),
    _xlpm.posicion, MATCH(_xlpm.valor, FilterJP!$E$1:$FZ$1, 0),
    _xlpm.direccionCompleta, ADDRESS(1, _xlpm.posicion + 4, 4),
    _xlpm.letraColumna, SUBSTITUTE(_xlpm.direccionCompleta, "1", ""),
    _xlpm.letraColumna
)</f>
        <v>#N/A</v>
      </c>
      <c r="Z69" s="7"/>
      <c r="AA69" s="367"/>
      <c r="AB69" s="7"/>
      <c r="AC69" s="93">
        <f t="shared" si="19"/>
        <v>0</v>
      </c>
      <c r="AD69" s="94">
        <f t="shared" si="27"/>
        <v>0</v>
      </c>
      <c r="AE69" s="109">
        <f t="shared" si="28"/>
        <v>0</v>
      </c>
      <c r="AF69" s="7"/>
      <c r="AG69" s="369">
        <f t="shared" si="20"/>
        <v>0</v>
      </c>
      <c r="AH69" s="368">
        <f t="shared" si="29"/>
        <v>0</v>
      </c>
      <c r="AI69" s="7"/>
      <c r="AJ69" s="369" cm="1">
        <f t="array" ref="AJ69">IFERROR(INDEX(WHT!$C$7:$W$18,MATCH(
_xlfn.SWITCH(N69,"xDC Medellin","Colombia","xDC Belo Horizonte","Brazil","xDC Guadalajara","Mexico","xDC Gurugram","India","xDC Leon","Spain","xDC San Jose","Costa Rica","xDC Warsaw","Poland",N69),
WHT!$B$7:$B$18,0),MATCH(CustomerCountry,WHT!$C$5:$W$5,0)),0)</f>
        <v>0</v>
      </c>
      <c r="AK69" s="368">
        <f t="shared" si="21"/>
        <v>0</v>
      </c>
      <c r="AL69" s="7"/>
      <c r="AM69" s="95">
        <f t="shared" si="30"/>
        <v>0</v>
      </c>
      <c r="AN69" s="95">
        <f t="shared" si="22"/>
        <v>0</v>
      </c>
      <c r="AO69" s="95">
        <f t="shared" si="31"/>
        <v>0</v>
      </c>
      <c r="AP69" s="90"/>
      <c r="AQ69" s="18"/>
      <c r="AR69" s="290"/>
      <c r="AS69" s="467" t="s">
        <v>133</v>
      </c>
      <c r="AT69" s="501">
        <f t="shared" si="23"/>
        <v>0</v>
      </c>
      <c r="AU69" s="502"/>
      <c r="AV69" s="95">
        <f t="shared" si="32"/>
        <v>0</v>
      </c>
      <c r="AW69" s="469">
        <f t="shared" si="24"/>
        <v>0</v>
      </c>
      <c r="AX69" s="290"/>
      <c r="AY69" s="18"/>
      <c r="AZ69" s="3"/>
      <c r="BA69" s="315"/>
      <c r="BB69" s="3"/>
      <c r="BC69" s="3"/>
      <c r="BD69" s="3"/>
      <c r="BE69" s="3"/>
      <c r="BF69" s="18"/>
      <c r="BG69" s="3"/>
      <c r="BH69" s="315"/>
      <c r="BI69" s="3"/>
      <c r="BJ69" s="3"/>
      <c r="BK69" s="3"/>
      <c r="BL69" s="3"/>
      <c r="BM69" s="18"/>
      <c r="BN69" s="3"/>
      <c r="BO69" s="315"/>
      <c r="BP69" s="3"/>
      <c r="BQ69" s="3"/>
      <c r="BR69" s="3"/>
      <c r="BS69" s="3"/>
      <c r="BT69" s="18"/>
      <c r="BU69" s="3"/>
      <c r="BV69" s="315"/>
      <c r="BW69" s="3"/>
      <c r="BX69" s="3"/>
      <c r="BY69" s="3"/>
      <c r="BZ69" s="3"/>
    </row>
    <row r="70" spans="1:82" ht="15.6" outlineLevel="1">
      <c r="A70" s="7"/>
      <c r="B70" s="370"/>
      <c r="C70" s="355"/>
      <c r="D70" s="356"/>
      <c r="E70" s="342"/>
      <c r="F70" s="290"/>
      <c r="G70" s="373">
        <v>0</v>
      </c>
      <c r="H70" s="374">
        <v>0</v>
      </c>
      <c r="I70" s="374">
        <v>0</v>
      </c>
      <c r="J70" s="375">
        <f t="shared" si="25"/>
        <v>0</v>
      </c>
      <c r="K70" s="290"/>
      <c r="L70" s="349"/>
      <c r="M70" s="7"/>
      <c r="N70" s="12"/>
      <c r="O70" s="12"/>
      <c r="P70" s="12"/>
      <c r="Q70" s="361"/>
      <c r="R70" s="362"/>
      <c r="S70" s="363">
        <f t="shared" si="37"/>
        <v>0</v>
      </c>
      <c r="T70" s="364">
        <f t="shared" ref="T70" si="60">IF(ISBLANK($P70),0,IF(Approach="Team-Based",$Q70*$R70*$S70*HoursPerDayTeamBased,$J70))</f>
        <v>0</v>
      </c>
      <c r="U70" s="365">
        <v>0</v>
      </c>
      <c r="V70" s="91">
        <f>ROUNDUP(IFERROR(INDEX(CostRateTbl[Cost Rate],MATCH(_xlfn.CONCAT(N70,O70,P70,"NA"),CostRateTbl[KeyCostRate],0)),0)*BillingCurrencyTRM*(1+U70),2)</f>
        <v>0</v>
      </c>
      <c r="W70" s="92">
        <f t="shared" si="18"/>
        <v>0</v>
      </c>
      <c r="X70" s="366" t="e" cm="1">
        <f t="array" ref="X70">_xlfn.LET(
    _xlpm.valor, INDEX(CostRate!H:H, MATCH(1, (CostRate!A:A=N70)*1, 0)),
    _xlpm.posicion, MATCH(_xlpm.valor, FilterSL!$F$1:$Z$1, 0),
    _xlpm.direccionCompleta, ADDRESS(1, _xlpm.posicion + 5, 4),
    _xlpm.letraColumna, SUBSTITUTE(_xlpm.direccionCompleta, "1", ""),
    _xlpm.letraColumna
)</f>
        <v>#N/A</v>
      </c>
      <c r="Y70" s="366" t="e" cm="1">
        <f t="array" ref="Y70">_xlfn.LET(
    _xlpm.valor, INDEX(CostRate!I:I, MATCH(1, (CostRate!A:A=N70)*(CostRate!B:B=O70), 0)),
    _xlpm.posicion, MATCH(_xlpm.valor, FilterJP!$E$1:$FZ$1, 0),
    _xlpm.direccionCompleta, ADDRESS(1, _xlpm.posicion + 4, 4),
    _xlpm.letraColumna, SUBSTITUTE(_xlpm.direccionCompleta, "1", ""),
    _xlpm.letraColumna
)</f>
        <v>#N/A</v>
      </c>
      <c r="Z70" s="7"/>
      <c r="AA70" s="367"/>
      <c r="AB70" s="7"/>
      <c r="AC70" s="93">
        <f t="shared" si="19"/>
        <v>0</v>
      </c>
      <c r="AD70" s="94">
        <f t="shared" si="27"/>
        <v>0</v>
      </c>
      <c r="AE70" s="109">
        <f t="shared" si="28"/>
        <v>0</v>
      </c>
      <c r="AF70" s="7"/>
      <c r="AG70" s="369">
        <f t="shared" si="20"/>
        <v>0</v>
      </c>
      <c r="AH70" s="368">
        <f t="shared" si="29"/>
        <v>0</v>
      </c>
      <c r="AI70" s="7"/>
      <c r="AJ70" s="369" cm="1">
        <f t="array" ref="AJ70">IFERROR(INDEX(WHT!$C$7:$W$18,MATCH(
_xlfn.SWITCH(N70,"xDC Medellin","Colombia","xDC Belo Horizonte","Brazil","xDC Guadalajara","Mexico","xDC Gurugram","India","xDC Leon","Spain","xDC San Jose","Costa Rica","xDC Warsaw","Poland",N70),
WHT!$B$7:$B$18,0),MATCH(CustomerCountry,WHT!$C$5:$W$5,0)),0)</f>
        <v>0</v>
      </c>
      <c r="AK70" s="368">
        <f t="shared" si="21"/>
        <v>0</v>
      </c>
      <c r="AL70" s="7"/>
      <c r="AM70" s="95">
        <f t="shared" si="30"/>
        <v>0</v>
      </c>
      <c r="AN70" s="95">
        <f t="shared" si="22"/>
        <v>0</v>
      </c>
      <c r="AO70" s="95">
        <f t="shared" si="31"/>
        <v>0</v>
      </c>
      <c r="AP70" s="90"/>
      <c r="AQ70" s="18"/>
      <c r="AR70" s="290"/>
      <c r="AS70" s="467" t="s">
        <v>133</v>
      </c>
      <c r="AT70" s="501">
        <f t="shared" si="23"/>
        <v>0</v>
      </c>
      <c r="AU70" s="502"/>
      <c r="AV70" s="95">
        <f t="shared" si="32"/>
        <v>0</v>
      </c>
      <c r="AW70" s="469">
        <f t="shared" si="24"/>
        <v>0</v>
      </c>
      <c r="AX70" s="290"/>
      <c r="AY70" s="18"/>
      <c r="AZ70" s="3"/>
      <c r="BA70" s="315"/>
      <c r="BB70" s="3"/>
      <c r="BC70" s="3"/>
      <c r="BD70" s="3"/>
      <c r="BE70" s="3"/>
      <c r="BF70" s="18"/>
      <c r="BG70" s="3"/>
      <c r="BH70" s="315"/>
      <c r="BI70" s="3"/>
      <c r="BJ70" s="3"/>
      <c r="BK70" s="3"/>
      <c r="BL70" s="3"/>
      <c r="BM70" s="18"/>
      <c r="BN70" s="3"/>
      <c r="BO70" s="315"/>
      <c r="BP70" s="3"/>
      <c r="BQ70" s="3"/>
      <c r="BR70" s="3"/>
      <c r="BS70" s="3"/>
      <c r="BT70" s="18"/>
      <c r="BU70" s="3"/>
      <c r="BV70" s="315"/>
      <c r="BW70" s="3"/>
      <c r="BX70" s="3"/>
      <c r="BY70" s="3"/>
      <c r="BZ70" s="3"/>
    </row>
    <row r="71" spans="1:82" ht="15.6" outlineLevel="1">
      <c r="A71" s="7"/>
      <c r="B71" s="372"/>
      <c r="C71" s="355"/>
      <c r="D71" s="356"/>
      <c r="E71" s="342"/>
      <c r="F71" s="290"/>
      <c r="G71" s="373">
        <v>0</v>
      </c>
      <c r="H71" s="374">
        <v>0</v>
      </c>
      <c r="I71" s="374">
        <v>0</v>
      </c>
      <c r="J71" s="375">
        <f t="shared" si="25"/>
        <v>0</v>
      </c>
      <c r="K71" s="290"/>
      <c r="L71" s="349"/>
      <c r="M71" s="7"/>
      <c r="N71" s="12"/>
      <c r="O71" s="12"/>
      <c r="P71" s="12"/>
      <c r="Q71" s="361"/>
      <c r="R71" s="362"/>
      <c r="S71" s="363">
        <f t="shared" si="37"/>
        <v>0</v>
      </c>
      <c r="T71" s="364">
        <f t="shared" ref="T71" si="61">IF(ISBLANK($P71),0,IF(Approach="Team-Based",$Q71*$R71*$S71*HoursPerDayTeamBased,$J71))</f>
        <v>0</v>
      </c>
      <c r="U71" s="365">
        <v>0</v>
      </c>
      <c r="V71" s="91">
        <f>ROUNDUP(IFERROR(INDEX(CostRateTbl[Cost Rate],MATCH(_xlfn.CONCAT(N71,O71,P71,"NA"),CostRateTbl[KeyCostRate],0)),0)*BillingCurrencyTRM*(1+U71),2)</f>
        <v>0</v>
      </c>
      <c r="W71" s="92">
        <f t="shared" si="18"/>
        <v>0</v>
      </c>
      <c r="X71" s="366" t="e" cm="1">
        <f t="array" ref="X71">_xlfn.LET(
    _xlpm.valor, INDEX(CostRate!H:H, MATCH(1, (CostRate!A:A=N71)*1, 0)),
    _xlpm.posicion, MATCH(_xlpm.valor, FilterSL!$F$1:$Z$1, 0),
    _xlpm.direccionCompleta, ADDRESS(1, _xlpm.posicion + 5, 4),
    _xlpm.letraColumna, SUBSTITUTE(_xlpm.direccionCompleta, "1", ""),
    _xlpm.letraColumna
)</f>
        <v>#N/A</v>
      </c>
      <c r="Y71" s="366" t="e" cm="1">
        <f t="array" ref="Y71">_xlfn.LET(
    _xlpm.valor, INDEX(CostRate!I:I, MATCH(1, (CostRate!A:A=N71)*(CostRate!B:B=O71), 0)),
    _xlpm.posicion, MATCH(_xlpm.valor, FilterJP!$E$1:$FZ$1, 0),
    _xlpm.direccionCompleta, ADDRESS(1, _xlpm.posicion + 4, 4),
    _xlpm.letraColumna, SUBSTITUTE(_xlpm.direccionCompleta, "1", ""),
    _xlpm.letraColumna
)</f>
        <v>#N/A</v>
      </c>
      <c r="Z71" s="7"/>
      <c r="AA71" s="367"/>
      <c r="AB71" s="7"/>
      <c r="AC71" s="93">
        <f t="shared" si="19"/>
        <v>0</v>
      </c>
      <c r="AD71" s="94">
        <f t="shared" si="27"/>
        <v>0</v>
      </c>
      <c r="AE71" s="109">
        <f t="shared" si="28"/>
        <v>0</v>
      </c>
      <c r="AF71" s="7"/>
      <c r="AG71" s="369">
        <f t="shared" si="20"/>
        <v>0</v>
      </c>
      <c r="AH71" s="368">
        <f t="shared" si="29"/>
        <v>0</v>
      </c>
      <c r="AI71" s="7"/>
      <c r="AJ71" s="369" cm="1">
        <f t="array" ref="AJ71">IFERROR(INDEX(WHT!$C$7:$W$18,MATCH(
_xlfn.SWITCH(N71,"xDC Medellin","Colombia","xDC Belo Horizonte","Brazil","xDC Guadalajara","Mexico","xDC Gurugram","India","xDC Leon","Spain","xDC San Jose","Costa Rica","xDC Warsaw","Poland",N71),
WHT!$B$7:$B$18,0),MATCH(CustomerCountry,WHT!$C$5:$W$5,0)),0)</f>
        <v>0</v>
      </c>
      <c r="AK71" s="368">
        <f t="shared" si="21"/>
        <v>0</v>
      </c>
      <c r="AL71" s="7"/>
      <c r="AM71" s="95">
        <f t="shared" si="30"/>
        <v>0</v>
      </c>
      <c r="AN71" s="95">
        <f t="shared" si="22"/>
        <v>0</v>
      </c>
      <c r="AO71" s="95">
        <f t="shared" si="31"/>
        <v>0</v>
      </c>
      <c r="AP71" s="90"/>
      <c r="AQ71" s="18"/>
      <c r="AR71" s="290"/>
      <c r="AS71" s="467" t="s">
        <v>133</v>
      </c>
      <c r="AT71" s="501">
        <f>IF(AS71="x",AM71+((SUM($AN$31:$AN$36)+SUMIF($AS$42:$AS$71,"&lt;&gt;x",$AM$42:$AM$71))*IFERROR(AM71/SUMIF($AS$42:$AS$71,"x",$AM$42:$AM$71),0)),0)</f>
        <v>0</v>
      </c>
      <c r="AU71" s="502"/>
      <c r="AV71" s="95">
        <f t="shared" si="32"/>
        <v>0</v>
      </c>
      <c r="AW71" s="469">
        <f t="shared" si="24"/>
        <v>0</v>
      </c>
      <c r="AX71" s="290"/>
      <c r="AY71" s="18"/>
      <c r="AZ71" s="3"/>
      <c r="BA71" s="315"/>
      <c r="BB71" s="3"/>
      <c r="BC71" s="3"/>
      <c r="BD71" s="3"/>
      <c r="BE71" s="3"/>
      <c r="BF71" s="18"/>
      <c r="BG71" s="3"/>
      <c r="BH71" s="315"/>
      <c r="BI71" s="3"/>
      <c r="BJ71" s="3"/>
      <c r="BK71" s="3"/>
      <c r="BL71" s="3"/>
      <c r="BM71" s="18"/>
      <c r="BN71" s="3"/>
      <c r="BO71" s="315"/>
      <c r="BP71" s="3"/>
      <c r="BQ71" s="3"/>
      <c r="BR71" s="3"/>
      <c r="BS71" s="3"/>
      <c r="BT71" s="18"/>
      <c r="BU71" s="3"/>
      <c r="BV71" s="315"/>
      <c r="BW71" s="3"/>
      <c r="BX71" s="3"/>
      <c r="BY71" s="3"/>
      <c r="BZ71" s="3"/>
    </row>
    <row r="72" spans="1:82" ht="15.6" outlineLevel="1">
      <c r="A72" s="7"/>
      <c r="B72" s="376"/>
      <c r="C72" s="376"/>
      <c r="D72" s="376"/>
      <c r="E72" s="342"/>
      <c r="F72" s="290"/>
      <c r="G72" s="290"/>
      <c r="H72" s="290"/>
      <c r="I72" s="290"/>
      <c r="J72" s="290"/>
      <c r="K72" s="290"/>
      <c r="L72" s="18"/>
      <c r="M72" s="7"/>
      <c r="N72" s="7"/>
      <c r="O72" s="7"/>
      <c r="P72" s="7"/>
      <c r="Q72" s="7"/>
      <c r="R72" s="7"/>
      <c r="S72" s="294"/>
      <c r="T72" s="294"/>
      <c r="U72" s="294"/>
      <c r="V72" s="294"/>
      <c r="W72" s="294"/>
      <c r="X72" s="7"/>
      <c r="Y72" s="7"/>
      <c r="Z72" s="294"/>
      <c r="AA72" s="377"/>
      <c r="AB72" s="294"/>
      <c r="AC72" s="294"/>
      <c r="AD72" s="294"/>
      <c r="AE72" s="294"/>
      <c r="AF72" s="7"/>
      <c r="AG72" s="294"/>
      <c r="AH72" s="294"/>
      <c r="AI72" s="7"/>
      <c r="AJ72" s="294"/>
      <c r="AK72" s="294"/>
      <c r="AL72" s="7"/>
      <c r="AM72" s="294"/>
      <c r="AN72" s="294"/>
      <c r="AO72" s="294"/>
      <c r="AP72" s="294"/>
      <c r="AQ72" s="18"/>
      <c r="AR72" s="378"/>
      <c r="AS72" s="378"/>
      <c r="AT72" s="378"/>
      <c r="AU72" s="81"/>
      <c r="AV72" s="378"/>
      <c r="AW72" s="7"/>
      <c r="AX72" s="378"/>
      <c r="AY72" s="18"/>
      <c r="AZ72" s="3"/>
      <c r="BA72" s="315"/>
      <c r="BB72" s="3"/>
      <c r="BC72" s="3"/>
      <c r="BD72" s="3"/>
      <c r="BE72" s="3"/>
      <c r="BF72" s="18"/>
      <c r="BG72" s="3"/>
      <c r="BH72" s="315"/>
      <c r="BI72" s="3"/>
      <c r="BJ72" s="3"/>
      <c r="BK72" s="3"/>
      <c r="BL72" s="3"/>
      <c r="BM72" s="18"/>
      <c r="BN72" s="3"/>
      <c r="BO72" s="315"/>
      <c r="BP72" s="3"/>
      <c r="BQ72" s="3"/>
      <c r="BR72" s="3"/>
      <c r="BS72" s="3"/>
      <c r="BT72" s="18"/>
      <c r="BU72" s="3"/>
      <c r="BV72" s="315"/>
      <c r="BW72" s="3"/>
      <c r="BX72" s="3"/>
      <c r="BY72" s="3"/>
      <c r="BZ72" s="3"/>
    </row>
    <row r="73" spans="1:82" s="389" customFormat="1">
      <c r="A73" s="390"/>
      <c r="B73" s="390"/>
      <c r="C73" s="390"/>
      <c r="D73" s="390"/>
      <c r="E73" s="390"/>
      <c r="F73" s="390"/>
      <c r="G73" s="390"/>
      <c r="H73" s="390"/>
      <c r="I73" s="390"/>
      <c r="J73" s="390"/>
      <c r="K73" s="390"/>
      <c r="L73" s="390"/>
      <c r="M73" s="392"/>
      <c r="N73" s="392"/>
      <c r="O73" s="392"/>
      <c r="P73" s="392"/>
      <c r="Q73" s="392"/>
      <c r="R73" s="392"/>
      <c r="S73" s="392"/>
      <c r="T73" s="392"/>
      <c r="U73" s="392"/>
      <c r="V73" s="392"/>
      <c r="W73" s="392"/>
      <c r="X73" s="392"/>
      <c r="Y73" s="392"/>
      <c r="Z73" s="392"/>
      <c r="AA73" s="320"/>
      <c r="AB73" s="321"/>
      <c r="AC73" s="322"/>
      <c r="AD73" s="322"/>
      <c r="AE73" s="322"/>
      <c r="AF73" s="322"/>
      <c r="AG73" s="322"/>
      <c r="AH73" s="322"/>
      <c r="AI73" s="322"/>
      <c r="AJ73" s="323"/>
      <c r="AK73" s="322"/>
      <c r="AL73" s="322"/>
      <c r="AM73" s="322"/>
      <c r="AN73" s="323"/>
      <c r="AO73" s="323"/>
      <c r="AP73" s="323"/>
      <c r="AR73" s="390"/>
      <c r="AS73" s="390"/>
      <c r="AT73" s="390"/>
      <c r="AU73" s="390"/>
      <c r="AV73" s="390"/>
      <c r="AW73" s="390"/>
      <c r="AX73" s="390"/>
      <c r="AZ73" s="390"/>
      <c r="BA73" s="390"/>
      <c r="BB73" s="390"/>
      <c r="BC73" s="390"/>
      <c r="BD73" s="390"/>
      <c r="BE73" s="390"/>
      <c r="BF73" s="390"/>
      <c r="BG73" s="390"/>
      <c r="BH73" s="390"/>
      <c r="BI73" s="390"/>
      <c r="BJ73" s="390"/>
      <c r="BK73" s="390"/>
      <c r="BL73" s="390"/>
      <c r="BM73" s="390"/>
      <c r="BN73" s="390"/>
      <c r="BO73" s="390"/>
      <c r="BP73" s="390"/>
      <c r="BQ73" s="390"/>
      <c r="BR73" s="390"/>
      <c r="BS73" s="390"/>
      <c r="BT73" s="390"/>
      <c r="BU73" s="390"/>
      <c r="BV73" s="390"/>
      <c r="BW73" s="390"/>
      <c r="BX73" s="390"/>
      <c r="BY73" s="390"/>
      <c r="BZ73" s="390"/>
      <c r="CA73" s="390"/>
      <c r="CB73" s="390"/>
      <c r="CC73" s="390"/>
      <c r="CD73" s="390"/>
    </row>
    <row r="74" spans="1:82" s="325" customFormat="1" ht="15.6">
      <c r="A74" s="480"/>
      <c r="B74" s="507" t="str">
        <f>CMSResumen!G3</f>
        <v>Nombre de Suscripcion 1</v>
      </c>
      <c r="C74" s="507"/>
      <c r="D74" s="324"/>
      <c r="E74" s="342"/>
      <c r="F74" s="290"/>
      <c r="G74" s="79"/>
      <c r="H74" s="326"/>
      <c r="I74" s="326"/>
      <c r="J74" s="80"/>
      <c r="K74" s="290"/>
      <c r="L74" s="342"/>
      <c r="M74" s="2"/>
      <c r="N74" s="7"/>
      <c r="O74" s="7"/>
      <c r="P74" s="77"/>
      <c r="Q74" s="77"/>
      <c r="R74" s="77"/>
      <c r="S74" s="77"/>
      <c r="T74" s="77"/>
      <c r="U74" s="77"/>
      <c r="V74" s="77"/>
      <c r="W74" s="77"/>
      <c r="X74" s="77"/>
      <c r="Y74" s="77"/>
      <c r="Z74" s="2"/>
      <c r="AA74" s="304"/>
      <c r="AB74" s="7"/>
      <c r="AC74" s="13"/>
      <c r="AD74" s="13"/>
      <c r="AE74" s="13"/>
      <c r="AF74" s="13"/>
      <c r="AG74" s="13"/>
      <c r="AH74" s="13"/>
      <c r="AI74" s="13"/>
      <c r="AJ74" s="70"/>
      <c r="AK74" s="70"/>
      <c r="AL74" s="13"/>
      <c r="AM74" s="13"/>
      <c r="AN74" s="70"/>
      <c r="AO74" s="70"/>
      <c r="AP74" s="7"/>
      <c r="AQ74" s="342"/>
      <c r="AR74" s="290"/>
      <c r="AS74" s="290"/>
      <c r="AT74" s="290"/>
      <c r="AU74" s="290"/>
      <c r="AV74" s="290"/>
      <c r="AW74" s="290"/>
      <c r="AX74" s="290"/>
      <c r="AY74" s="342"/>
      <c r="AZ74" s="3"/>
      <c r="BA74" s="315"/>
      <c r="BB74" s="3"/>
      <c r="BC74" s="3"/>
      <c r="BD74" s="3"/>
      <c r="BE74" s="3"/>
      <c r="BF74" s="342"/>
      <c r="BG74" s="3"/>
      <c r="BH74" s="315"/>
      <c r="BI74" s="3"/>
      <c r="BJ74" s="3"/>
      <c r="BK74" s="3"/>
      <c r="BL74" s="3"/>
      <c r="BM74" s="342"/>
      <c r="BN74" s="3"/>
      <c r="BO74" s="315"/>
      <c r="BP74" s="3"/>
      <c r="BQ74" s="3"/>
      <c r="BR74" s="3"/>
      <c r="BS74" s="3"/>
      <c r="BT74" s="342"/>
      <c r="BU74" s="3"/>
      <c r="BV74" s="315"/>
      <c r="BW74" s="3"/>
      <c r="BX74" s="3"/>
      <c r="BY74" s="3"/>
      <c r="BZ74" s="3"/>
      <c r="CA74" s="342"/>
      <c r="CB74" s="342"/>
      <c r="CC74" s="342"/>
      <c r="CD74" s="342"/>
    </row>
    <row r="75" spans="1:82" s="325" customFormat="1" ht="15.6">
      <c r="A75" s="480"/>
      <c r="B75" s="507"/>
      <c r="C75" s="507"/>
      <c r="D75" s="324"/>
      <c r="E75" s="342"/>
      <c r="F75" s="290"/>
      <c r="G75" s="79"/>
      <c r="H75" s="326"/>
      <c r="I75" s="326"/>
      <c r="J75" s="80"/>
      <c r="K75" s="290"/>
      <c r="L75" s="342"/>
      <c r="M75" s="2"/>
      <c r="N75" s="13" t="s">
        <v>78</v>
      </c>
      <c r="O75" s="395" t="s">
        <v>79</v>
      </c>
      <c r="P75" s="395" t="s">
        <v>80</v>
      </c>
      <c r="Q75" s="77"/>
      <c r="R75" s="77"/>
      <c r="S75" s="77"/>
      <c r="T75" s="77"/>
      <c r="U75" s="13" t="s">
        <v>81</v>
      </c>
      <c r="V75" s="428" t="str">
        <f>_xlfn.CONCAT("DELIVERY COST (",BillingCountryCurrency,")")</f>
        <v>DELIVERY COST (COP)</v>
      </c>
      <c r="W75" s="428" t="str">
        <f>_xlfn.CONCAT("DELIVERY COST (",IF(ISBLANK(BusinessCurrency),"N/A",BusinessCurrency),")")</f>
        <v>DELIVERY COST (USD)</v>
      </c>
      <c r="X75" s="77"/>
      <c r="Y75" s="77"/>
      <c r="Z75" s="2"/>
      <c r="AA75" s="304"/>
      <c r="AB75" s="7"/>
      <c r="AC75" s="13" t="s">
        <v>82</v>
      </c>
      <c r="AD75" s="428" t="str">
        <f>_xlfn.CONCAT("PRICING (",BillingCountryCurrency,")")</f>
        <v>PRICING (COP)</v>
      </c>
      <c r="AE75" s="428" t="str">
        <f>_xlfn.CONCAT("PRICING (",IF(ISBLANK(BusinessCurrency),"N/A",BusinessCurrency),")")</f>
        <v>PRICING (USD)</v>
      </c>
      <c r="AF75" s="70" t="s">
        <v>14</v>
      </c>
      <c r="AG75" s="428" t="str">
        <f>_xlfn.CONCAT("Intercompany (",BillingCountryCurrency,")")</f>
        <v>Intercompany (COP)</v>
      </c>
      <c r="AH75" s="428" t="str">
        <f>_xlfn.CONCAT("Intercompany (",IF(ISBLANK(BusinessCurrency),"N/A",BusinessCurrency),")")</f>
        <v>Intercompany (USD)</v>
      </c>
      <c r="AI75" s="70" t="s">
        <v>14</v>
      </c>
      <c r="AJ75" s="428" t="str">
        <f>_xlfn.CONCAT("WHT (",BillingCountryCurrency,")")</f>
        <v>WHT (COP)</v>
      </c>
      <c r="AK75" s="428" t="str">
        <f>_xlfn.CONCAT("WHT (",IF(ISBLANK(BusinessCurrency),"N/A",BusinessCurrency),")")</f>
        <v>WHT (USD)</v>
      </c>
      <c r="AL75" s="70"/>
      <c r="AM75" s="70" t="s">
        <v>15</v>
      </c>
      <c r="AN75" s="428" t="str">
        <f>_xlfn.CONCAT("SUBTOTAL PRICE (",BillingCountryCurrency,")")</f>
        <v>SUBTOTAL PRICE (COP)</v>
      </c>
      <c r="AO75" s="428" t="str">
        <f>_xlfn.CONCAT("SUBTOTAL PRICE (",IF(ISBLANK(BusinessCurrency),"N/A",BusinessCurrency),")")</f>
        <v>SUBTOTAL PRICE (USD)</v>
      </c>
      <c r="AP75" s="7"/>
      <c r="AQ75" s="342"/>
      <c r="AR75" s="290"/>
      <c r="AS75" s="13" t="s">
        <v>83</v>
      </c>
      <c r="AT75" s="290"/>
      <c r="AU75" s="100"/>
      <c r="AV75" s="417"/>
      <c r="AW75" s="417"/>
      <c r="AX75" s="290"/>
      <c r="AY75" s="342"/>
      <c r="AZ75" s="3"/>
      <c r="BA75" s="315"/>
      <c r="BB75" s="3"/>
      <c r="BC75" s="3"/>
      <c r="BD75" s="3"/>
      <c r="BE75" s="3"/>
      <c r="BF75" s="342"/>
      <c r="BG75" s="3"/>
      <c r="BH75" s="315"/>
      <c r="BI75" s="3"/>
      <c r="BJ75" s="3"/>
      <c r="BK75" s="3"/>
      <c r="BL75" s="3"/>
      <c r="BM75" s="342"/>
      <c r="BN75" s="3"/>
      <c r="BO75" s="315"/>
      <c r="BP75" s="3"/>
      <c r="BQ75" s="3"/>
      <c r="BR75" s="3"/>
      <c r="BS75" s="3"/>
      <c r="BT75" s="342"/>
      <c r="BU75" s="3"/>
      <c r="BV75" s="315"/>
      <c r="BW75" s="3"/>
      <c r="BX75" s="3"/>
      <c r="BY75" s="3"/>
      <c r="BZ75" s="3"/>
      <c r="CA75" s="342"/>
      <c r="CB75" s="342"/>
      <c r="CC75" s="342"/>
      <c r="CD75" s="342"/>
    </row>
    <row r="76" spans="1:82" s="325" customFormat="1" ht="15.6">
      <c r="A76" s="480"/>
      <c r="B76" s="507"/>
      <c r="C76" s="507"/>
      <c r="D76" s="324"/>
      <c r="E76" s="342"/>
      <c r="F76" s="290"/>
      <c r="G76" s="79"/>
      <c r="H76" s="326"/>
      <c r="I76" s="326"/>
      <c r="J76" s="80"/>
      <c r="K76" s="290"/>
      <c r="L76" s="342"/>
      <c r="M76" s="2"/>
      <c r="N76" s="79" t="s">
        <v>84</v>
      </c>
      <c r="O76" s="103">
        <f ca="1">SUMIF($P90:$P119,"&lt;&gt;*Project Management*",$T90:$T119)</f>
        <v>26.227637999999999</v>
      </c>
      <c r="P76" s="396">
        <f ca="1">IFERROR(O76/O79,0)</f>
        <v>0.82224389153830135</v>
      </c>
      <c r="Q76" s="82"/>
      <c r="R76" s="77"/>
      <c r="S76" s="77"/>
      <c r="T76" s="77"/>
      <c r="U76" s="4" t="s">
        <v>24</v>
      </c>
      <c r="V76" s="328">
        <f ca="1">SUMIF(P90:P119,"&lt;&gt;*Project Management*",W90:W119)</f>
        <v>1053221.9513319002</v>
      </c>
      <c r="W76" s="425">
        <f t="shared" ref="W76:W85" ca="1" si="62">IFERROR(V76/BusinessCurrencyTRM,"N/A")</f>
        <v>270.05691059792315</v>
      </c>
      <c r="X76" s="7"/>
      <c r="Y76" s="7" t="s">
        <v>85</v>
      </c>
      <c r="Z76" s="2"/>
      <c r="AA76" s="304"/>
      <c r="AB76" s="7"/>
      <c r="AC76" s="4" t="s">
        <v>24</v>
      </c>
      <c r="AD76" s="329">
        <f ca="1">SUMIF(P90:P119,"&lt;&gt;*Project Management*",AD90:AD119)</f>
        <v>1504602.8058096</v>
      </c>
      <c r="AE76" s="425">
        <f t="shared" ref="AE76:AE85" ca="1" si="63">IFERROR(AD76/BusinessCurrencyTRM,"N/A")</f>
        <v>385.79559123323077</v>
      </c>
      <c r="AF76" s="330"/>
      <c r="AG76" s="328">
        <f ca="1">SUMIF(P90:P119,"&lt;&gt;*Project Management*",AH90:AH119)</f>
        <v>0</v>
      </c>
      <c r="AH76" s="449">
        <f t="shared" ref="AH76:AH85" ca="1" si="64">IFERROR(AG76/BusinessCurrencyTRM,"N/A")</f>
        <v>0</v>
      </c>
      <c r="AI76" s="330"/>
      <c r="AJ76" s="328">
        <f ca="1">SUMIF(P90:P119,"&lt;&gt;*Project Management*",AK90:AK119)</f>
        <v>0</v>
      </c>
      <c r="AK76" s="425">
        <f t="shared" ref="AK76:AK85" ca="1" si="65">IFERROR(AJ76/BusinessCurrencyTRM,"N/A")</f>
        <v>0</v>
      </c>
      <c r="AL76" s="330"/>
      <c r="AM76" s="330"/>
      <c r="AN76" s="329">
        <f ca="1">SUM(AD76,AG76,AJ76)</f>
        <v>1504602.8058096</v>
      </c>
      <c r="AO76" s="425">
        <f t="shared" ref="AO76:AO85" ca="1" si="66">IFERROR(AN76/BusinessCurrencyTRM,"N/A")</f>
        <v>385.79559123323077</v>
      </c>
      <c r="AP76" s="7"/>
      <c r="AQ76" s="342"/>
      <c r="AR76" s="290"/>
      <c r="AS76" s="402" t="s">
        <v>86</v>
      </c>
      <c r="AT76" s="290"/>
      <c r="AU76" s="81"/>
      <c r="AV76" s="508">
        <f>CMSResumen!H21</f>
        <v>0.3</v>
      </c>
      <c r="AW76" s="508"/>
      <c r="AX76" s="290"/>
      <c r="AY76" s="342"/>
      <c r="AZ76" s="3"/>
      <c r="BA76" s="315"/>
      <c r="BB76" s="3"/>
      <c r="BC76" s="3"/>
      <c r="BD76" s="3"/>
      <c r="BE76" s="3"/>
      <c r="BF76" s="342"/>
      <c r="BG76" s="3"/>
      <c r="BH76" s="315"/>
      <c r="BI76" s="3"/>
      <c r="BJ76" s="3"/>
      <c r="BK76" s="3"/>
      <c r="BL76" s="3"/>
      <c r="BM76" s="342"/>
      <c r="BN76" s="3"/>
      <c r="BO76" s="315"/>
      <c r="BP76" s="3"/>
      <c r="BQ76" s="3"/>
      <c r="BR76" s="3"/>
      <c r="BS76" s="3"/>
      <c r="BT76" s="342"/>
      <c r="BU76" s="3"/>
      <c r="BV76" s="315"/>
      <c r="BW76" s="3"/>
      <c r="BX76" s="3"/>
      <c r="BY76" s="3"/>
      <c r="BZ76" s="3"/>
      <c r="CA76" s="342"/>
      <c r="CB76" s="342"/>
      <c r="CC76" s="342"/>
      <c r="CD76" s="342"/>
    </row>
    <row r="77" spans="1:82" s="325" customFormat="1" ht="16.149999999999999" thickBot="1">
      <c r="A77" s="480"/>
      <c r="B77" s="507"/>
      <c r="C77" s="507"/>
      <c r="D77" s="324"/>
      <c r="E77" s="342"/>
      <c r="F77" s="290"/>
      <c r="G77" s="79"/>
      <c r="H77" s="326"/>
      <c r="I77" s="326"/>
      <c r="J77" s="80"/>
      <c r="K77" s="290"/>
      <c r="L77" s="342"/>
      <c r="M77" s="2"/>
      <c r="N77" s="79" t="s">
        <v>87</v>
      </c>
      <c r="O77" s="103">
        <f ca="1">SUMIF($P90:$P119,"=*Project Management*",$T90:T119)</f>
        <v>5.67</v>
      </c>
      <c r="P77" s="396">
        <f ca="1">IFERROR(O77/O79,0)</f>
        <v>0.17775610846169862</v>
      </c>
      <c r="Q77" s="82"/>
      <c r="R77" s="77"/>
      <c r="S77" s="77"/>
      <c r="T77" s="77"/>
      <c r="U77" s="4" t="s">
        <v>30</v>
      </c>
      <c r="V77" s="328">
        <f ca="1">SUMIF(P90:P119,"=*Project Management*",W90:W119)</f>
        <v>0</v>
      </c>
      <c r="W77" s="425">
        <f t="shared" ca="1" si="62"/>
        <v>0</v>
      </c>
      <c r="X77" s="7"/>
      <c r="Y77" s="7" t="s">
        <v>88</v>
      </c>
      <c r="Z77" s="2"/>
      <c r="AA77" s="304"/>
      <c r="AB77" s="7"/>
      <c r="AC77" s="4" t="s">
        <v>30</v>
      </c>
      <c r="AD77" s="329">
        <f ca="1">SUMIF(P90:P119,"=*Project Management*",AD90:AD119)</f>
        <v>0</v>
      </c>
      <c r="AE77" s="425">
        <f t="shared" ca="1" si="63"/>
        <v>0</v>
      </c>
      <c r="AF77" s="330"/>
      <c r="AG77" s="328">
        <f ca="1">SUMIF(P90:P119,"=*Project Management*",AH90:AH119)</f>
        <v>0</v>
      </c>
      <c r="AH77" s="447">
        <f t="shared" ca="1" si="64"/>
        <v>0</v>
      </c>
      <c r="AI77" s="330"/>
      <c r="AJ77" s="448">
        <f ca="1">SUMIF(P90:P119,"=*Project Management*",AK90:AK119)</f>
        <v>0</v>
      </c>
      <c r="AK77" s="425">
        <f t="shared" ca="1" si="65"/>
        <v>0</v>
      </c>
      <c r="AL77" s="330"/>
      <c r="AM77" s="330"/>
      <c r="AN77" s="329">
        <f t="shared" ref="AN77:AN85" ca="1" si="67">SUM(AD77,AG77,AJ77)</f>
        <v>0</v>
      </c>
      <c r="AO77" s="425">
        <f t="shared" ca="1" si="66"/>
        <v>0</v>
      </c>
      <c r="AP77" s="7"/>
      <c r="AQ77" s="342"/>
      <c r="AR77" s="290"/>
      <c r="AS77" s="402" t="s">
        <v>89</v>
      </c>
      <c r="AT77" s="290"/>
      <c r="AU77" s="81"/>
      <c r="AV77" s="509">
        <f ca="1">IFERROR(1-AV79/AV80,0)</f>
        <v>0.30000000846390806</v>
      </c>
      <c r="AW77" s="509"/>
      <c r="AX77" s="290"/>
      <c r="AY77" s="342"/>
      <c r="AZ77" s="3"/>
      <c r="BA77" s="315"/>
      <c r="BB77" s="3"/>
      <c r="BC77" s="3"/>
      <c r="BD77" s="3"/>
      <c r="BE77" s="3"/>
      <c r="BF77" s="342"/>
      <c r="BG77" s="3"/>
      <c r="BH77" s="315"/>
      <c r="BI77" s="3"/>
      <c r="BJ77" s="3"/>
      <c r="BK77" s="3"/>
      <c r="BL77" s="3"/>
      <c r="BM77" s="342"/>
      <c r="BN77" s="3"/>
      <c r="BO77" s="315"/>
      <c r="BP77" s="3"/>
      <c r="BQ77" s="3"/>
      <c r="BR77" s="3"/>
      <c r="BS77" s="3"/>
      <c r="BT77" s="342"/>
      <c r="BU77" s="3"/>
      <c r="BV77" s="315"/>
      <c r="BW77" s="3"/>
      <c r="BX77" s="3"/>
      <c r="BY77" s="3"/>
      <c r="BZ77" s="3"/>
      <c r="CA77" s="342"/>
      <c r="CB77" s="342"/>
      <c r="CC77" s="342"/>
      <c r="CD77" s="342"/>
    </row>
    <row r="78" spans="1:82" s="325" customFormat="1" ht="16.899999999999999" thickTop="1" thickBot="1">
      <c r="A78" s="480"/>
      <c r="B78" s="507"/>
      <c r="C78" s="507"/>
      <c r="D78" s="324"/>
      <c r="E78" s="342"/>
      <c r="F78" s="290"/>
      <c r="G78" s="79"/>
      <c r="H78" s="326"/>
      <c r="I78" s="326"/>
      <c r="J78" s="80"/>
      <c r="K78" s="290"/>
      <c r="L78" s="342"/>
      <c r="M78" s="2"/>
      <c r="N78" s="79" t="s">
        <v>90</v>
      </c>
      <c r="O78" s="103">
        <f ca="1">IF(Approach="Team-Based",SUM(O76:O77)*$O81,$J88-$G88)</f>
        <v>0</v>
      </c>
      <c r="P78" s="396">
        <f ca="1">IFERROR(O78/O79,0)</f>
        <v>0</v>
      </c>
      <c r="Q78" s="77"/>
      <c r="R78" s="77"/>
      <c r="S78" s="77"/>
      <c r="T78" s="77"/>
      <c r="U78" s="13" t="s">
        <v>35</v>
      </c>
      <c r="V78" s="84">
        <f ca="1">SUM(V76:V77)</f>
        <v>1053221.9513319002</v>
      </c>
      <c r="W78" s="426">
        <f t="shared" ca="1" si="62"/>
        <v>270.05691059792315</v>
      </c>
      <c r="X78" s="77"/>
      <c r="Y78" s="77"/>
      <c r="Z78" s="2"/>
      <c r="AA78" s="304"/>
      <c r="AB78" s="7"/>
      <c r="AC78" s="13" t="s">
        <v>35</v>
      </c>
      <c r="AD78" s="84">
        <f ca="1">SUM(AD76:AD77)</f>
        <v>1504602.8058096</v>
      </c>
      <c r="AE78" s="426">
        <f t="shared" ca="1" si="63"/>
        <v>385.79559123323077</v>
      </c>
      <c r="AF78" s="330"/>
      <c r="AG78" s="84">
        <f ca="1">SUM(AG76:AG77)</f>
        <v>0</v>
      </c>
      <c r="AH78" s="450">
        <f t="shared" ca="1" si="64"/>
        <v>0</v>
      </c>
      <c r="AI78" s="330"/>
      <c r="AJ78" s="84">
        <f ca="1">SUM(AJ76:AJ77)</f>
        <v>0</v>
      </c>
      <c r="AK78" s="426">
        <f t="shared" ca="1" si="65"/>
        <v>0</v>
      </c>
      <c r="AL78" s="330"/>
      <c r="AM78" s="330"/>
      <c r="AN78" s="84">
        <f t="shared" ca="1" si="67"/>
        <v>1504602.8058096</v>
      </c>
      <c r="AO78" s="426">
        <f t="shared" ca="1" si="66"/>
        <v>385.79559123323077</v>
      </c>
      <c r="AP78" s="7"/>
      <c r="AQ78" s="342"/>
      <c r="AR78" s="290"/>
      <c r="AS78" s="81"/>
      <c r="AT78" s="81"/>
      <c r="AU78" s="81"/>
      <c r="AV78" s="417" t="str">
        <f>BillingCountryCurrency</f>
        <v>COP</v>
      </c>
      <c r="AW78" s="417" t="str">
        <f>IF(ISBLANK(BusinessCurrency),"N/A",BusinessCurrency)</f>
        <v>USD</v>
      </c>
      <c r="AX78" s="290"/>
      <c r="AY78" s="342"/>
      <c r="AZ78" s="3"/>
      <c r="BA78" s="315"/>
      <c r="BB78" s="3"/>
      <c r="BC78" s="3"/>
      <c r="BD78" s="3"/>
      <c r="BE78" s="3"/>
      <c r="BF78" s="342"/>
      <c r="BG78" s="3"/>
      <c r="BH78" s="315"/>
      <c r="BI78" s="3"/>
      <c r="BJ78" s="3"/>
      <c r="BK78" s="3"/>
      <c r="BL78" s="3"/>
      <c r="BM78" s="342"/>
      <c r="BN78" s="3"/>
      <c r="BO78" s="315"/>
      <c r="BP78" s="3"/>
      <c r="BQ78" s="3"/>
      <c r="BR78" s="3"/>
      <c r="BS78" s="3"/>
      <c r="BT78" s="342"/>
      <c r="BU78" s="3"/>
      <c r="BV78" s="315"/>
      <c r="BW78" s="3"/>
      <c r="BX78" s="3"/>
      <c r="BY78" s="3"/>
      <c r="BZ78" s="3"/>
      <c r="CA78" s="342"/>
      <c r="CB78" s="342"/>
      <c r="CC78" s="342"/>
      <c r="CD78" s="342"/>
    </row>
    <row r="79" spans="1:82" s="325" customFormat="1" ht="16.149999999999999" thickTop="1">
      <c r="A79" s="480"/>
      <c r="B79" s="507"/>
      <c r="C79" s="507"/>
      <c r="D79" s="324"/>
      <c r="E79" s="342"/>
      <c r="F79" s="290"/>
      <c r="G79" s="79"/>
      <c r="H79" s="326"/>
      <c r="I79" s="326"/>
      <c r="J79" s="80"/>
      <c r="K79" s="290"/>
      <c r="L79" s="342"/>
      <c r="M79" s="2"/>
      <c r="N79" s="83" t="s">
        <v>91</v>
      </c>
      <c r="O79" s="102">
        <f ca="1">SUM(O76:O78)</f>
        <v>31.897638000000001</v>
      </c>
      <c r="P79" s="397">
        <f ca="1">SUM(P76:P78)</f>
        <v>1</v>
      </c>
      <c r="Q79" s="77"/>
      <c r="R79" s="77"/>
      <c r="S79" s="77"/>
      <c r="T79" s="77"/>
      <c r="U79" s="4" t="s">
        <v>47</v>
      </c>
      <c r="V79" s="328">
        <f ca="1">ROUNDUP(V78*O81,2)</f>
        <v>0</v>
      </c>
      <c r="W79" s="425">
        <f t="shared" ca="1" si="62"/>
        <v>0</v>
      </c>
      <c r="X79" s="7"/>
      <c r="Y79" s="7" t="s">
        <v>92</v>
      </c>
      <c r="Z79" s="2"/>
      <c r="AA79" s="304"/>
      <c r="AB79" s="7"/>
      <c r="AC79" s="4" t="s">
        <v>47</v>
      </c>
      <c r="AD79" s="328">
        <f ca="1">ROUNDUP(V79/(1-$AV$76),2)</f>
        <v>0</v>
      </c>
      <c r="AE79" s="425">
        <f t="shared" ca="1" si="63"/>
        <v>0</v>
      </c>
      <c r="AF79" s="330"/>
      <c r="AG79" s="328">
        <f ca="1">IFERROR(V79*MAX(AG90:AG119),0)</f>
        <v>0</v>
      </c>
      <c r="AH79" s="449">
        <f t="shared" ca="1" si="64"/>
        <v>0</v>
      </c>
      <c r="AI79" s="330"/>
      <c r="AJ79" s="328">
        <f ca="1">IFERROR(SUM(V79,AG79)*MAX(AJ90:AJ119),0)</f>
        <v>0</v>
      </c>
      <c r="AK79" s="425">
        <f t="shared" ca="1" si="65"/>
        <v>0</v>
      </c>
      <c r="AL79" s="330"/>
      <c r="AM79" s="330"/>
      <c r="AN79" s="329">
        <f t="shared" ca="1" si="67"/>
        <v>0</v>
      </c>
      <c r="AO79" s="425">
        <f t="shared" ca="1" si="66"/>
        <v>0</v>
      </c>
      <c r="AP79" s="7"/>
      <c r="AQ79" s="342"/>
      <c r="AR79" s="290"/>
      <c r="AS79" s="402" t="s">
        <v>93</v>
      </c>
      <c r="AT79" s="290"/>
      <c r="AU79" s="81"/>
      <c r="AV79" s="298">
        <f ca="1">SUM(V85,AG85,AJ85)</f>
        <v>1053221.9513319002</v>
      </c>
      <c r="AW79" s="418">
        <f ca="1">IFERROR(AV79/BusinessCurrencyTRM,"N/A")</f>
        <v>270.05691059792315</v>
      </c>
      <c r="AX79" s="290"/>
      <c r="AY79" s="342"/>
      <c r="AZ79" s="3"/>
      <c r="BA79" s="315"/>
      <c r="BB79" s="3"/>
      <c r="BC79" s="3"/>
      <c r="BD79" s="3"/>
      <c r="BE79" s="3"/>
      <c r="BF79" s="342"/>
      <c r="BG79" s="3"/>
      <c r="BH79" s="315"/>
      <c r="BI79" s="3"/>
      <c r="BJ79" s="3"/>
      <c r="BK79" s="3"/>
      <c r="BL79" s="3"/>
      <c r="BM79" s="342"/>
      <c r="BN79" s="3"/>
      <c r="BO79" s="315"/>
      <c r="BP79" s="3"/>
      <c r="BQ79" s="3"/>
      <c r="BR79" s="3"/>
      <c r="BS79" s="3"/>
      <c r="BT79" s="342"/>
      <c r="BU79" s="3"/>
      <c r="BV79" s="315"/>
      <c r="BW79" s="3"/>
      <c r="BX79" s="3"/>
      <c r="BY79" s="3"/>
      <c r="BZ79" s="3"/>
      <c r="CA79" s="342"/>
      <c r="CB79" s="342"/>
      <c r="CC79" s="342"/>
      <c r="CD79" s="342"/>
    </row>
    <row r="80" spans="1:82" s="325" customFormat="1" ht="15.6">
      <c r="A80" s="480"/>
      <c r="B80" s="507"/>
      <c r="C80" s="507"/>
      <c r="D80" s="324"/>
      <c r="E80" s="342"/>
      <c r="F80" s="290"/>
      <c r="G80" s="79"/>
      <c r="H80" s="326"/>
      <c r="I80" s="326"/>
      <c r="J80" s="80"/>
      <c r="K80" s="290"/>
      <c r="L80" s="342"/>
      <c r="M80" s="2"/>
      <c r="N80" s="2"/>
      <c r="O80" s="2"/>
      <c r="P80" s="32"/>
      <c r="Q80" s="77"/>
      <c r="R80" s="77"/>
      <c r="S80" s="77"/>
      <c r="T80" s="77"/>
      <c r="U80" s="4" t="s">
        <v>50</v>
      </c>
      <c r="V80" s="328">
        <f>IFERROR(SUMIF(PayRise!A:A,B74,PayRise!J:J),0)</f>
        <v>0</v>
      </c>
      <c r="W80" s="425">
        <f t="shared" si="62"/>
        <v>0</v>
      </c>
      <c r="X80" s="7"/>
      <c r="Y80" s="7" t="s">
        <v>94</v>
      </c>
      <c r="Z80" s="2"/>
      <c r="AA80" s="304"/>
      <c r="AB80" s="7"/>
      <c r="AC80" s="4" t="s">
        <v>50</v>
      </c>
      <c r="AD80" s="328">
        <f>IFERROR(SUMIF(PayRise!A:A,B74,PayRise!K:K),0)</f>
        <v>0</v>
      </c>
      <c r="AE80" s="425">
        <f t="shared" si="63"/>
        <v>0</v>
      </c>
      <c r="AF80" s="330"/>
      <c r="AG80" s="328">
        <f>IFERROR(SUMIF(PayRise!A:A,B74,PayRise!L:L),0)</f>
        <v>0</v>
      </c>
      <c r="AH80" s="445">
        <f t="shared" si="64"/>
        <v>0</v>
      </c>
      <c r="AI80" s="330"/>
      <c r="AJ80" s="446">
        <f>IFERROR(SUMIF(PayRise!A:A,B74,PayRise!M:M),0)</f>
        <v>0</v>
      </c>
      <c r="AK80" s="425">
        <f t="shared" si="65"/>
        <v>0</v>
      </c>
      <c r="AL80" s="330"/>
      <c r="AM80" s="330"/>
      <c r="AN80" s="329">
        <f t="shared" si="67"/>
        <v>0</v>
      </c>
      <c r="AO80" s="425">
        <f t="shared" si="66"/>
        <v>0</v>
      </c>
      <c r="AP80" s="7"/>
      <c r="AQ80" s="342"/>
      <c r="AR80" s="290"/>
      <c r="AS80" s="402" t="s">
        <v>95</v>
      </c>
      <c r="AT80" s="290"/>
      <c r="AU80" s="100"/>
      <c r="AV80" s="298">
        <f ca="1">AN85</f>
        <v>1504602.8058096</v>
      </c>
      <c r="AW80" s="418">
        <f ca="1">IFERROR(AV80/BusinessCurrencyTRM,"N/A")</f>
        <v>385.79559123323077</v>
      </c>
      <c r="AX80" s="290"/>
      <c r="AY80" s="342"/>
      <c r="AZ80" s="3"/>
      <c r="BA80" s="315"/>
      <c r="BB80" s="3"/>
      <c r="BC80" s="3"/>
      <c r="BD80" s="3"/>
      <c r="BE80" s="3"/>
      <c r="BF80" s="342"/>
      <c r="BG80" s="3"/>
      <c r="BH80" s="315"/>
      <c r="BI80" s="3"/>
      <c r="BJ80" s="3"/>
      <c r="BK80" s="3"/>
      <c r="BL80" s="3"/>
      <c r="BM80" s="342"/>
      <c r="BN80" s="3"/>
      <c r="BO80" s="315"/>
      <c r="BP80" s="3"/>
      <c r="BQ80" s="3"/>
      <c r="BR80" s="3"/>
      <c r="BS80" s="3"/>
      <c r="BT80" s="342"/>
      <c r="BU80" s="3"/>
      <c r="BV80" s="315"/>
      <c r="BW80" s="3"/>
      <c r="BX80" s="3"/>
      <c r="BY80" s="3"/>
      <c r="BZ80" s="3"/>
      <c r="CA80" s="342"/>
      <c r="CB80" s="342"/>
      <c r="CC80" s="342"/>
      <c r="CD80" s="342"/>
    </row>
    <row r="81" spans="1:79" s="325" customFormat="1" ht="15.6">
      <c r="A81" s="480"/>
      <c r="B81" s="507"/>
      <c r="C81" s="507"/>
      <c r="D81" s="324"/>
      <c r="E81" s="342"/>
      <c r="F81" s="290"/>
      <c r="G81" s="79"/>
      <c r="H81" s="326"/>
      <c r="I81" s="326"/>
      <c r="J81" s="80"/>
      <c r="K81" s="290"/>
      <c r="L81" s="342"/>
      <c r="M81" s="2"/>
      <c r="N81" s="13" t="str">
        <f>IF(Approach="By Hours", "N/A for ByHours", "% Risks")</f>
        <v>% Risks</v>
      </c>
      <c r="O81" s="331">
        <v>0</v>
      </c>
      <c r="P81" s="32"/>
      <c r="Q81" s="77"/>
      <c r="R81" s="77"/>
      <c r="S81" s="309"/>
      <c r="T81" s="309"/>
      <c r="U81" s="4" t="s">
        <v>55</v>
      </c>
      <c r="V81" s="328">
        <f>IFERROR(SUMIFS(OtherCosts!Q:Q,OtherCosts!A:A,B74,OtherCosts!B:B,"Hardware/Software"),0)</f>
        <v>0</v>
      </c>
      <c r="W81" s="425">
        <f t="shared" si="62"/>
        <v>0</v>
      </c>
      <c r="X81" s="7"/>
      <c r="Y81" s="7" t="s">
        <v>96</v>
      </c>
      <c r="Z81" s="2"/>
      <c r="AA81" s="304"/>
      <c r="AB81" s="7"/>
      <c r="AC81" s="4" t="s">
        <v>55</v>
      </c>
      <c r="AD81" s="328">
        <f>IFERROR(SUMIFS(OtherCosts!R:R,OtherCosts!A:A,B74,OtherCosts!B:B,"Hardware/Software"),0)</f>
        <v>0</v>
      </c>
      <c r="AE81" s="425">
        <f t="shared" si="63"/>
        <v>0</v>
      </c>
      <c r="AF81" s="330"/>
      <c r="AG81" s="328">
        <f>IFERROR(SUMIFS(OtherCosts!S:S,OtherCosts!A:A,B74,OtherCosts!B:B,"Hardware/Software"),0)</f>
        <v>0</v>
      </c>
      <c r="AH81" s="445">
        <f t="shared" si="64"/>
        <v>0</v>
      </c>
      <c r="AI81" s="330"/>
      <c r="AJ81" s="446">
        <f>IFERROR(SUMIFS(OtherCosts!T:T,OtherCosts!A:A,B74,OtherCosts!B:B,"Hardware/Software"),0)</f>
        <v>0</v>
      </c>
      <c r="AK81" s="425">
        <f t="shared" si="65"/>
        <v>0</v>
      </c>
      <c r="AL81" s="330"/>
      <c r="AM81" s="330"/>
      <c r="AN81" s="329">
        <f t="shared" si="67"/>
        <v>0</v>
      </c>
      <c r="AO81" s="425">
        <f t="shared" si="66"/>
        <v>0</v>
      </c>
      <c r="AP81" s="7"/>
      <c r="AQ81" s="342"/>
      <c r="AR81" s="290"/>
      <c r="AS81" s="402" t="s">
        <v>97</v>
      </c>
      <c r="AT81" s="290"/>
      <c r="AU81" s="100"/>
      <c r="AV81" s="298">
        <f ca="1">IFERROR(IF(O82&lt;1,AN85,AN85/O82),0)</f>
        <v>1504602.8058096</v>
      </c>
      <c r="AW81" s="418">
        <f ca="1">IFERROR(AV81/BusinessCurrencyTRM,"N/A")</f>
        <v>385.79559123323077</v>
      </c>
      <c r="AX81" s="290"/>
      <c r="AY81" s="342"/>
      <c r="AZ81" s="3"/>
      <c r="BA81" s="315"/>
      <c r="BB81" s="3"/>
      <c r="BC81" s="3"/>
      <c r="BD81" s="3"/>
      <c r="BE81" s="3"/>
      <c r="BF81" s="342"/>
      <c r="BG81" s="3"/>
      <c r="BH81" s="315"/>
      <c r="BI81" s="3"/>
      <c r="BJ81" s="3"/>
      <c r="BK81" s="3"/>
      <c r="BL81" s="3"/>
      <c r="BM81" s="342"/>
      <c r="BN81" s="3"/>
      <c r="BO81" s="315"/>
      <c r="BP81" s="3"/>
      <c r="BQ81" s="3"/>
      <c r="BR81" s="3"/>
      <c r="BS81" s="3"/>
      <c r="BT81" s="342"/>
      <c r="BU81" s="3"/>
      <c r="BV81" s="315"/>
      <c r="BW81" s="3"/>
      <c r="BX81" s="3"/>
      <c r="BY81" s="3"/>
      <c r="BZ81" s="3"/>
      <c r="CA81" s="342"/>
    </row>
    <row r="82" spans="1:79" s="325" customFormat="1" ht="15.6">
      <c r="A82" s="480"/>
      <c r="B82" s="507"/>
      <c r="C82" s="507"/>
      <c r="D82" s="324"/>
      <c r="E82" s="342"/>
      <c r="F82" s="290"/>
      <c r="G82" s="79"/>
      <c r="H82" s="326"/>
      <c r="I82" s="326"/>
      <c r="J82" s="80"/>
      <c r="K82" s="290"/>
      <c r="L82" s="342"/>
      <c r="M82" s="2"/>
      <c r="N82" s="13" t="str">
        <f>IF(Approach="By Hours", "N/A for ByHours", "Duration (Months) *")</f>
        <v>Duration (Months) *</v>
      </c>
      <c r="O82" s="332">
        <v>0</v>
      </c>
      <c r="P82" s="32"/>
      <c r="Q82" s="77"/>
      <c r="R82" s="77"/>
      <c r="S82" s="309"/>
      <c r="T82" s="309"/>
      <c r="U82" s="4" t="s">
        <v>58</v>
      </c>
      <c r="V82" s="328">
        <f>IFERROR(SUMIFS(OtherCosts!Q:Q,OtherCosts!A:A,B74,OtherCosts!B:B,"Vendor"),0)</f>
        <v>0</v>
      </c>
      <c r="W82" s="425">
        <f t="shared" si="62"/>
        <v>0</v>
      </c>
      <c r="X82" s="7"/>
      <c r="Y82" s="7" t="s">
        <v>98</v>
      </c>
      <c r="Z82" s="2"/>
      <c r="AA82" s="304"/>
      <c r="AB82" s="7"/>
      <c r="AC82" s="4" t="s">
        <v>58</v>
      </c>
      <c r="AD82" s="328">
        <f>IFERROR(SUMIFS(OtherCosts!R:R,OtherCosts!A:A,B74,OtherCosts!B:B,"Vendor"),0)</f>
        <v>0</v>
      </c>
      <c r="AE82" s="425">
        <f t="shared" si="63"/>
        <v>0</v>
      </c>
      <c r="AF82" s="330"/>
      <c r="AG82" s="328">
        <f>IFERROR(SUMIFS(OtherCosts!S:S,OtherCosts!A:A,B74,OtherCosts!B:B,"Vendor"),0)</f>
        <v>0</v>
      </c>
      <c r="AH82" s="445">
        <f t="shared" si="64"/>
        <v>0</v>
      </c>
      <c r="AI82" s="330"/>
      <c r="AJ82" s="446">
        <f>IFERROR(SUMIFS(OtherCosts!T:T,OtherCosts!A:A,B74,OtherCosts!B:B,"Vendor"),0)</f>
        <v>0</v>
      </c>
      <c r="AK82" s="425">
        <f t="shared" si="65"/>
        <v>0</v>
      </c>
      <c r="AL82" s="330"/>
      <c r="AM82" s="330"/>
      <c r="AN82" s="329">
        <f t="shared" si="67"/>
        <v>0</v>
      </c>
      <c r="AO82" s="425">
        <f t="shared" si="66"/>
        <v>0</v>
      </c>
      <c r="AP82" s="7"/>
      <c r="AQ82" s="342"/>
      <c r="AR82" s="290"/>
      <c r="AS82" s="402" t="s">
        <v>99</v>
      </c>
      <c r="AT82" s="290"/>
      <c r="AU82" s="100"/>
      <c r="AV82" s="298">
        <f ca="1">IFERROR(AN85/T88,0)</f>
        <v>47166.232157040751</v>
      </c>
      <c r="AW82" s="418">
        <f ca="1">IFERROR(AV82/BusinessCurrencyTRM,"N/A")</f>
        <v>12.093905681292501</v>
      </c>
      <c r="AX82" s="290"/>
      <c r="AY82" s="342"/>
      <c r="AZ82" s="3"/>
      <c r="BA82" s="315"/>
      <c r="BB82" s="3"/>
      <c r="BC82" s="3"/>
      <c r="BD82" s="3"/>
      <c r="BE82" s="3"/>
      <c r="BF82" s="342"/>
      <c r="BG82" s="3"/>
      <c r="BH82" s="315"/>
      <c r="BI82" s="3"/>
      <c r="BJ82" s="3"/>
      <c r="BK82" s="3"/>
      <c r="BL82" s="3"/>
      <c r="BM82" s="342"/>
      <c r="BN82" s="3"/>
      <c r="BO82" s="315"/>
      <c r="BP82" s="3"/>
      <c r="BQ82" s="3"/>
      <c r="BR82" s="3"/>
      <c r="BS82" s="3"/>
      <c r="BT82" s="342"/>
      <c r="BU82" s="3"/>
      <c r="BV82" s="315"/>
      <c r="BW82" s="3"/>
      <c r="BX82" s="3"/>
      <c r="BY82" s="3"/>
      <c r="BZ82" s="3"/>
      <c r="CA82" s="342"/>
    </row>
    <row r="83" spans="1:79" s="325" customFormat="1" ht="15.6">
      <c r="A83" s="480"/>
      <c r="B83" s="507"/>
      <c r="C83" s="507"/>
      <c r="D83" s="324"/>
      <c r="E83" s="342"/>
      <c r="F83" s="290"/>
      <c r="G83" s="79"/>
      <c r="H83" s="326"/>
      <c r="I83" s="326"/>
      <c r="J83" s="80"/>
      <c r="K83" s="290"/>
      <c r="L83" s="342"/>
      <c r="M83" s="2"/>
      <c r="N83" s="83"/>
      <c r="O83" s="333"/>
      <c r="P83" s="32"/>
      <c r="Q83" s="77"/>
      <c r="R83" s="77"/>
      <c r="S83" s="309"/>
      <c r="T83" s="309"/>
      <c r="U83" s="4" t="s">
        <v>61</v>
      </c>
      <c r="V83" s="328">
        <f>IFERROR(SUMIFS(OtherCosts!Q:Q,OtherCosts!A:A,B74,OtherCosts!B:B,"Insurance"),0)</f>
        <v>0</v>
      </c>
      <c r="W83" s="425">
        <f t="shared" si="62"/>
        <v>0</v>
      </c>
      <c r="X83" s="7"/>
      <c r="Y83" s="7" t="s">
        <v>100</v>
      </c>
      <c r="Z83" s="2"/>
      <c r="AA83" s="304"/>
      <c r="AB83" s="7"/>
      <c r="AC83" s="4" t="s">
        <v>61</v>
      </c>
      <c r="AD83" s="328">
        <f>IFERROR(SUMIFS(OtherCosts!R:R,OtherCosts!A:A,B74,OtherCosts!B:B,"Insurance"),0)</f>
        <v>0</v>
      </c>
      <c r="AE83" s="425">
        <f t="shared" si="63"/>
        <v>0</v>
      </c>
      <c r="AF83" s="330"/>
      <c r="AG83" s="328">
        <f>IFERROR(SUMIFS(OtherCosts!S:S,OtherCosts!A:A,B74,OtherCosts!B:B,"Insurance"),0)</f>
        <v>0</v>
      </c>
      <c r="AH83" s="445">
        <f t="shared" si="64"/>
        <v>0</v>
      </c>
      <c r="AI83" s="330"/>
      <c r="AJ83" s="446">
        <f>IFERROR(SUMIFS(OtherCosts!T:T,OtherCosts!A:A,B74,OtherCosts!B:B,"Insurance"),0)</f>
        <v>0</v>
      </c>
      <c r="AK83" s="425">
        <f t="shared" si="65"/>
        <v>0</v>
      </c>
      <c r="AL83" s="330"/>
      <c r="AM83" s="330"/>
      <c r="AN83" s="329">
        <f t="shared" si="67"/>
        <v>0</v>
      </c>
      <c r="AO83" s="425">
        <f t="shared" si="66"/>
        <v>0</v>
      </c>
      <c r="AP83" s="7"/>
      <c r="AQ83" s="342"/>
      <c r="AR83" s="290"/>
      <c r="AS83" s="290"/>
      <c r="AT83" s="81"/>
      <c r="AU83" s="81"/>
      <c r="AV83" s="81"/>
      <c r="AW83" s="81"/>
      <c r="AX83" s="290"/>
      <c r="AY83" s="342"/>
      <c r="AZ83" s="3"/>
      <c r="BA83" s="315"/>
      <c r="BB83" s="3"/>
      <c r="BC83" s="3"/>
      <c r="BD83" s="3"/>
      <c r="BE83" s="3"/>
      <c r="BF83" s="342"/>
      <c r="BG83" s="3"/>
      <c r="BH83" s="315"/>
      <c r="BI83" s="3"/>
      <c r="BJ83" s="3"/>
      <c r="BK83" s="3"/>
      <c r="BL83" s="3"/>
      <c r="BM83" s="342"/>
      <c r="BN83" s="3"/>
      <c r="BO83" s="315"/>
      <c r="BP83" s="3"/>
      <c r="BQ83" s="3"/>
      <c r="BR83" s="3"/>
      <c r="BS83" s="3"/>
      <c r="BT83" s="342"/>
      <c r="BU83" s="3"/>
      <c r="BV83" s="315"/>
      <c r="BW83" s="3"/>
      <c r="BX83" s="3"/>
      <c r="BY83" s="3"/>
      <c r="BZ83" s="3"/>
      <c r="CA83" s="342"/>
    </row>
    <row r="84" spans="1:79" s="325" customFormat="1" ht="16.149999999999999" thickBot="1">
      <c r="A84" s="480"/>
      <c r="B84" s="507"/>
      <c r="C84" s="507"/>
      <c r="D84" s="324"/>
      <c r="E84" s="342"/>
      <c r="F84" s="290"/>
      <c r="G84" s="79"/>
      <c r="H84" s="326"/>
      <c r="I84" s="326"/>
      <c r="J84" s="80"/>
      <c r="K84" s="290"/>
      <c r="L84" s="342"/>
      <c r="M84" s="7"/>
      <c r="N84" s="83"/>
      <c r="O84" s="333"/>
      <c r="P84" s="32"/>
      <c r="Q84" s="77"/>
      <c r="R84" s="77"/>
      <c r="S84" s="309"/>
      <c r="T84" s="309"/>
      <c r="U84" s="4" t="s">
        <v>64</v>
      </c>
      <c r="V84" s="328">
        <f>IFERROR(SUMIFS(OtherCosts!Q:Q,OtherCosts!A:A,B74,OtherCosts!B:B,"Other"),0)</f>
        <v>0</v>
      </c>
      <c r="W84" s="425">
        <f t="shared" si="62"/>
        <v>0</v>
      </c>
      <c r="X84" s="7"/>
      <c r="Y84" s="7" t="s">
        <v>101</v>
      </c>
      <c r="Z84" s="82"/>
      <c r="AA84" s="334"/>
      <c r="AB84" s="13"/>
      <c r="AC84" s="4" t="s">
        <v>64</v>
      </c>
      <c r="AD84" s="328">
        <f>IFERROR(SUMIFS(OtherCosts!R:R,OtherCosts!A:A,B74,OtherCosts!B:B,"Other"),0)</f>
        <v>0</v>
      </c>
      <c r="AE84" s="425">
        <f t="shared" si="63"/>
        <v>0</v>
      </c>
      <c r="AF84" s="83"/>
      <c r="AG84" s="328">
        <f>IFERROR(SUMIFS(OtherCosts!S:S,OtherCosts!A:A,B74,OtherCosts!B:B,"Other"),0)</f>
        <v>0</v>
      </c>
      <c r="AH84" s="447">
        <f t="shared" si="64"/>
        <v>0</v>
      </c>
      <c r="AI84" s="83"/>
      <c r="AJ84" s="448">
        <f>IFERROR(SUMIFS(OtherCosts!T:T,OtherCosts!A:A,B74,OtherCosts!B:B,"Other"),0)</f>
        <v>0</v>
      </c>
      <c r="AK84" s="425">
        <f t="shared" si="65"/>
        <v>0</v>
      </c>
      <c r="AL84" s="83"/>
      <c r="AM84" s="83"/>
      <c r="AN84" s="329">
        <f t="shared" si="67"/>
        <v>0</v>
      </c>
      <c r="AO84" s="425">
        <f t="shared" si="66"/>
        <v>0</v>
      </c>
      <c r="AP84" s="85"/>
      <c r="AQ84" s="342"/>
      <c r="AR84" s="290"/>
      <c r="AS84" s="290"/>
      <c r="AT84" s="13"/>
      <c r="AU84" s="81"/>
      <c r="AV84" s="81"/>
      <c r="AW84" s="81"/>
      <c r="AX84" s="290"/>
      <c r="AY84" s="342"/>
      <c r="AZ84" s="3"/>
      <c r="BA84" s="315"/>
      <c r="BB84" s="3"/>
      <c r="BC84" s="3"/>
      <c r="BD84" s="3"/>
      <c r="BE84" s="3"/>
      <c r="BF84" s="342"/>
      <c r="BG84" s="3"/>
      <c r="BH84" s="315"/>
      <c r="BI84" s="3"/>
      <c r="BJ84" s="3"/>
      <c r="BK84" s="3"/>
      <c r="BL84" s="3"/>
      <c r="BM84" s="342"/>
      <c r="BN84" s="3"/>
      <c r="BO84" s="315"/>
      <c r="BP84" s="3"/>
      <c r="BQ84" s="3"/>
      <c r="BR84" s="3"/>
      <c r="BS84" s="3"/>
      <c r="BT84" s="342"/>
      <c r="BU84" s="3"/>
      <c r="BV84" s="315"/>
      <c r="BW84" s="3"/>
      <c r="BX84" s="3"/>
      <c r="BY84" s="3"/>
      <c r="BZ84" s="3"/>
      <c r="CA84" s="342"/>
    </row>
    <row r="85" spans="1:79" s="325" customFormat="1" ht="16.149999999999999" thickTop="1">
      <c r="A85" s="480"/>
      <c r="B85" s="507"/>
      <c r="C85" s="507"/>
      <c r="D85" s="324"/>
      <c r="E85" s="342"/>
      <c r="F85" s="290"/>
      <c r="G85" s="79"/>
      <c r="H85" s="326"/>
      <c r="I85" s="326"/>
      <c r="J85" s="80"/>
      <c r="K85" s="290"/>
      <c r="L85" s="342"/>
      <c r="M85" s="7"/>
      <c r="N85" s="83"/>
      <c r="O85" s="333"/>
      <c r="P85" s="32"/>
      <c r="Q85" s="77"/>
      <c r="R85" s="77"/>
      <c r="S85" s="309"/>
      <c r="T85" s="309"/>
      <c r="U85" s="3" t="s">
        <v>35</v>
      </c>
      <c r="V85" s="86">
        <f ca="1">SUM(V78:V84)</f>
        <v>1053221.9513319002</v>
      </c>
      <c r="W85" s="427">
        <f t="shared" ca="1" si="62"/>
        <v>270.05691059792315</v>
      </c>
      <c r="X85" s="335"/>
      <c r="Y85" s="335"/>
      <c r="Z85" s="82"/>
      <c r="AA85" s="334"/>
      <c r="AB85" s="13"/>
      <c r="AC85" s="3" t="s">
        <v>35</v>
      </c>
      <c r="AD85" s="86">
        <f ca="1">SUM(AD78:AD84)</f>
        <v>1504602.8058096</v>
      </c>
      <c r="AE85" s="427">
        <f t="shared" ca="1" si="63"/>
        <v>385.79559123323077</v>
      </c>
      <c r="AF85" s="83"/>
      <c r="AG85" s="86">
        <f ca="1">SUM(AG78:AG84)</f>
        <v>0</v>
      </c>
      <c r="AH85" s="444">
        <f t="shared" ca="1" si="64"/>
        <v>0</v>
      </c>
      <c r="AI85" s="83"/>
      <c r="AJ85" s="86">
        <f ca="1">SUM(AJ78:AJ84)</f>
        <v>0</v>
      </c>
      <c r="AK85" s="427">
        <f t="shared" ca="1" si="65"/>
        <v>0</v>
      </c>
      <c r="AL85" s="83"/>
      <c r="AM85" s="83"/>
      <c r="AN85" s="86">
        <f t="shared" ca="1" si="67"/>
        <v>1504602.8058096</v>
      </c>
      <c r="AO85" s="427">
        <f t="shared" ca="1" si="66"/>
        <v>385.79559123323077</v>
      </c>
      <c r="AP85" s="85"/>
      <c r="AQ85" s="342"/>
      <c r="AR85" s="290"/>
      <c r="AS85" s="290"/>
      <c r="AT85" s="13"/>
      <c r="AU85" s="81"/>
      <c r="AV85" s="81"/>
      <c r="AW85" s="81"/>
      <c r="AX85" s="290"/>
      <c r="AY85" s="342"/>
      <c r="AZ85" s="3"/>
      <c r="BA85" s="315"/>
      <c r="BB85" s="3"/>
      <c r="BC85" s="3"/>
      <c r="BD85" s="3"/>
      <c r="BE85" s="3"/>
      <c r="BF85" s="342"/>
      <c r="BG85" s="3"/>
      <c r="BH85" s="315"/>
      <c r="BI85" s="3"/>
      <c r="BJ85" s="3"/>
      <c r="BK85" s="3"/>
      <c r="BL85" s="3"/>
      <c r="BM85" s="342"/>
      <c r="BN85" s="3"/>
      <c r="BO85" s="315"/>
      <c r="BP85" s="3"/>
      <c r="BQ85" s="3"/>
      <c r="BR85" s="3"/>
      <c r="BS85" s="3"/>
      <c r="BT85" s="342"/>
      <c r="BU85" s="3"/>
      <c r="BV85" s="315"/>
      <c r="BW85" s="3"/>
      <c r="BX85" s="3"/>
      <c r="BY85" s="3"/>
      <c r="BZ85" s="3"/>
      <c r="CA85" s="342"/>
    </row>
    <row r="86" spans="1:79" s="325" customFormat="1" ht="15.6">
      <c r="A86" s="480"/>
      <c r="B86" s="507"/>
      <c r="C86" s="507"/>
      <c r="D86" s="324"/>
      <c r="E86" s="342"/>
      <c r="F86" s="290"/>
      <c r="G86" s="336"/>
      <c r="H86" s="336"/>
      <c r="I86" s="336"/>
      <c r="J86" s="336"/>
      <c r="K86" s="290"/>
      <c r="L86" s="342"/>
      <c r="M86" s="7"/>
      <c r="N86" s="83"/>
      <c r="O86" s="333"/>
      <c r="P86" s="77"/>
      <c r="Q86" s="77"/>
      <c r="R86" s="77"/>
      <c r="S86" s="77"/>
      <c r="T86" s="77"/>
      <c r="U86" s="3"/>
      <c r="V86" s="77"/>
      <c r="W86" s="77"/>
      <c r="X86" s="77"/>
      <c r="Y86" s="77"/>
      <c r="Z86" s="82"/>
      <c r="AA86" s="334"/>
      <c r="AB86" s="13"/>
      <c r="AC86" s="13"/>
      <c r="AD86" s="13"/>
      <c r="AE86" s="13"/>
      <c r="AF86" s="13"/>
      <c r="AG86" s="13"/>
      <c r="AH86" s="13"/>
      <c r="AI86" s="13"/>
      <c r="AJ86" s="13"/>
      <c r="AK86" s="13"/>
      <c r="AL86" s="13"/>
      <c r="AM86" s="13"/>
      <c r="AN86" s="327"/>
      <c r="AO86" s="327"/>
      <c r="AP86" s="85"/>
      <c r="AQ86" s="342"/>
      <c r="AR86" s="290"/>
      <c r="AS86" s="81"/>
      <c r="AT86" s="81"/>
      <c r="AU86" s="81"/>
      <c r="AV86" s="81"/>
      <c r="AW86" s="81"/>
      <c r="AX86" s="290"/>
      <c r="AY86" s="342"/>
      <c r="AZ86" s="3"/>
      <c r="BA86" s="315"/>
      <c r="BB86" s="3"/>
      <c r="BC86" s="3"/>
      <c r="BD86" s="3"/>
      <c r="BE86" s="3"/>
      <c r="BF86" s="342"/>
      <c r="BG86" s="3"/>
      <c r="BH86" s="315"/>
      <c r="BI86" s="3"/>
      <c r="BJ86" s="3"/>
      <c r="BK86" s="3"/>
      <c r="BL86" s="3"/>
      <c r="BM86" s="342"/>
      <c r="BN86" s="3"/>
      <c r="BO86" s="315"/>
      <c r="BP86" s="3"/>
      <c r="BQ86" s="3"/>
      <c r="BR86" s="3"/>
      <c r="BS86" s="3"/>
      <c r="BT86" s="342"/>
      <c r="BU86" s="3"/>
      <c r="BV86" s="315"/>
      <c r="BW86" s="3"/>
      <c r="BX86" s="3"/>
      <c r="BY86" s="3"/>
      <c r="BZ86" s="3"/>
      <c r="CA86" s="342"/>
    </row>
    <row r="87" spans="1:79" s="304" customFormat="1" outlineLevel="1">
      <c r="B87" s="320"/>
      <c r="C87" s="320"/>
      <c r="D87" s="391"/>
      <c r="F87" s="391"/>
      <c r="G87" s="391"/>
      <c r="H87" s="391"/>
      <c r="I87" s="391"/>
      <c r="J87" s="391"/>
      <c r="K87" s="391"/>
      <c r="N87" s="337"/>
      <c r="O87" s="337"/>
      <c r="S87" s="337"/>
      <c r="T87" s="320"/>
      <c r="U87" s="320"/>
      <c r="V87" s="320"/>
      <c r="W87" s="393"/>
      <c r="Z87" s="338"/>
      <c r="AO87" s="338"/>
      <c r="AP87" s="340"/>
      <c r="AR87" s="391"/>
      <c r="AS87" s="391"/>
      <c r="AT87" s="391"/>
      <c r="AU87" s="391"/>
      <c r="AV87" s="391"/>
      <c r="AW87" s="391"/>
      <c r="AX87" s="391"/>
      <c r="AZ87"/>
      <c r="BA87"/>
      <c r="BB87"/>
      <c r="BC87"/>
      <c r="BD87"/>
      <c r="BE87"/>
      <c r="BG87"/>
      <c r="BH87"/>
      <c r="BI87"/>
      <c r="BJ87"/>
      <c r="BK87"/>
      <c r="BL87"/>
      <c r="BN87"/>
      <c r="BO87"/>
      <c r="BP87"/>
      <c r="BQ87"/>
      <c r="BR87"/>
      <c r="BS87"/>
      <c r="BU87"/>
      <c r="BV87"/>
      <c r="BW87"/>
      <c r="BX87"/>
      <c r="BY87"/>
      <c r="BZ87"/>
    </row>
    <row r="88" spans="1:79" s="325" customFormat="1" ht="15.6" outlineLevel="1">
      <c r="A88" s="480"/>
      <c r="B88" s="341"/>
      <c r="C88" s="341"/>
      <c r="D88" s="290"/>
      <c r="E88" s="342"/>
      <c r="F88" s="290"/>
      <c r="G88" s="343">
        <f>ROUNDUP(SUM(G90:G119),2)</f>
        <v>0</v>
      </c>
      <c r="H88" s="344"/>
      <c r="I88" s="344"/>
      <c r="J88" s="345">
        <f>ROUNDUP(SUM(J90:J119),2)</f>
        <v>0</v>
      </c>
      <c r="K88" s="290"/>
      <c r="L88" s="342"/>
      <c r="M88" s="7"/>
      <c r="N88" s="7"/>
      <c r="O88" s="7"/>
      <c r="P88" s="7"/>
      <c r="Q88" s="7"/>
      <c r="R88" s="7"/>
      <c r="S88" s="7"/>
      <c r="T88" s="398">
        <f ca="1">ROUNDUP(SUM(T90:T119),2)</f>
        <v>31.900000000000002</v>
      </c>
      <c r="U88" s="7"/>
      <c r="V88" s="7"/>
      <c r="W88" s="87">
        <f ca="1">SUM(W90:W117)</f>
        <v>1053221.9513319002</v>
      </c>
      <c r="X88" s="7"/>
      <c r="Y88" s="7" t="s">
        <v>102</v>
      </c>
      <c r="Z88" s="7"/>
      <c r="AA88" s="304"/>
      <c r="AB88" s="7"/>
      <c r="AC88" s="7"/>
      <c r="AD88" s="87">
        <f ca="1">SUM(AD90:AD119)</f>
        <v>1504602.8058096</v>
      </c>
      <c r="AE88" s="432">
        <f ca="1">IFERROR(1-($W88/$AD88),0)</f>
        <v>0.30000000846390806</v>
      </c>
      <c r="AF88" s="7"/>
      <c r="AG88" s="7"/>
      <c r="AH88" s="88">
        <f ca="1">SUM(AH90:AH119)</f>
        <v>0</v>
      </c>
      <c r="AI88" s="7"/>
      <c r="AJ88" s="7"/>
      <c r="AK88" s="88">
        <f ca="1">ROUNDUP(SUM(AK90:AK119),2)</f>
        <v>0</v>
      </c>
      <c r="AL88" s="7"/>
      <c r="AM88" s="88">
        <f ca="1">SUM(AM90:AM119)</f>
        <v>1504602.8058096</v>
      </c>
      <c r="AN88" s="88">
        <f ca="1">SUM(AN90:AN119)</f>
        <v>1504602.8058096</v>
      </c>
      <c r="AO88" s="417" t="str">
        <f>BillingCountryCurrency</f>
        <v>COP</v>
      </c>
      <c r="AP88" s="7"/>
      <c r="AQ88" s="18"/>
      <c r="AR88" s="290"/>
      <c r="AS88" s="290"/>
      <c r="AT88" s="503">
        <f ca="1">SUM(AT90:AU119)</f>
        <v>1504602.8058096</v>
      </c>
      <c r="AU88" s="504"/>
      <c r="AV88" s="417" t="str">
        <f>BillingCountryCurrency</f>
        <v>COP</v>
      </c>
      <c r="AW88" s="417" t="str">
        <f>IF(ISBLANK(BusinessCurrency),"N/A",BusinessCurrency)</f>
        <v>USD</v>
      </c>
      <c r="AX88" s="290"/>
      <c r="AY88" s="18"/>
      <c r="AZ88" s="3"/>
      <c r="BA88" s="315"/>
      <c r="BB88" s="3"/>
      <c r="BC88" s="3"/>
      <c r="BD88" s="3"/>
      <c r="BE88" s="3"/>
      <c r="BF88" s="18"/>
      <c r="BG88" s="3"/>
      <c r="BH88" s="315"/>
      <c r="BI88" s="3"/>
      <c r="BJ88" s="3"/>
      <c r="BK88" s="3"/>
      <c r="BL88" s="3"/>
      <c r="BM88" s="18"/>
      <c r="BN88" s="3"/>
      <c r="BO88" s="315"/>
      <c r="BP88" s="3"/>
      <c r="BQ88" s="3"/>
      <c r="BR88" s="3"/>
      <c r="BS88" s="3"/>
      <c r="BT88" s="18"/>
      <c r="BU88" s="3"/>
      <c r="BV88" s="315"/>
      <c r="BW88" s="3"/>
      <c r="BX88" s="3"/>
      <c r="BY88" s="3"/>
      <c r="BZ88" s="3"/>
      <c r="CA88" s="342"/>
    </row>
    <row r="89" spans="1:79" ht="15.6" outlineLevel="1">
      <c r="A89" s="7"/>
      <c r="B89" s="346"/>
      <c r="C89" s="346"/>
      <c r="D89" s="346"/>
      <c r="E89" s="342"/>
      <c r="F89" s="290"/>
      <c r="G89" s="347" t="s">
        <v>79</v>
      </c>
      <c r="H89" s="347" t="s">
        <v>103</v>
      </c>
      <c r="I89" s="347" t="s">
        <v>104</v>
      </c>
      <c r="J89" s="348" t="s">
        <v>91</v>
      </c>
      <c r="K89" s="290"/>
      <c r="L89" s="349"/>
      <c r="M89" s="7"/>
      <c r="N89" s="16" t="s">
        <v>105</v>
      </c>
      <c r="O89" s="16" t="s">
        <v>106</v>
      </c>
      <c r="P89" s="16" t="s">
        <v>107</v>
      </c>
      <c r="Q89" s="16" t="s">
        <v>108</v>
      </c>
      <c r="R89" s="16" t="s">
        <v>109</v>
      </c>
      <c r="S89" s="16" t="s">
        <v>110</v>
      </c>
      <c r="T89" s="16" t="s">
        <v>111</v>
      </c>
      <c r="U89" s="16" t="s">
        <v>112</v>
      </c>
      <c r="V89" s="350" t="s">
        <v>113</v>
      </c>
      <c r="W89" s="16" t="s">
        <v>114</v>
      </c>
      <c r="X89" s="16" t="s">
        <v>115</v>
      </c>
      <c r="Y89" s="16" t="s">
        <v>116</v>
      </c>
      <c r="Z89" s="6"/>
      <c r="AA89" s="304"/>
      <c r="AB89" s="7"/>
      <c r="AC89" s="351" t="s">
        <v>117</v>
      </c>
      <c r="AD89" s="352" t="s">
        <v>118</v>
      </c>
      <c r="AE89" s="89" t="s">
        <v>119</v>
      </c>
      <c r="AF89" s="7"/>
      <c r="AG89" s="89" t="s">
        <v>120</v>
      </c>
      <c r="AH89" s="353" t="s">
        <v>121</v>
      </c>
      <c r="AI89" s="7"/>
      <c r="AJ89" s="89" t="s">
        <v>122</v>
      </c>
      <c r="AK89" s="353" t="s">
        <v>123</v>
      </c>
      <c r="AL89" s="7"/>
      <c r="AM89" s="16" t="s">
        <v>118</v>
      </c>
      <c r="AN89" s="16" t="s">
        <v>124</v>
      </c>
      <c r="AO89" s="8" t="s">
        <v>125</v>
      </c>
      <c r="AP89" s="7"/>
      <c r="AQ89" s="18"/>
      <c r="AR89" s="290"/>
      <c r="AS89" s="8" t="s">
        <v>126</v>
      </c>
      <c r="AT89" s="505" t="s">
        <v>124</v>
      </c>
      <c r="AU89" s="506"/>
      <c r="AV89" s="8" t="s">
        <v>127</v>
      </c>
      <c r="AW89" s="8" t="s">
        <v>127</v>
      </c>
      <c r="AX89" s="290"/>
      <c r="AY89" s="18"/>
      <c r="AZ89" s="3"/>
      <c r="BA89" s="315"/>
      <c r="BB89" s="3"/>
      <c r="BC89" s="3"/>
      <c r="BD89" s="3"/>
      <c r="BE89" s="3"/>
      <c r="BF89" s="18"/>
      <c r="BG89" s="3"/>
      <c r="BH89" s="315"/>
      <c r="BI89" s="3"/>
      <c r="BJ89" s="3"/>
      <c r="BK89" s="3"/>
      <c r="BL89" s="3"/>
      <c r="BM89" s="18"/>
      <c r="BN89" s="3"/>
      <c r="BO89" s="315"/>
      <c r="BP89" s="3"/>
      <c r="BQ89" s="3"/>
      <c r="BR89" s="3"/>
      <c r="BS89" s="3"/>
      <c r="BT89" s="18"/>
      <c r="BU89" s="3"/>
      <c r="BV89" s="315"/>
      <c r="BW89" s="3"/>
      <c r="BX89" s="3"/>
      <c r="BY89" s="3"/>
      <c r="BZ89" s="3"/>
    </row>
    <row r="90" spans="1:79" ht="28.9" outlineLevel="1">
      <c r="A90" s="7"/>
      <c r="B90" s="354" t="s">
        <v>128</v>
      </c>
      <c r="C90" s="355" t="s">
        <v>176</v>
      </c>
      <c r="D90" s="356"/>
      <c r="E90" s="342"/>
      <c r="F90" s="290"/>
      <c r="G90" s="357">
        <v>0</v>
      </c>
      <c r="H90" s="358">
        <v>0</v>
      </c>
      <c r="I90" s="358">
        <v>0</v>
      </c>
      <c r="J90" s="359">
        <f>IFERROR(G90/(1-(H90+I90)),0)</f>
        <v>0</v>
      </c>
      <c r="K90" s="360"/>
      <c r="L90" s="349"/>
      <c r="M90" s="7"/>
      <c r="N90" s="12" t="s">
        <v>130</v>
      </c>
      <c r="O90" s="12" t="s">
        <v>177</v>
      </c>
      <c r="P90" s="12" t="s">
        <v>178</v>
      </c>
      <c r="Q90" s="468">
        <v>1</v>
      </c>
      <c r="R90" s="362" cm="1">
        <f t="array" aca="1" ref="R90" ca="1">$R$42*(1+(INDIRECT("CMSResumen!L"&amp;(MAX(IF(INDIRECT("CMSResumen!B1:B"&amp;ROW()-10)=B74,ROW(INDIRECT("CMSResumen!B1:B"&amp;ROW()-10)),0)+17)))))</f>
        <v>3.5000000000000003E-2</v>
      </c>
      <c r="S90" s="363">
        <v>20</v>
      </c>
      <c r="T90" s="364">
        <f t="shared" ref="T90" ca="1" si="68">IF(ISBLANK($P90),0,IF(Approach="Team-Based",$Q90*$R90*$S90*HoursPerDayTeamBased,$J90))</f>
        <v>5.67</v>
      </c>
      <c r="U90" s="365">
        <v>0</v>
      </c>
      <c r="V90" s="91">
        <f>ROUNDUP(IFERROR(INDEX(CostRateTbl[Cost Rate],MATCH(_xlfn.CONCAT(N90,O90,P90,"NA"),CostRateTbl[KeyCostRate],0)),0)*BillingCurrencyTRM*(1+U90),2)</f>
        <v>0</v>
      </c>
      <c r="W90" s="92">
        <f t="shared" ref="W90:W119" ca="1" si="69">T90*V90</f>
        <v>0</v>
      </c>
      <c r="X90" s="366" t="str" cm="1">
        <f t="array" ref="X90">_xlfn.LET(
    _xlpm.valor, INDEX(CostRate!H:H, MATCH(1, (CostRate!A:A=N90)*1, 0)),
    _xlpm.posicion, MATCH(_xlpm.valor, FilterSL!$F$1:$Z$1, 0),
    _xlpm.direccionCompleta, ADDRESS(1, _xlpm.posicion + 5, 4),
    _xlpm.letraColumna, SUBSTITUTE(_xlpm.direccionCompleta, "1", ""),
    _xlpm.letraColumna
)</f>
        <v>R</v>
      </c>
      <c r="Y90" s="366" t="str" cm="1">
        <f t="array" ref="Y90">_xlfn.LET(
    _xlpm.valor, INDEX(CostRate!I:I, MATCH(1, (CostRate!A:A=N90)*(CostRate!B:B=O90), 0)),
    _xlpm.posicion, MATCH(_xlpm.valor, FilterJP!$E$1:$FZ$1, 0),
    _xlpm.direccionCompleta, ADDRESS(1, _xlpm.posicion + 4, 4),
    _xlpm.letraColumna, SUBSTITUTE(_xlpm.direccionCompleta, "1", ""),
    _xlpm.letraColumna
)</f>
        <v>BO</v>
      </c>
      <c r="Z90" s="7"/>
      <c r="AA90" s="367"/>
      <c r="AB90" s="7"/>
      <c r="AC90" s="93">
        <f t="shared" ref="AC90:AC119" si="70">ROUNDUP($V90/(1-$AV$76),2)</f>
        <v>0</v>
      </c>
      <c r="AD90" s="94">
        <f ca="1">$T90*$AC90</f>
        <v>0</v>
      </c>
      <c r="AE90" s="109">
        <f ca="1">IFERROR(1-($W90/$AD90),0)</f>
        <v>0</v>
      </c>
      <c r="AF90" s="7"/>
      <c r="AG90" s="369">
        <f t="shared" ref="AG90:AG119" si="71">IFERROR(IF(OR(ISBLANK(N90),N90=CustomerCountry,COUNTIF($N90,"*xDC*")),0,10%),0)</f>
        <v>0</v>
      </c>
      <c r="AH90" s="368">
        <f t="shared" ref="AH90:AH119" ca="1" si="72">W90*AG90</f>
        <v>0</v>
      </c>
      <c r="AI90" s="7"/>
      <c r="AJ90" s="369" cm="1">
        <f t="array" ref="AJ90">IFERROR(INDEX(WHT!$C$7:$W$18,MATCH(
_xlfn.SWITCH(N90,"xDC Medellin","Colombia","xDC Belo Horizonte","Brazil","xDC Guadalajara","Mexico","xDC Gurugram","India","xDC Leon","Spain","xDC San Jose","Costa Rica","xDC Warsaw","Poland",N90),
WHT!$B$7:$B$18,0),MATCH(CustomerCountry,WHT!$C$5:$W$5,0)),0)</f>
        <v>0</v>
      </c>
      <c r="AK90" s="368">
        <f t="shared" ref="AK90:AK119" ca="1" si="73">(W90+AH90)*AJ90</f>
        <v>0</v>
      </c>
      <c r="AL90" s="7"/>
      <c r="AM90" s="95">
        <f ca="1">SUM($AD90,$AH90,$AK90)</f>
        <v>0</v>
      </c>
      <c r="AN90" s="95">
        <f t="shared" ref="AN90:AN119" ca="1" si="74">AM90+IFERROR(SUM($AN$79:$AN$84)*AM90/$AM$88,0)</f>
        <v>0</v>
      </c>
      <c r="AO90" s="95">
        <f ca="1">IFERROR($AN90/$T90,0)</f>
        <v>0</v>
      </c>
      <c r="AP90" s="7"/>
      <c r="AQ90" s="18"/>
      <c r="AR90" s="290"/>
      <c r="AS90" s="467" t="s">
        <v>133</v>
      </c>
      <c r="AT90" s="501">
        <f t="shared" ref="AT90:AT118" ca="1" si="75">IF(AS90="x",AM90+((SUM($AN$79:$AN$84)+SUMIF($AS$90:$AS$119,"&lt;&gt;x",$AM$90:$AM$119))*IFERROR(AM90/SUMIF($AS$90:$AS$119,"x",$AM$90:$AM$119),0)),0)</f>
        <v>0</v>
      </c>
      <c r="AU90" s="502"/>
      <c r="AV90" s="95">
        <f ca="1">IFERROR(AT90/T90,0)</f>
        <v>0</v>
      </c>
      <c r="AW90" s="469">
        <f t="shared" ref="AW90:AW119" ca="1" si="76">IFERROR(AV90/BusinessCurrencyTRM,"N/A")</f>
        <v>0</v>
      </c>
      <c r="AX90" s="290"/>
      <c r="AY90" s="18"/>
      <c r="AZ90" s="3"/>
      <c r="BA90" s="315"/>
      <c r="BB90" s="3"/>
      <c r="BC90" s="3"/>
      <c r="BD90" s="3"/>
      <c r="BE90" s="3"/>
      <c r="BF90" s="18"/>
      <c r="BG90" s="3"/>
      <c r="BH90" s="315"/>
      <c r="BI90" s="3"/>
      <c r="BJ90" s="3"/>
      <c r="BK90" s="3"/>
      <c r="BL90" s="3"/>
      <c r="BM90" s="18"/>
      <c r="BN90" s="3"/>
      <c r="BO90" s="315"/>
      <c r="BP90" s="3"/>
      <c r="BQ90" s="3"/>
      <c r="BR90" s="3"/>
      <c r="BS90" s="3"/>
      <c r="BT90" s="18"/>
      <c r="BU90" s="3"/>
      <c r="BV90" s="315"/>
      <c r="BW90" s="3"/>
      <c r="BX90" s="3"/>
      <c r="BY90" s="3"/>
      <c r="BZ90" s="3"/>
    </row>
    <row r="91" spans="1:79" ht="15.6" outlineLevel="1">
      <c r="A91" s="7"/>
      <c r="B91" s="370"/>
      <c r="C91" s="355" t="s">
        <v>179</v>
      </c>
      <c r="D91" s="356"/>
      <c r="E91" s="342"/>
      <c r="F91" s="290"/>
      <c r="G91" s="357">
        <v>0</v>
      </c>
      <c r="H91" s="358">
        <v>0</v>
      </c>
      <c r="I91" s="358">
        <v>0</v>
      </c>
      <c r="J91" s="359">
        <f t="shared" ref="J91:J119" si="77">IFERROR(G91/(1-(H91+I91)),0)</f>
        <v>0</v>
      </c>
      <c r="K91" s="290"/>
      <c r="L91" s="349"/>
      <c r="M91" s="7"/>
      <c r="N91" s="12" t="s">
        <v>130</v>
      </c>
      <c r="O91" s="12" t="s">
        <v>177</v>
      </c>
      <c r="P91" s="12" t="s">
        <v>180</v>
      </c>
      <c r="Q91" s="468">
        <v>1</v>
      </c>
      <c r="R91" s="362" cm="1">
        <f t="array" aca="1" ref="R91" ca="1">$R$43*(1+(INDIRECT("CMSResumen!L"&amp;(MAX(IF(INDIRECT("CMSResumen!B1:B"&amp;ROW()-10)=B73,ROW(INDIRECT("CMSResumen!B1:B"&amp;ROW()-10)),0)+18)))))</f>
        <v>7.8E-2</v>
      </c>
      <c r="S91" s="363">
        <v>20</v>
      </c>
      <c r="T91" s="364">
        <f t="shared" ref="T91" ca="1" si="78">IF(ISBLANK($P91),0,IF(Approach="Team-Based",$Q91*$R91*$S91*HoursPerDayTeamBased,$J91))</f>
        <v>12.635999999999999</v>
      </c>
      <c r="U91" s="365">
        <v>0</v>
      </c>
      <c r="V91" s="91">
        <f>ROUNDUP(IFERROR(INDEX(CostRateTbl[Cost Rate],MATCH(_xlfn.CONCAT(N91,O91,P91,"NA"),CostRateTbl[KeyCostRate],0)),0)*BillingCurrencyTRM*(1+U91),2)</f>
        <v>0</v>
      </c>
      <c r="W91" s="92">
        <f t="shared" ca="1" si="69"/>
        <v>0</v>
      </c>
      <c r="X91" s="366" t="str" cm="1">
        <f t="array" ref="X91">_xlfn.LET(
    _xlpm.valor, INDEX(CostRate!H:H, MATCH(1, (CostRate!A:A=N91)*1, 0)),
    _xlpm.posicion, MATCH(_xlpm.valor, FilterSL!$F$1:$Z$1, 0),
    _xlpm.direccionCompleta, ADDRESS(1, _xlpm.posicion + 5, 4),
    _xlpm.letraColumna, SUBSTITUTE(_xlpm.direccionCompleta, "1", ""),
    _xlpm.letraColumna
)</f>
        <v>R</v>
      </c>
      <c r="Y91" s="366" t="str" cm="1">
        <f t="array" ref="Y91">_xlfn.LET(
    _xlpm.valor, INDEX(CostRate!I:I, MATCH(1, (CostRate!A:A=N91)*(CostRate!B:B=O91), 0)),
    _xlpm.posicion, MATCH(_xlpm.valor, FilterJP!$E$1:$FZ$1, 0),
    _xlpm.direccionCompleta, ADDRESS(1, _xlpm.posicion + 4, 4),
    _xlpm.letraColumna, SUBSTITUTE(_xlpm.direccionCompleta, "1", ""),
    _xlpm.letraColumna
)</f>
        <v>BO</v>
      </c>
      <c r="Z91" s="7"/>
      <c r="AA91" s="367"/>
      <c r="AB91" s="7"/>
      <c r="AC91" s="93">
        <f t="shared" si="70"/>
        <v>0</v>
      </c>
      <c r="AD91" s="94">
        <f t="shared" ref="AD91:AD119" ca="1" si="79">$T91*$AC91</f>
        <v>0</v>
      </c>
      <c r="AE91" s="109">
        <f t="shared" ref="AE91:AE119" ca="1" si="80">IFERROR(1-($W91/$AD91),0)</f>
        <v>0</v>
      </c>
      <c r="AF91" s="7"/>
      <c r="AG91" s="369">
        <f t="shared" si="71"/>
        <v>0</v>
      </c>
      <c r="AH91" s="368">
        <f t="shared" ca="1" si="72"/>
        <v>0</v>
      </c>
      <c r="AI91" s="7"/>
      <c r="AJ91" s="369" cm="1">
        <f t="array" ref="AJ91">IFERROR(INDEX(WHT!$C$7:$W$18,MATCH(
_xlfn.SWITCH(N91,"xDC Medellin","Colombia","xDC Belo Horizonte","Brazil","xDC Guadalajara","Mexico","xDC Gurugram","India","xDC Leon","Spain","xDC San Jose","Costa Rica","xDC Warsaw","Poland",N91),
WHT!$B$7:$B$18,0),MATCH(CustomerCountry,WHT!$C$5:$W$5,0)),0)</f>
        <v>0</v>
      </c>
      <c r="AK91" s="368">
        <f t="shared" ca="1" si="73"/>
        <v>0</v>
      </c>
      <c r="AL91" s="7"/>
      <c r="AM91" s="95">
        <f t="shared" ref="AM91:AM119" ca="1" si="81">SUM($AD91,$AH91,$AK91)</f>
        <v>0</v>
      </c>
      <c r="AN91" s="95">
        <f t="shared" ca="1" si="74"/>
        <v>0</v>
      </c>
      <c r="AO91" s="95">
        <f t="shared" ref="AO91:AO119" ca="1" si="82">IFERROR($AN91/$T91,0)</f>
        <v>0</v>
      </c>
      <c r="AP91" s="90"/>
      <c r="AQ91" s="18"/>
      <c r="AR91" s="290"/>
      <c r="AS91" s="467" t="s">
        <v>133</v>
      </c>
      <c r="AT91" s="501">
        <f t="shared" ca="1" si="75"/>
        <v>0</v>
      </c>
      <c r="AU91" s="502"/>
      <c r="AV91" s="95">
        <f t="shared" ref="AV91:AV119" ca="1" si="83">IFERROR(AT91/T91,0)</f>
        <v>0</v>
      </c>
      <c r="AW91" s="469">
        <f t="shared" ca="1" si="76"/>
        <v>0</v>
      </c>
      <c r="AX91" s="290"/>
      <c r="AY91" s="18"/>
      <c r="AZ91" s="3"/>
      <c r="BA91" s="315"/>
      <c r="BB91" s="3"/>
      <c r="BC91" s="3"/>
      <c r="BD91" s="3"/>
      <c r="BE91" s="3"/>
      <c r="BF91" s="18"/>
      <c r="BG91" s="3"/>
      <c r="BH91" s="315"/>
      <c r="BI91" s="3"/>
      <c r="BJ91" s="3"/>
      <c r="BK91" s="3"/>
      <c r="BL91" s="3"/>
      <c r="BM91" s="18"/>
      <c r="BN91" s="3"/>
      <c r="BO91" s="315"/>
      <c r="BP91" s="3"/>
      <c r="BQ91" s="3"/>
      <c r="BR91" s="3"/>
      <c r="BS91" s="3"/>
      <c r="BT91" s="18"/>
      <c r="BU91" s="3"/>
      <c r="BV91" s="315"/>
      <c r="BW91" s="3"/>
      <c r="BX91" s="3"/>
      <c r="BY91" s="3"/>
      <c r="BZ91" s="3"/>
      <c r="CA91" s="371"/>
    </row>
    <row r="92" spans="1:79" ht="15.6" outlineLevel="1">
      <c r="A92" s="7"/>
      <c r="B92" s="370"/>
      <c r="C92" s="355" t="s">
        <v>181</v>
      </c>
      <c r="D92" s="356"/>
      <c r="E92" s="342"/>
      <c r="F92" s="290"/>
      <c r="G92" s="357">
        <v>0</v>
      </c>
      <c r="H92" s="358">
        <v>0</v>
      </c>
      <c r="I92" s="358">
        <v>0</v>
      </c>
      <c r="J92" s="359">
        <f t="shared" si="77"/>
        <v>0</v>
      </c>
      <c r="K92" s="290"/>
      <c r="L92" s="349"/>
      <c r="M92" s="7"/>
      <c r="N92" s="12" t="s">
        <v>130</v>
      </c>
      <c r="O92" s="12" t="s">
        <v>169</v>
      </c>
      <c r="P92" s="12" t="s">
        <v>182</v>
      </c>
      <c r="Q92" s="468">
        <v>1</v>
      </c>
      <c r="R92" s="362" cm="1">
        <f t="array" aca="1" ref="R92" ca="1">$R$44*(1+(INDIRECT("CMSResumen!L"&amp;(MAX(IF(INDIRECT("CMSResumen!B1:B"&amp;ROW()-10)=B73,ROW(INDIRECT("CMSResumen!B1:B"&amp;ROW()-10)),0)+19)))))</f>
        <v>3.5000000000000003E-2</v>
      </c>
      <c r="S92" s="363">
        <v>20</v>
      </c>
      <c r="T92" s="364">
        <f t="shared" ref="T92" ca="1" si="84">IF(ISBLANK($P92),0,IF(Approach="Team-Based",$Q92*$R92*$S92*HoursPerDayTeamBased,$J92))</f>
        <v>5.67</v>
      </c>
      <c r="U92" s="365">
        <v>0</v>
      </c>
      <c r="V92" s="91">
        <f>ROUNDUP(IFERROR(INDEX(CostRateTbl[Cost Rate],MATCH(_xlfn.CONCAT(N92,O92,P92,"NA"),CostRateTbl[KeyCostRate],0)),0)*BillingCurrencyTRM*(1+U92),2)</f>
        <v>133425.46000000002</v>
      </c>
      <c r="W92" s="92">
        <f t="shared" ca="1" si="69"/>
        <v>756522.35820000013</v>
      </c>
      <c r="X92" s="366" t="str" cm="1">
        <f t="array" ref="X92">_xlfn.LET(
    _xlpm.valor, INDEX(CostRate!H:H, MATCH(1, (CostRate!A:A=N92)*1, 0)),
    _xlpm.posicion, MATCH(_xlpm.valor, FilterSL!$F$1:$Z$1, 0),
    _xlpm.direccionCompleta, ADDRESS(1, _xlpm.posicion + 5, 4),
    _xlpm.letraColumna, SUBSTITUTE(_xlpm.direccionCompleta, "1", ""),
    _xlpm.letraColumna
)</f>
        <v>R</v>
      </c>
      <c r="Y92" s="366" t="str" cm="1">
        <f t="array" ref="Y92">_xlfn.LET(
    _xlpm.valor, INDEX(CostRate!I:I, MATCH(1, (CostRate!A:A=N92)*(CostRate!B:B=O92), 0)),
    _xlpm.posicion, MATCH(_xlpm.valor, FilterJP!$E$1:$FZ$1, 0),
    _xlpm.direccionCompleta, ADDRESS(1, _xlpm.posicion + 4, 4),
    _xlpm.letraColumna, SUBSTITUTE(_xlpm.direccionCompleta, "1", ""),
    _xlpm.letraColumna
)</f>
        <v>BI</v>
      </c>
      <c r="Z92" s="7"/>
      <c r="AA92" s="367"/>
      <c r="AB92" s="7"/>
      <c r="AC92" s="93">
        <f t="shared" si="70"/>
        <v>190607.8</v>
      </c>
      <c r="AD92" s="94">
        <f t="shared" ca="1" si="79"/>
        <v>1080746.226</v>
      </c>
      <c r="AE92" s="109">
        <f t="shared" ca="1" si="80"/>
        <v>0.29999999999999993</v>
      </c>
      <c r="AF92" s="7"/>
      <c r="AG92" s="369">
        <f t="shared" si="71"/>
        <v>0</v>
      </c>
      <c r="AH92" s="368">
        <f t="shared" ca="1" si="72"/>
        <v>0</v>
      </c>
      <c r="AI92" s="7"/>
      <c r="AJ92" s="369" cm="1">
        <f t="array" ref="AJ92">IFERROR(INDEX(WHT!$C$7:$W$18,MATCH(
_xlfn.SWITCH(N92,"xDC Medellin","Colombia","xDC Belo Horizonte","Brazil","xDC Guadalajara","Mexico","xDC Gurugram","India","xDC Leon","Spain","xDC San Jose","Costa Rica","xDC Warsaw","Poland",N92),
WHT!$B$7:$B$18,0),MATCH(CustomerCountry,WHT!$C$5:$W$5,0)),0)</f>
        <v>0</v>
      </c>
      <c r="AK92" s="368">
        <f t="shared" ca="1" si="73"/>
        <v>0</v>
      </c>
      <c r="AL92" s="7"/>
      <c r="AM92" s="95">
        <f t="shared" ca="1" si="81"/>
        <v>1080746.226</v>
      </c>
      <c r="AN92" s="95">
        <f t="shared" ca="1" si="74"/>
        <v>1080746.226</v>
      </c>
      <c r="AO92" s="95">
        <f t="shared" ca="1" si="82"/>
        <v>190607.80000000002</v>
      </c>
      <c r="AP92" s="90"/>
      <c r="AQ92" s="18"/>
      <c r="AR92" s="290"/>
      <c r="AS92" s="467" t="s">
        <v>133</v>
      </c>
      <c r="AT92" s="501">
        <f t="shared" ca="1" si="75"/>
        <v>1080746.226</v>
      </c>
      <c r="AU92" s="502"/>
      <c r="AV92" s="95">
        <f t="shared" ca="1" si="83"/>
        <v>190607.80000000002</v>
      </c>
      <c r="AW92" s="469">
        <f t="shared" ca="1" si="76"/>
        <v>48.873794871794878</v>
      </c>
      <c r="AX92" s="290"/>
      <c r="AY92" s="18"/>
      <c r="AZ92" s="3"/>
      <c r="BA92" s="315"/>
      <c r="BB92" s="3"/>
      <c r="BC92" s="3"/>
      <c r="BD92" s="3"/>
      <c r="BE92" s="3"/>
      <c r="BF92" s="18"/>
      <c r="BG92" s="3"/>
      <c r="BH92" s="315"/>
      <c r="BI92" s="3"/>
      <c r="BJ92" s="3"/>
      <c r="BK92" s="3"/>
      <c r="BL92" s="3"/>
      <c r="BM92" s="18"/>
      <c r="BN92" s="3"/>
      <c r="BO92" s="315"/>
      <c r="BP92" s="3"/>
      <c r="BQ92" s="3"/>
      <c r="BR92" s="3"/>
      <c r="BS92" s="3"/>
      <c r="BT92" s="18"/>
      <c r="BU92" s="3"/>
      <c r="BV92" s="315"/>
      <c r="BW92" s="3"/>
      <c r="BX92" s="3"/>
      <c r="BY92" s="3"/>
      <c r="BZ92" s="3"/>
    </row>
    <row r="93" spans="1:79" ht="15.6" outlineLevel="1">
      <c r="A93" s="7"/>
      <c r="B93" s="370"/>
      <c r="C93" s="355" t="s">
        <v>183</v>
      </c>
      <c r="D93" s="356"/>
      <c r="E93" s="342"/>
      <c r="F93" s="290"/>
      <c r="G93" s="357">
        <v>0</v>
      </c>
      <c r="H93" s="358">
        <v>0</v>
      </c>
      <c r="I93" s="358">
        <v>0</v>
      </c>
      <c r="J93" s="359">
        <f t="shared" si="77"/>
        <v>0</v>
      </c>
      <c r="K93" s="290"/>
      <c r="L93" s="349"/>
      <c r="M93" s="7"/>
      <c r="N93" s="12" t="s">
        <v>130</v>
      </c>
      <c r="O93" s="12" t="s">
        <v>177</v>
      </c>
      <c r="P93" s="12" t="s">
        <v>184</v>
      </c>
      <c r="Q93" s="468">
        <v>1</v>
      </c>
      <c r="R93" s="362" cm="1">
        <f t="array" aca="1" ref="R93" ca="1">$R$45*(1+(INDIRECT("CMSResumen!L"&amp;(MAX(IF(INDIRECT("CMSResumen!B1:B"&amp;ROW()-10)=B73,ROW(INDIRECT("CMSResumen!B1:B"&amp;ROW()-10)),0)+20)))))</f>
        <v>3.5000000000000003E-2</v>
      </c>
      <c r="S93" s="363">
        <v>20</v>
      </c>
      <c r="T93" s="364">
        <f t="shared" ref="T93" ca="1" si="85">IF(ISBLANK($P93),0,IF(Approach="Team-Based",$Q93*$R93*$S93*HoursPerDayTeamBased,$J93))</f>
        <v>5.67</v>
      </c>
      <c r="U93" s="365">
        <v>0</v>
      </c>
      <c r="V93" s="91">
        <f>ROUNDUP(IFERROR(INDEX(CostRateTbl[Cost Rate],MATCH(_xlfn.CONCAT(N93,O93,P93,"NA"),CostRateTbl[KeyCostRate],0)),0)*BillingCurrencyTRM*(1+U93),2)</f>
        <v>46596.590000000004</v>
      </c>
      <c r="W93" s="92">
        <f t="shared" ca="1" si="69"/>
        <v>264202.66529999999</v>
      </c>
      <c r="X93" s="366" t="str" cm="1">
        <f t="array" ref="X93">_xlfn.LET(
    _xlpm.valor, INDEX(CostRate!H:H, MATCH(1, (CostRate!A:A=N93)*1, 0)),
    _xlpm.posicion, MATCH(_xlpm.valor, FilterSL!$F$1:$Z$1, 0),
    _xlpm.direccionCompleta, ADDRESS(1, _xlpm.posicion + 5, 4),
    _xlpm.letraColumna, SUBSTITUTE(_xlpm.direccionCompleta, "1", ""),
    _xlpm.letraColumna
)</f>
        <v>R</v>
      </c>
      <c r="Y93" s="366" t="str" cm="1">
        <f t="array" ref="Y93">_xlfn.LET(
    _xlpm.valor, INDEX(CostRate!I:I, MATCH(1, (CostRate!A:A=N93)*(CostRate!B:B=O93), 0)),
    _xlpm.posicion, MATCH(_xlpm.valor, FilterJP!$E$1:$FZ$1, 0),
    _xlpm.direccionCompleta, ADDRESS(1, _xlpm.posicion + 4, 4),
    _xlpm.letraColumna, SUBSTITUTE(_xlpm.direccionCompleta, "1", ""),
    _xlpm.letraColumna
)</f>
        <v>BO</v>
      </c>
      <c r="Z93" s="7"/>
      <c r="AA93" s="367"/>
      <c r="AB93" s="7"/>
      <c r="AC93" s="93">
        <f t="shared" si="70"/>
        <v>66566.559999999998</v>
      </c>
      <c r="AD93" s="94">
        <f t="shared" ca="1" si="79"/>
        <v>377432.39519999997</v>
      </c>
      <c r="AE93" s="109">
        <f t="shared" ca="1" si="80"/>
        <v>0.30000003004511566</v>
      </c>
      <c r="AF93" s="7"/>
      <c r="AG93" s="369">
        <f t="shared" si="71"/>
        <v>0</v>
      </c>
      <c r="AH93" s="368">
        <f t="shared" ca="1" si="72"/>
        <v>0</v>
      </c>
      <c r="AI93" s="7"/>
      <c r="AJ93" s="369" cm="1">
        <f t="array" ref="AJ93">IFERROR(INDEX(WHT!$C$7:$W$18,MATCH(
_xlfn.SWITCH(N93,"xDC Medellin","Colombia","xDC Belo Horizonte","Brazil","xDC Guadalajara","Mexico","xDC Gurugram","India","xDC Leon","Spain","xDC San Jose","Costa Rica","xDC Warsaw","Poland",N93),
WHT!$B$7:$B$18,0),MATCH(CustomerCountry,WHT!$C$5:$W$5,0)),0)</f>
        <v>0</v>
      </c>
      <c r="AK93" s="368">
        <f t="shared" ca="1" si="73"/>
        <v>0</v>
      </c>
      <c r="AL93" s="7"/>
      <c r="AM93" s="95">
        <f t="shared" ca="1" si="81"/>
        <v>377432.39519999997</v>
      </c>
      <c r="AN93" s="95">
        <f t="shared" ca="1" si="74"/>
        <v>377432.39519999997</v>
      </c>
      <c r="AO93" s="95">
        <f t="shared" ca="1" si="82"/>
        <v>66566.559999999998</v>
      </c>
      <c r="AP93" s="90"/>
      <c r="AQ93" s="18"/>
      <c r="AR93" s="290"/>
      <c r="AS93" s="467" t="s">
        <v>133</v>
      </c>
      <c r="AT93" s="501">
        <f t="shared" ca="1" si="75"/>
        <v>377432.39519999997</v>
      </c>
      <c r="AU93" s="502"/>
      <c r="AV93" s="95">
        <f t="shared" ca="1" si="83"/>
        <v>66566.559999999998</v>
      </c>
      <c r="AW93" s="469">
        <f t="shared" ca="1" si="76"/>
        <v>17.068348717948716</v>
      </c>
      <c r="AX93" s="290"/>
      <c r="AY93" s="18"/>
      <c r="AZ93" s="3"/>
      <c r="BA93" s="315"/>
      <c r="BB93" s="3"/>
      <c r="BC93" s="3"/>
      <c r="BD93" s="3"/>
      <c r="BE93" s="3"/>
      <c r="BF93" s="18"/>
      <c r="BG93" s="3"/>
      <c r="BH93" s="315"/>
      <c r="BI93" s="3"/>
      <c r="BJ93" s="3"/>
      <c r="BK93" s="3"/>
      <c r="BL93" s="3"/>
      <c r="BM93" s="18"/>
      <c r="BN93" s="3"/>
      <c r="BO93" s="315"/>
      <c r="BP93" s="3"/>
      <c r="BQ93" s="3"/>
      <c r="BR93" s="3"/>
      <c r="BS93" s="3"/>
      <c r="BT93" s="18"/>
      <c r="BU93" s="3"/>
      <c r="BV93" s="315"/>
      <c r="BW93" s="3"/>
      <c r="BX93" s="3"/>
      <c r="BY93" s="3"/>
      <c r="BZ93" s="3"/>
    </row>
    <row r="94" spans="1:79" ht="15.6" outlineLevel="1">
      <c r="A94" s="7"/>
      <c r="B94" s="370"/>
      <c r="C94" s="355" t="s">
        <v>185</v>
      </c>
      <c r="D94" s="356"/>
      <c r="E94" s="342"/>
      <c r="F94" s="290"/>
      <c r="G94" s="357">
        <v>0</v>
      </c>
      <c r="H94" s="358">
        <v>0</v>
      </c>
      <c r="I94" s="358">
        <v>0</v>
      </c>
      <c r="J94" s="359">
        <f t="shared" si="77"/>
        <v>0</v>
      </c>
      <c r="K94" s="290"/>
      <c r="L94" s="349"/>
      <c r="M94" s="7"/>
      <c r="N94" s="12" t="s">
        <v>130</v>
      </c>
      <c r="O94" s="12" t="s">
        <v>177</v>
      </c>
      <c r="P94" s="12" t="s">
        <v>180</v>
      </c>
      <c r="Q94" s="468">
        <v>1.23</v>
      </c>
      <c r="R94" s="362" cm="1">
        <f t="array" aca="1" ref="R94" ca="1">$R$43*(1+(INDIRECT("CMSResumen!L"&amp;(MAX(IF(INDIRECT("CMSResumen!B1:B"&amp;ROW()-10)=B73,ROW(INDIRECT("CMSResumen!B1:B"&amp;ROW()-10)),0)+18)))))</f>
        <v>7.8E-2</v>
      </c>
      <c r="S94" s="363">
        <f>20*10%</f>
        <v>2</v>
      </c>
      <c r="T94" s="364">
        <f t="shared" ref="T94" ca="1" si="86">IF(ISBLANK($P94),0,IF(Approach="Team-Based",$Q94*$R94*$S94*HoursPerDayTeamBased,$J94))</f>
        <v>1.5542279999999999</v>
      </c>
      <c r="U94" s="365">
        <v>0</v>
      </c>
      <c r="V94" s="91">
        <f>ROUNDUP(IFERROR(INDEX(CostRateTbl[Cost Rate],MATCH(_xlfn.CONCAT(N94,O94,P94,"NA"),CostRateTbl[KeyCostRate],0)),0)*BillingCurrencyTRM*(1+U94),2)</f>
        <v>0</v>
      </c>
      <c r="W94" s="92">
        <f t="shared" ca="1" si="69"/>
        <v>0</v>
      </c>
      <c r="X94" s="366" t="str" cm="1">
        <f t="array" ref="X94">_xlfn.LET(
    _xlpm.valor, INDEX(CostRate!H:H, MATCH(1, (CostRate!A:A=N94)*1, 0)),
    _xlpm.posicion, MATCH(_xlpm.valor, FilterSL!$F$1:$Z$1, 0),
    _xlpm.direccionCompleta, ADDRESS(1, _xlpm.posicion + 5, 4),
    _xlpm.letraColumna, SUBSTITUTE(_xlpm.direccionCompleta, "1", ""),
    _xlpm.letraColumna
)</f>
        <v>R</v>
      </c>
      <c r="Y94" s="366" t="str" cm="1">
        <f t="array" ref="Y94">_xlfn.LET(
    _xlpm.valor, INDEX(CostRate!I:I, MATCH(1, (CostRate!A:A=N94)*(CostRate!B:B=O94), 0)),
    _xlpm.posicion, MATCH(_xlpm.valor, FilterJP!$E$1:$FZ$1, 0),
    _xlpm.direccionCompleta, ADDRESS(1, _xlpm.posicion + 4, 4),
    _xlpm.letraColumna, SUBSTITUTE(_xlpm.direccionCompleta, "1", ""),
    _xlpm.letraColumna
)</f>
        <v>BO</v>
      </c>
      <c r="Z94" s="7"/>
      <c r="AA94" s="367"/>
      <c r="AB94" s="7"/>
      <c r="AC94" s="93">
        <f t="shared" si="70"/>
        <v>0</v>
      </c>
      <c r="AD94" s="94">
        <f t="shared" ca="1" si="79"/>
        <v>0</v>
      </c>
      <c r="AE94" s="109">
        <f t="shared" ca="1" si="80"/>
        <v>0</v>
      </c>
      <c r="AF94" s="7"/>
      <c r="AG94" s="369">
        <f t="shared" si="71"/>
        <v>0</v>
      </c>
      <c r="AH94" s="368">
        <f t="shared" ca="1" si="72"/>
        <v>0</v>
      </c>
      <c r="AI94" s="7"/>
      <c r="AJ94" s="369" cm="1">
        <f t="array" ref="AJ94">IFERROR(INDEX(WHT!$C$7:$W$18,MATCH(
_xlfn.SWITCH(N94,"xDC Medellin","Colombia","xDC Belo Horizonte","Brazil","xDC Guadalajara","Mexico","xDC Gurugram","India","xDC Leon","Spain","xDC San Jose","Costa Rica","xDC Warsaw","Poland",N94),
WHT!$B$7:$B$18,0),MATCH(CustomerCountry,WHT!$C$5:$W$5,0)),0)</f>
        <v>0</v>
      </c>
      <c r="AK94" s="368">
        <f t="shared" ca="1" si="73"/>
        <v>0</v>
      </c>
      <c r="AL94" s="7"/>
      <c r="AM94" s="95">
        <f t="shared" ca="1" si="81"/>
        <v>0</v>
      </c>
      <c r="AN94" s="95">
        <f t="shared" ca="1" si="74"/>
        <v>0</v>
      </c>
      <c r="AO94" s="95">
        <f t="shared" ca="1" si="82"/>
        <v>0</v>
      </c>
      <c r="AP94" s="90"/>
      <c r="AQ94" s="18"/>
      <c r="AR94" s="290"/>
      <c r="AS94" s="467" t="s">
        <v>133</v>
      </c>
      <c r="AT94" s="501">
        <f t="shared" ca="1" si="75"/>
        <v>0</v>
      </c>
      <c r="AU94" s="502"/>
      <c r="AV94" s="95">
        <f t="shared" ca="1" si="83"/>
        <v>0</v>
      </c>
      <c r="AW94" s="469">
        <f t="shared" ca="1" si="76"/>
        <v>0</v>
      </c>
      <c r="AX94" s="290"/>
      <c r="AY94" s="18"/>
      <c r="AZ94" s="3"/>
      <c r="BA94" s="315"/>
      <c r="BB94" s="3"/>
      <c r="BC94" s="3"/>
      <c r="BD94" s="3"/>
      <c r="BE94" s="3"/>
      <c r="BF94" s="18"/>
      <c r="BG94" s="3"/>
      <c r="BH94" s="315"/>
      <c r="BI94" s="3"/>
      <c r="BJ94" s="3"/>
      <c r="BK94" s="3"/>
      <c r="BL94" s="3"/>
      <c r="BM94" s="18"/>
      <c r="BN94" s="3"/>
      <c r="BO94" s="315"/>
      <c r="BP94" s="3"/>
      <c r="BQ94" s="3"/>
      <c r="BR94" s="3"/>
      <c r="BS94" s="3"/>
      <c r="BT94" s="18"/>
      <c r="BU94" s="3"/>
      <c r="BV94" s="315"/>
      <c r="BW94" s="3"/>
      <c r="BX94" s="3"/>
      <c r="BY94" s="3"/>
      <c r="BZ94" s="3"/>
    </row>
    <row r="95" spans="1:79" ht="15.6" outlineLevel="1">
      <c r="A95" s="7"/>
      <c r="B95" s="370"/>
      <c r="C95" s="355" t="s">
        <v>186</v>
      </c>
      <c r="D95" s="356"/>
      <c r="E95" s="342"/>
      <c r="F95" s="290"/>
      <c r="G95" s="357">
        <v>0</v>
      </c>
      <c r="H95" s="358">
        <v>0</v>
      </c>
      <c r="I95" s="358">
        <v>0</v>
      </c>
      <c r="J95" s="359">
        <f t="shared" si="77"/>
        <v>0</v>
      </c>
      <c r="K95" s="290"/>
      <c r="L95" s="349"/>
      <c r="M95" s="7"/>
      <c r="N95" s="12" t="s">
        <v>130</v>
      </c>
      <c r="O95" s="12" t="s">
        <v>177</v>
      </c>
      <c r="P95" s="12" t="s">
        <v>184</v>
      </c>
      <c r="Q95" s="468">
        <v>1.23</v>
      </c>
      <c r="R95" s="362" cm="1">
        <f t="array" aca="1" ref="R95" ca="1">$R$45*(1+(INDIRECT("CMSResumen!L"&amp;(MAX(IF(INDIRECT("CMSResumen!B1:B"&amp;ROW()-10)=B73,ROW(INDIRECT("CMSResumen!B1:B"&amp;ROW()-10)),0)+20)))))</f>
        <v>3.5000000000000003E-2</v>
      </c>
      <c r="S95" s="363">
        <f>20*10%</f>
        <v>2</v>
      </c>
      <c r="T95" s="364">
        <f t="shared" ref="T95" ca="1" si="87">IF(ISBLANK($P95),0,IF(Approach="Team-Based",$Q95*$R95*$S95*HoursPerDayTeamBased,$J95))</f>
        <v>0.69741000000000009</v>
      </c>
      <c r="U95" s="365">
        <v>0</v>
      </c>
      <c r="V95" s="91">
        <f>ROUNDUP(IFERROR(INDEX(CostRateTbl[Cost Rate],MATCH(_xlfn.CONCAT(N95,O95,P95,"NA"),CostRateTbl[KeyCostRate],0)),0)*BillingCurrencyTRM*(1+U95),2)</f>
        <v>46596.590000000004</v>
      </c>
      <c r="W95" s="92">
        <f t="shared" ca="1" si="69"/>
        <v>32496.927831900008</v>
      </c>
      <c r="X95" s="366" t="str" cm="1">
        <f t="array" ref="X95">_xlfn.LET(
    _xlpm.valor, INDEX(CostRate!H:H, MATCH(1, (CostRate!A:A=N95)*1, 0)),
    _xlpm.posicion, MATCH(_xlpm.valor, FilterSL!$F$1:$Z$1, 0),
    _xlpm.direccionCompleta, ADDRESS(1, _xlpm.posicion + 5, 4),
    _xlpm.letraColumna, SUBSTITUTE(_xlpm.direccionCompleta, "1", ""),
    _xlpm.letraColumna
)</f>
        <v>R</v>
      </c>
      <c r="Y95" s="366" t="str" cm="1">
        <f t="array" ref="Y95">_xlfn.LET(
    _xlpm.valor, INDEX(CostRate!I:I, MATCH(1, (CostRate!A:A=N95)*(CostRate!B:B=O95), 0)),
    _xlpm.posicion, MATCH(_xlpm.valor, FilterJP!$E$1:$FZ$1, 0),
    _xlpm.direccionCompleta, ADDRESS(1, _xlpm.posicion + 4, 4),
    _xlpm.letraColumna, SUBSTITUTE(_xlpm.direccionCompleta, "1", ""),
    _xlpm.letraColumna
)</f>
        <v>BO</v>
      </c>
      <c r="Z95" s="7"/>
      <c r="AA95" s="367"/>
      <c r="AB95" s="7"/>
      <c r="AC95" s="93">
        <f t="shared" si="70"/>
        <v>66566.559999999998</v>
      </c>
      <c r="AD95" s="94">
        <f t="shared" ca="1" si="79"/>
        <v>46424.184609600001</v>
      </c>
      <c r="AE95" s="109">
        <f t="shared" ca="1" si="80"/>
        <v>0.30000003004511555</v>
      </c>
      <c r="AF95" s="7"/>
      <c r="AG95" s="369">
        <f t="shared" si="71"/>
        <v>0</v>
      </c>
      <c r="AH95" s="368">
        <f t="shared" ca="1" si="72"/>
        <v>0</v>
      </c>
      <c r="AI95" s="7"/>
      <c r="AJ95" s="369" cm="1">
        <f t="array" ref="AJ95">IFERROR(INDEX(WHT!$C$7:$W$18,MATCH(
_xlfn.SWITCH(N95,"xDC Medellin","Colombia","xDC Belo Horizonte","Brazil","xDC Guadalajara","Mexico","xDC Gurugram","India","xDC Leon","Spain","xDC San Jose","Costa Rica","xDC Warsaw","Poland",N95),
WHT!$B$7:$B$18,0),MATCH(CustomerCountry,WHT!$C$5:$W$5,0)),0)</f>
        <v>0</v>
      </c>
      <c r="AK95" s="368">
        <f t="shared" ca="1" si="73"/>
        <v>0</v>
      </c>
      <c r="AL95" s="7"/>
      <c r="AM95" s="95">
        <f t="shared" ca="1" si="81"/>
        <v>46424.184609600001</v>
      </c>
      <c r="AN95" s="95">
        <f t="shared" ca="1" si="74"/>
        <v>46424.184609600001</v>
      </c>
      <c r="AO95" s="95">
        <f t="shared" ca="1" si="82"/>
        <v>66566.559999999998</v>
      </c>
      <c r="AP95" s="90"/>
      <c r="AQ95" s="18"/>
      <c r="AR95" s="290"/>
      <c r="AS95" s="467" t="s">
        <v>133</v>
      </c>
      <c r="AT95" s="501">
        <f t="shared" ca="1" si="75"/>
        <v>46424.184609600001</v>
      </c>
      <c r="AU95" s="502"/>
      <c r="AV95" s="95">
        <f t="shared" ca="1" si="83"/>
        <v>66566.559999999998</v>
      </c>
      <c r="AW95" s="469">
        <f t="shared" ca="1" si="76"/>
        <v>17.068348717948716</v>
      </c>
      <c r="AX95" s="290"/>
      <c r="AY95" s="18"/>
      <c r="AZ95" s="3"/>
      <c r="BA95" s="315"/>
      <c r="BB95" s="3"/>
      <c r="BC95" s="3"/>
      <c r="BD95" s="3"/>
      <c r="BE95" s="3"/>
      <c r="BF95" s="18"/>
      <c r="BG95" s="3"/>
      <c r="BH95" s="315"/>
      <c r="BI95" s="3"/>
      <c r="BJ95" s="3"/>
      <c r="BK95" s="3"/>
      <c r="BL95" s="3"/>
      <c r="BM95" s="18"/>
      <c r="BN95" s="3"/>
      <c r="BO95" s="315"/>
      <c r="BP95" s="3"/>
      <c r="BQ95" s="3"/>
      <c r="BR95" s="3"/>
      <c r="BS95" s="3"/>
      <c r="BT95" s="18"/>
      <c r="BU95" s="3"/>
      <c r="BV95" s="315"/>
      <c r="BW95" s="3"/>
      <c r="BX95" s="3"/>
      <c r="BY95" s="3"/>
      <c r="BZ95" s="3"/>
    </row>
    <row r="96" spans="1:79" ht="28.9" outlineLevel="1">
      <c r="A96" s="7"/>
      <c r="B96" s="370"/>
      <c r="C96" s="355" t="s">
        <v>187</v>
      </c>
      <c r="D96" s="356"/>
      <c r="E96" s="342"/>
      <c r="F96" s="290"/>
      <c r="G96" s="357">
        <v>0</v>
      </c>
      <c r="H96" s="358">
        <v>0</v>
      </c>
      <c r="I96" s="358">
        <v>0</v>
      </c>
      <c r="J96" s="359">
        <f t="shared" si="77"/>
        <v>0</v>
      </c>
      <c r="K96" s="290"/>
      <c r="L96" s="349"/>
      <c r="M96" s="7"/>
      <c r="N96" s="12"/>
      <c r="O96" s="12"/>
      <c r="P96" s="12"/>
      <c r="Q96" s="361"/>
      <c r="R96" s="362"/>
      <c r="S96" s="363">
        <f t="shared" ref="S96:S119" si="88">IF(ISBLANK(P96),0,$O$82*20)</f>
        <v>0</v>
      </c>
      <c r="T96" s="364">
        <f t="shared" ref="T96" si="89">IF(ISBLANK($P96),0,IF(Approach="Team-Based",$Q96*$R96*$S96*HoursPerDayTeamBased,$J96))</f>
        <v>0</v>
      </c>
      <c r="U96" s="365">
        <v>0</v>
      </c>
      <c r="V96" s="91">
        <f>ROUNDUP(IFERROR(INDEX(CostRateTbl[Cost Rate],MATCH(_xlfn.CONCAT(N96,O96,P96,"NA"),CostRateTbl[KeyCostRate],0)),0)*BillingCurrencyTRM*(1+U96),2)</f>
        <v>0</v>
      </c>
      <c r="W96" s="92">
        <f t="shared" si="69"/>
        <v>0</v>
      </c>
      <c r="X96" s="366" t="e" cm="1">
        <f t="array" ref="X96">_xlfn.LET(
    _xlpm.valor, INDEX(CostRate!H:H, MATCH(1, (CostRate!A:A=N96)*1, 0)),
    _xlpm.posicion, MATCH(_xlpm.valor, FilterSL!$F$1:$Z$1, 0),
    _xlpm.direccionCompleta, ADDRESS(1, _xlpm.posicion + 5, 4),
    _xlpm.letraColumna, SUBSTITUTE(_xlpm.direccionCompleta, "1", ""),
    _xlpm.letraColumna
)</f>
        <v>#N/A</v>
      </c>
      <c r="Y96" s="366" t="e" cm="1">
        <f t="array" ref="Y96">_xlfn.LET(
    _xlpm.valor, INDEX(CostRate!I:I, MATCH(1, (CostRate!A:A=N96)*(CostRate!B:B=O96), 0)),
    _xlpm.posicion, MATCH(_xlpm.valor, FilterJP!$E$1:$FZ$1, 0),
    _xlpm.direccionCompleta, ADDRESS(1, _xlpm.posicion + 4, 4),
    _xlpm.letraColumna, SUBSTITUTE(_xlpm.direccionCompleta, "1", ""),
    _xlpm.letraColumna
)</f>
        <v>#N/A</v>
      </c>
      <c r="Z96" s="7"/>
      <c r="AA96" s="367"/>
      <c r="AB96" s="7"/>
      <c r="AC96" s="93">
        <f t="shared" si="70"/>
        <v>0</v>
      </c>
      <c r="AD96" s="94">
        <f t="shared" si="79"/>
        <v>0</v>
      </c>
      <c r="AE96" s="109">
        <f t="shared" si="80"/>
        <v>0</v>
      </c>
      <c r="AF96" s="7"/>
      <c r="AG96" s="369">
        <f t="shared" si="71"/>
        <v>0</v>
      </c>
      <c r="AH96" s="368">
        <f t="shared" si="72"/>
        <v>0</v>
      </c>
      <c r="AI96" s="7"/>
      <c r="AJ96" s="369" cm="1">
        <f t="array" ref="AJ96">IFERROR(INDEX(WHT!$C$7:$W$18,MATCH(
_xlfn.SWITCH(N96,"xDC Medellin","Colombia","xDC Belo Horizonte","Brazil","xDC Guadalajara","Mexico","xDC Gurugram","India","xDC Leon","Spain","xDC San Jose","Costa Rica","xDC Warsaw","Poland",N96),
WHT!$B$7:$B$18,0),MATCH(CustomerCountry,WHT!$C$5:$W$5,0)),0)</f>
        <v>0</v>
      </c>
      <c r="AK96" s="368">
        <f t="shared" si="73"/>
        <v>0</v>
      </c>
      <c r="AL96" s="7"/>
      <c r="AM96" s="95">
        <f t="shared" si="81"/>
        <v>0</v>
      </c>
      <c r="AN96" s="95">
        <f t="shared" ca="1" si="74"/>
        <v>0</v>
      </c>
      <c r="AO96" s="95">
        <f t="shared" ca="1" si="82"/>
        <v>0</v>
      </c>
      <c r="AP96" s="90"/>
      <c r="AQ96" s="18"/>
      <c r="AR96" s="290"/>
      <c r="AS96" s="467" t="s">
        <v>133</v>
      </c>
      <c r="AT96" s="501">
        <f t="shared" ca="1" si="75"/>
        <v>0</v>
      </c>
      <c r="AU96" s="502"/>
      <c r="AV96" s="95">
        <f t="shared" ca="1" si="83"/>
        <v>0</v>
      </c>
      <c r="AW96" s="469">
        <f t="shared" ca="1" si="76"/>
        <v>0</v>
      </c>
      <c r="AX96" s="290"/>
      <c r="AY96" s="18"/>
      <c r="AZ96" s="3"/>
      <c r="BA96" s="315"/>
      <c r="BB96" s="3"/>
      <c r="BC96" s="3"/>
      <c r="BD96" s="3"/>
      <c r="BE96" s="3"/>
      <c r="BF96" s="18"/>
      <c r="BG96" s="3"/>
      <c r="BH96" s="315"/>
      <c r="BI96" s="3"/>
      <c r="BJ96" s="3"/>
      <c r="BK96" s="3"/>
      <c r="BL96" s="3"/>
      <c r="BM96" s="18"/>
      <c r="BN96" s="3"/>
      <c r="BO96" s="315"/>
      <c r="BP96" s="3"/>
      <c r="BQ96" s="3"/>
      <c r="BR96" s="3"/>
      <c r="BS96" s="3"/>
      <c r="BT96" s="18"/>
      <c r="BU96" s="3"/>
      <c r="BV96" s="315"/>
      <c r="BW96" s="3"/>
      <c r="BX96" s="3"/>
      <c r="BY96" s="3"/>
      <c r="BZ96" s="3"/>
    </row>
    <row r="97" spans="1:78" ht="15.6" outlineLevel="1">
      <c r="A97" s="7"/>
      <c r="B97" s="370"/>
      <c r="C97" s="355"/>
      <c r="D97" s="356"/>
      <c r="E97" s="342"/>
      <c r="F97" s="290"/>
      <c r="G97" s="357">
        <v>0</v>
      </c>
      <c r="H97" s="358">
        <v>0</v>
      </c>
      <c r="I97" s="358">
        <v>0</v>
      </c>
      <c r="J97" s="359">
        <f t="shared" si="77"/>
        <v>0</v>
      </c>
      <c r="K97" s="290"/>
      <c r="L97" s="349"/>
      <c r="M97" s="7"/>
      <c r="N97" s="12"/>
      <c r="O97" s="12"/>
      <c r="P97" s="12"/>
      <c r="Q97" s="361"/>
      <c r="R97" s="362"/>
      <c r="S97" s="363">
        <f t="shared" si="88"/>
        <v>0</v>
      </c>
      <c r="T97" s="364">
        <f t="shared" ref="T97" si="90">IF(ISBLANK($P97),0,IF(Approach="Team-Based",$Q97*$R97*$S97*HoursPerDayTeamBased,$J97))</f>
        <v>0</v>
      </c>
      <c r="U97" s="365">
        <v>0</v>
      </c>
      <c r="V97" s="91">
        <f>ROUNDUP(IFERROR(INDEX(CostRateTbl[Cost Rate],MATCH(_xlfn.CONCAT(N97,O97,P97,"NA"),CostRateTbl[KeyCostRate],0)),0)*BillingCurrencyTRM*(1+U97),2)</f>
        <v>0</v>
      </c>
      <c r="W97" s="92">
        <f t="shared" si="69"/>
        <v>0</v>
      </c>
      <c r="X97" s="366" t="e" cm="1">
        <f t="array" ref="X97">_xlfn.LET(
    _xlpm.valor, INDEX(CostRate!H:H, MATCH(1, (CostRate!A:A=N97)*1, 0)),
    _xlpm.posicion, MATCH(_xlpm.valor, FilterSL!$F$1:$Z$1, 0),
    _xlpm.direccionCompleta, ADDRESS(1, _xlpm.posicion + 5, 4),
    _xlpm.letraColumna, SUBSTITUTE(_xlpm.direccionCompleta, "1", ""),
    _xlpm.letraColumna
)</f>
        <v>#N/A</v>
      </c>
      <c r="Y97" s="366" t="e" cm="1">
        <f t="array" ref="Y97">_xlfn.LET(
    _xlpm.valor, INDEX(CostRate!I:I, MATCH(1, (CostRate!A:A=N97)*(CostRate!B:B=O97), 0)),
    _xlpm.posicion, MATCH(_xlpm.valor, FilterJP!$E$1:$FZ$1, 0),
    _xlpm.direccionCompleta, ADDRESS(1, _xlpm.posicion + 4, 4),
    _xlpm.letraColumna, SUBSTITUTE(_xlpm.direccionCompleta, "1", ""),
    _xlpm.letraColumna
)</f>
        <v>#N/A</v>
      </c>
      <c r="Z97" s="7"/>
      <c r="AA97" s="367"/>
      <c r="AB97" s="7"/>
      <c r="AC97" s="93">
        <f t="shared" si="70"/>
        <v>0</v>
      </c>
      <c r="AD97" s="94">
        <f t="shared" si="79"/>
        <v>0</v>
      </c>
      <c r="AE97" s="109">
        <f t="shared" si="80"/>
        <v>0</v>
      </c>
      <c r="AF97" s="7"/>
      <c r="AG97" s="369">
        <f t="shared" si="71"/>
        <v>0</v>
      </c>
      <c r="AH97" s="368">
        <f t="shared" si="72"/>
        <v>0</v>
      </c>
      <c r="AI97" s="7"/>
      <c r="AJ97" s="369" cm="1">
        <f t="array" ref="AJ97">IFERROR(INDEX(WHT!$C$7:$W$18,MATCH(
_xlfn.SWITCH(N97,"xDC Medellin","Colombia","xDC Belo Horizonte","Brazil","xDC Guadalajara","Mexico","xDC Gurugram","India","xDC Leon","Spain","xDC San Jose","Costa Rica","xDC Warsaw","Poland",N97),
WHT!$B$7:$B$18,0),MATCH(CustomerCountry,WHT!$C$5:$W$5,0)),0)</f>
        <v>0</v>
      </c>
      <c r="AK97" s="368">
        <f t="shared" si="73"/>
        <v>0</v>
      </c>
      <c r="AL97" s="7"/>
      <c r="AM97" s="95">
        <f t="shared" si="81"/>
        <v>0</v>
      </c>
      <c r="AN97" s="95">
        <f t="shared" ca="1" si="74"/>
        <v>0</v>
      </c>
      <c r="AO97" s="95">
        <f t="shared" ca="1" si="82"/>
        <v>0</v>
      </c>
      <c r="AP97" s="90"/>
      <c r="AQ97" s="18"/>
      <c r="AR97" s="290"/>
      <c r="AS97" s="467" t="s">
        <v>133</v>
      </c>
      <c r="AT97" s="501">
        <f t="shared" ca="1" si="75"/>
        <v>0</v>
      </c>
      <c r="AU97" s="502"/>
      <c r="AV97" s="95">
        <f t="shared" ca="1" si="83"/>
        <v>0</v>
      </c>
      <c r="AW97" s="469">
        <f t="shared" ca="1" si="76"/>
        <v>0</v>
      </c>
      <c r="AX97" s="290"/>
      <c r="AY97" s="18"/>
      <c r="AZ97" s="3"/>
      <c r="BA97" s="315"/>
      <c r="BB97" s="3"/>
      <c r="BC97" s="3"/>
      <c r="BD97" s="3"/>
      <c r="BE97" s="3"/>
      <c r="BF97" s="18"/>
      <c r="BG97" s="3"/>
      <c r="BH97" s="315"/>
      <c r="BI97" s="3"/>
      <c r="BJ97" s="3"/>
      <c r="BK97" s="3"/>
      <c r="BL97" s="3"/>
      <c r="BM97" s="18"/>
      <c r="BN97" s="3"/>
      <c r="BO97" s="315"/>
      <c r="BP97" s="3"/>
      <c r="BQ97" s="3"/>
      <c r="BR97" s="3"/>
      <c r="BS97" s="3"/>
      <c r="BT97" s="18"/>
      <c r="BU97" s="3"/>
      <c r="BV97" s="315"/>
      <c r="BW97" s="3"/>
      <c r="BX97" s="3"/>
      <c r="BY97" s="3"/>
      <c r="BZ97" s="3"/>
    </row>
    <row r="98" spans="1:78" ht="15.6" outlineLevel="1">
      <c r="A98" s="7"/>
      <c r="B98" s="370"/>
      <c r="C98" s="355"/>
      <c r="D98" s="356"/>
      <c r="E98" s="342"/>
      <c r="F98" s="290"/>
      <c r="G98" s="357">
        <v>0</v>
      </c>
      <c r="H98" s="358">
        <v>0</v>
      </c>
      <c r="I98" s="358">
        <v>0</v>
      </c>
      <c r="J98" s="359">
        <f t="shared" si="77"/>
        <v>0</v>
      </c>
      <c r="K98" s="290"/>
      <c r="L98" s="349"/>
      <c r="M98" s="7"/>
      <c r="N98" s="12"/>
      <c r="O98" s="12"/>
      <c r="P98" s="12"/>
      <c r="Q98" s="361"/>
      <c r="R98" s="362"/>
      <c r="S98" s="363">
        <f t="shared" si="88"/>
        <v>0</v>
      </c>
      <c r="T98" s="364">
        <f t="shared" ref="T98" si="91">IF(ISBLANK($P98),0,IF(Approach="Team-Based",$Q98*$R98*$S98*HoursPerDayTeamBased,$J98))</f>
        <v>0</v>
      </c>
      <c r="U98" s="365">
        <v>0</v>
      </c>
      <c r="V98" s="91">
        <f>ROUNDUP(IFERROR(INDEX(CostRateTbl[Cost Rate],MATCH(_xlfn.CONCAT(N98,O98,P98,"NA"),CostRateTbl[KeyCostRate],0)),0)*BillingCurrencyTRM*(1+U98),2)</f>
        <v>0</v>
      </c>
      <c r="W98" s="92">
        <f t="shared" si="69"/>
        <v>0</v>
      </c>
      <c r="X98" s="366" t="e" cm="1">
        <f t="array" ref="X98">_xlfn.LET(
    _xlpm.valor, INDEX(CostRate!H:H, MATCH(1, (CostRate!A:A=N98)*1, 0)),
    _xlpm.posicion, MATCH(_xlpm.valor, FilterSL!$F$1:$Z$1, 0),
    _xlpm.direccionCompleta, ADDRESS(1, _xlpm.posicion + 5, 4),
    _xlpm.letraColumna, SUBSTITUTE(_xlpm.direccionCompleta, "1", ""),
    _xlpm.letraColumna
)</f>
        <v>#N/A</v>
      </c>
      <c r="Y98" s="366" t="e" cm="1">
        <f t="array" ref="Y98">_xlfn.LET(
    _xlpm.valor, INDEX(CostRate!I:I, MATCH(1, (CostRate!A:A=N98)*(CostRate!B:B=O98), 0)),
    _xlpm.posicion, MATCH(_xlpm.valor, FilterJP!$E$1:$FZ$1, 0),
    _xlpm.direccionCompleta, ADDRESS(1, _xlpm.posicion + 4, 4),
    _xlpm.letraColumna, SUBSTITUTE(_xlpm.direccionCompleta, "1", ""),
    _xlpm.letraColumna
)</f>
        <v>#N/A</v>
      </c>
      <c r="Z98" s="7"/>
      <c r="AA98" s="367"/>
      <c r="AB98" s="7"/>
      <c r="AC98" s="93">
        <f t="shared" si="70"/>
        <v>0</v>
      </c>
      <c r="AD98" s="94">
        <f t="shared" si="79"/>
        <v>0</v>
      </c>
      <c r="AE98" s="109">
        <f t="shared" si="80"/>
        <v>0</v>
      </c>
      <c r="AF98" s="7"/>
      <c r="AG98" s="369">
        <f t="shared" si="71"/>
        <v>0</v>
      </c>
      <c r="AH98" s="368">
        <f t="shared" si="72"/>
        <v>0</v>
      </c>
      <c r="AI98" s="7"/>
      <c r="AJ98" s="369" cm="1">
        <f t="array" ref="AJ98">IFERROR(INDEX(WHT!$C$7:$W$18,MATCH(
_xlfn.SWITCH(N98,"xDC Medellin","Colombia","xDC Belo Horizonte","Brazil","xDC Guadalajara","Mexico","xDC Gurugram","India","xDC Leon","Spain","xDC San Jose","Costa Rica","xDC Warsaw","Poland",N98),
WHT!$B$7:$B$18,0),MATCH(CustomerCountry,WHT!$C$5:$W$5,0)),0)</f>
        <v>0</v>
      </c>
      <c r="AK98" s="368">
        <f t="shared" si="73"/>
        <v>0</v>
      </c>
      <c r="AL98" s="7"/>
      <c r="AM98" s="95">
        <f t="shared" si="81"/>
        <v>0</v>
      </c>
      <c r="AN98" s="95">
        <f t="shared" ca="1" si="74"/>
        <v>0</v>
      </c>
      <c r="AO98" s="95">
        <f t="shared" ca="1" si="82"/>
        <v>0</v>
      </c>
      <c r="AP98" s="90"/>
      <c r="AQ98" s="18"/>
      <c r="AR98" s="290"/>
      <c r="AS98" s="467" t="s">
        <v>133</v>
      </c>
      <c r="AT98" s="501">
        <f t="shared" ca="1" si="75"/>
        <v>0</v>
      </c>
      <c r="AU98" s="502"/>
      <c r="AV98" s="95">
        <f t="shared" ca="1" si="83"/>
        <v>0</v>
      </c>
      <c r="AW98" s="469">
        <f t="shared" ca="1" si="76"/>
        <v>0</v>
      </c>
      <c r="AX98" s="290"/>
      <c r="AY98" s="18"/>
      <c r="AZ98" s="3"/>
      <c r="BA98" s="315"/>
      <c r="BB98" s="3"/>
      <c r="BC98" s="3"/>
      <c r="BD98" s="3"/>
      <c r="BE98" s="3"/>
      <c r="BF98" s="18"/>
      <c r="BG98" s="3"/>
      <c r="BH98" s="315"/>
      <c r="BI98" s="3"/>
      <c r="BJ98" s="3"/>
      <c r="BK98" s="3"/>
      <c r="BL98" s="3"/>
      <c r="BM98" s="18"/>
      <c r="BN98" s="3"/>
      <c r="BO98" s="315"/>
      <c r="BP98" s="3"/>
      <c r="BQ98" s="3"/>
      <c r="BR98" s="3"/>
      <c r="BS98" s="3"/>
      <c r="BT98" s="18"/>
      <c r="BU98" s="3"/>
      <c r="BV98" s="315"/>
      <c r="BW98" s="3"/>
      <c r="BX98" s="3"/>
      <c r="BY98" s="3"/>
      <c r="BZ98" s="3"/>
    </row>
    <row r="99" spans="1:78" ht="15.6" outlineLevel="1">
      <c r="A99" s="7"/>
      <c r="B99" s="370"/>
      <c r="C99" s="355"/>
      <c r="D99" s="356"/>
      <c r="E99" s="342"/>
      <c r="F99" s="290"/>
      <c r="G99" s="357">
        <v>0</v>
      </c>
      <c r="H99" s="358">
        <v>0</v>
      </c>
      <c r="I99" s="358">
        <v>0</v>
      </c>
      <c r="J99" s="359">
        <f t="shared" si="77"/>
        <v>0</v>
      </c>
      <c r="K99" s="290"/>
      <c r="L99" s="349"/>
      <c r="M99" s="7"/>
      <c r="N99" s="12"/>
      <c r="O99" s="12"/>
      <c r="P99" s="12"/>
      <c r="Q99" s="361"/>
      <c r="R99" s="362"/>
      <c r="S99" s="363">
        <f t="shared" si="88"/>
        <v>0</v>
      </c>
      <c r="T99" s="364">
        <f t="shared" ref="T99" si="92">IF(ISBLANK($P99),0,IF(Approach="Team-Based",$Q99*$R99*$S99*HoursPerDayTeamBased,$J99))</f>
        <v>0</v>
      </c>
      <c r="U99" s="365">
        <v>0</v>
      </c>
      <c r="V99" s="91">
        <f>ROUNDUP(IFERROR(INDEX(CostRateTbl[Cost Rate],MATCH(_xlfn.CONCAT(N99,O99,P99,"NA"),CostRateTbl[KeyCostRate],0)),0)*BillingCurrencyTRM*(1+U99),2)</f>
        <v>0</v>
      </c>
      <c r="W99" s="92">
        <f t="shared" si="69"/>
        <v>0</v>
      </c>
      <c r="X99" s="366" t="e" cm="1">
        <f t="array" ref="X99">_xlfn.LET(
    _xlpm.valor, INDEX(CostRate!H:H, MATCH(1, (CostRate!A:A=N99)*1, 0)),
    _xlpm.posicion, MATCH(_xlpm.valor, FilterSL!$F$1:$Z$1, 0),
    _xlpm.direccionCompleta, ADDRESS(1, _xlpm.posicion + 5, 4),
    _xlpm.letraColumna, SUBSTITUTE(_xlpm.direccionCompleta, "1", ""),
    _xlpm.letraColumna
)</f>
        <v>#N/A</v>
      </c>
      <c r="Y99" s="366" t="e" cm="1">
        <f t="array" ref="Y99">_xlfn.LET(
    _xlpm.valor, INDEX(CostRate!I:I, MATCH(1, (CostRate!A:A=N99)*(CostRate!B:B=O99), 0)),
    _xlpm.posicion, MATCH(_xlpm.valor, FilterJP!$E$1:$FZ$1, 0),
    _xlpm.direccionCompleta, ADDRESS(1, _xlpm.posicion + 4, 4),
    _xlpm.letraColumna, SUBSTITUTE(_xlpm.direccionCompleta, "1", ""),
    _xlpm.letraColumna
)</f>
        <v>#N/A</v>
      </c>
      <c r="Z99" s="7"/>
      <c r="AA99" s="367"/>
      <c r="AB99" s="7"/>
      <c r="AC99" s="93">
        <f t="shared" si="70"/>
        <v>0</v>
      </c>
      <c r="AD99" s="94">
        <f t="shared" si="79"/>
        <v>0</v>
      </c>
      <c r="AE99" s="109">
        <f t="shared" si="80"/>
        <v>0</v>
      </c>
      <c r="AF99" s="7"/>
      <c r="AG99" s="369">
        <f t="shared" si="71"/>
        <v>0</v>
      </c>
      <c r="AH99" s="368">
        <f t="shared" si="72"/>
        <v>0</v>
      </c>
      <c r="AI99" s="7"/>
      <c r="AJ99" s="369" cm="1">
        <f t="array" ref="AJ99">IFERROR(INDEX(WHT!$C$7:$W$18,MATCH(
_xlfn.SWITCH(N99,"xDC Medellin","Colombia","xDC Belo Horizonte","Brazil","xDC Guadalajara","Mexico","xDC Gurugram","India","xDC Leon","Spain","xDC San Jose","Costa Rica","xDC Warsaw","Poland",N99),
WHT!$B$7:$B$18,0),MATCH(CustomerCountry,WHT!$C$5:$W$5,0)),0)</f>
        <v>0</v>
      </c>
      <c r="AK99" s="368">
        <f t="shared" si="73"/>
        <v>0</v>
      </c>
      <c r="AL99" s="7"/>
      <c r="AM99" s="95">
        <f t="shared" si="81"/>
        <v>0</v>
      </c>
      <c r="AN99" s="95">
        <f t="shared" ca="1" si="74"/>
        <v>0</v>
      </c>
      <c r="AO99" s="95">
        <f t="shared" ca="1" si="82"/>
        <v>0</v>
      </c>
      <c r="AP99" s="90"/>
      <c r="AQ99" s="18"/>
      <c r="AR99" s="290"/>
      <c r="AS99" s="467" t="s">
        <v>133</v>
      </c>
      <c r="AT99" s="501">
        <f t="shared" ca="1" si="75"/>
        <v>0</v>
      </c>
      <c r="AU99" s="502"/>
      <c r="AV99" s="95">
        <f t="shared" ca="1" si="83"/>
        <v>0</v>
      </c>
      <c r="AW99" s="469">
        <f t="shared" ca="1" si="76"/>
        <v>0</v>
      </c>
      <c r="AX99" s="290"/>
      <c r="AY99" s="18"/>
      <c r="AZ99" s="3"/>
      <c r="BA99" s="315"/>
      <c r="BB99" s="3"/>
      <c r="BC99" s="3"/>
      <c r="BD99" s="3"/>
      <c r="BE99" s="3"/>
      <c r="BF99" s="18"/>
      <c r="BG99" s="3"/>
      <c r="BH99" s="315"/>
      <c r="BI99" s="3"/>
      <c r="BJ99" s="3"/>
      <c r="BK99" s="3"/>
      <c r="BL99" s="3"/>
      <c r="BM99" s="18"/>
      <c r="BN99" s="3"/>
      <c r="BO99" s="315"/>
      <c r="BP99" s="3"/>
      <c r="BQ99" s="3"/>
      <c r="BR99" s="3"/>
      <c r="BS99" s="3"/>
      <c r="BT99" s="18"/>
      <c r="BU99" s="3"/>
      <c r="BV99" s="315"/>
      <c r="BW99" s="3"/>
      <c r="BX99" s="3"/>
      <c r="BY99" s="3"/>
      <c r="BZ99" s="3"/>
    </row>
    <row r="100" spans="1:78" ht="15.6" outlineLevel="1">
      <c r="A100" s="7"/>
      <c r="B100" s="370"/>
      <c r="C100" s="355"/>
      <c r="D100" s="356"/>
      <c r="E100" s="342"/>
      <c r="F100" s="290"/>
      <c r="G100" s="357">
        <v>0</v>
      </c>
      <c r="H100" s="358">
        <v>0</v>
      </c>
      <c r="I100" s="358">
        <v>0</v>
      </c>
      <c r="J100" s="359">
        <f t="shared" si="77"/>
        <v>0</v>
      </c>
      <c r="K100" s="290"/>
      <c r="L100" s="349"/>
      <c r="M100" s="7"/>
      <c r="N100" s="12"/>
      <c r="O100" s="12"/>
      <c r="P100" s="12"/>
      <c r="Q100" s="361"/>
      <c r="R100" s="362"/>
      <c r="S100" s="363">
        <f t="shared" si="88"/>
        <v>0</v>
      </c>
      <c r="T100" s="364">
        <f t="shared" ref="T100" si="93">IF(ISBLANK($P100),0,IF(Approach="Team-Based",$Q100*$R100*$S100*HoursPerDayTeamBased,$J100))</f>
        <v>0</v>
      </c>
      <c r="U100" s="365">
        <v>0</v>
      </c>
      <c r="V100" s="91">
        <f>ROUNDUP(IFERROR(INDEX(CostRateTbl[Cost Rate],MATCH(_xlfn.CONCAT(N100,O100,P100,"NA"),CostRateTbl[KeyCostRate],0)),0)*BillingCurrencyTRM*(1+U100),2)</f>
        <v>0</v>
      </c>
      <c r="W100" s="92">
        <f t="shared" si="69"/>
        <v>0</v>
      </c>
      <c r="X100" s="366" t="e" cm="1">
        <f t="array" ref="X100">_xlfn.LET(
    _xlpm.valor, INDEX(CostRate!H:H, MATCH(1, (CostRate!A:A=N100)*1, 0)),
    _xlpm.posicion, MATCH(_xlpm.valor, FilterSL!$F$1:$Z$1, 0),
    _xlpm.direccionCompleta, ADDRESS(1, _xlpm.posicion + 5, 4),
    _xlpm.letraColumna, SUBSTITUTE(_xlpm.direccionCompleta, "1", ""),
    _xlpm.letraColumna
)</f>
        <v>#N/A</v>
      </c>
      <c r="Y100" s="366" t="e" cm="1">
        <f t="array" ref="Y100">_xlfn.LET(
    _xlpm.valor, INDEX(CostRate!I:I, MATCH(1, (CostRate!A:A=N100)*(CostRate!B:B=O100), 0)),
    _xlpm.posicion, MATCH(_xlpm.valor, FilterJP!$E$1:$FZ$1, 0),
    _xlpm.direccionCompleta, ADDRESS(1, _xlpm.posicion + 4, 4),
    _xlpm.letraColumna, SUBSTITUTE(_xlpm.direccionCompleta, "1", ""),
    _xlpm.letraColumna
)</f>
        <v>#N/A</v>
      </c>
      <c r="Z100" s="7"/>
      <c r="AA100" s="367"/>
      <c r="AB100" s="7"/>
      <c r="AC100" s="93">
        <f t="shared" si="70"/>
        <v>0</v>
      </c>
      <c r="AD100" s="94">
        <f t="shared" si="79"/>
        <v>0</v>
      </c>
      <c r="AE100" s="109">
        <f t="shared" si="80"/>
        <v>0</v>
      </c>
      <c r="AF100" s="7"/>
      <c r="AG100" s="369">
        <f t="shared" si="71"/>
        <v>0</v>
      </c>
      <c r="AH100" s="368">
        <f t="shared" si="72"/>
        <v>0</v>
      </c>
      <c r="AI100" s="7"/>
      <c r="AJ100" s="369" cm="1">
        <f t="array" ref="AJ100">IFERROR(INDEX(WHT!$C$7:$W$18,MATCH(
_xlfn.SWITCH(N100,"xDC Medellin","Colombia","xDC Belo Horizonte","Brazil","xDC Guadalajara","Mexico","xDC Gurugram","India","xDC Leon","Spain","xDC San Jose","Costa Rica","xDC Warsaw","Poland",N100),
WHT!$B$7:$B$18,0),MATCH(CustomerCountry,WHT!$C$5:$W$5,0)),0)</f>
        <v>0</v>
      </c>
      <c r="AK100" s="368">
        <f t="shared" si="73"/>
        <v>0</v>
      </c>
      <c r="AL100" s="7"/>
      <c r="AM100" s="95">
        <f t="shared" si="81"/>
        <v>0</v>
      </c>
      <c r="AN100" s="95">
        <f t="shared" ca="1" si="74"/>
        <v>0</v>
      </c>
      <c r="AO100" s="95">
        <f t="shared" ca="1" si="82"/>
        <v>0</v>
      </c>
      <c r="AP100" s="90"/>
      <c r="AQ100" s="18"/>
      <c r="AR100" s="290"/>
      <c r="AS100" s="467" t="s">
        <v>133</v>
      </c>
      <c r="AT100" s="501">
        <f t="shared" ca="1" si="75"/>
        <v>0</v>
      </c>
      <c r="AU100" s="502"/>
      <c r="AV100" s="95">
        <f t="shared" ca="1" si="83"/>
        <v>0</v>
      </c>
      <c r="AW100" s="469">
        <f t="shared" ca="1" si="76"/>
        <v>0</v>
      </c>
      <c r="AX100" s="290"/>
      <c r="AY100" s="18"/>
      <c r="AZ100" s="3"/>
      <c r="BA100" s="315"/>
      <c r="BB100" s="3"/>
      <c r="BC100" s="3"/>
      <c r="BD100" s="3"/>
      <c r="BE100" s="3"/>
      <c r="BF100" s="18"/>
      <c r="BG100" s="3"/>
      <c r="BH100" s="315"/>
      <c r="BI100" s="3"/>
      <c r="BJ100" s="3"/>
      <c r="BK100" s="3"/>
      <c r="BL100" s="3"/>
      <c r="BM100" s="18"/>
      <c r="BN100" s="3"/>
      <c r="BO100" s="315"/>
      <c r="BP100" s="3"/>
      <c r="BQ100" s="3"/>
      <c r="BR100" s="3"/>
      <c r="BS100" s="3"/>
      <c r="BT100" s="18"/>
      <c r="BU100" s="3"/>
      <c r="BV100" s="315"/>
      <c r="BW100" s="3"/>
      <c r="BX100" s="3"/>
      <c r="BY100" s="3"/>
      <c r="BZ100" s="3"/>
    </row>
    <row r="101" spans="1:78" ht="15.6" outlineLevel="1">
      <c r="A101" s="7"/>
      <c r="B101" s="370"/>
      <c r="C101" s="355"/>
      <c r="D101" s="356"/>
      <c r="E101" s="342"/>
      <c r="F101" s="290"/>
      <c r="G101" s="357">
        <v>0</v>
      </c>
      <c r="H101" s="358">
        <v>0</v>
      </c>
      <c r="I101" s="358">
        <v>0</v>
      </c>
      <c r="J101" s="359">
        <f t="shared" si="77"/>
        <v>0</v>
      </c>
      <c r="K101" s="290"/>
      <c r="L101" s="349"/>
      <c r="M101" s="7"/>
      <c r="N101" s="12"/>
      <c r="O101" s="12"/>
      <c r="P101" s="12"/>
      <c r="Q101" s="361"/>
      <c r="R101" s="362"/>
      <c r="S101" s="363">
        <f t="shared" si="88"/>
        <v>0</v>
      </c>
      <c r="T101" s="364">
        <f t="shared" ref="T101" si="94">IF(ISBLANK($P101),0,IF(Approach="Team-Based",$Q101*$R101*$S101*HoursPerDayTeamBased,$J101))</f>
        <v>0</v>
      </c>
      <c r="U101" s="365">
        <v>0</v>
      </c>
      <c r="V101" s="91">
        <f>ROUNDUP(IFERROR(INDEX(CostRateTbl[Cost Rate],MATCH(_xlfn.CONCAT(N101,O101,P101,"NA"),CostRateTbl[KeyCostRate],0)),0)*BillingCurrencyTRM*(1+U101),2)</f>
        <v>0</v>
      </c>
      <c r="W101" s="92">
        <f t="shared" si="69"/>
        <v>0</v>
      </c>
      <c r="X101" s="366" t="e" cm="1">
        <f t="array" ref="X101">_xlfn.LET(
    _xlpm.valor, INDEX(CostRate!H:H, MATCH(1, (CostRate!A:A=N101)*1, 0)),
    _xlpm.posicion, MATCH(_xlpm.valor, FilterSL!$F$1:$Z$1, 0),
    _xlpm.direccionCompleta, ADDRESS(1, _xlpm.posicion + 5, 4),
    _xlpm.letraColumna, SUBSTITUTE(_xlpm.direccionCompleta, "1", ""),
    _xlpm.letraColumna
)</f>
        <v>#N/A</v>
      </c>
      <c r="Y101" s="366" t="e" cm="1">
        <f t="array" ref="Y101">_xlfn.LET(
    _xlpm.valor, INDEX(CostRate!I:I, MATCH(1, (CostRate!A:A=N101)*(CostRate!B:B=O101), 0)),
    _xlpm.posicion, MATCH(_xlpm.valor, FilterJP!$E$1:$FZ$1, 0),
    _xlpm.direccionCompleta, ADDRESS(1, _xlpm.posicion + 4, 4),
    _xlpm.letraColumna, SUBSTITUTE(_xlpm.direccionCompleta, "1", ""),
    _xlpm.letraColumna
)</f>
        <v>#N/A</v>
      </c>
      <c r="Z101" s="7"/>
      <c r="AA101" s="367"/>
      <c r="AB101" s="7"/>
      <c r="AC101" s="93">
        <f t="shared" si="70"/>
        <v>0</v>
      </c>
      <c r="AD101" s="94">
        <f t="shared" si="79"/>
        <v>0</v>
      </c>
      <c r="AE101" s="109">
        <f t="shared" si="80"/>
        <v>0</v>
      </c>
      <c r="AF101" s="7"/>
      <c r="AG101" s="369">
        <f t="shared" si="71"/>
        <v>0</v>
      </c>
      <c r="AH101" s="368">
        <f t="shared" si="72"/>
        <v>0</v>
      </c>
      <c r="AI101" s="7"/>
      <c r="AJ101" s="369" cm="1">
        <f t="array" ref="AJ101">IFERROR(INDEX(WHT!$C$7:$W$18,MATCH(
_xlfn.SWITCH(N101,"xDC Medellin","Colombia","xDC Belo Horizonte","Brazil","xDC Guadalajara","Mexico","xDC Gurugram","India","xDC Leon","Spain","xDC San Jose","Costa Rica","xDC Warsaw","Poland",N101),
WHT!$B$7:$B$18,0),MATCH(CustomerCountry,WHT!$C$5:$W$5,0)),0)</f>
        <v>0</v>
      </c>
      <c r="AK101" s="368">
        <f t="shared" si="73"/>
        <v>0</v>
      </c>
      <c r="AL101" s="7"/>
      <c r="AM101" s="95">
        <f t="shared" si="81"/>
        <v>0</v>
      </c>
      <c r="AN101" s="95">
        <f t="shared" ca="1" si="74"/>
        <v>0</v>
      </c>
      <c r="AO101" s="95">
        <f t="shared" ca="1" si="82"/>
        <v>0</v>
      </c>
      <c r="AP101" s="90"/>
      <c r="AQ101" s="18"/>
      <c r="AR101" s="290"/>
      <c r="AS101" s="467" t="s">
        <v>133</v>
      </c>
      <c r="AT101" s="501">
        <f t="shared" ca="1" si="75"/>
        <v>0</v>
      </c>
      <c r="AU101" s="502"/>
      <c r="AV101" s="95">
        <f t="shared" ca="1" si="83"/>
        <v>0</v>
      </c>
      <c r="AW101" s="469">
        <f t="shared" ca="1" si="76"/>
        <v>0</v>
      </c>
      <c r="AX101" s="290"/>
      <c r="AY101" s="18"/>
      <c r="AZ101" s="3"/>
      <c r="BA101" s="315"/>
      <c r="BB101" s="3"/>
      <c r="BC101" s="3"/>
      <c r="BD101" s="3"/>
      <c r="BE101" s="3"/>
      <c r="BF101" s="18"/>
      <c r="BG101" s="3"/>
      <c r="BH101" s="315"/>
      <c r="BI101" s="3"/>
      <c r="BJ101" s="3"/>
      <c r="BK101" s="3"/>
      <c r="BL101" s="3"/>
      <c r="BM101" s="18"/>
      <c r="BN101" s="3"/>
      <c r="BO101" s="315"/>
      <c r="BP101" s="3"/>
      <c r="BQ101" s="3"/>
      <c r="BR101" s="3"/>
      <c r="BS101" s="3"/>
      <c r="BT101" s="18"/>
      <c r="BU101" s="3"/>
      <c r="BV101" s="315"/>
      <c r="BW101" s="3"/>
      <c r="BX101" s="3"/>
      <c r="BY101" s="3"/>
      <c r="BZ101" s="3"/>
    </row>
    <row r="102" spans="1:78" ht="15.6" outlineLevel="1">
      <c r="A102" s="7"/>
      <c r="B102" s="370"/>
      <c r="C102" s="355"/>
      <c r="D102" s="356"/>
      <c r="E102" s="342"/>
      <c r="F102" s="290"/>
      <c r="G102" s="357">
        <v>0</v>
      </c>
      <c r="H102" s="358">
        <v>0</v>
      </c>
      <c r="I102" s="358">
        <v>0</v>
      </c>
      <c r="J102" s="359">
        <f t="shared" si="77"/>
        <v>0</v>
      </c>
      <c r="K102" s="290"/>
      <c r="L102" s="349"/>
      <c r="M102" s="7"/>
      <c r="N102" s="12"/>
      <c r="O102" s="12"/>
      <c r="P102" s="12"/>
      <c r="Q102" s="361"/>
      <c r="R102" s="362"/>
      <c r="S102" s="363">
        <f t="shared" si="88"/>
        <v>0</v>
      </c>
      <c r="T102" s="364">
        <f t="shared" ref="T102" si="95">IF(ISBLANK($P102),0,IF(Approach="Team-Based",$Q102*$R102*$S102*HoursPerDayTeamBased,$J102))</f>
        <v>0</v>
      </c>
      <c r="U102" s="365">
        <v>0</v>
      </c>
      <c r="V102" s="91">
        <f>ROUNDUP(IFERROR(INDEX(CostRateTbl[Cost Rate],MATCH(_xlfn.CONCAT(N102,O102,P102,"NA"),CostRateTbl[KeyCostRate],0)),0)*BillingCurrencyTRM*(1+U102),2)</f>
        <v>0</v>
      </c>
      <c r="W102" s="92">
        <f t="shared" si="69"/>
        <v>0</v>
      </c>
      <c r="X102" s="366" t="e" cm="1">
        <f t="array" ref="X102">_xlfn.LET(
    _xlpm.valor, INDEX(CostRate!H:H, MATCH(1, (CostRate!A:A=N102)*1, 0)),
    _xlpm.posicion, MATCH(_xlpm.valor, FilterSL!$F$1:$Z$1, 0),
    _xlpm.direccionCompleta, ADDRESS(1, _xlpm.posicion + 5, 4),
    _xlpm.letraColumna, SUBSTITUTE(_xlpm.direccionCompleta, "1", ""),
    _xlpm.letraColumna
)</f>
        <v>#N/A</v>
      </c>
      <c r="Y102" s="366" t="e" cm="1">
        <f t="array" ref="Y102">_xlfn.LET(
    _xlpm.valor, INDEX(CostRate!I:I, MATCH(1, (CostRate!A:A=N102)*(CostRate!B:B=O102), 0)),
    _xlpm.posicion, MATCH(_xlpm.valor, FilterJP!$E$1:$FZ$1, 0),
    _xlpm.direccionCompleta, ADDRESS(1, _xlpm.posicion + 4, 4),
    _xlpm.letraColumna, SUBSTITUTE(_xlpm.direccionCompleta, "1", ""),
    _xlpm.letraColumna
)</f>
        <v>#N/A</v>
      </c>
      <c r="Z102" s="7"/>
      <c r="AA102" s="367"/>
      <c r="AB102" s="7"/>
      <c r="AC102" s="93">
        <f t="shared" si="70"/>
        <v>0</v>
      </c>
      <c r="AD102" s="94">
        <f t="shared" si="79"/>
        <v>0</v>
      </c>
      <c r="AE102" s="109">
        <f t="shared" si="80"/>
        <v>0</v>
      </c>
      <c r="AF102" s="7"/>
      <c r="AG102" s="369">
        <f t="shared" si="71"/>
        <v>0</v>
      </c>
      <c r="AH102" s="368">
        <f t="shared" si="72"/>
        <v>0</v>
      </c>
      <c r="AI102" s="7"/>
      <c r="AJ102" s="369" cm="1">
        <f t="array" ref="AJ102">IFERROR(INDEX(WHT!$C$7:$W$18,MATCH(
_xlfn.SWITCH(N102,"xDC Medellin","Colombia","xDC Belo Horizonte","Brazil","xDC Guadalajara","Mexico","xDC Gurugram","India","xDC Leon","Spain","xDC San Jose","Costa Rica","xDC Warsaw","Poland",N102),
WHT!$B$7:$B$18,0),MATCH(CustomerCountry,WHT!$C$5:$W$5,0)),0)</f>
        <v>0</v>
      </c>
      <c r="AK102" s="368">
        <f t="shared" si="73"/>
        <v>0</v>
      </c>
      <c r="AL102" s="7"/>
      <c r="AM102" s="95">
        <f t="shared" si="81"/>
        <v>0</v>
      </c>
      <c r="AN102" s="95">
        <f t="shared" ca="1" si="74"/>
        <v>0</v>
      </c>
      <c r="AO102" s="95">
        <f t="shared" ca="1" si="82"/>
        <v>0</v>
      </c>
      <c r="AP102" s="90"/>
      <c r="AQ102" s="18"/>
      <c r="AR102" s="290"/>
      <c r="AS102" s="467" t="s">
        <v>133</v>
      </c>
      <c r="AT102" s="501">
        <f t="shared" ca="1" si="75"/>
        <v>0</v>
      </c>
      <c r="AU102" s="502"/>
      <c r="AV102" s="95">
        <f t="shared" ca="1" si="83"/>
        <v>0</v>
      </c>
      <c r="AW102" s="469">
        <f t="shared" ca="1" si="76"/>
        <v>0</v>
      </c>
      <c r="AX102" s="290"/>
      <c r="AY102" s="18"/>
      <c r="AZ102" s="3"/>
      <c r="BA102" s="315"/>
      <c r="BB102" s="3"/>
      <c r="BC102" s="3"/>
      <c r="BD102" s="3"/>
      <c r="BE102" s="3"/>
      <c r="BF102" s="18"/>
      <c r="BG102" s="3"/>
      <c r="BH102" s="315"/>
      <c r="BI102" s="3"/>
      <c r="BJ102" s="3"/>
      <c r="BK102" s="3"/>
      <c r="BL102" s="3"/>
      <c r="BM102" s="18"/>
      <c r="BN102" s="3"/>
      <c r="BO102" s="315"/>
      <c r="BP102" s="3"/>
      <c r="BQ102" s="3"/>
      <c r="BR102" s="3"/>
      <c r="BS102" s="3"/>
      <c r="BT102" s="18"/>
      <c r="BU102" s="3"/>
      <c r="BV102" s="315"/>
      <c r="BW102" s="3"/>
      <c r="BX102" s="3"/>
      <c r="BY102" s="3"/>
      <c r="BZ102" s="3"/>
    </row>
    <row r="103" spans="1:78" ht="15.6" outlineLevel="1">
      <c r="A103" s="7"/>
      <c r="B103" s="370"/>
      <c r="C103" s="355"/>
      <c r="D103" s="356"/>
      <c r="E103" s="342"/>
      <c r="F103" s="290"/>
      <c r="G103" s="357">
        <v>0</v>
      </c>
      <c r="H103" s="358">
        <v>0</v>
      </c>
      <c r="I103" s="358">
        <v>0</v>
      </c>
      <c r="J103" s="359">
        <f t="shared" si="77"/>
        <v>0</v>
      </c>
      <c r="K103" s="290"/>
      <c r="L103" s="349"/>
      <c r="M103" s="7"/>
      <c r="N103" s="12"/>
      <c r="O103" s="12"/>
      <c r="P103" s="12"/>
      <c r="Q103" s="361"/>
      <c r="R103" s="362"/>
      <c r="S103" s="363">
        <f t="shared" si="88"/>
        <v>0</v>
      </c>
      <c r="T103" s="364">
        <f t="shared" ref="T103" si="96">IF(ISBLANK($P103),0,IF(Approach="Team-Based",$Q103*$R103*$S103*HoursPerDayTeamBased,$J103))</f>
        <v>0</v>
      </c>
      <c r="U103" s="365">
        <v>0</v>
      </c>
      <c r="V103" s="91">
        <f>ROUNDUP(IFERROR(INDEX(CostRateTbl[Cost Rate],MATCH(_xlfn.CONCAT(N103,O103,P103,"NA"),CostRateTbl[KeyCostRate],0)),0)*BillingCurrencyTRM*(1+U103),2)</f>
        <v>0</v>
      </c>
      <c r="W103" s="92">
        <f t="shared" si="69"/>
        <v>0</v>
      </c>
      <c r="X103" s="366" t="e" cm="1">
        <f t="array" ref="X103">_xlfn.LET(
    _xlpm.valor, INDEX(CostRate!H:H, MATCH(1, (CostRate!A:A=N103)*1, 0)),
    _xlpm.posicion, MATCH(_xlpm.valor, FilterSL!$F$1:$Z$1, 0),
    _xlpm.direccionCompleta, ADDRESS(1, _xlpm.posicion + 5, 4),
    _xlpm.letraColumna, SUBSTITUTE(_xlpm.direccionCompleta, "1", ""),
    _xlpm.letraColumna
)</f>
        <v>#N/A</v>
      </c>
      <c r="Y103" s="366" t="e" cm="1">
        <f t="array" ref="Y103">_xlfn.LET(
    _xlpm.valor, INDEX(CostRate!I:I, MATCH(1, (CostRate!A:A=N103)*(CostRate!B:B=O103), 0)),
    _xlpm.posicion, MATCH(_xlpm.valor, FilterJP!$E$1:$FZ$1, 0),
    _xlpm.direccionCompleta, ADDRESS(1, _xlpm.posicion + 4, 4),
    _xlpm.letraColumna, SUBSTITUTE(_xlpm.direccionCompleta, "1", ""),
    _xlpm.letraColumna
)</f>
        <v>#N/A</v>
      </c>
      <c r="Z103" s="7"/>
      <c r="AA103" s="367"/>
      <c r="AB103" s="7"/>
      <c r="AC103" s="93">
        <f t="shared" si="70"/>
        <v>0</v>
      </c>
      <c r="AD103" s="94">
        <f t="shared" si="79"/>
        <v>0</v>
      </c>
      <c r="AE103" s="109">
        <f t="shared" si="80"/>
        <v>0</v>
      </c>
      <c r="AF103" s="7"/>
      <c r="AG103" s="369">
        <f t="shared" si="71"/>
        <v>0</v>
      </c>
      <c r="AH103" s="368">
        <f t="shared" si="72"/>
        <v>0</v>
      </c>
      <c r="AI103" s="7"/>
      <c r="AJ103" s="369" cm="1">
        <f t="array" ref="AJ103">IFERROR(INDEX(WHT!$C$7:$W$18,MATCH(
_xlfn.SWITCH(N103,"xDC Medellin","Colombia","xDC Belo Horizonte","Brazil","xDC Guadalajara","Mexico","xDC Gurugram","India","xDC Leon","Spain","xDC San Jose","Costa Rica","xDC Warsaw","Poland",N103),
WHT!$B$7:$B$18,0),MATCH(CustomerCountry,WHT!$C$5:$W$5,0)),0)</f>
        <v>0</v>
      </c>
      <c r="AK103" s="368">
        <f t="shared" si="73"/>
        <v>0</v>
      </c>
      <c r="AL103" s="7"/>
      <c r="AM103" s="95">
        <f t="shared" si="81"/>
        <v>0</v>
      </c>
      <c r="AN103" s="95">
        <f t="shared" ca="1" si="74"/>
        <v>0</v>
      </c>
      <c r="AO103" s="95">
        <f t="shared" ca="1" si="82"/>
        <v>0</v>
      </c>
      <c r="AP103" s="90"/>
      <c r="AQ103" s="18"/>
      <c r="AR103" s="290"/>
      <c r="AS103" s="467" t="s">
        <v>133</v>
      </c>
      <c r="AT103" s="501">
        <f t="shared" ca="1" si="75"/>
        <v>0</v>
      </c>
      <c r="AU103" s="502"/>
      <c r="AV103" s="95">
        <f t="shared" ca="1" si="83"/>
        <v>0</v>
      </c>
      <c r="AW103" s="469">
        <f t="shared" ca="1" si="76"/>
        <v>0</v>
      </c>
      <c r="AX103" s="290"/>
      <c r="AY103" s="18"/>
      <c r="AZ103" s="3"/>
      <c r="BA103" s="315"/>
      <c r="BB103" s="3"/>
      <c r="BC103" s="3"/>
      <c r="BD103" s="3"/>
      <c r="BE103" s="3"/>
      <c r="BF103" s="18"/>
      <c r="BG103" s="3"/>
      <c r="BH103" s="315"/>
      <c r="BI103" s="3"/>
      <c r="BJ103" s="3"/>
      <c r="BK103" s="3"/>
      <c r="BL103" s="3"/>
      <c r="BM103" s="18"/>
      <c r="BN103" s="3"/>
      <c r="BO103" s="315"/>
      <c r="BP103" s="3"/>
      <c r="BQ103" s="3"/>
      <c r="BR103" s="3"/>
      <c r="BS103" s="3"/>
      <c r="BT103" s="18"/>
      <c r="BU103" s="3"/>
      <c r="BV103" s="315"/>
      <c r="BW103" s="3"/>
      <c r="BX103" s="3"/>
      <c r="BY103" s="3"/>
      <c r="BZ103" s="3"/>
    </row>
    <row r="104" spans="1:78" ht="15.6" outlineLevel="1">
      <c r="A104" s="7"/>
      <c r="B104" s="370"/>
      <c r="C104" s="355"/>
      <c r="D104" s="356"/>
      <c r="E104" s="342"/>
      <c r="F104" s="290"/>
      <c r="G104" s="357">
        <v>0</v>
      </c>
      <c r="H104" s="358">
        <v>0</v>
      </c>
      <c r="I104" s="358">
        <v>0</v>
      </c>
      <c r="J104" s="359">
        <f t="shared" si="77"/>
        <v>0</v>
      </c>
      <c r="K104" s="290"/>
      <c r="L104" s="349"/>
      <c r="M104" s="7"/>
      <c r="N104" s="12"/>
      <c r="O104" s="12"/>
      <c r="P104" s="12"/>
      <c r="Q104" s="361"/>
      <c r="R104" s="362"/>
      <c r="S104" s="363">
        <f t="shared" si="88"/>
        <v>0</v>
      </c>
      <c r="T104" s="364">
        <f t="shared" ref="T104" si="97">IF(ISBLANK($P104),0,IF(Approach="Team-Based",$Q104*$R104*$S104*HoursPerDayTeamBased,$J104))</f>
        <v>0</v>
      </c>
      <c r="U104" s="365">
        <v>0</v>
      </c>
      <c r="V104" s="91">
        <f>ROUNDUP(IFERROR(INDEX(CostRateTbl[Cost Rate],MATCH(_xlfn.CONCAT(N104,O104,P104,"NA"),CostRateTbl[KeyCostRate],0)),0)*BillingCurrencyTRM*(1+U104),2)</f>
        <v>0</v>
      </c>
      <c r="W104" s="92">
        <f t="shared" si="69"/>
        <v>0</v>
      </c>
      <c r="X104" s="366" t="e" cm="1">
        <f t="array" ref="X104">_xlfn.LET(
    _xlpm.valor, INDEX(CostRate!H:H, MATCH(1, (CostRate!A:A=N104)*1, 0)),
    _xlpm.posicion, MATCH(_xlpm.valor, FilterSL!$F$1:$Z$1, 0),
    _xlpm.direccionCompleta, ADDRESS(1, _xlpm.posicion + 5, 4),
    _xlpm.letraColumna, SUBSTITUTE(_xlpm.direccionCompleta, "1", ""),
    _xlpm.letraColumna
)</f>
        <v>#N/A</v>
      </c>
      <c r="Y104" s="366" t="e" cm="1">
        <f t="array" ref="Y104">_xlfn.LET(
    _xlpm.valor, INDEX(CostRate!I:I, MATCH(1, (CostRate!A:A=N104)*(CostRate!B:B=O104), 0)),
    _xlpm.posicion, MATCH(_xlpm.valor, FilterJP!$E$1:$FZ$1, 0),
    _xlpm.direccionCompleta, ADDRESS(1, _xlpm.posicion + 4, 4),
    _xlpm.letraColumna, SUBSTITUTE(_xlpm.direccionCompleta, "1", ""),
    _xlpm.letraColumna
)</f>
        <v>#N/A</v>
      </c>
      <c r="Z104" s="7"/>
      <c r="AA104" s="367"/>
      <c r="AB104" s="7"/>
      <c r="AC104" s="93">
        <f t="shared" si="70"/>
        <v>0</v>
      </c>
      <c r="AD104" s="94">
        <f t="shared" si="79"/>
        <v>0</v>
      </c>
      <c r="AE104" s="109">
        <f t="shared" si="80"/>
        <v>0</v>
      </c>
      <c r="AF104" s="7"/>
      <c r="AG104" s="369">
        <f t="shared" si="71"/>
        <v>0</v>
      </c>
      <c r="AH104" s="368">
        <f t="shared" si="72"/>
        <v>0</v>
      </c>
      <c r="AI104" s="7"/>
      <c r="AJ104" s="369" cm="1">
        <f t="array" ref="AJ104">IFERROR(INDEX(WHT!$C$7:$W$18,MATCH(
_xlfn.SWITCH(N104,"xDC Medellin","Colombia","xDC Belo Horizonte","Brazil","xDC Guadalajara","Mexico","xDC Gurugram","India","xDC Leon","Spain","xDC San Jose","Costa Rica","xDC Warsaw","Poland",N104),
WHT!$B$7:$B$18,0),MATCH(CustomerCountry,WHT!$C$5:$W$5,0)),0)</f>
        <v>0</v>
      </c>
      <c r="AK104" s="368">
        <f t="shared" si="73"/>
        <v>0</v>
      </c>
      <c r="AL104" s="7"/>
      <c r="AM104" s="95">
        <f t="shared" si="81"/>
        <v>0</v>
      </c>
      <c r="AN104" s="95">
        <f t="shared" ca="1" si="74"/>
        <v>0</v>
      </c>
      <c r="AO104" s="95">
        <f t="shared" ca="1" si="82"/>
        <v>0</v>
      </c>
      <c r="AP104" s="90"/>
      <c r="AQ104" s="18"/>
      <c r="AR104" s="290"/>
      <c r="AS104" s="467" t="s">
        <v>133</v>
      </c>
      <c r="AT104" s="501">
        <f t="shared" ca="1" si="75"/>
        <v>0</v>
      </c>
      <c r="AU104" s="502"/>
      <c r="AV104" s="95">
        <f t="shared" ca="1" si="83"/>
        <v>0</v>
      </c>
      <c r="AW104" s="469">
        <f t="shared" ca="1" si="76"/>
        <v>0</v>
      </c>
      <c r="AX104" s="290"/>
      <c r="AY104" s="18"/>
      <c r="AZ104" s="3"/>
      <c r="BA104" s="315"/>
      <c r="BB104" s="3"/>
      <c r="BC104" s="3"/>
      <c r="BD104" s="3"/>
      <c r="BE104" s="3"/>
      <c r="BF104" s="18"/>
      <c r="BG104" s="3"/>
      <c r="BH104" s="315"/>
      <c r="BI104" s="3"/>
      <c r="BJ104" s="3"/>
      <c r="BK104" s="3"/>
      <c r="BL104" s="3"/>
      <c r="BM104" s="18"/>
      <c r="BN104" s="3"/>
      <c r="BO104" s="315"/>
      <c r="BP104" s="3"/>
      <c r="BQ104" s="3"/>
      <c r="BR104" s="3"/>
      <c r="BS104" s="3"/>
      <c r="BT104" s="18"/>
      <c r="BU104" s="3"/>
      <c r="BV104" s="315"/>
      <c r="BW104" s="3"/>
      <c r="BX104" s="3"/>
      <c r="BY104" s="3"/>
      <c r="BZ104" s="3"/>
    </row>
    <row r="105" spans="1:78" ht="15.6" outlineLevel="1">
      <c r="A105" s="7"/>
      <c r="B105" s="370"/>
      <c r="C105" s="355"/>
      <c r="D105" s="356"/>
      <c r="E105" s="342"/>
      <c r="F105" s="290"/>
      <c r="G105" s="357">
        <v>0</v>
      </c>
      <c r="H105" s="358">
        <v>0</v>
      </c>
      <c r="I105" s="358">
        <v>0</v>
      </c>
      <c r="J105" s="359">
        <f t="shared" si="77"/>
        <v>0</v>
      </c>
      <c r="K105" s="290"/>
      <c r="L105" s="349"/>
      <c r="M105" s="7"/>
      <c r="N105" s="12"/>
      <c r="O105" s="12"/>
      <c r="P105" s="12"/>
      <c r="Q105" s="361"/>
      <c r="R105" s="362"/>
      <c r="S105" s="363">
        <f t="shared" si="88"/>
        <v>0</v>
      </c>
      <c r="T105" s="364">
        <f t="shared" ref="T105" si="98">IF(ISBLANK($P105),0,IF(Approach="Team-Based",$Q105*$R105*$S105*HoursPerDayTeamBased,$J105))</f>
        <v>0</v>
      </c>
      <c r="U105" s="365">
        <v>0</v>
      </c>
      <c r="V105" s="91">
        <f>ROUNDUP(IFERROR(INDEX(CostRateTbl[Cost Rate],MATCH(_xlfn.CONCAT(N105,O105,P105,"NA"),CostRateTbl[KeyCostRate],0)),0)*BillingCurrencyTRM*(1+U105),2)</f>
        <v>0</v>
      </c>
      <c r="W105" s="92">
        <f t="shared" si="69"/>
        <v>0</v>
      </c>
      <c r="X105" s="366" t="e" cm="1">
        <f t="array" ref="X105">_xlfn.LET(
    _xlpm.valor, INDEX(CostRate!H:H, MATCH(1, (CostRate!A:A=N105)*1, 0)),
    _xlpm.posicion, MATCH(_xlpm.valor, FilterSL!$F$1:$Z$1, 0),
    _xlpm.direccionCompleta, ADDRESS(1, _xlpm.posicion + 5, 4),
    _xlpm.letraColumna, SUBSTITUTE(_xlpm.direccionCompleta, "1", ""),
    _xlpm.letraColumna
)</f>
        <v>#N/A</v>
      </c>
      <c r="Y105" s="366" t="e" cm="1">
        <f t="array" ref="Y105">_xlfn.LET(
    _xlpm.valor, INDEX(CostRate!I:I, MATCH(1, (CostRate!A:A=N105)*(CostRate!B:B=O105), 0)),
    _xlpm.posicion, MATCH(_xlpm.valor, FilterJP!$E$1:$FZ$1, 0),
    _xlpm.direccionCompleta, ADDRESS(1, _xlpm.posicion + 4, 4),
    _xlpm.letraColumna, SUBSTITUTE(_xlpm.direccionCompleta, "1", ""),
    _xlpm.letraColumna
)</f>
        <v>#N/A</v>
      </c>
      <c r="Z105" s="7"/>
      <c r="AA105" s="367"/>
      <c r="AB105" s="7"/>
      <c r="AC105" s="93">
        <f t="shared" si="70"/>
        <v>0</v>
      </c>
      <c r="AD105" s="94">
        <f t="shared" si="79"/>
        <v>0</v>
      </c>
      <c r="AE105" s="109">
        <f t="shared" si="80"/>
        <v>0</v>
      </c>
      <c r="AF105" s="7"/>
      <c r="AG105" s="369">
        <f t="shared" si="71"/>
        <v>0</v>
      </c>
      <c r="AH105" s="368">
        <f t="shared" si="72"/>
        <v>0</v>
      </c>
      <c r="AI105" s="7"/>
      <c r="AJ105" s="369" cm="1">
        <f t="array" ref="AJ105">IFERROR(INDEX(WHT!$C$7:$W$18,MATCH(
_xlfn.SWITCH(N105,"xDC Medellin","Colombia","xDC Belo Horizonte","Brazil","xDC Guadalajara","Mexico","xDC Gurugram","India","xDC Leon","Spain","xDC San Jose","Costa Rica","xDC Warsaw","Poland",N105),
WHT!$B$7:$B$18,0),MATCH(CustomerCountry,WHT!$C$5:$W$5,0)),0)</f>
        <v>0</v>
      </c>
      <c r="AK105" s="368">
        <f t="shared" si="73"/>
        <v>0</v>
      </c>
      <c r="AL105" s="7"/>
      <c r="AM105" s="95">
        <f t="shared" si="81"/>
        <v>0</v>
      </c>
      <c r="AN105" s="95">
        <f t="shared" ca="1" si="74"/>
        <v>0</v>
      </c>
      <c r="AO105" s="95">
        <f t="shared" ca="1" si="82"/>
        <v>0</v>
      </c>
      <c r="AP105" s="90"/>
      <c r="AQ105" s="18"/>
      <c r="AR105" s="290"/>
      <c r="AS105" s="467" t="s">
        <v>133</v>
      </c>
      <c r="AT105" s="501">
        <f t="shared" ca="1" si="75"/>
        <v>0</v>
      </c>
      <c r="AU105" s="502"/>
      <c r="AV105" s="95">
        <f t="shared" ca="1" si="83"/>
        <v>0</v>
      </c>
      <c r="AW105" s="469">
        <f t="shared" ca="1" si="76"/>
        <v>0</v>
      </c>
      <c r="AX105" s="290"/>
      <c r="AY105" s="18"/>
      <c r="AZ105" s="3"/>
      <c r="BA105" s="315"/>
      <c r="BB105" s="3"/>
      <c r="BC105" s="3"/>
      <c r="BD105" s="3"/>
      <c r="BE105" s="3"/>
      <c r="BF105" s="18"/>
      <c r="BG105" s="3"/>
      <c r="BH105" s="315"/>
      <c r="BI105" s="3"/>
      <c r="BJ105" s="3"/>
      <c r="BK105" s="3"/>
      <c r="BL105" s="3"/>
      <c r="BM105" s="18"/>
      <c r="BN105" s="3"/>
      <c r="BO105" s="315"/>
      <c r="BP105" s="3"/>
      <c r="BQ105" s="3"/>
      <c r="BR105" s="3"/>
      <c r="BS105" s="3"/>
      <c r="BT105" s="18"/>
      <c r="BU105" s="3"/>
      <c r="BV105" s="315"/>
      <c r="BW105" s="3"/>
      <c r="BX105" s="3"/>
      <c r="BY105" s="3"/>
      <c r="BZ105" s="3"/>
    </row>
    <row r="106" spans="1:78" ht="15.6" outlineLevel="1">
      <c r="A106" s="7"/>
      <c r="B106" s="370"/>
      <c r="C106" s="355"/>
      <c r="D106" s="356"/>
      <c r="E106" s="342"/>
      <c r="F106" s="290"/>
      <c r="G106" s="357">
        <v>0</v>
      </c>
      <c r="H106" s="358">
        <v>0</v>
      </c>
      <c r="I106" s="358">
        <v>0</v>
      </c>
      <c r="J106" s="359">
        <f t="shared" si="77"/>
        <v>0</v>
      </c>
      <c r="K106" s="290"/>
      <c r="L106" s="349"/>
      <c r="M106" s="7"/>
      <c r="N106" s="12"/>
      <c r="O106" s="12"/>
      <c r="P106" s="12"/>
      <c r="Q106" s="361"/>
      <c r="R106" s="362"/>
      <c r="S106" s="363">
        <f t="shared" si="88"/>
        <v>0</v>
      </c>
      <c r="T106" s="364">
        <f t="shared" ref="T106" si="99">IF(ISBLANK($P106),0,IF(Approach="Team-Based",$Q106*$R106*$S106*HoursPerDayTeamBased,$J106))</f>
        <v>0</v>
      </c>
      <c r="U106" s="365">
        <v>0</v>
      </c>
      <c r="V106" s="91">
        <f>ROUNDUP(IFERROR(INDEX(CostRateTbl[Cost Rate],MATCH(_xlfn.CONCAT(N106,O106,P106,"NA"),CostRateTbl[KeyCostRate],0)),0)*BillingCurrencyTRM*(1+U106),2)</f>
        <v>0</v>
      </c>
      <c r="W106" s="92">
        <f t="shared" si="69"/>
        <v>0</v>
      </c>
      <c r="X106" s="366" t="e" cm="1">
        <f t="array" ref="X106">_xlfn.LET(
    _xlpm.valor, INDEX(CostRate!H:H, MATCH(1, (CostRate!A:A=N106)*1, 0)),
    _xlpm.posicion, MATCH(_xlpm.valor, FilterSL!$F$1:$Z$1, 0),
    _xlpm.direccionCompleta, ADDRESS(1, _xlpm.posicion + 5, 4),
    _xlpm.letraColumna, SUBSTITUTE(_xlpm.direccionCompleta, "1", ""),
    _xlpm.letraColumna
)</f>
        <v>#N/A</v>
      </c>
      <c r="Y106" s="366" t="e" cm="1">
        <f t="array" ref="Y106">_xlfn.LET(
    _xlpm.valor, INDEX(CostRate!I:I, MATCH(1, (CostRate!A:A=N106)*(CostRate!B:B=O106), 0)),
    _xlpm.posicion, MATCH(_xlpm.valor, FilterJP!$E$1:$FZ$1, 0),
    _xlpm.direccionCompleta, ADDRESS(1, _xlpm.posicion + 4, 4),
    _xlpm.letraColumna, SUBSTITUTE(_xlpm.direccionCompleta, "1", ""),
    _xlpm.letraColumna
)</f>
        <v>#N/A</v>
      </c>
      <c r="Z106" s="7"/>
      <c r="AA106" s="367"/>
      <c r="AB106" s="7"/>
      <c r="AC106" s="93">
        <f t="shared" si="70"/>
        <v>0</v>
      </c>
      <c r="AD106" s="94">
        <f t="shared" si="79"/>
        <v>0</v>
      </c>
      <c r="AE106" s="109">
        <f t="shared" si="80"/>
        <v>0</v>
      </c>
      <c r="AF106" s="7"/>
      <c r="AG106" s="369">
        <f t="shared" si="71"/>
        <v>0</v>
      </c>
      <c r="AH106" s="368">
        <f t="shared" si="72"/>
        <v>0</v>
      </c>
      <c r="AI106" s="7"/>
      <c r="AJ106" s="369" cm="1">
        <f t="array" ref="AJ106">IFERROR(INDEX(WHT!$C$7:$W$18,MATCH(
_xlfn.SWITCH(N106,"xDC Medellin","Colombia","xDC Belo Horizonte","Brazil","xDC Guadalajara","Mexico","xDC Gurugram","India","xDC Leon","Spain","xDC San Jose","Costa Rica","xDC Warsaw","Poland",N106),
WHT!$B$7:$B$18,0),MATCH(CustomerCountry,WHT!$C$5:$W$5,0)),0)</f>
        <v>0</v>
      </c>
      <c r="AK106" s="368">
        <f t="shared" si="73"/>
        <v>0</v>
      </c>
      <c r="AL106" s="7"/>
      <c r="AM106" s="95">
        <f t="shared" si="81"/>
        <v>0</v>
      </c>
      <c r="AN106" s="95">
        <f t="shared" ca="1" si="74"/>
        <v>0</v>
      </c>
      <c r="AO106" s="95">
        <f t="shared" ca="1" si="82"/>
        <v>0</v>
      </c>
      <c r="AP106" s="90"/>
      <c r="AQ106" s="18"/>
      <c r="AR106" s="290"/>
      <c r="AS106" s="467" t="s">
        <v>133</v>
      </c>
      <c r="AT106" s="501">
        <f t="shared" ca="1" si="75"/>
        <v>0</v>
      </c>
      <c r="AU106" s="502"/>
      <c r="AV106" s="95">
        <f t="shared" ca="1" si="83"/>
        <v>0</v>
      </c>
      <c r="AW106" s="469">
        <f t="shared" ca="1" si="76"/>
        <v>0</v>
      </c>
      <c r="AX106" s="290"/>
      <c r="AY106" s="18"/>
      <c r="AZ106" s="3"/>
      <c r="BA106" s="315"/>
      <c r="BB106" s="3"/>
      <c r="BC106" s="3"/>
      <c r="BD106" s="3"/>
      <c r="BE106" s="3"/>
      <c r="BF106" s="18"/>
      <c r="BG106" s="3"/>
      <c r="BH106" s="315"/>
      <c r="BI106" s="3"/>
      <c r="BJ106" s="3"/>
      <c r="BK106" s="3"/>
      <c r="BL106" s="3"/>
      <c r="BM106" s="18"/>
      <c r="BN106" s="3"/>
      <c r="BO106" s="315"/>
      <c r="BP106" s="3"/>
      <c r="BQ106" s="3"/>
      <c r="BR106" s="3"/>
      <c r="BS106" s="3"/>
      <c r="BT106" s="18"/>
      <c r="BU106" s="3"/>
      <c r="BV106" s="315"/>
      <c r="BW106" s="3"/>
      <c r="BX106" s="3"/>
      <c r="BY106" s="3"/>
      <c r="BZ106" s="3"/>
    </row>
    <row r="107" spans="1:78" ht="15.6" outlineLevel="1">
      <c r="A107" s="7"/>
      <c r="B107" s="370"/>
      <c r="C107" s="355"/>
      <c r="D107" s="356"/>
      <c r="E107" s="342"/>
      <c r="F107" s="290"/>
      <c r="G107" s="357">
        <v>0</v>
      </c>
      <c r="H107" s="358">
        <v>0</v>
      </c>
      <c r="I107" s="358">
        <v>0</v>
      </c>
      <c r="J107" s="359">
        <f t="shared" si="77"/>
        <v>0</v>
      </c>
      <c r="K107" s="290"/>
      <c r="L107" s="349"/>
      <c r="M107" s="7"/>
      <c r="N107" s="12"/>
      <c r="O107" s="12"/>
      <c r="P107" s="12"/>
      <c r="Q107" s="361"/>
      <c r="R107" s="362"/>
      <c r="S107" s="363">
        <f t="shared" si="88"/>
        <v>0</v>
      </c>
      <c r="T107" s="364">
        <f t="shared" ref="T107" si="100">IF(ISBLANK($P107),0,IF(Approach="Team-Based",$Q107*$R107*$S107*HoursPerDayTeamBased,$J107))</f>
        <v>0</v>
      </c>
      <c r="U107" s="365">
        <v>0</v>
      </c>
      <c r="V107" s="91">
        <f>ROUNDUP(IFERROR(INDEX(CostRateTbl[Cost Rate],MATCH(_xlfn.CONCAT(N107,O107,P107,"NA"),CostRateTbl[KeyCostRate],0)),0)*BillingCurrencyTRM*(1+U107),2)</f>
        <v>0</v>
      </c>
      <c r="W107" s="92">
        <f t="shared" si="69"/>
        <v>0</v>
      </c>
      <c r="X107" s="366" t="e" cm="1">
        <f t="array" ref="X107">_xlfn.LET(
    _xlpm.valor, INDEX(CostRate!H:H, MATCH(1, (CostRate!A:A=N107)*1, 0)),
    _xlpm.posicion, MATCH(_xlpm.valor, FilterSL!$F$1:$Z$1, 0),
    _xlpm.direccionCompleta, ADDRESS(1, _xlpm.posicion + 5, 4),
    _xlpm.letraColumna, SUBSTITUTE(_xlpm.direccionCompleta, "1", ""),
    _xlpm.letraColumna
)</f>
        <v>#N/A</v>
      </c>
      <c r="Y107" s="366" t="e" cm="1">
        <f t="array" ref="Y107">_xlfn.LET(
    _xlpm.valor, INDEX(CostRate!I:I, MATCH(1, (CostRate!A:A=N107)*(CostRate!B:B=O107), 0)),
    _xlpm.posicion, MATCH(_xlpm.valor, FilterJP!$E$1:$FZ$1, 0),
    _xlpm.direccionCompleta, ADDRESS(1, _xlpm.posicion + 4, 4),
    _xlpm.letraColumna, SUBSTITUTE(_xlpm.direccionCompleta, "1", ""),
    _xlpm.letraColumna
)</f>
        <v>#N/A</v>
      </c>
      <c r="Z107" s="7"/>
      <c r="AA107" s="367"/>
      <c r="AB107" s="7"/>
      <c r="AC107" s="93">
        <f t="shared" si="70"/>
        <v>0</v>
      </c>
      <c r="AD107" s="94">
        <f t="shared" si="79"/>
        <v>0</v>
      </c>
      <c r="AE107" s="109">
        <f t="shared" si="80"/>
        <v>0</v>
      </c>
      <c r="AF107" s="7"/>
      <c r="AG107" s="369">
        <f t="shared" si="71"/>
        <v>0</v>
      </c>
      <c r="AH107" s="368">
        <f t="shared" si="72"/>
        <v>0</v>
      </c>
      <c r="AI107" s="7"/>
      <c r="AJ107" s="369" cm="1">
        <f t="array" ref="AJ107">IFERROR(INDEX(WHT!$C$7:$W$18,MATCH(
_xlfn.SWITCH(N107,"xDC Medellin","Colombia","xDC Belo Horizonte","Brazil","xDC Guadalajara","Mexico","xDC Gurugram","India","xDC Leon","Spain","xDC San Jose","Costa Rica","xDC Warsaw","Poland",N107),
WHT!$B$7:$B$18,0),MATCH(CustomerCountry,WHT!$C$5:$W$5,0)),0)</f>
        <v>0</v>
      </c>
      <c r="AK107" s="368">
        <f t="shared" si="73"/>
        <v>0</v>
      </c>
      <c r="AL107" s="7"/>
      <c r="AM107" s="95">
        <f t="shared" si="81"/>
        <v>0</v>
      </c>
      <c r="AN107" s="95">
        <f t="shared" ca="1" si="74"/>
        <v>0</v>
      </c>
      <c r="AO107" s="95">
        <f t="shared" ca="1" si="82"/>
        <v>0</v>
      </c>
      <c r="AP107" s="90"/>
      <c r="AQ107" s="18"/>
      <c r="AR107" s="290"/>
      <c r="AS107" s="467" t="s">
        <v>133</v>
      </c>
      <c r="AT107" s="501">
        <f t="shared" ca="1" si="75"/>
        <v>0</v>
      </c>
      <c r="AU107" s="502"/>
      <c r="AV107" s="95">
        <f t="shared" ca="1" si="83"/>
        <v>0</v>
      </c>
      <c r="AW107" s="469">
        <f t="shared" ca="1" si="76"/>
        <v>0</v>
      </c>
      <c r="AX107" s="290"/>
      <c r="AY107" s="18"/>
      <c r="AZ107" s="3"/>
      <c r="BA107" s="315"/>
      <c r="BB107" s="3"/>
      <c r="BC107" s="3"/>
      <c r="BD107" s="3"/>
      <c r="BE107" s="3"/>
      <c r="BF107" s="18"/>
      <c r="BG107" s="3"/>
      <c r="BH107" s="315"/>
      <c r="BI107" s="3"/>
      <c r="BJ107" s="3"/>
      <c r="BK107" s="3"/>
      <c r="BL107" s="3"/>
      <c r="BM107" s="18"/>
      <c r="BN107" s="3"/>
      <c r="BO107" s="315"/>
      <c r="BP107" s="3"/>
      <c r="BQ107" s="3"/>
      <c r="BR107" s="3"/>
      <c r="BS107" s="3"/>
      <c r="BT107" s="18"/>
      <c r="BU107" s="3"/>
      <c r="BV107" s="315"/>
      <c r="BW107" s="3"/>
      <c r="BX107" s="3"/>
      <c r="BY107" s="3"/>
      <c r="BZ107" s="3"/>
    </row>
    <row r="108" spans="1:78" ht="15.6" outlineLevel="1">
      <c r="A108" s="7"/>
      <c r="B108" s="370"/>
      <c r="C108" s="355"/>
      <c r="D108" s="356"/>
      <c r="E108" s="342"/>
      <c r="F108" s="290"/>
      <c r="G108" s="357">
        <v>0</v>
      </c>
      <c r="H108" s="358">
        <v>0</v>
      </c>
      <c r="I108" s="358">
        <v>0</v>
      </c>
      <c r="J108" s="359">
        <f t="shared" si="77"/>
        <v>0</v>
      </c>
      <c r="K108" s="290"/>
      <c r="L108" s="349"/>
      <c r="M108" s="7"/>
      <c r="N108" s="12"/>
      <c r="O108" s="12"/>
      <c r="P108" s="12"/>
      <c r="Q108" s="361"/>
      <c r="R108" s="362"/>
      <c r="S108" s="363">
        <f t="shared" si="88"/>
        <v>0</v>
      </c>
      <c r="T108" s="364">
        <f t="shared" ref="T108" si="101">IF(ISBLANK($P108),0,IF(Approach="Team-Based",$Q108*$R108*$S108*HoursPerDayTeamBased,$J108))</f>
        <v>0</v>
      </c>
      <c r="U108" s="365">
        <v>0</v>
      </c>
      <c r="V108" s="91">
        <f>ROUNDUP(IFERROR(INDEX(CostRateTbl[Cost Rate],MATCH(_xlfn.CONCAT(N108,O108,P108,"NA"),CostRateTbl[KeyCostRate],0)),0)*BillingCurrencyTRM*(1+U108),2)</f>
        <v>0</v>
      </c>
      <c r="W108" s="92">
        <f t="shared" si="69"/>
        <v>0</v>
      </c>
      <c r="X108" s="366" t="e" cm="1">
        <f t="array" ref="X108">_xlfn.LET(
    _xlpm.valor, INDEX(CostRate!H:H, MATCH(1, (CostRate!A:A=N108)*1, 0)),
    _xlpm.posicion, MATCH(_xlpm.valor, FilterSL!$F$1:$Z$1, 0),
    _xlpm.direccionCompleta, ADDRESS(1, _xlpm.posicion + 5, 4),
    _xlpm.letraColumna, SUBSTITUTE(_xlpm.direccionCompleta, "1", ""),
    _xlpm.letraColumna
)</f>
        <v>#N/A</v>
      </c>
      <c r="Y108" s="366" t="e" cm="1">
        <f t="array" ref="Y108">_xlfn.LET(
    _xlpm.valor, INDEX(CostRate!I:I, MATCH(1, (CostRate!A:A=N108)*(CostRate!B:B=O108), 0)),
    _xlpm.posicion, MATCH(_xlpm.valor, FilterJP!$E$1:$FZ$1, 0),
    _xlpm.direccionCompleta, ADDRESS(1, _xlpm.posicion + 4, 4),
    _xlpm.letraColumna, SUBSTITUTE(_xlpm.direccionCompleta, "1", ""),
    _xlpm.letraColumna
)</f>
        <v>#N/A</v>
      </c>
      <c r="Z108" s="7"/>
      <c r="AA108" s="367"/>
      <c r="AB108" s="7"/>
      <c r="AC108" s="93">
        <f t="shared" si="70"/>
        <v>0</v>
      </c>
      <c r="AD108" s="94">
        <f t="shared" si="79"/>
        <v>0</v>
      </c>
      <c r="AE108" s="109">
        <f t="shared" si="80"/>
        <v>0</v>
      </c>
      <c r="AF108" s="7"/>
      <c r="AG108" s="369">
        <f t="shared" si="71"/>
        <v>0</v>
      </c>
      <c r="AH108" s="368">
        <f t="shared" si="72"/>
        <v>0</v>
      </c>
      <c r="AI108" s="7"/>
      <c r="AJ108" s="369" cm="1">
        <f t="array" ref="AJ108">IFERROR(INDEX(WHT!$C$7:$W$18,MATCH(
_xlfn.SWITCH(N108,"xDC Medellin","Colombia","xDC Belo Horizonte","Brazil","xDC Guadalajara","Mexico","xDC Gurugram","India","xDC Leon","Spain","xDC San Jose","Costa Rica","xDC Warsaw","Poland",N108),
WHT!$B$7:$B$18,0),MATCH(CustomerCountry,WHT!$C$5:$W$5,0)),0)</f>
        <v>0</v>
      </c>
      <c r="AK108" s="368">
        <f t="shared" si="73"/>
        <v>0</v>
      </c>
      <c r="AL108" s="7"/>
      <c r="AM108" s="95">
        <f t="shared" si="81"/>
        <v>0</v>
      </c>
      <c r="AN108" s="95">
        <f t="shared" ca="1" si="74"/>
        <v>0</v>
      </c>
      <c r="AO108" s="95">
        <f t="shared" ca="1" si="82"/>
        <v>0</v>
      </c>
      <c r="AP108" s="90"/>
      <c r="AQ108" s="18"/>
      <c r="AR108" s="290"/>
      <c r="AS108" s="467" t="s">
        <v>133</v>
      </c>
      <c r="AT108" s="501">
        <f t="shared" ca="1" si="75"/>
        <v>0</v>
      </c>
      <c r="AU108" s="502"/>
      <c r="AV108" s="95">
        <f t="shared" ca="1" si="83"/>
        <v>0</v>
      </c>
      <c r="AW108" s="469">
        <f t="shared" ca="1" si="76"/>
        <v>0</v>
      </c>
      <c r="AX108" s="290"/>
      <c r="AY108" s="18"/>
      <c r="AZ108" s="3"/>
      <c r="BA108" s="315"/>
      <c r="BB108" s="3"/>
      <c r="BC108" s="3"/>
      <c r="BD108" s="3"/>
      <c r="BE108" s="3"/>
      <c r="BF108" s="18"/>
      <c r="BG108" s="3"/>
      <c r="BH108" s="315"/>
      <c r="BI108" s="3"/>
      <c r="BJ108" s="3"/>
      <c r="BK108" s="3"/>
      <c r="BL108" s="3"/>
      <c r="BM108" s="18"/>
      <c r="BN108" s="3"/>
      <c r="BO108" s="315"/>
      <c r="BP108" s="3"/>
      <c r="BQ108" s="3"/>
      <c r="BR108" s="3"/>
      <c r="BS108" s="3"/>
      <c r="BT108" s="18"/>
      <c r="BU108" s="3"/>
      <c r="BV108" s="315"/>
      <c r="BW108" s="3"/>
      <c r="BX108" s="3"/>
      <c r="BY108" s="3"/>
      <c r="BZ108" s="3"/>
    </row>
    <row r="109" spans="1:78" ht="15.6" outlineLevel="1">
      <c r="A109" s="7"/>
      <c r="B109" s="370"/>
      <c r="C109" s="355"/>
      <c r="D109" s="356"/>
      <c r="E109" s="342"/>
      <c r="F109" s="290"/>
      <c r="G109" s="357">
        <v>0</v>
      </c>
      <c r="H109" s="358">
        <v>0</v>
      </c>
      <c r="I109" s="358">
        <v>0</v>
      </c>
      <c r="J109" s="359">
        <f t="shared" si="77"/>
        <v>0</v>
      </c>
      <c r="K109" s="290"/>
      <c r="L109" s="349"/>
      <c r="M109" s="7"/>
      <c r="N109" s="12"/>
      <c r="O109" s="12"/>
      <c r="P109" s="12"/>
      <c r="Q109" s="361"/>
      <c r="R109" s="362"/>
      <c r="S109" s="363">
        <f t="shared" si="88"/>
        <v>0</v>
      </c>
      <c r="T109" s="364">
        <f t="shared" ref="T109" si="102">IF(ISBLANK($P109),0,IF(Approach="Team-Based",$Q109*$R109*$S109*HoursPerDayTeamBased,$J109))</f>
        <v>0</v>
      </c>
      <c r="U109" s="365">
        <v>0</v>
      </c>
      <c r="V109" s="91">
        <f>ROUNDUP(IFERROR(INDEX(CostRateTbl[Cost Rate],MATCH(_xlfn.CONCAT(N109,O109,P109,"NA"),CostRateTbl[KeyCostRate],0)),0)*BillingCurrencyTRM*(1+U109),2)</f>
        <v>0</v>
      </c>
      <c r="W109" s="92">
        <f t="shared" si="69"/>
        <v>0</v>
      </c>
      <c r="X109" s="366" t="e" cm="1">
        <f t="array" ref="X109">_xlfn.LET(
    _xlpm.valor, INDEX(CostRate!H:H, MATCH(1, (CostRate!A:A=N109)*1, 0)),
    _xlpm.posicion, MATCH(_xlpm.valor, FilterSL!$F$1:$Z$1, 0),
    _xlpm.direccionCompleta, ADDRESS(1, _xlpm.posicion + 5, 4),
    _xlpm.letraColumna, SUBSTITUTE(_xlpm.direccionCompleta, "1", ""),
    _xlpm.letraColumna
)</f>
        <v>#N/A</v>
      </c>
      <c r="Y109" s="366" t="e" cm="1">
        <f t="array" ref="Y109">_xlfn.LET(
    _xlpm.valor, INDEX(CostRate!I:I, MATCH(1, (CostRate!A:A=N109)*(CostRate!B:B=O109), 0)),
    _xlpm.posicion, MATCH(_xlpm.valor, FilterJP!$E$1:$FZ$1, 0),
    _xlpm.direccionCompleta, ADDRESS(1, _xlpm.posicion + 4, 4),
    _xlpm.letraColumna, SUBSTITUTE(_xlpm.direccionCompleta, "1", ""),
    _xlpm.letraColumna
)</f>
        <v>#N/A</v>
      </c>
      <c r="Z109" s="7"/>
      <c r="AA109" s="367"/>
      <c r="AB109" s="7"/>
      <c r="AC109" s="93">
        <f t="shared" si="70"/>
        <v>0</v>
      </c>
      <c r="AD109" s="94">
        <f t="shared" si="79"/>
        <v>0</v>
      </c>
      <c r="AE109" s="109">
        <f t="shared" si="80"/>
        <v>0</v>
      </c>
      <c r="AF109" s="7"/>
      <c r="AG109" s="369">
        <f t="shared" si="71"/>
        <v>0</v>
      </c>
      <c r="AH109" s="368">
        <f t="shared" si="72"/>
        <v>0</v>
      </c>
      <c r="AI109" s="7"/>
      <c r="AJ109" s="369" cm="1">
        <f t="array" ref="AJ109">IFERROR(INDEX(WHT!$C$7:$W$18,MATCH(
_xlfn.SWITCH(N109,"xDC Medellin","Colombia","xDC Belo Horizonte","Brazil","xDC Guadalajara","Mexico","xDC Gurugram","India","xDC Leon","Spain","xDC San Jose","Costa Rica","xDC Warsaw","Poland",N109),
WHT!$B$7:$B$18,0),MATCH(CustomerCountry,WHT!$C$5:$W$5,0)),0)</f>
        <v>0</v>
      </c>
      <c r="AK109" s="368">
        <f t="shared" si="73"/>
        <v>0</v>
      </c>
      <c r="AL109" s="7"/>
      <c r="AM109" s="95">
        <f t="shared" si="81"/>
        <v>0</v>
      </c>
      <c r="AN109" s="95">
        <f t="shared" ca="1" si="74"/>
        <v>0</v>
      </c>
      <c r="AO109" s="95">
        <f t="shared" ca="1" si="82"/>
        <v>0</v>
      </c>
      <c r="AP109" s="90"/>
      <c r="AQ109" s="18"/>
      <c r="AR109" s="290"/>
      <c r="AS109" s="467" t="s">
        <v>133</v>
      </c>
      <c r="AT109" s="501">
        <f t="shared" ca="1" si="75"/>
        <v>0</v>
      </c>
      <c r="AU109" s="502"/>
      <c r="AV109" s="95">
        <f t="shared" ca="1" si="83"/>
        <v>0</v>
      </c>
      <c r="AW109" s="469">
        <f t="shared" ca="1" si="76"/>
        <v>0</v>
      </c>
      <c r="AX109" s="290"/>
      <c r="AY109" s="18"/>
      <c r="AZ109" s="3"/>
      <c r="BA109" s="315"/>
      <c r="BB109" s="3"/>
      <c r="BC109" s="3"/>
      <c r="BD109" s="3"/>
      <c r="BE109" s="3"/>
      <c r="BF109" s="18"/>
      <c r="BG109" s="3"/>
      <c r="BH109" s="315"/>
      <c r="BI109" s="3"/>
      <c r="BJ109" s="3"/>
      <c r="BK109" s="3"/>
      <c r="BL109" s="3"/>
      <c r="BM109" s="18"/>
      <c r="BN109" s="3"/>
      <c r="BO109" s="315"/>
      <c r="BP109" s="3"/>
      <c r="BQ109" s="3"/>
      <c r="BR109" s="3"/>
      <c r="BS109" s="3"/>
      <c r="BT109" s="18"/>
      <c r="BU109" s="3"/>
      <c r="BV109" s="315"/>
      <c r="BW109" s="3"/>
      <c r="BX109" s="3"/>
      <c r="BY109" s="3"/>
      <c r="BZ109" s="3"/>
    </row>
    <row r="110" spans="1:78" ht="15.6" outlineLevel="1">
      <c r="A110" s="7"/>
      <c r="B110" s="370"/>
      <c r="C110" s="355"/>
      <c r="D110" s="356"/>
      <c r="E110" s="342"/>
      <c r="F110" s="290"/>
      <c r="G110" s="357">
        <v>0</v>
      </c>
      <c r="H110" s="358">
        <v>0</v>
      </c>
      <c r="I110" s="358">
        <v>0</v>
      </c>
      <c r="J110" s="359">
        <f t="shared" si="77"/>
        <v>0</v>
      </c>
      <c r="K110" s="290"/>
      <c r="L110" s="349"/>
      <c r="M110" s="7"/>
      <c r="N110" s="12"/>
      <c r="O110" s="12"/>
      <c r="P110" s="12"/>
      <c r="Q110" s="361"/>
      <c r="R110" s="362"/>
      <c r="S110" s="363">
        <f t="shared" si="88"/>
        <v>0</v>
      </c>
      <c r="T110" s="364">
        <f t="shared" ref="T110" si="103">IF(ISBLANK($P110),0,IF(Approach="Team-Based",$Q110*$R110*$S110*HoursPerDayTeamBased,$J110))</f>
        <v>0</v>
      </c>
      <c r="U110" s="365">
        <v>0</v>
      </c>
      <c r="V110" s="91">
        <f>ROUNDUP(IFERROR(INDEX(CostRateTbl[Cost Rate],MATCH(_xlfn.CONCAT(N110,O110,P110,"NA"),CostRateTbl[KeyCostRate],0)),0)*BillingCurrencyTRM*(1+U110),2)</f>
        <v>0</v>
      </c>
      <c r="W110" s="92">
        <f t="shared" si="69"/>
        <v>0</v>
      </c>
      <c r="X110" s="366" t="e" cm="1">
        <f t="array" ref="X110">_xlfn.LET(
    _xlpm.valor, INDEX(CostRate!H:H, MATCH(1, (CostRate!A:A=N110)*1, 0)),
    _xlpm.posicion, MATCH(_xlpm.valor, FilterSL!$F$1:$Z$1, 0),
    _xlpm.direccionCompleta, ADDRESS(1, _xlpm.posicion + 5, 4),
    _xlpm.letraColumna, SUBSTITUTE(_xlpm.direccionCompleta, "1", ""),
    _xlpm.letraColumna
)</f>
        <v>#N/A</v>
      </c>
      <c r="Y110" s="366" t="e" cm="1">
        <f t="array" ref="Y110">_xlfn.LET(
    _xlpm.valor, INDEX(CostRate!I:I, MATCH(1, (CostRate!A:A=N110)*(CostRate!B:B=O110), 0)),
    _xlpm.posicion, MATCH(_xlpm.valor, FilterJP!$E$1:$FZ$1, 0),
    _xlpm.direccionCompleta, ADDRESS(1, _xlpm.posicion + 4, 4),
    _xlpm.letraColumna, SUBSTITUTE(_xlpm.direccionCompleta, "1", ""),
    _xlpm.letraColumna
)</f>
        <v>#N/A</v>
      </c>
      <c r="Z110" s="7"/>
      <c r="AA110" s="367"/>
      <c r="AB110" s="7"/>
      <c r="AC110" s="93">
        <f t="shared" si="70"/>
        <v>0</v>
      </c>
      <c r="AD110" s="94">
        <f t="shared" si="79"/>
        <v>0</v>
      </c>
      <c r="AE110" s="109">
        <f t="shared" si="80"/>
        <v>0</v>
      </c>
      <c r="AF110" s="7"/>
      <c r="AG110" s="369">
        <f t="shared" si="71"/>
        <v>0</v>
      </c>
      <c r="AH110" s="368">
        <f t="shared" si="72"/>
        <v>0</v>
      </c>
      <c r="AI110" s="7"/>
      <c r="AJ110" s="369" cm="1">
        <f t="array" ref="AJ110">IFERROR(INDEX(WHT!$C$7:$W$18,MATCH(
_xlfn.SWITCH(N110,"xDC Medellin","Colombia","xDC Belo Horizonte","Brazil","xDC Guadalajara","Mexico","xDC Gurugram","India","xDC Leon","Spain","xDC San Jose","Costa Rica","xDC Warsaw","Poland",N110),
WHT!$B$7:$B$18,0),MATCH(CustomerCountry,WHT!$C$5:$W$5,0)),0)</f>
        <v>0</v>
      </c>
      <c r="AK110" s="368">
        <f t="shared" si="73"/>
        <v>0</v>
      </c>
      <c r="AL110" s="7"/>
      <c r="AM110" s="95">
        <f t="shared" si="81"/>
        <v>0</v>
      </c>
      <c r="AN110" s="95">
        <f t="shared" ca="1" si="74"/>
        <v>0</v>
      </c>
      <c r="AO110" s="95">
        <f t="shared" ca="1" si="82"/>
        <v>0</v>
      </c>
      <c r="AP110" s="90"/>
      <c r="AQ110" s="18"/>
      <c r="AR110" s="290"/>
      <c r="AS110" s="467" t="s">
        <v>133</v>
      </c>
      <c r="AT110" s="501">
        <f t="shared" ca="1" si="75"/>
        <v>0</v>
      </c>
      <c r="AU110" s="502"/>
      <c r="AV110" s="95">
        <f t="shared" ca="1" si="83"/>
        <v>0</v>
      </c>
      <c r="AW110" s="469">
        <f t="shared" ca="1" si="76"/>
        <v>0</v>
      </c>
      <c r="AX110" s="290"/>
      <c r="AY110" s="18"/>
      <c r="AZ110" s="3"/>
      <c r="BA110" s="315"/>
      <c r="BB110" s="3"/>
      <c r="BC110" s="3"/>
      <c r="BD110" s="3"/>
      <c r="BE110" s="3"/>
      <c r="BF110" s="18"/>
      <c r="BG110" s="3"/>
      <c r="BH110" s="315"/>
      <c r="BI110" s="3"/>
      <c r="BJ110" s="3"/>
      <c r="BK110" s="3"/>
      <c r="BL110" s="3"/>
      <c r="BM110" s="18"/>
      <c r="BN110" s="3"/>
      <c r="BO110" s="315"/>
      <c r="BP110" s="3"/>
      <c r="BQ110" s="3"/>
      <c r="BR110" s="3"/>
      <c r="BS110" s="3"/>
      <c r="BT110" s="18"/>
      <c r="BU110" s="3"/>
      <c r="BV110" s="315"/>
      <c r="BW110" s="3"/>
      <c r="BX110" s="3"/>
      <c r="BY110" s="3"/>
      <c r="BZ110" s="3"/>
    </row>
    <row r="111" spans="1:78" ht="15.6" outlineLevel="1">
      <c r="A111" s="7"/>
      <c r="B111" s="370"/>
      <c r="C111" s="355"/>
      <c r="D111" s="356"/>
      <c r="E111" s="342"/>
      <c r="F111" s="290"/>
      <c r="G111" s="357">
        <v>0</v>
      </c>
      <c r="H111" s="358">
        <v>0</v>
      </c>
      <c r="I111" s="358">
        <v>0</v>
      </c>
      <c r="J111" s="359">
        <f t="shared" si="77"/>
        <v>0</v>
      </c>
      <c r="K111" s="290"/>
      <c r="L111" s="349"/>
      <c r="M111" s="7"/>
      <c r="N111" s="12"/>
      <c r="O111" s="12"/>
      <c r="P111" s="12"/>
      <c r="Q111" s="361"/>
      <c r="R111" s="362"/>
      <c r="S111" s="363">
        <f t="shared" si="88"/>
        <v>0</v>
      </c>
      <c r="T111" s="364">
        <f t="shared" ref="T111" si="104">IF(ISBLANK($P111),0,IF(Approach="Team-Based",$Q111*$R111*$S111*HoursPerDayTeamBased,$J111))</f>
        <v>0</v>
      </c>
      <c r="U111" s="365">
        <v>0</v>
      </c>
      <c r="V111" s="91">
        <f>ROUNDUP(IFERROR(INDEX(CostRateTbl[Cost Rate],MATCH(_xlfn.CONCAT(N111,O111,P111,"NA"),CostRateTbl[KeyCostRate],0)),0)*BillingCurrencyTRM*(1+U111),2)</f>
        <v>0</v>
      </c>
      <c r="W111" s="92">
        <f t="shared" si="69"/>
        <v>0</v>
      </c>
      <c r="X111" s="366" t="e" cm="1">
        <f t="array" ref="X111">_xlfn.LET(
    _xlpm.valor, INDEX(CostRate!H:H, MATCH(1, (CostRate!A:A=N111)*1, 0)),
    _xlpm.posicion, MATCH(_xlpm.valor, FilterSL!$F$1:$Z$1, 0),
    _xlpm.direccionCompleta, ADDRESS(1, _xlpm.posicion + 5, 4),
    _xlpm.letraColumna, SUBSTITUTE(_xlpm.direccionCompleta, "1", ""),
    _xlpm.letraColumna
)</f>
        <v>#N/A</v>
      </c>
      <c r="Y111" s="366" t="e" cm="1">
        <f t="array" ref="Y111">_xlfn.LET(
    _xlpm.valor, INDEX(CostRate!I:I, MATCH(1, (CostRate!A:A=N111)*(CostRate!B:B=O111), 0)),
    _xlpm.posicion, MATCH(_xlpm.valor, FilterJP!$E$1:$FZ$1, 0),
    _xlpm.direccionCompleta, ADDRESS(1, _xlpm.posicion + 4, 4),
    _xlpm.letraColumna, SUBSTITUTE(_xlpm.direccionCompleta, "1", ""),
    _xlpm.letraColumna
)</f>
        <v>#N/A</v>
      </c>
      <c r="Z111" s="7"/>
      <c r="AA111" s="367"/>
      <c r="AB111" s="7"/>
      <c r="AC111" s="93">
        <f t="shared" si="70"/>
        <v>0</v>
      </c>
      <c r="AD111" s="94">
        <f t="shared" si="79"/>
        <v>0</v>
      </c>
      <c r="AE111" s="109">
        <f t="shared" si="80"/>
        <v>0</v>
      </c>
      <c r="AF111" s="7"/>
      <c r="AG111" s="369">
        <f t="shared" si="71"/>
        <v>0</v>
      </c>
      <c r="AH111" s="368">
        <f t="shared" si="72"/>
        <v>0</v>
      </c>
      <c r="AI111" s="7"/>
      <c r="AJ111" s="369" cm="1">
        <f t="array" ref="AJ111">IFERROR(INDEX(WHT!$C$7:$W$18,MATCH(
_xlfn.SWITCH(N111,"xDC Medellin","Colombia","xDC Belo Horizonte","Brazil","xDC Guadalajara","Mexico","xDC Gurugram","India","xDC Leon","Spain","xDC San Jose","Costa Rica","xDC Warsaw","Poland",N111),
WHT!$B$7:$B$18,0),MATCH(CustomerCountry,WHT!$C$5:$W$5,0)),0)</f>
        <v>0</v>
      </c>
      <c r="AK111" s="368">
        <f t="shared" si="73"/>
        <v>0</v>
      </c>
      <c r="AL111" s="7"/>
      <c r="AM111" s="95">
        <f t="shared" si="81"/>
        <v>0</v>
      </c>
      <c r="AN111" s="95">
        <f t="shared" ca="1" si="74"/>
        <v>0</v>
      </c>
      <c r="AO111" s="95">
        <f t="shared" ca="1" si="82"/>
        <v>0</v>
      </c>
      <c r="AP111" s="90"/>
      <c r="AQ111" s="18"/>
      <c r="AR111" s="290"/>
      <c r="AS111" s="467" t="s">
        <v>133</v>
      </c>
      <c r="AT111" s="501">
        <f t="shared" ca="1" si="75"/>
        <v>0</v>
      </c>
      <c r="AU111" s="502"/>
      <c r="AV111" s="95">
        <f t="shared" ca="1" si="83"/>
        <v>0</v>
      </c>
      <c r="AW111" s="469">
        <f t="shared" ca="1" si="76"/>
        <v>0</v>
      </c>
      <c r="AX111" s="290"/>
      <c r="AY111" s="18"/>
      <c r="AZ111" s="3"/>
      <c r="BA111" s="315"/>
      <c r="BB111" s="3"/>
      <c r="BC111" s="3"/>
      <c r="BD111" s="3"/>
      <c r="BE111" s="3"/>
      <c r="BF111" s="18"/>
      <c r="BG111" s="3"/>
      <c r="BH111" s="315"/>
      <c r="BI111" s="3"/>
      <c r="BJ111" s="3"/>
      <c r="BK111" s="3"/>
      <c r="BL111" s="3"/>
      <c r="BM111" s="18"/>
      <c r="BN111" s="3"/>
      <c r="BO111" s="315"/>
      <c r="BP111" s="3"/>
      <c r="BQ111" s="3"/>
      <c r="BR111" s="3"/>
      <c r="BS111" s="3"/>
      <c r="BT111" s="18"/>
      <c r="BU111" s="3"/>
      <c r="BV111" s="315"/>
      <c r="BW111" s="3"/>
      <c r="BX111" s="3"/>
      <c r="BY111" s="3"/>
      <c r="BZ111" s="3"/>
    </row>
    <row r="112" spans="1:78" ht="15.6" outlineLevel="1">
      <c r="A112" s="7"/>
      <c r="B112" s="370"/>
      <c r="C112" s="355"/>
      <c r="D112" s="356"/>
      <c r="E112" s="342"/>
      <c r="F112" s="290"/>
      <c r="G112" s="357">
        <v>0</v>
      </c>
      <c r="H112" s="358">
        <v>0</v>
      </c>
      <c r="I112" s="358">
        <v>0</v>
      </c>
      <c r="J112" s="359">
        <f t="shared" si="77"/>
        <v>0</v>
      </c>
      <c r="K112" s="290"/>
      <c r="L112" s="349"/>
      <c r="M112" s="7"/>
      <c r="N112" s="12"/>
      <c r="O112" s="12"/>
      <c r="P112" s="12"/>
      <c r="Q112" s="361"/>
      <c r="R112" s="362"/>
      <c r="S112" s="363">
        <f t="shared" si="88"/>
        <v>0</v>
      </c>
      <c r="T112" s="364">
        <f t="shared" ref="T112" si="105">IF(ISBLANK($P112),0,IF(Approach="Team-Based",$Q112*$R112*$S112*HoursPerDayTeamBased,$J112))</f>
        <v>0</v>
      </c>
      <c r="U112" s="365">
        <v>0</v>
      </c>
      <c r="V112" s="91">
        <f>ROUNDUP(IFERROR(INDEX(CostRateTbl[Cost Rate],MATCH(_xlfn.CONCAT(N112,O112,P112,"NA"),CostRateTbl[KeyCostRate],0)),0)*BillingCurrencyTRM*(1+U112),2)</f>
        <v>0</v>
      </c>
      <c r="W112" s="92">
        <f t="shared" si="69"/>
        <v>0</v>
      </c>
      <c r="X112" s="366" t="e" cm="1">
        <f t="array" ref="X112">_xlfn.LET(
    _xlpm.valor, INDEX(CostRate!H:H, MATCH(1, (CostRate!A:A=N112)*1, 0)),
    _xlpm.posicion, MATCH(_xlpm.valor, FilterSL!$F$1:$Z$1, 0),
    _xlpm.direccionCompleta, ADDRESS(1, _xlpm.posicion + 5, 4),
    _xlpm.letraColumna, SUBSTITUTE(_xlpm.direccionCompleta, "1", ""),
    _xlpm.letraColumna
)</f>
        <v>#N/A</v>
      </c>
      <c r="Y112" s="366" t="e" cm="1">
        <f t="array" ref="Y112">_xlfn.LET(
    _xlpm.valor, INDEX(CostRate!I:I, MATCH(1, (CostRate!A:A=N112)*(CostRate!B:B=O112), 0)),
    _xlpm.posicion, MATCH(_xlpm.valor, FilterJP!$E$1:$FZ$1, 0),
    _xlpm.direccionCompleta, ADDRESS(1, _xlpm.posicion + 4, 4),
    _xlpm.letraColumna, SUBSTITUTE(_xlpm.direccionCompleta, "1", ""),
    _xlpm.letraColumna
)</f>
        <v>#N/A</v>
      </c>
      <c r="Z112" s="7"/>
      <c r="AA112" s="367"/>
      <c r="AB112" s="7"/>
      <c r="AC112" s="93">
        <f t="shared" si="70"/>
        <v>0</v>
      </c>
      <c r="AD112" s="94">
        <f t="shared" si="79"/>
        <v>0</v>
      </c>
      <c r="AE112" s="109">
        <f t="shared" si="80"/>
        <v>0</v>
      </c>
      <c r="AF112" s="7"/>
      <c r="AG112" s="369">
        <f t="shared" si="71"/>
        <v>0</v>
      </c>
      <c r="AH112" s="368">
        <f t="shared" si="72"/>
        <v>0</v>
      </c>
      <c r="AI112" s="7"/>
      <c r="AJ112" s="369" cm="1">
        <f t="array" ref="AJ112">IFERROR(INDEX(WHT!$C$7:$W$18,MATCH(
_xlfn.SWITCH(N112,"xDC Medellin","Colombia","xDC Belo Horizonte","Brazil","xDC Guadalajara","Mexico","xDC Gurugram","India","xDC Leon","Spain","xDC San Jose","Costa Rica","xDC Warsaw","Poland",N112),
WHT!$B$7:$B$18,0),MATCH(CustomerCountry,WHT!$C$5:$W$5,0)),0)</f>
        <v>0</v>
      </c>
      <c r="AK112" s="368">
        <f t="shared" si="73"/>
        <v>0</v>
      </c>
      <c r="AL112" s="7"/>
      <c r="AM112" s="95">
        <f t="shared" si="81"/>
        <v>0</v>
      </c>
      <c r="AN112" s="95">
        <f t="shared" ca="1" si="74"/>
        <v>0</v>
      </c>
      <c r="AO112" s="95">
        <f t="shared" ca="1" si="82"/>
        <v>0</v>
      </c>
      <c r="AP112" s="90"/>
      <c r="AQ112" s="18"/>
      <c r="AR112" s="290"/>
      <c r="AS112" s="467" t="s">
        <v>133</v>
      </c>
      <c r="AT112" s="501">
        <f t="shared" ca="1" si="75"/>
        <v>0</v>
      </c>
      <c r="AU112" s="502"/>
      <c r="AV112" s="95">
        <f t="shared" ca="1" si="83"/>
        <v>0</v>
      </c>
      <c r="AW112" s="469">
        <f t="shared" ca="1" si="76"/>
        <v>0</v>
      </c>
      <c r="AX112" s="290"/>
      <c r="AY112" s="18"/>
      <c r="AZ112" s="3"/>
      <c r="BA112" s="315"/>
      <c r="BB112" s="3"/>
      <c r="BC112" s="3"/>
      <c r="BD112" s="3"/>
      <c r="BE112" s="3"/>
      <c r="BF112" s="18"/>
      <c r="BG112" s="3"/>
      <c r="BH112" s="315"/>
      <c r="BI112" s="3"/>
      <c r="BJ112" s="3"/>
      <c r="BK112" s="3"/>
      <c r="BL112" s="3"/>
      <c r="BM112" s="18"/>
      <c r="BN112" s="3"/>
      <c r="BO112" s="315"/>
      <c r="BP112" s="3"/>
      <c r="BQ112" s="3"/>
      <c r="BR112" s="3"/>
      <c r="BS112" s="3"/>
      <c r="BT112" s="18"/>
      <c r="BU112" s="3"/>
      <c r="BV112" s="315"/>
      <c r="BW112" s="3"/>
      <c r="BX112" s="3"/>
      <c r="BY112" s="3"/>
      <c r="BZ112" s="3"/>
    </row>
    <row r="113" spans="1:82" ht="15.6" outlineLevel="1">
      <c r="A113" s="7"/>
      <c r="B113" s="370"/>
      <c r="C113" s="355"/>
      <c r="D113" s="356"/>
      <c r="E113" s="342"/>
      <c r="F113" s="290"/>
      <c r="G113" s="357">
        <v>0</v>
      </c>
      <c r="H113" s="358">
        <v>0</v>
      </c>
      <c r="I113" s="358">
        <v>0</v>
      </c>
      <c r="J113" s="359">
        <f t="shared" si="77"/>
        <v>0</v>
      </c>
      <c r="K113" s="290"/>
      <c r="L113" s="349"/>
      <c r="M113" s="7"/>
      <c r="N113" s="12"/>
      <c r="O113" s="12"/>
      <c r="P113" s="12"/>
      <c r="Q113" s="361"/>
      <c r="R113" s="362"/>
      <c r="S113" s="363">
        <f t="shared" si="88"/>
        <v>0</v>
      </c>
      <c r="T113" s="364">
        <f t="shared" ref="T113" si="106">IF(ISBLANK($P113),0,IF(Approach="Team-Based",$Q113*$R113*$S113*HoursPerDayTeamBased,$J113))</f>
        <v>0</v>
      </c>
      <c r="U113" s="365">
        <v>0</v>
      </c>
      <c r="V113" s="91">
        <f>ROUNDUP(IFERROR(INDEX(CostRateTbl[Cost Rate],MATCH(_xlfn.CONCAT(N113,O113,P113,"NA"),CostRateTbl[KeyCostRate],0)),0)*BillingCurrencyTRM*(1+U113),2)</f>
        <v>0</v>
      </c>
      <c r="W113" s="92">
        <f t="shared" si="69"/>
        <v>0</v>
      </c>
      <c r="X113" s="366" t="e" cm="1">
        <f t="array" ref="X113">_xlfn.LET(
    _xlpm.valor, INDEX(CostRate!H:H, MATCH(1, (CostRate!A:A=N113)*1, 0)),
    _xlpm.posicion, MATCH(_xlpm.valor, FilterSL!$F$1:$Z$1, 0),
    _xlpm.direccionCompleta, ADDRESS(1, _xlpm.posicion + 5, 4),
    _xlpm.letraColumna, SUBSTITUTE(_xlpm.direccionCompleta, "1", ""),
    _xlpm.letraColumna
)</f>
        <v>#N/A</v>
      </c>
      <c r="Y113" s="366" t="e" cm="1">
        <f t="array" ref="Y113">_xlfn.LET(
    _xlpm.valor, INDEX(CostRate!I:I, MATCH(1, (CostRate!A:A=N113)*(CostRate!B:B=O113), 0)),
    _xlpm.posicion, MATCH(_xlpm.valor, FilterJP!$E$1:$FZ$1, 0),
    _xlpm.direccionCompleta, ADDRESS(1, _xlpm.posicion + 4, 4),
    _xlpm.letraColumna, SUBSTITUTE(_xlpm.direccionCompleta, "1", ""),
    _xlpm.letraColumna
)</f>
        <v>#N/A</v>
      </c>
      <c r="Z113" s="7"/>
      <c r="AA113" s="367"/>
      <c r="AB113" s="7"/>
      <c r="AC113" s="93">
        <f t="shared" si="70"/>
        <v>0</v>
      </c>
      <c r="AD113" s="94">
        <f t="shared" si="79"/>
        <v>0</v>
      </c>
      <c r="AE113" s="109">
        <f t="shared" si="80"/>
        <v>0</v>
      </c>
      <c r="AF113" s="7"/>
      <c r="AG113" s="369">
        <f t="shared" si="71"/>
        <v>0</v>
      </c>
      <c r="AH113" s="368">
        <f t="shared" si="72"/>
        <v>0</v>
      </c>
      <c r="AI113" s="7"/>
      <c r="AJ113" s="369" cm="1">
        <f t="array" ref="AJ113">IFERROR(INDEX(WHT!$C$7:$W$18,MATCH(
_xlfn.SWITCH(N113,"xDC Medellin","Colombia","xDC Belo Horizonte","Brazil","xDC Guadalajara","Mexico","xDC Gurugram","India","xDC Leon","Spain","xDC San Jose","Costa Rica","xDC Warsaw","Poland",N113),
WHT!$B$7:$B$18,0),MATCH(CustomerCountry,WHT!$C$5:$W$5,0)),0)</f>
        <v>0</v>
      </c>
      <c r="AK113" s="368">
        <f t="shared" si="73"/>
        <v>0</v>
      </c>
      <c r="AL113" s="7"/>
      <c r="AM113" s="95">
        <f t="shared" si="81"/>
        <v>0</v>
      </c>
      <c r="AN113" s="95">
        <f t="shared" ca="1" si="74"/>
        <v>0</v>
      </c>
      <c r="AO113" s="95">
        <f t="shared" ca="1" si="82"/>
        <v>0</v>
      </c>
      <c r="AP113" s="90"/>
      <c r="AQ113" s="18"/>
      <c r="AR113" s="290"/>
      <c r="AS113" s="467" t="s">
        <v>133</v>
      </c>
      <c r="AT113" s="501">
        <f t="shared" ca="1" si="75"/>
        <v>0</v>
      </c>
      <c r="AU113" s="502"/>
      <c r="AV113" s="95">
        <f t="shared" ca="1" si="83"/>
        <v>0</v>
      </c>
      <c r="AW113" s="469">
        <f t="shared" ca="1" si="76"/>
        <v>0</v>
      </c>
      <c r="AX113" s="290"/>
      <c r="AY113" s="18"/>
      <c r="AZ113" s="3"/>
      <c r="BA113" s="315"/>
      <c r="BB113" s="3"/>
      <c r="BC113" s="3"/>
      <c r="BD113" s="3"/>
      <c r="BE113" s="3"/>
      <c r="BF113" s="18"/>
      <c r="BG113" s="3"/>
      <c r="BH113" s="315"/>
      <c r="BI113" s="3"/>
      <c r="BJ113" s="3"/>
      <c r="BK113" s="3"/>
      <c r="BL113" s="3"/>
      <c r="BM113" s="18"/>
      <c r="BN113" s="3"/>
      <c r="BO113" s="315"/>
      <c r="BP113" s="3"/>
      <c r="BQ113" s="3"/>
      <c r="BR113" s="3"/>
      <c r="BS113" s="3"/>
      <c r="BT113" s="18"/>
      <c r="BU113" s="3"/>
      <c r="BV113" s="315"/>
      <c r="BW113" s="3"/>
      <c r="BX113" s="3"/>
      <c r="BY113" s="3"/>
      <c r="BZ113" s="3"/>
    </row>
    <row r="114" spans="1:82" ht="15.6" outlineLevel="1">
      <c r="A114" s="7"/>
      <c r="B114" s="370"/>
      <c r="C114" s="355"/>
      <c r="D114" s="356"/>
      <c r="E114" s="342"/>
      <c r="F114" s="290"/>
      <c r="G114" s="357">
        <v>0</v>
      </c>
      <c r="H114" s="358">
        <v>0</v>
      </c>
      <c r="I114" s="358">
        <v>0</v>
      </c>
      <c r="J114" s="359">
        <f t="shared" si="77"/>
        <v>0</v>
      </c>
      <c r="K114" s="290"/>
      <c r="L114" s="349"/>
      <c r="M114" s="7"/>
      <c r="N114" s="12"/>
      <c r="O114" s="12"/>
      <c r="P114" s="12"/>
      <c r="Q114" s="361"/>
      <c r="R114" s="362"/>
      <c r="S114" s="363">
        <f t="shared" si="88"/>
        <v>0</v>
      </c>
      <c r="T114" s="364">
        <f t="shared" ref="T114" si="107">IF(ISBLANK($P114),0,IF(Approach="Team-Based",$Q114*$R114*$S114*HoursPerDayTeamBased,$J114))</f>
        <v>0</v>
      </c>
      <c r="U114" s="365">
        <v>0</v>
      </c>
      <c r="V114" s="91">
        <f>ROUNDUP(IFERROR(INDEX(CostRateTbl[Cost Rate],MATCH(_xlfn.CONCAT(N114,O114,P114,"NA"),CostRateTbl[KeyCostRate],0)),0)*BillingCurrencyTRM*(1+U114),2)</f>
        <v>0</v>
      </c>
      <c r="W114" s="92">
        <f t="shared" si="69"/>
        <v>0</v>
      </c>
      <c r="X114" s="366" t="e" cm="1">
        <f t="array" ref="X114">_xlfn.LET(
    _xlpm.valor, INDEX(CostRate!H:H, MATCH(1, (CostRate!A:A=N114)*1, 0)),
    _xlpm.posicion, MATCH(_xlpm.valor, FilterSL!$F$1:$Z$1, 0),
    _xlpm.direccionCompleta, ADDRESS(1, _xlpm.posicion + 5, 4),
    _xlpm.letraColumna, SUBSTITUTE(_xlpm.direccionCompleta, "1", ""),
    _xlpm.letraColumna
)</f>
        <v>#N/A</v>
      </c>
      <c r="Y114" s="366" t="e" cm="1">
        <f t="array" ref="Y114">_xlfn.LET(
    _xlpm.valor, INDEX(CostRate!I:I, MATCH(1, (CostRate!A:A=N114)*(CostRate!B:B=O114), 0)),
    _xlpm.posicion, MATCH(_xlpm.valor, FilterJP!$E$1:$FZ$1, 0),
    _xlpm.direccionCompleta, ADDRESS(1, _xlpm.posicion + 4, 4),
    _xlpm.letraColumna, SUBSTITUTE(_xlpm.direccionCompleta, "1", ""),
    _xlpm.letraColumna
)</f>
        <v>#N/A</v>
      </c>
      <c r="Z114" s="7"/>
      <c r="AA114" s="367"/>
      <c r="AB114" s="7"/>
      <c r="AC114" s="93">
        <f t="shared" si="70"/>
        <v>0</v>
      </c>
      <c r="AD114" s="94">
        <f t="shared" si="79"/>
        <v>0</v>
      </c>
      <c r="AE114" s="109">
        <f t="shared" si="80"/>
        <v>0</v>
      </c>
      <c r="AF114" s="7"/>
      <c r="AG114" s="369">
        <f t="shared" si="71"/>
        <v>0</v>
      </c>
      <c r="AH114" s="368">
        <f t="shared" si="72"/>
        <v>0</v>
      </c>
      <c r="AI114" s="7"/>
      <c r="AJ114" s="369" cm="1">
        <f t="array" ref="AJ114">IFERROR(INDEX(WHT!$C$7:$W$18,MATCH(
_xlfn.SWITCH(N114,"xDC Medellin","Colombia","xDC Belo Horizonte","Brazil","xDC Guadalajara","Mexico","xDC Gurugram","India","xDC Leon","Spain","xDC San Jose","Costa Rica","xDC Warsaw","Poland",N114),
WHT!$B$7:$B$18,0),MATCH(CustomerCountry,WHT!$C$5:$W$5,0)),0)</f>
        <v>0</v>
      </c>
      <c r="AK114" s="368">
        <f t="shared" si="73"/>
        <v>0</v>
      </c>
      <c r="AL114" s="7"/>
      <c r="AM114" s="95">
        <f t="shared" si="81"/>
        <v>0</v>
      </c>
      <c r="AN114" s="95">
        <f t="shared" ca="1" si="74"/>
        <v>0</v>
      </c>
      <c r="AO114" s="95">
        <f t="shared" ca="1" si="82"/>
        <v>0</v>
      </c>
      <c r="AP114" s="90"/>
      <c r="AQ114" s="18"/>
      <c r="AR114" s="290"/>
      <c r="AS114" s="467" t="s">
        <v>133</v>
      </c>
      <c r="AT114" s="501">
        <f t="shared" ca="1" si="75"/>
        <v>0</v>
      </c>
      <c r="AU114" s="502"/>
      <c r="AV114" s="95">
        <f t="shared" ca="1" si="83"/>
        <v>0</v>
      </c>
      <c r="AW114" s="469">
        <f t="shared" ca="1" si="76"/>
        <v>0</v>
      </c>
      <c r="AX114" s="290"/>
      <c r="AY114" s="18"/>
      <c r="AZ114" s="3"/>
      <c r="BA114" s="315"/>
      <c r="BB114" s="3"/>
      <c r="BC114" s="3"/>
      <c r="BD114" s="3"/>
      <c r="BE114" s="3"/>
      <c r="BF114" s="18"/>
      <c r="BG114" s="3"/>
      <c r="BH114" s="315"/>
      <c r="BI114" s="3"/>
      <c r="BJ114" s="3"/>
      <c r="BK114" s="3"/>
      <c r="BL114" s="3"/>
      <c r="BM114" s="18"/>
      <c r="BN114" s="3"/>
      <c r="BO114" s="315"/>
      <c r="BP114" s="3"/>
      <c r="BQ114" s="3"/>
      <c r="BR114" s="3"/>
      <c r="BS114" s="3"/>
      <c r="BT114" s="18"/>
      <c r="BU114" s="3"/>
      <c r="BV114" s="315"/>
      <c r="BW114" s="3"/>
      <c r="BX114" s="3"/>
      <c r="BY114" s="3"/>
      <c r="BZ114" s="3"/>
    </row>
    <row r="115" spans="1:82" ht="15.6" outlineLevel="1">
      <c r="A115" s="7"/>
      <c r="B115" s="370"/>
      <c r="C115" s="355"/>
      <c r="D115" s="356"/>
      <c r="E115" s="342"/>
      <c r="F115" s="290"/>
      <c r="G115" s="357">
        <v>0</v>
      </c>
      <c r="H115" s="358">
        <v>0</v>
      </c>
      <c r="I115" s="358">
        <v>0</v>
      </c>
      <c r="J115" s="359">
        <f t="shared" si="77"/>
        <v>0</v>
      </c>
      <c r="K115" s="290"/>
      <c r="L115" s="349"/>
      <c r="M115" s="7"/>
      <c r="N115" s="12"/>
      <c r="O115" s="12"/>
      <c r="P115" s="12"/>
      <c r="Q115" s="361"/>
      <c r="R115" s="362"/>
      <c r="S115" s="363">
        <f t="shared" si="88"/>
        <v>0</v>
      </c>
      <c r="T115" s="364">
        <f t="shared" ref="T115" si="108">IF(ISBLANK($P115),0,IF(Approach="Team-Based",$Q115*$R115*$S115*HoursPerDayTeamBased,$J115))</f>
        <v>0</v>
      </c>
      <c r="U115" s="365">
        <v>0</v>
      </c>
      <c r="V115" s="91">
        <f>ROUNDUP(IFERROR(INDEX(CostRateTbl[Cost Rate],MATCH(_xlfn.CONCAT(N115,O115,P115,"NA"),CostRateTbl[KeyCostRate],0)),0)*BillingCurrencyTRM*(1+U115),2)</f>
        <v>0</v>
      </c>
      <c r="W115" s="92">
        <f t="shared" si="69"/>
        <v>0</v>
      </c>
      <c r="X115" s="366" t="e" cm="1">
        <f t="array" ref="X115">_xlfn.LET(
    _xlpm.valor, INDEX(CostRate!H:H, MATCH(1, (CostRate!A:A=N115)*1, 0)),
    _xlpm.posicion, MATCH(_xlpm.valor, FilterSL!$F$1:$Z$1, 0),
    _xlpm.direccionCompleta, ADDRESS(1, _xlpm.posicion + 5, 4),
    _xlpm.letraColumna, SUBSTITUTE(_xlpm.direccionCompleta, "1", ""),
    _xlpm.letraColumna
)</f>
        <v>#N/A</v>
      </c>
      <c r="Y115" s="366" t="e" cm="1">
        <f t="array" ref="Y115">_xlfn.LET(
    _xlpm.valor, INDEX(CostRate!I:I, MATCH(1, (CostRate!A:A=N115)*(CostRate!B:B=O115), 0)),
    _xlpm.posicion, MATCH(_xlpm.valor, FilterJP!$E$1:$FZ$1, 0),
    _xlpm.direccionCompleta, ADDRESS(1, _xlpm.posicion + 4, 4),
    _xlpm.letraColumna, SUBSTITUTE(_xlpm.direccionCompleta, "1", ""),
    _xlpm.letraColumna
)</f>
        <v>#N/A</v>
      </c>
      <c r="Z115" s="7"/>
      <c r="AA115" s="367"/>
      <c r="AB115" s="7"/>
      <c r="AC115" s="93">
        <f t="shared" si="70"/>
        <v>0</v>
      </c>
      <c r="AD115" s="94">
        <f t="shared" si="79"/>
        <v>0</v>
      </c>
      <c r="AE115" s="109">
        <f t="shared" si="80"/>
        <v>0</v>
      </c>
      <c r="AF115" s="7"/>
      <c r="AG115" s="369">
        <f t="shared" si="71"/>
        <v>0</v>
      </c>
      <c r="AH115" s="368">
        <f t="shared" si="72"/>
        <v>0</v>
      </c>
      <c r="AI115" s="7"/>
      <c r="AJ115" s="369" cm="1">
        <f t="array" ref="AJ115">IFERROR(INDEX(WHT!$C$7:$W$18,MATCH(
_xlfn.SWITCH(N115,"xDC Medellin","Colombia","xDC Belo Horizonte","Brazil","xDC Guadalajara","Mexico","xDC Gurugram","India","xDC Leon","Spain","xDC San Jose","Costa Rica","xDC Warsaw","Poland",N115),
WHT!$B$7:$B$18,0),MATCH(CustomerCountry,WHT!$C$5:$W$5,0)),0)</f>
        <v>0</v>
      </c>
      <c r="AK115" s="368">
        <f t="shared" si="73"/>
        <v>0</v>
      </c>
      <c r="AL115" s="7"/>
      <c r="AM115" s="95">
        <f t="shared" si="81"/>
        <v>0</v>
      </c>
      <c r="AN115" s="95">
        <f t="shared" ca="1" si="74"/>
        <v>0</v>
      </c>
      <c r="AO115" s="95">
        <f t="shared" ca="1" si="82"/>
        <v>0</v>
      </c>
      <c r="AP115" s="90"/>
      <c r="AQ115" s="18"/>
      <c r="AR115" s="290"/>
      <c r="AS115" s="467" t="s">
        <v>133</v>
      </c>
      <c r="AT115" s="501">
        <f t="shared" ca="1" si="75"/>
        <v>0</v>
      </c>
      <c r="AU115" s="502"/>
      <c r="AV115" s="95">
        <f t="shared" ca="1" si="83"/>
        <v>0</v>
      </c>
      <c r="AW115" s="469">
        <f t="shared" ca="1" si="76"/>
        <v>0</v>
      </c>
      <c r="AX115" s="290"/>
      <c r="AY115" s="18"/>
      <c r="AZ115" s="3"/>
      <c r="BA115" s="315"/>
      <c r="BB115" s="3"/>
      <c r="BC115" s="3"/>
      <c r="BD115" s="3"/>
      <c r="BE115" s="3"/>
      <c r="BF115" s="18"/>
      <c r="BG115" s="3"/>
      <c r="BH115" s="315"/>
      <c r="BI115" s="3"/>
      <c r="BJ115" s="3"/>
      <c r="BK115" s="3"/>
      <c r="BL115" s="3"/>
      <c r="BM115" s="18"/>
      <c r="BN115" s="3"/>
      <c r="BO115" s="315"/>
      <c r="BP115" s="3"/>
      <c r="BQ115" s="3"/>
      <c r="BR115" s="3"/>
      <c r="BS115" s="3"/>
      <c r="BT115" s="18"/>
      <c r="BU115" s="3"/>
      <c r="BV115" s="315"/>
      <c r="BW115" s="3"/>
      <c r="BX115" s="3"/>
      <c r="BY115" s="3"/>
      <c r="BZ115" s="3"/>
    </row>
    <row r="116" spans="1:82" ht="15.6" outlineLevel="1">
      <c r="A116" s="7"/>
      <c r="B116" s="370"/>
      <c r="C116" s="355"/>
      <c r="D116" s="356"/>
      <c r="E116" s="342"/>
      <c r="F116" s="290"/>
      <c r="G116" s="357">
        <v>0</v>
      </c>
      <c r="H116" s="358">
        <v>0</v>
      </c>
      <c r="I116" s="358">
        <v>0</v>
      </c>
      <c r="J116" s="359">
        <f t="shared" si="77"/>
        <v>0</v>
      </c>
      <c r="K116" s="290"/>
      <c r="L116" s="349"/>
      <c r="M116" s="7"/>
      <c r="N116" s="12"/>
      <c r="O116" s="12"/>
      <c r="P116" s="12"/>
      <c r="Q116" s="361"/>
      <c r="R116" s="362"/>
      <c r="S116" s="363">
        <f t="shared" si="88"/>
        <v>0</v>
      </c>
      <c r="T116" s="364">
        <f t="shared" ref="T116" si="109">IF(ISBLANK($P116),0,IF(Approach="Team-Based",$Q116*$R116*$S116*HoursPerDayTeamBased,$J116))</f>
        <v>0</v>
      </c>
      <c r="U116" s="365">
        <v>0</v>
      </c>
      <c r="V116" s="91">
        <f>ROUNDUP(IFERROR(INDEX(CostRateTbl[Cost Rate],MATCH(_xlfn.CONCAT(N116,O116,P116,"NA"),CostRateTbl[KeyCostRate],0)),0)*BillingCurrencyTRM*(1+U116),2)</f>
        <v>0</v>
      </c>
      <c r="W116" s="92">
        <f t="shared" si="69"/>
        <v>0</v>
      </c>
      <c r="X116" s="366" t="e" cm="1">
        <f t="array" ref="X116">_xlfn.LET(
    _xlpm.valor, INDEX(CostRate!H:H, MATCH(1, (CostRate!A:A=N116)*1, 0)),
    _xlpm.posicion, MATCH(_xlpm.valor, FilterSL!$F$1:$Z$1, 0),
    _xlpm.direccionCompleta, ADDRESS(1, _xlpm.posicion + 5, 4),
    _xlpm.letraColumna, SUBSTITUTE(_xlpm.direccionCompleta, "1", ""),
    _xlpm.letraColumna
)</f>
        <v>#N/A</v>
      </c>
      <c r="Y116" s="366" t="e" cm="1">
        <f t="array" ref="Y116">_xlfn.LET(
    _xlpm.valor, INDEX(CostRate!I:I, MATCH(1, (CostRate!A:A=N116)*(CostRate!B:B=O116), 0)),
    _xlpm.posicion, MATCH(_xlpm.valor, FilterJP!$E$1:$FZ$1, 0),
    _xlpm.direccionCompleta, ADDRESS(1, _xlpm.posicion + 4, 4),
    _xlpm.letraColumna, SUBSTITUTE(_xlpm.direccionCompleta, "1", ""),
    _xlpm.letraColumna
)</f>
        <v>#N/A</v>
      </c>
      <c r="Z116" s="7"/>
      <c r="AA116" s="367"/>
      <c r="AB116" s="7"/>
      <c r="AC116" s="93">
        <f t="shared" si="70"/>
        <v>0</v>
      </c>
      <c r="AD116" s="94">
        <f t="shared" si="79"/>
        <v>0</v>
      </c>
      <c r="AE116" s="109">
        <f t="shared" si="80"/>
        <v>0</v>
      </c>
      <c r="AF116" s="7"/>
      <c r="AG116" s="369">
        <f t="shared" si="71"/>
        <v>0</v>
      </c>
      <c r="AH116" s="368">
        <f t="shared" si="72"/>
        <v>0</v>
      </c>
      <c r="AI116" s="7"/>
      <c r="AJ116" s="369" cm="1">
        <f t="array" ref="AJ116">IFERROR(INDEX(WHT!$C$7:$W$18,MATCH(
_xlfn.SWITCH(N116,"xDC Medellin","Colombia","xDC Belo Horizonte","Brazil","xDC Guadalajara","Mexico","xDC Gurugram","India","xDC Leon","Spain","xDC San Jose","Costa Rica","xDC Warsaw","Poland",N116),
WHT!$B$7:$B$18,0),MATCH(CustomerCountry,WHT!$C$5:$W$5,0)),0)</f>
        <v>0</v>
      </c>
      <c r="AK116" s="368">
        <f t="shared" si="73"/>
        <v>0</v>
      </c>
      <c r="AL116" s="7"/>
      <c r="AM116" s="95">
        <f t="shared" si="81"/>
        <v>0</v>
      </c>
      <c r="AN116" s="95">
        <f t="shared" ca="1" si="74"/>
        <v>0</v>
      </c>
      <c r="AO116" s="95">
        <f t="shared" ca="1" si="82"/>
        <v>0</v>
      </c>
      <c r="AP116" s="90"/>
      <c r="AQ116" s="18"/>
      <c r="AR116" s="290"/>
      <c r="AS116" s="467" t="s">
        <v>133</v>
      </c>
      <c r="AT116" s="501">
        <f t="shared" ca="1" si="75"/>
        <v>0</v>
      </c>
      <c r="AU116" s="502"/>
      <c r="AV116" s="95">
        <f t="shared" ca="1" si="83"/>
        <v>0</v>
      </c>
      <c r="AW116" s="469">
        <f t="shared" ca="1" si="76"/>
        <v>0</v>
      </c>
      <c r="AX116" s="290"/>
      <c r="AY116" s="18"/>
      <c r="AZ116" s="3"/>
      <c r="BA116" s="315"/>
      <c r="BB116" s="3"/>
      <c r="BC116" s="3"/>
      <c r="BD116" s="3"/>
      <c r="BE116" s="3"/>
      <c r="BF116" s="18"/>
      <c r="BG116" s="3"/>
      <c r="BH116" s="315"/>
      <c r="BI116" s="3"/>
      <c r="BJ116" s="3"/>
      <c r="BK116" s="3"/>
      <c r="BL116" s="3"/>
      <c r="BM116" s="18"/>
      <c r="BN116" s="3"/>
      <c r="BO116" s="315"/>
      <c r="BP116" s="3"/>
      <c r="BQ116" s="3"/>
      <c r="BR116" s="3"/>
      <c r="BS116" s="3"/>
      <c r="BT116" s="18"/>
      <c r="BU116" s="3"/>
      <c r="BV116" s="315"/>
      <c r="BW116" s="3"/>
      <c r="BX116" s="3"/>
      <c r="BY116" s="3"/>
      <c r="BZ116" s="3"/>
    </row>
    <row r="117" spans="1:82" ht="15.6" outlineLevel="1">
      <c r="A117" s="7"/>
      <c r="B117" s="370"/>
      <c r="C117" s="355"/>
      <c r="D117" s="356"/>
      <c r="E117" s="342"/>
      <c r="F117" s="290"/>
      <c r="G117" s="357">
        <v>0</v>
      </c>
      <c r="H117" s="358">
        <v>0</v>
      </c>
      <c r="I117" s="358">
        <v>0</v>
      </c>
      <c r="J117" s="359">
        <f t="shared" si="77"/>
        <v>0</v>
      </c>
      <c r="K117" s="290"/>
      <c r="L117" s="349"/>
      <c r="M117" s="7"/>
      <c r="N117" s="12"/>
      <c r="O117" s="12"/>
      <c r="P117" s="12"/>
      <c r="Q117" s="361"/>
      <c r="R117" s="362"/>
      <c r="S117" s="363">
        <f t="shared" si="88"/>
        <v>0</v>
      </c>
      <c r="T117" s="364">
        <f t="shared" ref="T117" si="110">IF(ISBLANK($P117),0,IF(Approach="Team-Based",$Q117*$R117*$S117*HoursPerDayTeamBased,$J117))</f>
        <v>0</v>
      </c>
      <c r="U117" s="365">
        <v>0</v>
      </c>
      <c r="V117" s="91">
        <f>ROUNDUP(IFERROR(INDEX(CostRateTbl[Cost Rate],MATCH(_xlfn.CONCAT(N117,O117,P117,"NA"),CostRateTbl[KeyCostRate],0)),0)*BillingCurrencyTRM*(1+U117),2)</f>
        <v>0</v>
      </c>
      <c r="W117" s="92">
        <f t="shared" si="69"/>
        <v>0</v>
      </c>
      <c r="X117" s="366" t="e" cm="1">
        <f t="array" ref="X117">_xlfn.LET(
    _xlpm.valor, INDEX(CostRate!H:H, MATCH(1, (CostRate!A:A=N117)*1, 0)),
    _xlpm.posicion, MATCH(_xlpm.valor, FilterSL!$F$1:$Z$1, 0),
    _xlpm.direccionCompleta, ADDRESS(1, _xlpm.posicion + 5, 4),
    _xlpm.letraColumna, SUBSTITUTE(_xlpm.direccionCompleta, "1", ""),
    _xlpm.letraColumna
)</f>
        <v>#N/A</v>
      </c>
      <c r="Y117" s="366" t="e" cm="1">
        <f t="array" ref="Y117">_xlfn.LET(
    _xlpm.valor, INDEX(CostRate!I:I, MATCH(1, (CostRate!A:A=N117)*(CostRate!B:B=O117), 0)),
    _xlpm.posicion, MATCH(_xlpm.valor, FilterJP!$E$1:$FZ$1, 0),
    _xlpm.direccionCompleta, ADDRESS(1, _xlpm.posicion + 4, 4),
    _xlpm.letraColumna, SUBSTITUTE(_xlpm.direccionCompleta, "1", ""),
    _xlpm.letraColumna
)</f>
        <v>#N/A</v>
      </c>
      <c r="Z117" s="7"/>
      <c r="AA117" s="367"/>
      <c r="AB117" s="7"/>
      <c r="AC117" s="93">
        <f t="shared" si="70"/>
        <v>0</v>
      </c>
      <c r="AD117" s="94">
        <f t="shared" si="79"/>
        <v>0</v>
      </c>
      <c r="AE117" s="109">
        <f t="shared" si="80"/>
        <v>0</v>
      </c>
      <c r="AF117" s="7"/>
      <c r="AG117" s="369">
        <f t="shared" si="71"/>
        <v>0</v>
      </c>
      <c r="AH117" s="368">
        <f t="shared" si="72"/>
        <v>0</v>
      </c>
      <c r="AI117" s="7"/>
      <c r="AJ117" s="369" cm="1">
        <f t="array" ref="AJ117">IFERROR(INDEX(WHT!$C$7:$W$18,MATCH(
_xlfn.SWITCH(N117,"xDC Medellin","Colombia","xDC Belo Horizonte","Brazil","xDC Guadalajara","Mexico","xDC Gurugram","India","xDC Leon","Spain","xDC San Jose","Costa Rica","xDC Warsaw","Poland",N117),
WHT!$B$7:$B$18,0),MATCH(CustomerCountry,WHT!$C$5:$W$5,0)),0)</f>
        <v>0</v>
      </c>
      <c r="AK117" s="368">
        <f t="shared" si="73"/>
        <v>0</v>
      </c>
      <c r="AL117" s="7"/>
      <c r="AM117" s="95">
        <f t="shared" si="81"/>
        <v>0</v>
      </c>
      <c r="AN117" s="95">
        <f t="shared" ca="1" si="74"/>
        <v>0</v>
      </c>
      <c r="AO117" s="95">
        <f t="shared" ca="1" si="82"/>
        <v>0</v>
      </c>
      <c r="AP117" s="90"/>
      <c r="AQ117" s="18"/>
      <c r="AR117" s="290"/>
      <c r="AS117" s="467" t="s">
        <v>133</v>
      </c>
      <c r="AT117" s="501">
        <f t="shared" ca="1" si="75"/>
        <v>0</v>
      </c>
      <c r="AU117" s="502"/>
      <c r="AV117" s="95">
        <f t="shared" ca="1" si="83"/>
        <v>0</v>
      </c>
      <c r="AW117" s="469">
        <f t="shared" ca="1" si="76"/>
        <v>0</v>
      </c>
      <c r="AX117" s="290"/>
      <c r="AY117" s="18"/>
      <c r="AZ117" s="3"/>
      <c r="BA117" s="315"/>
      <c r="BB117" s="3"/>
      <c r="BC117" s="3"/>
      <c r="BD117" s="3"/>
      <c r="BE117" s="3"/>
      <c r="BF117" s="18"/>
      <c r="BG117" s="3"/>
      <c r="BH117" s="315"/>
      <c r="BI117" s="3"/>
      <c r="BJ117" s="3"/>
      <c r="BK117" s="3"/>
      <c r="BL117" s="3"/>
      <c r="BM117" s="18"/>
      <c r="BN117" s="3"/>
      <c r="BO117" s="315"/>
      <c r="BP117" s="3"/>
      <c r="BQ117" s="3"/>
      <c r="BR117" s="3"/>
      <c r="BS117" s="3"/>
      <c r="BT117" s="18"/>
      <c r="BU117" s="3"/>
      <c r="BV117" s="315"/>
      <c r="BW117" s="3"/>
      <c r="BX117" s="3"/>
      <c r="BY117" s="3"/>
      <c r="BZ117" s="3"/>
    </row>
    <row r="118" spans="1:82" ht="15.6" outlineLevel="1">
      <c r="A118" s="7"/>
      <c r="B118" s="370"/>
      <c r="C118" s="355"/>
      <c r="D118" s="356"/>
      <c r="E118" s="342"/>
      <c r="F118" s="290"/>
      <c r="G118" s="373">
        <v>0</v>
      </c>
      <c r="H118" s="374">
        <v>0</v>
      </c>
      <c r="I118" s="374">
        <v>0</v>
      </c>
      <c r="J118" s="375">
        <f t="shared" si="77"/>
        <v>0</v>
      </c>
      <c r="K118" s="290"/>
      <c r="L118" s="349"/>
      <c r="M118" s="7"/>
      <c r="N118" s="12"/>
      <c r="O118" s="12"/>
      <c r="P118" s="12"/>
      <c r="Q118" s="361"/>
      <c r="R118" s="362"/>
      <c r="S118" s="363">
        <f t="shared" si="88"/>
        <v>0</v>
      </c>
      <c r="T118" s="364">
        <f t="shared" ref="T118" si="111">IF(ISBLANK($P118),0,IF(Approach="Team-Based",$Q118*$R118*$S118*HoursPerDayTeamBased,$J118))</f>
        <v>0</v>
      </c>
      <c r="U118" s="365">
        <v>0</v>
      </c>
      <c r="V118" s="91">
        <f>ROUNDUP(IFERROR(INDEX(CostRateTbl[Cost Rate],MATCH(_xlfn.CONCAT(N118,O118,P118,"NA"),CostRateTbl[KeyCostRate],0)),0)*BillingCurrencyTRM*(1+U118),2)</f>
        <v>0</v>
      </c>
      <c r="W118" s="92">
        <f t="shared" si="69"/>
        <v>0</v>
      </c>
      <c r="X118" s="366" t="e" cm="1">
        <f t="array" ref="X118">_xlfn.LET(
    _xlpm.valor, INDEX(CostRate!H:H, MATCH(1, (CostRate!A:A=N118)*1, 0)),
    _xlpm.posicion, MATCH(_xlpm.valor, FilterSL!$F$1:$Z$1, 0),
    _xlpm.direccionCompleta, ADDRESS(1, _xlpm.posicion + 5, 4),
    _xlpm.letraColumna, SUBSTITUTE(_xlpm.direccionCompleta, "1", ""),
    _xlpm.letraColumna
)</f>
        <v>#N/A</v>
      </c>
      <c r="Y118" s="366" t="e" cm="1">
        <f t="array" ref="Y118">_xlfn.LET(
    _xlpm.valor, INDEX(CostRate!I:I, MATCH(1, (CostRate!A:A=N118)*(CostRate!B:B=O118), 0)),
    _xlpm.posicion, MATCH(_xlpm.valor, FilterJP!$E$1:$FZ$1, 0),
    _xlpm.direccionCompleta, ADDRESS(1, _xlpm.posicion + 4, 4),
    _xlpm.letraColumna, SUBSTITUTE(_xlpm.direccionCompleta, "1", ""),
    _xlpm.letraColumna
)</f>
        <v>#N/A</v>
      </c>
      <c r="Z118" s="7"/>
      <c r="AA118" s="367"/>
      <c r="AB118" s="7"/>
      <c r="AC118" s="93">
        <f t="shared" si="70"/>
        <v>0</v>
      </c>
      <c r="AD118" s="94">
        <f t="shared" si="79"/>
        <v>0</v>
      </c>
      <c r="AE118" s="109">
        <f t="shared" si="80"/>
        <v>0</v>
      </c>
      <c r="AF118" s="7"/>
      <c r="AG118" s="369">
        <f t="shared" si="71"/>
        <v>0</v>
      </c>
      <c r="AH118" s="368">
        <f t="shared" si="72"/>
        <v>0</v>
      </c>
      <c r="AI118" s="7"/>
      <c r="AJ118" s="369" cm="1">
        <f t="array" ref="AJ118">IFERROR(INDEX(WHT!$C$7:$W$18,MATCH(
_xlfn.SWITCH(N118,"xDC Medellin","Colombia","xDC Belo Horizonte","Brazil","xDC Guadalajara","Mexico","xDC Gurugram","India","xDC Leon","Spain","xDC San Jose","Costa Rica","xDC Warsaw","Poland",N118),
WHT!$B$7:$B$18,0),MATCH(CustomerCountry,WHT!$C$5:$W$5,0)),0)</f>
        <v>0</v>
      </c>
      <c r="AK118" s="368">
        <f t="shared" si="73"/>
        <v>0</v>
      </c>
      <c r="AL118" s="7"/>
      <c r="AM118" s="95">
        <f t="shared" si="81"/>
        <v>0</v>
      </c>
      <c r="AN118" s="95">
        <f t="shared" ca="1" si="74"/>
        <v>0</v>
      </c>
      <c r="AO118" s="95">
        <f t="shared" ca="1" si="82"/>
        <v>0</v>
      </c>
      <c r="AP118" s="90"/>
      <c r="AQ118" s="18"/>
      <c r="AR118" s="290"/>
      <c r="AS118" s="467" t="s">
        <v>133</v>
      </c>
      <c r="AT118" s="501">
        <f t="shared" ca="1" si="75"/>
        <v>0</v>
      </c>
      <c r="AU118" s="502"/>
      <c r="AV118" s="95">
        <f t="shared" ca="1" si="83"/>
        <v>0</v>
      </c>
      <c r="AW118" s="469">
        <f t="shared" ca="1" si="76"/>
        <v>0</v>
      </c>
      <c r="AX118" s="290"/>
      <c r="AY118" s="18"/>
      <c r="AZ118" s="3"/>
      <c r="BA118" s="315"/>
      <c r="BB118" s="3"/>
      <c r="BC118" s="3"/>
      <c r="BD118" s="3"/>
      <c r="BE118" s="3"/>
      <c r="BF118" s="18"/>
      <c r="BG118" s="3"/>
      <c r="BH118" s="315"/>
      <c r="BI118" s="3"/>
      <c r="BJ118" s="3"/>
      <c r="BK118" s="3"/>
      <c r="BL118" s="3"/>
      <c r="BM118" s="18"/>
      <c r="BN118" s="3"/>
      <c r="BO118" s="315"/>
      <c r="BP118" s="3"/>
      <c r="BQ118" s="3"/>
      <c r="BR118" s="3"/>
      <c r="BS118" s="3"/>
      <c r="BT118" s="18"/>
      <c r="BU118" s="3"/>
      <c r="BV118" s="315"/>
      <c r="BW118" s="3"/>
      <c r="BX118" s="3"/>
      <c r="BY118" s="3"/>
      <c r="BZ118" s="3"/>
    </row>
    <row r="119" spans="1:82" ht="15.6" outlineLevel="1">
      <c r="A119" s="7"/>
      <c r="B119" s="372"/>
      <c r="C119" s="355"/>
      <c r="D119" s="356"/>
      <c r="E119" s="342"/>
      <c r="F119" s="290"/>
      <c r="G119" s="373">
        <v>0</v>
      </c>
      <c r="H119" s="374">
        <v>0</v>
      </c>
      <c r="I119" s="374">
        <v>0</v>
      </c>
      <c r="J119" s="375">
        <f t="shared" si="77"/>
        <v>0</v>
      </c>
      <c r="K119" s="290"/>
      <c r="L119" s="349"/>
      <c r="M119" s="7"/>
      <c r="N119" s="12"/>
      <c r="O119" s="12"/>
      <c r="P119" s="12"/>
      <c r="Q119" s="361"/>
      <c r="R119" s="362"/>
      <c r="S119" s="363">
        <f t="shared" si="88"/>
        <v>0</v>
      </c>
      <c r="T119" s="364">
        <f t="shared" ref="T119" si="112">IF(ISBLANK($P119),0,IF(Approach="Team-Based",$Q119*$R119*$S119*HoursPerDayTeamBased,$J119))</f>
        <v>0</v>
      </c>
      <c r="U119" s="365">
        <v>0</v>
      </c>
      <c r="V119" s="91">
        <f>ROUNDUP(IFERROR(INDEX(CostRateTbl[Cost Rate],MATCH(_xlfn.CONCAT(N119,O119,P119,"NA"),CostRateTbl[KeyCostRate],0)),0)*BillingCurrencyTRM*(1+U119),2)</f>
        <v>0</v>
      </c>
      <c r="W119" s="92">
        <f t="shared" si="69"/>
        <v>0</v>
      </c>
      <c r="X119" s="366" t="e" cm="1">
        <f t="array" ref="X119">_xlfn.LET(
    _xlpm.valor, INDEX(CostRate!H:H, MATCH(1, (CostRate!A:A=N119)*1, 0)),
    _xlpm.posicion, MATCH(_xlpm.valor, FilterSL!$F$1:$Z$1, 0),
    _xlpm.direccionCompleta, ADDRESS(1, _xlpm.posicion + 5, 4),
    _xlpm.letraColumna, SUBSTITUTE(_xlpm.direccionCompleta, "1", ""),
    _xlpm.letraColumna
)</f>
        <v>#N/A</v>
      </c>
      <c r="Y119" s="366" t="e" cm="1">
        <f t="array" ref="Y119">_xlfn.LET(
    _xlpm.valor, INDEX(CostRate!I:I, MATCH(1, (CostRate!A:A=N119)*(CostRate!B:B=O119), 0)),
    _xlpm.posicion, MATCH(_xlpm.valor, FilterJP!$E$1:$FZ$1, 0),
    _xlpm.direccionCompleta, ADDRESS(1, _xlpm.posicion + 4, 4),
    _xlpm.letraColumna, SUBSTITUTE(_xlpm.direccionCompleta, "1", ""),
    _xlpm.letraColumna
)</f>
        <v>#N/A</v>
      </c>
      <c r="Z119" s="7"/>
      <c r="AA119" s="367"/>
      <c r="AB119" s="7"/>
      <c r="AC119" s="93">
        <f t="shared" si="70"/>
        <v>0</v>
      </c>
      <c r="AD119" s="94">
        <f t="shared" si="79"/>
        <v>0</v>
      </c>
      <c r="AE119" s="109">
        <f t="shared" si="80"/>
        <v>0</v>
      </c>
      <c r="AF119" s="7"/>
      <c r="AG119" s="369">
        <f t="shared" si="71"/>
        <v>0</v>
      </c>
      <c r="AH119" s="368">
        <f t="shared" si="72"/>
        <v>0</v>
      </c>
      <c r="AI119" s="7"/>
      <c r="AJ119" s="369" cm="1">
        <f t="array" ref="AJ119">IFERROR(INDEX(WHT!$C$7:$W$18,MATCH(
_xlfn.SWITCH(N119,"xDC Medellin","Colombia","xDC Belo Horizonte","Brazil","xDC Guadalajara","Mexico","xDC Gurugram","India","xDC Leon","Spain","xDC San Jose","Costa Rica","xDC Warsaw","Poland",N119),
WHT!$B$7:$B$18,0),MATCH(CustomerCountry,WHT!$C$5:$W$5,0)),0)</f>
        <v>0</v>
      </c>
      <c r="AK119" s="368">
        <f t="shared" si="73"/>
        <v>0</v>
      </c>
      <c r="AL119" s="7"/>
      <c r="AM119" s="95">
        <f t="shared" si="81"/>
        <v>0</v>
      </c>
      <c r="AN119" s="95">
        <f t="shared" ca="1" si="74"/>
        <v>0</v>
      </c>
      <c r="AO119" s="95">
        <f t="shared" ca="1" si="82"/>
        <v>0</v>
      </c>
      <c r="AP119" s="90"/>
      <c r="AQ119" s="18"/>
      <c r="AR119" s="290"/>
      <c r="AS119" s="467" t="s">
        <v>133</v>
      </c>
      <c r="AT119" s="501">
        <f ca="1">IF(AS119="x",AM119+((SUM($AN$79:$AN$84)+SUMIF($AS$90:$AS$119,"&lt;&gt;x",$AM$90:$AM$119))*IFERROR(AM119/SUMIF($AS$90:$AS$119,"x",$AM$90:$AM$119),0)),0)</f>
        <v>0</v>
      </c>
      <c r="AU119" s="502"/>
      <c r="AV119" s="95">
        <f t="shared" ca="1" si="83"/>
        <v>0</v>
      </c>
      <c r="AW119" s="469">
        <f t="shared" ca="1" si="76"/>
        <v>0</v>
      </c>
      <c r="AX119" s="290"/>
      <c r="AY119" s="18"/>
      <c r="AZ119" s="3"/>
      <c r="BA119" s="315"/>
      <c r="BB119" s="3"/>
      <c r="BC119" s="3"/>
      <c r="BD119" s="3"/>
      <c r="BE119" s="3"/>
      <c r="BF119" s="18"/>
      <c r="BG119" s="3"/>
      <c r="BH119" s="315"/>
      <c r="BI119" s="3"/>
      <c r="BJ119" s="3"/>
      <c r="BK119" s="3"/>
      <c r="BL119" s="3"/>
      <c r="BM119" s="18"/>
      <c r="BN119" s="3"/>
      <c r="BO119" s="315"/>
      <c r="BP119" s="3"/>
      <c r="BQ119" s="3"/>
      <c r="BR119" s="3"/>
      <c r="BS119" s="3"/>
      <c r="BT119" s="18"/>
      <c r="BU119" s="3"/>
      <c r="BV119" s="315"/>
      <c r="BW119" s="3"/>
      <c r="BX119" s="3"/>
      <c r="BY119" s="3"/>
      <c r="BZ119" s="3"/>
    </row>
    <row r="120" spans="1:82" ht="15.6" outlineLevel="1">
      <c r="A120" s="7"/>
      <c r="B120" s="376"/>
      <c r="C120" s="376"/>
      <c r="D120" s="376"/>
      <c r="E120" s="342"/>
      <c r="F120" s="290"/>
      <c r="G120" s="290"/>
      <c r="H120" s="290"/>
      <c r="I120" s="290"/>
      <c r="J120" s="290"/>
      <c r="K120" s="290"/>
      <c r="L120" s="18"/>
      <c r="M120" s="7"/>
      <c r="N120" s="7"/>
      <c r="O120" s="7"/>
      <c r="P120" s="7"/>
      <c r="Q120" s="7"/>
      <c r="R120" s="7"/>
      <c r="S120" s="294"/>
      <c r="T120" s="294"/>
      <c r="U120" s="294"/>
      <c r="V120" s="294"/>
      <c r="W120" s="294"/>
      <c r="X120" s="7"/>
      <c r="Y120" s="7"/>
      <c r="Z120" s="294"/>
      <c r="AA120" s="377"/>
      <c r="AB120" s="294"/>
      <c r="AC120" s="294"/>
      <c r="AD120" s="294"/>
      <c r="AE120" s="294"/>
      <c r="AF120" s="7"/>
      <c r="AG120" s="294"/>
      <c r="AH120" s="294"/>
      <c r="AI120" s="7"/>
      <c r="AJ120" s="294"/>
      <c r="AK120" s="294"/>
      <c r="AL120" s="7"/>
      <c r="AM120" s="294"/>
      <c r="AN120" s="294"/>
      <c r="AO120" s="294"/>
      <c r="AP120" s="294"/>
      <c r="AQ120" s="18"/>
      <c r="AR120" s="378"/>
      <c r="AS120" s="378"/>
      <c r="AT120" s="378"/>
      <c r="AU120" s="81"/>
      <c r="AV120" s="378"/>
      <c r="AW120" s="7"/>
      <c r="AX120" s="378"/>
      <c r="AY120" s="18"/>
      <c r="AZ120" s="3"/>
      <c r="BA120" s="315"/>
      <c r="BB120" s="3"/>
      <c r="BC120" s="3"/>
      <c r="BD120" s="3"/>
      <c r="BE120" s="3"/>
      <c r="BF120" s="18"/>
      <c r="BG120" s="3"/>
      <c r="BH120" s="315"/>
      <c r="BI120" s="3"/>
      <c r="BJ120" s="3"/>
      <c r="BK120" s="3"/>
      <c r="BL120" s="3"/>
      <c r="BM120" s="18"/>
      <c r="BN120" s="3"/>
      <c r="BO120" s="315"/>
      <c r="BP120" s="3"/>
      <c r="BQ120" s="3"/>
      <c r="BR120" s="3"/>
      <c r="BS120" s="3"/>
      <c r="BT120" s="18"/>
      <c r="BU120" s="3"/>
      <c r="BV120" s="315"/>
      <c r="BW120" s="3"/>
      <c r="BX120" s="3"/>
      <c r="BY120" s="3"/>
      <c r="BZ120" s="3"/>
    </row>
    <row r="121" spans="1:82" s="389" customFormat="1">
      <c r="A121" s="390"/>
      <c r="B121" s="390"/>
      <c r="C121" s="390"/>
      <c r="D121" s="390"/>
      <c r="E121" s="390"/>
      <c r="F121" s="390"/>
      <c r="G121" s="390"/>
      <c r="H121" s="390"/>
      <c r="I121" s="390"/>
      <c r="J121" s="390"/>
      <c r="K121" s="390"/>
      <c r="L121" s="390"/>
      <c r="M121" s="392"/>
      <c r="N121" s="392"/>
      <c r="O121" s="392"/>
      <c r="P121" s="392"/>
      <c r="Q121" s="392"/>
      <c r="R121" s="392"/>
      <c r="S121" s="392"/>
      <c r="T121" s="392"/>
      <c r="U121" s="392"/>
      <c r="V121" s="392"/>
      <c r="W121" s="392"/>
      <c r="X121" s="392"/>
      <c r="Y121" s="392"/>
      <c r="Z121" s="392"/>
      <c r="AA121" s="320"/>
      <c r="AB121" s="321"/>
      <c r="AC121" s="322"/>
      <c r="AD121" s="322"/>
      <c r="AE121" s="322"/>
      <c r="AF121" s="322"/>
      <c r="AG121" s="322"/>
      <c r="AH121" s="322"/>
      <c r="AI121" s="322"/>
      <c r="AJ121" s="323"/>
      <c r="AK121" s="322"/>
      <c r="AL121" s="322"/>
      <c r="AM121" s="322"/>
      <c r="AN121" s="323"/>
      <c r="AO121" s="323"/>
      <c r="AP121" s="323"/>
      <c r="AR121" s="390"/>
      <c r="AS121" s="390"/>
      <c r="AT121" s="390"/>
      <c r="AU121" s="390"/>
      <c r="AV121" s="390"/>
      <c r="AW121" s="390"/>
      <c r="AX121" s="390"/>
      <c r="AZ121" s="390"/>
      <c r="BA121" s="390"/>
      <c r="BB121" s="390"/>
      <c r="BC121" s="390"/>
      <c r="BD121" s="390"/>
      <c r="BE121" s="390"/>
      <c r="BF121" s="390"/>
      <c r="BG121" s="390"/>
      <c r="BH121" s="390"/>
      <c r="BI121" s="390"/>
      <c r="BJ121" s="390"/>
      <c r="BK121" s="390"/>
      <c r="BL121" s="390"/>
      <c r="BM121" s="390"/>
      <c r="BN121" s="390"/>
      <c r="BO121" s="390"/>
      <c r="BP121" s="390"/>
      <c r="BQ121" s="390"/>
      <c r="BR121" s="390"/>
      <c r="BS121" s="390"/>
      <c r="BT121" s="390"/>
      <c r="BU121" s="390"/>
      <c r="BV121" s="390"/>
      <c r="BW121" s="390"/>
      <c r="BX121" s="390"/>
      <c r="BY121" s="390"/>
      <c r="BZ121" s="390"/>
      <c r="CA121" s="390"/>
      <c r="CB121" s="390"/>
      <c r="CC121" s="390"/>
      <c r="CD121" s="390"/>
    </row>
    <row r="122" spans="1:82" s="325" customFormat="1" ht="15.6">
      <c r="A122" s="480"/>
      <c r="B122" s="507">
        <f>CMSResumen!G4</f>
        <v>0</v>
      </c>
      <c r="C122" s="507"/>
      <c r="D122" s="324"/>
      <c r="E122" s="342"/>
      <c r="F122" s="290"/>
      <c r="G122" s="79"/>
      <c r="H122" s="326"/>
      <c r="I122" s="326"/>
      <c r="J122" s="80"/>
      <c r="K122" s="290"/>
      <c r="L122" s="342"/>
      <c r="M122" s="2"/>
      <c r="N122" s="7"/>
      <c r="O122" s="7"/>
      <c r="P122" s="77"/>
      <c r="Q122" s="77"/>
      <c r="R122" s="77"/>
      <c r="S122" s="77"/>
      <c r="T122" s="77"/>
      <c r="U122" s="77"/>
      <c r="V122" s="77"/>
      <c r="W122" s="77"/>
      <c r="X122" s="77"/>
      <c r="Y122" s="77"/>
      <c r="Z122" s="2"/>
      <c r="AA122" s="304"/>
      <c r="AB122" s="7"/>
      <c r="AC122" s="13"/>
      <c r="AD122" s="13"/>
      <c r="AE122" s="13"/>
      <c r="AF122" s="13"/>
      <c r="AG122" s="13"/>
      <c r="AH122" s="13"/>
      <c r="AI122" s="13"/>
      <c r="AJ122" s="70"/>
      <c r="AK122" s="70"/>
      <c r="AL122" s="13"/>
      <c r="AM122" s="13"/>
      <c r="AN122" s="70"/>
      <c r="AO122" s="70"/>
      <c r="AP122" s="7"/>
      <c r="AQ122" s="342"/>
      <c r="AR122" s="290"/>
      <c r="AS122" s="290"/>
      <c r="AT122" s="290"/>
      <c r="AU122" s="290"/>
      <c r="AV122" s="290"/>
      <c r="AW122" s="290"/>
      <c r="AX122" s="290"/>
      <c r="AY122" s="342"/>
      <c r="AZ122" s="3"/>
      <c r="BA122" s="315"/>
      <c r="BB122" s="3"/>
      <c r="BC122" s="3"/>
      <c r="BD122" s="3"/>
      <c r="BE122" s="3"/>
      <c r="BF122" s="342"/>
      <c r="BG122" s="3"/>
      <c r="BH122" s="315"/>
      <c r="BI122" s="3"/>
      <c r="BJ122" s="3"/>
      <c r="BK122" s="3"/>
      <c r="BL122" s="3"/>
      <c r="BM122" s="342"/>
      <c r="BN122" s="3"/>
      <c r="BO122" s="315"/>
      <c r="BP122" s="3"/>
      <c r="BQ122" s="3"/>
      <c r="BR122" s="3"/>
      <c r="BS122" s="3"/>
      <c r="BT122" s="342"/>
      <c r="BU122" s="3"/>
      <c r="BV122" s="315"/>
      <c r="BW122" s="3"/>
      <c r="BX122" s="3"/>
      <c r="BY122" s="3"/>
      <c r="BZ122" s="3"/>
      <c r="CA122" s="342"/>
      <c r="CB122" s="342"/>
      <c r="CC122" s="342"/>
      <c r="CD122" s="342"/>
    </row>
    <row r="123" spans="1:82" s="325" customFormat="1" ht="15.6">
      <c r="A123" s="480"/>
      <c r="B123" s="507"/>
      <c r="C123" s="507"/>
      <c r="D123" s="324"/>
      <c r="E123" s="342"/>
      <c r="F123" s="290"/>
      <c r="G123" s="79"/>
      <c r="H123" s="326"/>
      <c r="I123" s="326"/>
      <c r="J123" s="80"/>
      <c r="K123" s="290"/>
      <c r="L123" s="342"/>
      <c r="M123" s="2"/>
      <c r="N123" s="13" t="s">
        <v>78</v>
      </c>
      <c r="O123" s="395" t="s">
        <v>79</v>
      </c>
      <c r="P123" s="395" t="s">
        <v>80</v>
      </c>
      <c r="Q123" s="77"/>
      <c r="R123" s="77"/>
      <c r="S123" s="77"/>
      <c r="T123" s="77"/>
      <c r="U123" s="13" t="s">
        <v>81</v>
      </c>
      <c r="V123" s="428" t="str">
        <f>_xlfn.CONCAT("DELIVERY COST (",BillingCountryCurrency,")")</f>
        <v>DELIVERY COST (COP)</v>
      </c>
      <c r="W123" s="428" t="str">
        <f>_xlfn.CONCAT("DELIVERY COST (",IF(ISBLANK(BusinessCurrency),"N/A",BusinessCurrency),")")</f>
        <v>DELIVERY COST (USD)</v>
      </c>
      <c r="X123" s="77"/>
      <c r="Y123" s="77"/>
      <c r="Z123" s="2"/>
      <c r="AA123" s="304"/>
      <c r="AB123" s="7"/>
      <c r="AC123" s="13" t="s">
        <v>82</v>
      </c>
      <c r="AD123" s="428" t="str">
        <f>_xlfn.CONCAT("PRICING (",BillingCountryCurrency,")")</f>
        <v>PRICING (COP)</v>
      </c>
      <c r="AE123" s="428" t="str">
        <f>_xlfn.CONCAT("PRICING (",IF(ISBLANK(BusinessCurrency),"N/A",BusinessCurrency),")")</f>
        <v>PRICING (USD)</v>
      </c>
      <c r="AF123" s="70" t="s">
        <v>14</v>
      </c>
      <c r="AG123" s="428" t="str">
        <f>_xlfn.CONCAT("Intercompany (",BillingCountryCurrency,")")</f>
        <v>Intercompany (COP)</v>
      </c>
      <c r="AH123" s="428" t="str">
        <f>_xlfn.CONCAT("Intercompany (",IF(ISBLANK(BusinessCurrency),"N/A",BusinessCurrency),")")</f>
        <v>Intercompany (USD)</v>
      </c>
      <c r="AI123" s="70" t="s">
        <v>14</v>
      </c>
      <c r="AJ123" s="428" t="str">
        <f>_xlfn.CONCAT("WHT (",BillingCountryCurrency,")")</f>
        <v>WHT (COP)</v>
      </c>
      <c r="AK123" s="428" t="str">
        <f>_xlfn.CONCAT("WHT (",IF(ISBLANK(BusinessCurrency),"N/A",BusinessCurrency),")")</f>
        <v>WHT (USD)</v>
      </c>
      <c r="AL123" s="70"/>
      <c r="AM123" s="70" t="s">
        <v>15</v>
      </c>
      <c r="AN123" s="428" t="str">
        <f>_xlfn.CONCAT("SUBTOTAL PRICE (",BillingCountryCurrency,")")</f>
        <v>SUBTOTAL PRICE (COP)</v>
      </c>
      <c r="AO123" s="428" t="str">
        <f>_xlfn.CONCAT("SUBTOTAL PRICE (",IF(ISBLANK(BusinessCurrency),"N/A",BusinessCurrency),")")</f>
        <v>SUBTOTAL PRICE (USD)</v>
      </c>
      <c r="AP123" s="7"/>
      <c r="AQ123" s="342"/>
      <c r="AR123" s="290"/>
      <c r="AS123" s="13" t="s">
        <v>83</v>
      </c>
      <c r="AT123" s="290"/>
      <c r="AU123" s="100"/>
      <c r="AV123" s="417"/>
      <c r="AW123" s="417"/>
      <c r="AX123" s="290"/>
      <c r="AY123" s="342"/>
      <c r="AZ123" s="3"/>
      <c r="BA123" s="315"/>
      <c r="BB123" s="3"/>
      <c r="BC123" s="3"/>
      <c r="BD123" s="3"/>
      <c r="BE123" s="3"/>
      <c r="BF123" s="342"/>
      <c r="BG123" s="3"/>
      <c r="BH123" s="315"/>
      <c r="BI123" s="3"/>
      <c r="BJ123" s="3"/>
      <c r="BK123" s="3"/>
      <c r="BL123" s="3"/>
      <c r="BM123" s="342"/>
      <c r="BN123" s="3"/>
      <c r="BO123" s="315"/>
      <c r="BP123" s="3"/>
      <c r="BQ123" s="3"/>
      <c r="BR123" s="3"/>
      <c r="BS123" s="3"/>
      <c r="BT123" s="342"/>
      <c r="BU123" s="3"/>
      <c r="BV123" s="315"/>
      <c r="BW123" s="3"/>
      <c r="BX123" s="3"/>
      <c r="BY123" s="3"/>
      <c r="BZ123" s="3"/>
      <c r="CA123" s="342"/>
      <c r="CB123" s="342"/>
      <c r="CC123" s="342"/>
      <c r="CD123" s="342"/>
    </row>
    <row r="124" spans="1:82" s="325" customFormat="1" ht="15.6">
      <c r="A124" s="480"/>
      <c r="B124" s="507"/>
      <c r="C124" s="507"/>
      <c r="D124" s="324"/>
      <c r="E124" s="342"/>
      <c r="F124" s="290"/>
      <c r="G124" s="79"/>
      <c r="H124" s="326"/>
      <c r="I124" s="326"/>
      <c r="J124" s="80"/>
      <c r="K124" s="290"/>
      <c r="L124" s="342"/>
      <c r="M124" s="2"/>
      <c r="N124" s="79" t="s">
        <v>84</v>
      </c>
      <c r="O124" s="103">
        <f ca="1">SUMIF($P138:$P167,"&lt;&gt;*Project Management*",$T138:$T167)</f>
        <v>26.227637999999999</v>
      </c>
      <c r="P124" s="396">
        <f ca="1">IFERROR(O124/O127,0)</f>
        <v>0.82224389153830135</v>
      </c>
      <c r="Q124" s="82"/>
      <c r="R124" s="77"/>
      <c r="S124" s="77"/>
      <c r="T124" s="77"/>
      <c r="U124" s="4" t="s">
        <v>24</v>
      </c>
      <c r="V124" s="328">
        <f ca="1">SUMIF(P138:P167,"&lt;&gt;*Project Management*",W138:W167)</f>
        <v>1053221.9513319002</v>
      </c>
      <c r="W124" s="425">
        <f t="shared" ref="W124:W133" ca="1" si="113">IFERROR(V124/BusinessCurrencyTRM,"N/A")</f>
        <v>270.05691059792315</v>
      </c>
      <c r="X124" s="7"/>
      <c r="Y124" s="7" t="s">
        <v>85</v>
      </c>
      <c r="Z124" s="2"/>
      <c r="AA124" s="304"/>
      <c r="AB124" s="7"/>
      <c r="AC124" s="4" t="s">
        <v>24</v>
      </c>
      <c r="AD124" s="329">
        <f ca="1">SUMIF(P138:P167,"&lt;&gt;*Project Management*",AD138:AD167)</f>
        <v>1504602.8058096</v>
      </c>
      <c r="AE124" s="425">
        <f t="shared" ref="AE124:AE133" ca="1" si="114">IFERROR(AD124/BusinessCurrencyTRM,"N/A")</f>
        <v>385.79559123323077</v>
      </c>
      <c r="AF124" s="330"/>
      <c r="AG124" s="328">
        <f ca="1">SUMIF(P138:P167,"&lt;&gt;*Project Management*",AH138:AH167)</f>
        <v>0</v>
      </c>
      <c r="AH124" s="449">
        <f t="shared" ref="AH124:AH133" ca="1" si="115">IFERROR(AG124/BusinessCurrencyTRM,"N/A")</f>
        <v>0</v>
      </c>
      <c r="AI124" s="330"/>
      <c r="AJ124" s="328">
        <f ca="1">SUMIF(P138:P167,"&lt;&gt;*Project Management*",AK138:AK167)</f>
        <v>0</v>
      </c>
      <c r="AK124" s="425">
        <f t="shared" ref="AK124:AK133" ca="1" si="116">IFERROR(AJ124/BusinessCurrencyTRM,"N/A")</f>
        <v>0</v>
      </c>
      <c r="AL124" s="330"/>
      <c r="AM124" s="330"/>
      <c r="AN124" s="329">
        <f ca="1">SUM(AD124,AG124,AJ124)</f>
        <v>1504602.8058096</v>
      </c>
      <c r="AO124" s="425">
        <f t="shared" ref="AO124:AO133" ca="1" si="117">IFERROR(AN124/BusinessCurrencyTRM,"N/A")</f>
        <v>385.79559123323077</v>
      </c>
      <c r="AP124" s="7"/>
      <c r="AQ124" s="342"/>
      <c r="AR124" s="290"/>
      <c r="AS124" s="402" t="s">
        <v>86</v>
      </c>
      <c r="AT124" s="290"/>
      <c r="AU124" s="81"/>
      <c r="AV124" s="508">
        <f>CMSResumen!H21</f>
        <v>0.3</v>
      </c>
      <c r="AW124" s="508"/>
      <c r="AX124" s="290"/>
      <c r="AY124" s="342"/>
      <c r="AZ124" s="3"/>
      <c r="BA124" s="315"/>
      <c r="BB124" s="3"/>
      <c r="BC124" s="3"/>
      <c r="BD124" s="3"/>
      <c r="BE124" s="3"/>
      <c r="BF124" s="342"/>
      <c r="BG124" s="3"/>
      <c r="BH124" s="315"/>
      <c r="BI124" s="3"/>
      <c r="BJ124" s="3"/>
      <c r="BK124" s="3"/>
      <c r="BL124" s="3"/>
      <c r="BM124" s="342"/>
      <c r="BN124" s="3"/>
      <c r="BO124" s="315"/>
      <c r="BP124" s="3"/>
      <c r="BQ124" s="3"/>
      <c r="BR124" s="3"/>
      <c r="BS124" s="3"/>
      <c r="BT124" s="342"/>
      <c r="BU124" s="3"/>
      <c r="BV124" s="315"/>
      <c r="BW124" s="3"/>
      <c r="BX124" s="3"/>
      <c r="BY124" s="3"/>
      <c r="BZ124" s="3"/>
      <c r="CA124" s="342"/>
      <c r="CB124" s="342"/>
      <c r="CC124" s="342"/>
      <c r="CD124" s="342"/>
    </row>
    <row r="125" spans="1:82" s="325" customFormat="1" ht="16.149999999999999" thickBot="1">
      <c r="A125" s="480"/>
      <c r="B125" s="507"/>
      <c r="C125" s="507"/>
      <c r="D125" s="324"/>
      <c r="E125" s="342"/>
      <c r="F125" s="290"/>
      <c r="G125" s="79"/>
      <c r="H125" s="326"/>
      <c r="I125" s="326"/>
      <c r="J125" s="80"/>
      <c r="K125" s="290"/>
      <c r="L125" s="342"/>
      <c r="M125" s="2"/>
      <c r="N125" s="79" t="s">
        <v>87</v>
      </c>
      <c r="O125" s="103">
        <f ca="1">SUMIF($P138:$P167,"=*Project Management*",$T138:T167)</f>
        <v>5.67</v>
      </c>
      <c r="P125" s="396">
        <f ca="1">IFERROR(O125/O127,0)</f>
        <v>0.17775610846169862</v>
      </c>
      <c r="Q125" s="82"/>
      <c r="R125" s="77"/>
      <c r="S125" s="77"/>
      <c r="T125" s="77"/>
      <c r="U125" s="4" t="s">
        <v>30</v>
      </c>
      <c r="V125" s="328">
        <f ca="1">SUMIF(P138:P167,"=*Project Management*",W138:W167)</f>
        <v>0</v>
      </c>
      <c r="W125" s="425">
        <f t="shared" ca="1" si="113"/>
        <v>0</v>
      </c>
      <c r="X125" s="7"/>
      <c r="Y125" s="7" t="s">
        <v>88</v>
      </c>
      <c r="Z125" s="2"/>
      <c r="AA125" s="304"/>
      <c r="AB125" s="7"/>
      <c r="AC125" s="4" t="s">
        <v>30</v>
      </c>
      <c r="AD125" s="329">
        <f ca="1">SUMIF(P138:P167,"=*Project Management*",AD138:AD167)</f>
        <v>0</v>
      </c>
      <c r="AE125" s="425">
        <f t="shared" ca="1" si="114"/>
        <v>0</v>
      </c>
      <c r="AF125" s="330"/>
      <c r="AG125" s="328">
        <f ca="1">SUMIF(P138:P167,"=*Project Management*",AH138:AH167)</f>
        <v>0</v>
      </c>
      <c r="AH125" s="447">
        <f t="shared" ca="1" si="115"/>
        <v>0</v>
      </c>
      <c r="AI125" s="330"/>
      <c r="AJ125" s="448">
        <f ca="1">SUMIF(P138:P167,"=*Project Management*",AK138:AK167)</f>
        <v>0</v>
      </c>
      <c r="AK125" s="425">
        <f t="shared" ca="1" si="116"/>
        <v>0</v>
      </c>
      <c r="AL125" s="330"/>
      <c r="AM125" s="330"/>
      <c r="AN125" s="329">
        <f t="shared" ref="AN125:AN133" ca="1" si="118">SUM(AD125,AG125,AJ125)</f>
        <v>0</v>
      </c>
      <c r="AO125" s="425">
        <f t="shared" ca="1" si="117"/>
        <v>0</v>
      </c>
      <c r="AP125" s="7"/>
      <c r="AQ125" s="342"/>
      <c r="AR125" s="290"/>
      <c r="AS125" s="402" t="s">
        <v>89</v>
      </c>
      <c r="AT125" s="290"/>
      <c r="AU125" s="81"/>
      <c r="AV125" s="509">
        <f ca="1">IFERROR(1-AV127/AV128,0)</f>
        <v>0.30000000846390806</v>
      </c>
      <c r="AW125" s="509"/>
      <c r="AX125" s="290"/>
      <c r="AY125" s="342"/>
      <c r="AZ125" s="3"/>
      <c r="BA125" s="315"/>
      <c r="BB125" s="3"/>
      <c r="BC125" s="3"/>
      <c r="BD125" s="3"/>
      <c r="BE125" s="3"/>
      <c r="BF125" s="342"/>
      <c r="BG125" s="3"/>
      <c r="BH125" s="315"/>
      <c r="BI125" s="3"/>
      <c r="BJ125" s="3"/>
      <c r="BK125" s="3"/>
      <c r="BL125" s="3"/>
      <c r="BM125" s="342"/>
      <c r="BN125" s="3"/>
      <c r="BO125" s="315"/>
      <c r="BP125" s="3"/>
      <c r="BQ125" s="3"/>
      <c r="BR125" s="3"/>
      <c r="BS125" s="3"/>
      <c r="BT125" s="342"/>
      <c r="BU125" s="3"/>
      <c r="BV125" s="315"/>
      <c r="BW125" s="3"/>
      <c r="BX125" s="3"/>
      <c r="BY125" s="3"/>
      <c r="BZ125" s="3"/>
      <c r="CA125" s="342"/>
      <c r="CB125" s="342"/>
      <c r="CC125" s="342"/>
      <c r="CD125" s="342"/>
    </row>
    <row r="126" spans="1:82" s="325" customFormat="1" ht="16.899999999999999" thickTop="1" thickBot="1">
      <c r="A126" s="480"/>
      <c r="B126" s="507"/>
      <c r="C126" s="507"/>
      <c r="D126" s="324"/>
      <c r="E126" s="342"/>
      <c r="F126" s="290"/>
      <c r="G126" s="79"/>
      <c r="H126" s="326"/>
      <c r="I126" s="326"/>
      <c r="J126" s="80"/>
      <c r="K126" s="290"/>
      <c r="L126" s="342"/>
      <c r="M126" s="2"/>
      <c r="N126" s="79" t="s">
        <v>90</v>
      </c>
      <c r="O126" s="103">
        <f ca="1">IF(Approach="Team-Based",SUM(O124:O125)*$O129,$J136-$G136)</f>
        <v>0</v>
      </c>
      <c r="P126" s="396">
        <f ca="1">IFERROR(O126/O127,0)</f>
        <v>0</v>
      </c>
      <c r="Q126" s="77"/>
      <c r="R126" s="77"/>
      <c r="S126" s="77"/>
      <c r="T126" s="77"/>
      <c r="U126" s="13" t="s">
        <v>35</v>
      </c>
      <c r="V126" s="84">
        <f ca="1">SUM(V124:V125)</f>
        <v>1053221.9513319002</v>
      </c>
      <c r="W126" s="426">
        <f t="shared" ca="1" si="113"/>
        <v>270.05691059792315</v>
      </c>
      <c r="X126" s="77"/>
      <c r="Y126" s="77"/>
      <c r="Z126" s="2"/>
      <c r="AA126" s="304"/>
      <c r="AB126" s="7"/>
      <c r="AC126" s="13" t="s">
        <v>35</v>
      </c>
      <c r="AD126" s="84">
        <f ca="1">SUM(AD124:AD125)</f>
        <v>1504602.8058096</v>
      </c>
      <c r="AE126" s="426">
        <f t="shared" ca="1" si="114"/>
        <v>385.79559123323077</v>
      </c>
      <c r="AF126" s="330"/>
      <c r="AG126" s="84">
        <f ca="1">SUM(AG124:AG125)</f>
        <v>0</v>
      </c>
      <c r="AH126" s="450">
        <f t="shared" ca="1" si="115"/>
        <v>0</v>
      </c>
      <c r="AI126" s="330"/>
      <c r="AJ126" s="84">
        <f ca="1">SUM(AJ124:AJ125)</f>
        <v>0</v>
      </c>
      <c r="AK126" s="426">
        <f t="shared" ca="1" si="116"/>
        <v>0</v>
      </c>
      <c r="AL126" s="330"/>
      <c r="AM126" s="330"/>
      <c r="AN126" s="84">
        <f t="shared" ca="1" si="118"/>
        <v>1504602.8058096</v>
      </c>
      <c r="AO126" s="426">
        <f t="shared" ca="1" si="117"/>
        <v>385.79559123323077</v>
      </c>
      <c r="AP126" s="7"/>
      <c r="AQ126" s="342"/>
      <c r="AR126" s="290"/>
      <c r="AS126" s="81"/>
      <c r="AT126" s="81"/>
      <c r="AU126" s="81"/>
      <c r="AV126" s="417" t="str">
        <f>BillingCountryCurrency</f>
        <v>COP</v>
      </c>
      <c r="AW126" s="417" t="str">
        <f>IF(ISBLANK(BusinessCurrency),"N/A",BusinessCurrency)</f>
        <v>USD</v>
      </c>
      <c r="AX126" s="290"/>
      <c r="AY126" s="342"/>
      <c r="AZ126" s="3"/>
      <c r="BA126" s="315"/>
      <c r="BB126" s="3"/>
      <c r="BC126" s="3"/>
      <c r="BD126" s="3"/>
      <c r="BE126" s="3"/>
      <c r="BF126" s="342"/>
      <c r="BG126" s="3"/>
      <c r="BH126" s="315"/>
      <c r="BI126" s="3"/>
      <c r="BJ126" s="3"/>
      <c r="BK126" s="3"/>
      <c r="BL126" s="3"/>
      <c r="BM126" s="342"/>
      <c r="BN126" s="3"/>
      <c r="BO126" s="315"/>
      <c r="BP126" s="3"/>
      <c r="BQ126" s="3"/>
      <c r="BR126" s="3"/>
      <c r="BS126" s="3"/>
      <c r="BT126" s="342"/>
      <c r="BU126" s="3"/>
      <c r="BV126" s="315"/>
      <c r="BW126" s="3"/>
      <c r="BX126" s="3"/>
      <c r="BY126" s="3"/>
      <c r="BZ126" s="3"/>
      <c r="CA126" s="342"/>
      <c r="CB126" s="342"/>
      <c r="CC126" s="342"/>
      <c r="CD126" s="342"/>
    </row>
    <row r="127" spans="1:82" s="325" customFormat="1" ht="16.149999999999999" thickTop="1">
      <c r="A127" s="480"/>
      <c r="B127" s="507"/>
      <c r="C127" s="507"/>
      <c r="D127" s="324"/>
      <c r="E127" s="342"/>
      <c r="F127" s="290"/>
      <c r="G127" s="79"/>
      <c r="H127" s="326"/>
      <c r="I127" s="326"/>
      <c r="J127" s="80"/>
      <c r="K127" s="290"/>
      <c r="L127" s="342"/>
      <c r="M127" s="2"/>
      <c r="N127" s="83" t="s">
        <v>91</v>
      </c>
      <c r="O127" s="102">
        <f ca="1">SUM(O124:O126)</f>
        <v>31.897638000000001</v>
      </c>
      <c r="P127" s="397">
        <f ca="1">SUM(P124:P126)</f>
        <v>1</v>
      </c>
      <c r="Q127" s="77"/>
      <c r="R127" s="77"/>
      <c r="S127" s="77"/>
      <c r="T127" s="77"/>
      <c r="U127" s="4" t="s">
        <v>47</v>
      </c>
      <c r="V127" s="328">
        <f ca="1">ROUNDUP(V126*O129,2)</f>
        <v>0</v>
      </c>
      <c r="W127" s="425">
        <f t="shared" ca="1" si="113"/>
        <v>0</v>
      </c>
      <c r="X127" s="7"/>
      <c r="Y127" s="7" t="s">
        <v>92</v>
      </c>
      <c r="Z127" s="2"/>
      <c r="AA127" s="304"/>
      <c r="AB127" s="7"/>
      <c r="AC127" s="4" t="s">
        <v>47</v>
      </c>
      <c r="AD127" s="328">
        <f ca="1">ROUNDUP(V127/(1-$AV$124),2)</f>
        <v>0</v>
      </c>
      <c r="AE127" s="425">
        <f t="shared" ca="1" si="114"/>
        <v>0</v>
      </c>
      <c r="AF127" s="330"/>
      <c r="AG127" s="328">
        <f ca="1">IFERROR(V127*MAX(AG138:AG167),0)</f>
        <v>0</v>
      </c>
      <c r="AH127" s="449">
        <f t="shared" ca="1" si="115"/>
        <v>0</v>
      </c>
      <c r="AI127" s="330"/>
      <c r="AJ127" s="328">
        <f ca="1">IFERROR(SUM(V127,AG127)*MAX(AJ138:AJ167),0)</f>
        <v>0</v>
      </c>
      <c r="AK127" s="425">
        <f t="shared" ca="1" si="116"/>
        <v>0</v>
      </c>
      <c r="AL127" s="330"/>
      <c r="AM127" s="330"/>
      <c r="AN127" s="329">
        <f t="shared" ca="1" si="118"/>
        <v>0</v>
      </c>
      <c r="AO127" s="425">
        <f t="shared" ca="1" si="117"/>
        <v>0</v>
      </c>
      <c r="AP127" s="7"/>
      <c r="AQ127" s="342"/>
      <c r="AR127" s="290"/>
      <c r="AS127" s="402" t="s">
        <v>93</v>
      </c>
      <c r="AT127" s="290"/>
      <c r="AU127" s="81"/>
      <c r="AV127" s="298">
        <f ca="1">SUM(V133,AG133,AJ133)</f>
        <v>1053221.9513319002</v>
      </c>
      <c r="AW127" s="418">
        <f ca="1">IFERROR(AV127/BusinessCurrencyTRM,"N/A")</f>
        <v>270.05691059792315</v>
      </c>
      <c r="AX127" s="290"/>
      <c r="AY127" s="342"/>
      <c r="AZ127" s="3"/>
      <c r="BA127" s="315"/>
      <c r="BB127" s="3"/>
      <c r="BC127" s="3"/>
      <c r="BD127" s="3"/>
      <c r="BE127" s="3"/>
      <c r="BF127" s="342"/>
      <c r="BG127" s="3"/>
      <c r="BH127" s="315"/>
      <c r="BI127" s="3"/>
      <c r="BJ127" s="3"/>
      <c r="BK127" s="3"/>
      <c r="BL127" s="3"/>
      <c r="BM127" s="342"/>
      <c r="BN127" s="3"/>
      <c r="BO127" s="315"/>
      <c r="BP127" s="3"/>
      <c r="BQ127" s="3"/>
      <c r="BR127" s="3"/>
      <c r="BS127" s="3"/>
      <c r="BT127" s="342"/>
      <c r="BU127" s="3"/>
      <c r="BV127" s="315"/>
      <c r="BW127" s="3"/>
      <c r="BX127" s="3"/>
      <c r="BY127" s="3"/>
      <c r="BZ127" s="3"/>
      <c r="CA127" s="342"/>
      <c r="CB127" s="342"/>
      <c r="CC127" s="342"/>
      <c r="CD127" s="342"/>
    </row>
    <row r="128" spans="1:82" s="325" customFormat="1" ht="15.6">
      <c r="A128" s="480"/>
      <c r="B128" s="507"/>
      <c r="C128" s="507"/>
      <c r="D128" s="324"/>
      <c r="E128" s="342"/>
      <c r="F128" s="290"/>
      <c r="G128" s="79"/>
      <c r="H128" s="326"/>
      <c r="I128" s="326"/>
      <c r="J128" s="80"/>
      <c r="K128" s="290"/>
      <c r="L128" s="342"/>
      <c r="M128" s="2"/>
      <c r="N128" s="2"/>
      <c r="O128" s="2"/>
      <c r="P128" s="32"/>
      <c r="Q128" s="77"/>
      <c r="R128" s="77"/>
      <c r="S128" s="77"/>
      <c r="T128" s="77"/>
      <c r="U128" s="4" t="s">
        <v>50</v>
      </c>
      <c r="V128" s="328">
        <f>IFERROR(SUMIF(PayRise!A:A,B122,PayRise!J:J),0)</f>
        <v>0</v>
      </c>
      <c r="W128" s="425">
        <f t="shared" si="113"/>
        <v>0</v>
      </c>
      <c r="X128" s="7"/>
      <c r="Y128" s="7" t="s">
        <v>94</v>
      </c>
      <c r="Z128" s="2"/>
      <c r="AA128" s="304"/>
      <c r="AB128" s="7"/>
      <c r="AC128" s="4" t="s">
        <v>50</v>
      </c>
      <c r="AD128" s="328">
        <f>IFERROR(SUMIF(PayRise!A:A,B122,PayRise!K:K),0)</f>
        <v>0</v>
      </c>
      <c r="AE128" s="425">
        <f t="shared" si="114"/>
        <v>0</v>
      </c>
      <c r="AF128" s="330"/>
      <c r="AG128" s="328">
        <f>IFERROR(SUMIF(PayRise!A:A,B122,PayRise!L:L),0)</f>
        <v>0</v>
      </c>
      <c r="AH128" s="445">
        <f t="shared" si="115"/>
        <v>0</v>
      </c>
      <c r="AI128" s="330"/>
      <c r="AJ128" s="446">
        <f>IFERROR(SUMIF(PayRise!A:A,B122,PayRise!M:M),0)</f>
        <v>0</v>
      </c>
      <c r="AK128" s="425">
        <f t="shared" si="116"/>
        <v>0</v>
      </c>
      <c r="AL128" s="330"/>
      <c r="AM128" s="330"/>
      <c r="AN128" s="329">
        <f t="shared" si="118"/>
        <v>0</v>
      </c>
      <c r="AO128" s="425">
        <f t="shared" si="117"/>
        <v>0</v>
      </c>
      <c r="AP128" s="7"/>
      <c r="AQ128" s="342"/>
      <c r="AR128" s="290"/>
      <c r="AS128" s="402" t="s">
        <v>95</v>
      </c>
      <c r="AT128" s="290"/>
      <c r="AU128" s="100"/>
      <c r="AV128" s="298">
        <f ca="1">AN133</f>
        <v>1504602.8058096</v>
      </c>
      <c r="AW128" s="418">
        <f ca="1">IFERROR(AV128/BusinessCurrencyTRM,"N/A")</f>
        <v>385.79559123323077</v>
      </c>
      <c r="AX128" s="290"/>
      <c r="AY128" s="342"/>
      <c r="AZ128" s="3"/>
      <c r="BA128" s="315"/>
      <c r="BB128" s="3"/>
      <c r="BC128" s="3"/>
      <c r="BD128" s="3"/>
      <c r="BE128" s="3"/>
      <c r="BF128" s="342"/>
      <c r="BG128" s="3"/>
      <c r="BH128" s="315"/>
      <c r="BI128" s="3"/>
      <c r="BJ128" s="3"/>
      <c r="BK128" s="3"/>
      <c r="BL128" s="3"/>
      <c r="BM128" s="342"/>
      <c r="BN128" s="3"/>
      <c r="BO128" s="315"/>
      <c r="BP128" s="3"/>
      <c r="BQ128" s="3"/>
      <c r="BR128" s="3"/>
      <c r="BS128" s="3"/>
      <c r="BT128" s="342"/>
      <c r="BU128" s="3"/>
      <c r="BV128" s="315"/>
      <c r="BW128" s="3"/>
      <c r="BX128" s="3"/>
      <c r="BY128" s="3"/>
      <c r="BZ128" s="3"/>
      <c r="CA128" s="342"/>
      <c r="CB128" s="342"/>
      <c r="CC128" s="342"/>
      <c r="CD128" s="342"/>
    </row>
    <row r="129" spans="1:79" s="325" customFormat="1" ht="15.6">
      <c r="A129" s="480"/>
      <c r="B129" s="507"/>
      <c r="C129" s="507"/>
      <c r="D129" s="324"/>
      <c r="E129" s="342"/>
      <c r="F129" s="290"/>
      <c r="G129" s="79"/>
      <c r="H129" s="326"/>
      <c r="I129" s="326"/>
      <c r="J129" s="80"/>
      <c r="K129" s="290"/>
      <c r="L129" s="342"/>
      <c r="M129" s="2"/>
      <c r="N129" s="13" t="str">
        <f>IF(Approach="By Hours", "N/A for ByHours", "% Risks")</f>
        <v>% Risks</v>
      </c>
      <c r="O129" s="331">
        <v>0</v>
      </c>
      <c r="P129" s="32"/>
      <c r="Q129" s="77"/>
      <c r="R129" s="77"/>
      <c r="S129" s="309"/>
      <c r="T129" s="309"/>
      <c r="U129" s="4" t="s">
        <v>55</v>
      </c>
      <c r="V129" s="328">
        <f>IFERROR(SUMIFS(OtherCosts!Q:Q,OtherCosts!A:A,B122,OtherCosts!B:B,"Hardware/Software"),0)</f>
        <v>0</v>
      </c>
      <c r="W129" s="425">
        <f t="shared" si="113"/>
        <v>0</v>
      </c>
      <c r="X129" s="7"/>
      <c r="Y129" s="7" t="s">
        <v>96</v>
      </c>
      <c r="Z129" s="2"/>
      <c r="AA129" s="304"/>
      <c r="AB129" s="7"/>
      <c r="AC129" s="4" t="s">
        <v>55</v>
      </c>
      <c r="AD129" s="328">
        <f>IFERROR(SUMIFS(OtherCosts!R:R,OtherCosts!A:A,B122,OtherCosts!B:B,"Hardware/Software"),0)</f>
        <v>0</v>
      </c>
      <c r="AE129" s="425">
        <f t="shared" si="114"/>
        <v>0</v>
      </c>
      <c r="AF129" s="330"/>
      <c r="AG129" s="328">
        <f>IFERROR(SUMIFS(OtherCosts!S:S,OtherCosts!A:A,B122,OtherCosts!B:B,"Hardware/Software"),0)</f>
        <v>0</v>
      </c>
      <c r="AH129" s="445">
        <f t="shared" si="115"/>
        <v>0</v>
      </c>
      <c r="AI129" s="330"/>
      <c r="AJ129" s="446">
        <f>IFERROR(SUMIFS(OtherCosts!T:T,OtherCosts!A:A,B122,OtherCosts!B:B,"Hardware/Software"),0)</f>
        <v>0</v>
      </c>
      <c r="AK129" s="425">
        <f t="shared" si="116"/>
        <v>0</v>
      </c>
      <c r="AL129" s="330"/>
      <c r="AM129" s="330"/>
      <c r="AN129" s="329">
        <f t="shared" si="118"/>
        <v>0</v>
      </c>
      <c r="AO129" s="425">
        <f t="shared" si="117"/>
        <v>0</v>
      </c>
      <c r="AP129" s="7"/>
      <c r="AQ129" s="342"/>
      <c r="AR129" s="290"/>
      <c r="AS129" s="402" t="s">
        <v>97</v>
      </c>
      <c r="AT129" s="290"/>
      <c r="AU129" s="100"/>
      <c r="AV129" s="298">
        <f ca="1">IFERROR(IF(O130&lt;1,AN133,AN133/O130),0)</f>
        <v>1504602.8058096</v>
      </c>
      <c r="AW129" s="418">
        <f ca="1">IFERROR(AV129/BusinessCurrencyTRM,"N/A")</f>
        <v>385.79559123323077</v>
      </c>
      <c r="AX129" s="290"/>
      <c r="AY129" s="342"/>
      <c r="AZ129" s="3"/>
      <c r="BA129" s="315"/>
      <c r="BB129" s="3"/>
      <c r="BC129" s="3"/>
      <c r="BD129" s="3"/>
      <c r="BE129" s="3"/>
      <c r="BF129" s="342"/>
      <c r="BG129" s="3"/>
      <c r="BH129" s="315"/>
      <c r="BI129" s="3"/>
      <c r="BJ129" s="3"/>
      <c r="BK129" s="3"/>
      <c r="BL129" s="3"/>
      <c r="BM129" s="342"/>
      <c r="BN129" s="3"/>
      <c r="BO129" s="315"/>
      <c r="BP129" s="3"/>
      <c r="BQ129" s="3"/>
      <c r="BR129" s="3"/>
      <c r="BS129" s="3"/>
      <c r="BT129" s="342"/>
      <c r="BU129" s="3"/>
      <c r="BV129" s="315"/>
      <c r="BW129" s="3"/>
      <c r="BX129" s="3"/>
      <c r="BY129" s="3"/>
      <c r="BZ129" s="3"/>
      <c r="CA129" s="342"/>
    </row>
    <row r="130" spans="1:79" s="325" customFormat="1" ht="15.6">
      <c r="A130" s="480"/>
      <c r="B130" s="507"/>
      <c r="C130" s="507"/>
      <c r="D130" s="324"/>
      <c r="E130" s="342"/>
      <c r="F130" s="290"/>
      <c r="G130" s="79"/>
      <c r="H130" s="326"/>
      <c r="I130" s="326"/>
      <c r="J130" s="80"/>
      <c r="K130" s="290"/>
      <c r="L130" s="342"/>
      <c r="M130" s="2"/>
      <c r="N130" s="13" t="str">
        <f>IF(Approach="By Hours", "N/A for ByHours", "Duration (Months) *")</f>
        <v>Duration (Months) *</v>
      </c>
      <c r="O130" s="332">
        <v>0</v>
      </c>
      <c r="P130" s="32"/>
      <c r="Q130" s="77"/>
      <c r="R130" s="77"/>
      <c r="S130" s="309"/>
      <c r="T130" s="309"/>
      <c r="U130" s="4" t="s">
        <v>58</v>
      </c>
      <c r="V130" s="328">
        <f>IFERROR(SUMIFS(OtherCosts!Q:Q,OtherCosts!A:A,B122,OtherCosts!B:B,"Vendor"),0)</f>
        <v>0</v>
      </c>
      <c r="W130" s="425">
        <f t="shared" si="113"/>
        <v>0</v>
      </c>
      <c r="X130" s="7"/>
      <c r="Y130" s="7" t="s">
        <v>98</v>
      </c>
      <c r="Z130" s="2"/>
      <c r="AA130" s="304"/>
      <c r="AB130" s="7"/>
      <c r="AC130" s="4" t="s">
        <v>58</v>
      </c>
      <c r="AD130" s="328">
        <f>IFERROR(SUMIFS(OtherCosts!R:R,OtherCosts!A:A,B122,OtherCosts!B:B,"Vendor"),0)</f>
        <v>0</v>
      </c>
      <c r="AE130" s="425">
        <f t="shared" si="114"/>
        <v>0</v>
      </c>
      <c r="AF130" s="330"/>
      <c r="AG130" s="328">
        <f>IFERROR(SUMIFS(OtherCosts!S:S,OtherCosts!A:A,B122,OtherCosts!B:B,"Vendor"),0)</f>
        <v>0</v>
      </c>
      <c r="AH130" s="445">
        <f t="shared" si="115"/>
        <v>0</v>
      </c>
      <c r="AI130" s="330"/>
      <c r="AJ130" s="446">
        <f>IFERROR(SUMIFS(OtherCosts!T:T,OtherCosts!A:A,B122,OtherCosts!B:B,"Vendor"),0)</f>
        <v>0</v>
      </c>
      <c r="AK130" s="425">
        <f t="shared" si="116"/>
        <v>0</v>
      </c>
      <c r="AL130" s="330"/>
      <c r="AM130" s="330"/>
      <c r="AN130" s="329">
        <f t="shared" si="118"/>
        <v>0</v>
      </c>
      <c r="AO130" s="425">
        <f t="shared" si="117"/>
        <v>0</v>
      </c>
      <c r="AP130" s="7"/>
      <c r="AQ130" s="342"/>
      <c r="AR130" s="290"/>
      <c r="AS130" s="402" t="s">
        <v>99</v>
      </c>
      <c r="AT130" s="290"/>
      <c r="AU130" s="100"/>
      <c r="AV130" s="298">
        <f ca="1">IFERROR(AN133/T136,0)</f>
        <v>47166.232157040751</v>
      </c>
      <c r="AW130" s="418">
        <f ca="1">IFERROR(AV130/BusinessCurrencyTRM,"N/A")</f>
        <v>12.093905681292501</v>
      </c>
      <c r="AX130" s="290"/>
      <c r="AY130" s="342"/>
      <c r="AZ130" s="3"/>
      <c r="BA130" s="315"/>
      <c r="BB130" s="3"/>
      <c r="BC130" s="3"/>
      <c r="BD130" s="3"/>
      <c r="BE130" s="3"/>
      <c r="BF130" s="342"/>
      <c r="BG130" s="3"/>
      <c r="BH130" s="315"/>
      <c r="BI130" s="3"/>
      <c r="BJ130" s="3"/>
      <c r="BK130" s="3"/>
      <c r="BL130" s="3"/>
      <c r="BM130" s="342"/>
      <c r="BN130" s="3"/>
      <c r="BO130" s="315"/>
      <c r="BP130" s="3"/>
      <c r="BQ130" s="3"/>
      <c r="BR130" s="3"/>
      <c r="BS130" s="3"/>
      <c r="BT130" s="342"/>
      <c r="BU130" s="3"/>
      <c r="BV130" s="315"/>
      <c r="BW130" s="3"/>
      <c r="BX130" s="3"/>
      <c r="BY130" s="3"/>
      <c r="BZ130" s="3"/>
      <c r="CA130" s="342"/>
    </row>
    <row r="131" spans="1:79" s="325" customFormat="1" ht="15.6">
      <c r="A131" s="480"/>
      <c r="B131" s="507"/>
      <c r="C131" s="507"/>
      <c r="D131" s="324"/>
      <c r="E131" s="342"/>
      <c r="F131" s="290"/>
      <c r="G131" s="79"/>
      <c r="H131" s="326"/>
      <c r="I131" s="326"/>
      <c r="J131" s="80"/>
      <c r="K131" s="290"/>
      <c r="L131" s="342"/>
      <c r="M131" s="2"/>
      <c r="N131" s="83"/>
      <c r="O131" s="333"/>
      <c r="P131" s="32"/>
      <c r="Q131" s="77"/>
      <c r="R131" s="77"/>
      <c r="S131" s="309"/>
      <c r="T131" s="309"/>
      <c r="U131" s="4" t="s">
        <v>61</v>
      </c>
      <c r="V131" s="328">
        <f>IFERROR(SUMIFS(OtherCosts!Q:Q,OtherCosts!A:A,B122,OtherCosts!B:B,"Insurance"),0)</f>
        <v>0</v>
      </c>
      <c r="W131" s="425">
        <f t="shared" si="113"/>
        <v>0</v>
      </c>
      <c r="X131" s="7"/>
      <c r="Y131" s="7" t="s">
        <v>100</v>
      </c>
      <c r="Z131" s="2"/>
      <c r="AA131" s="304"/>
      <c r="AB131" s="7"/>
      <c r="AC131" s="4" t="s">
        <v>61</v>
      </c>
      <c r="AD131" s="328">
        <f>IFERROR(SUMIFS(OtherCosts!R:R,OtherCosts!A:A,B122,OtherCosts!B:B,"Insurance"),0)</f>
        <v>0</v>
      </c>
      <c r="AE131" s="425">
        <f t="shared" si="114"/>
        <v>0</v>
      </c>
      <c r="AF131" s="330"/>
      <c r="AG131" s="328">
        <f>IFERROR(SUMIFS(OtherCosts!S:S,OtherCosts!A:A,B122,OtherCosts!B:B,"Insurance"),0)</f>
        <v>0</v>
      </c>
      <c r="AH131" s="445">
        <f t="shared" si="115"/>
        <v>0</v>
      </c>
      <c r="AI131" s="330"/>
      <c r="AJ131" s="446">
        <f>IFERROR(SUMIFS(OtherCosts!T:T,OtherCosts!A:A,B122,OtherCosts!B:B,"Insurance"),0)</f>
        <v>0</v>
      </c>
      <c r="AK131" s="425">
        <f t="shared" si="116"/>
        <v>0</v>
      </c>
      <c r="AL131" s="330"/>
      <c r="AM131" s="330"/>
      <c r="AN131" s="329">
        <f t="shared" si="118"/>
        <v>0</v>
      </c>
      <c r="AO131" s="425">
        <f t="shared" si="117"/>
        <v>0</v>
      </c>
      <c r="AP131" s="7"/>
      <c r="AQ131" s="342"/>
      <c r="AR131" s="290"/>
      <c r="AS131" s="290"/>
      <c r="AT131" s="81"/>
      <c r="AU131" s="81"/>
      <c r="AV131" s="81"/>
      <c r="AW131" s="81"/>
      <c r="AX131" s="290"/>
      <c r="AY131" s="342"/>
      <c r="AZ131" s="3"/>
      <c r="BA131" s="315"/>
      <c r="BB131" s="3"/>
      <c r="BC131" s="3"/>
      <c r="BD131" s="3"/>
      <c r="BE131" s="3"/>
      <c r="BF131" s="342"/>
      <c r="BG131" s="3"/>
      <c r="BH131" s="315"/>
      <c r="BI131" s="3"/>
      <c r="BJ131" s="3"/>
      <c r="BK131" s="3"/>
      <c r="BL131" s="3"/>
      <c r="BM131" s="342"/>
      <c r="BN131" s="3"/>
      <c r="BO131" s="315"/>
      <c r="BP131" s="3"/>
      <c r="BQ131" s="3"/>
      <c r="BR131" s="3"/>
      <c r="BS131" s="3"/>
      <c r="BT131" s="342"/>
      <c r="BU131" s="3"/>
      <c r="BV131" s="315"/>
      <c r="BW131" s="3"/>
      <c r="BX131" s="3"/>
      <c r="BY131" s="3"/>
      <c r="BZ131" s="3"/>
      <c r="CA131" s="342"/>
    </row>
    <row r="132" spans="1:79" s="325" customFormat="1" ht="16.149999999999999" thickBot="1">
      <c r="A132" s="480"/>
      <c r="B132" s="507"/>
      <c r="C132" s="507"/>
      <c r="D132" s="324"/>
      <c r="E132" s="342"/>
      <c r="F132" s="290"/>
      <c r="G132" s="79"/>
      <c r="H132" s="326"/>
      <c r="I132" s="326"/>
      <c r="J132" s="80"/>
      <c r="K132" s="290"/>
      <c r="L132" s="342"/>
      <c r="M132" s="7"/>
      <c r="N132" s="83"/>
      <c r="O132" s="333"/>
      <c r="P132" s="32"/>
      <c r="Q132" s="77"/>
      <c r="R132" s="77"/>
      <c r="S132" s="309"/>
      <c r="T132" s="309"/>
      <c r="U132" s="4" t="s">
        <v>64</v>
      </c>
      <c r="V132" s="328">
        <f>IFERROR(SUMIFS(OtherCosts!Q:Q,OtherCosts!A:A,B122,OtherCosts!B:B,"Other"),0)</f>
        <v>0</v>
      </c>
      <c r="W132" s="425">
        <f t="shared" si="113"/>
        <v>0</v>
      </c>
      <c r="X132" s="7"/>
      <c r="Y132" s="7" t="s">
        <v>101</v>
      </c>
      <c r="Z132" s="82"/>
      <c r="AA132" s="334"/>
      <c r="AB132" s="13"/>
      <c r="AC132" s="4" t="s">
        <v>64</v>
      </c>
      <c r="AD132" s="328">
        <f>IFERROR(SUMIFS(OtherCosts!R:R,OtherCosts!A:A,B122,OtherCosts!B:B,"Other"),0)</f>
        <v>0</v>
      </c>
      <c r="AE132" s="425">
        <f t="shared" si="114"/>
        <v>0</v>
      </c>
      <c r="AF132" s="83"/>
      <c r="AG132" s="328">
        <f>IFERROR(SUMIFS(OtherCosts!S:S,OtherCosts!A:A,B122,OtherCosts!B:B,"Other"),0)</f>
        <v>0</v>
      </c>
      <c r="AH132" s="447">
        <f t="shared" si="115"/>
        <v>0</v>
      </c>
      <c r="AI132" s="83"/>
      <c r="AJ132" s="448">
        <f>IFERROR(SUMIFS(OtherCosts!T:T,OtherCosts!A:A,B122,OtherCosts!B:B,"Other"),0)</f>
        <v>0</v>
      </c>
      <c r="AK132" s="425">
        <f t="shared" si="116"/>
        <v>0</v>
      </c>
      <c r="AL132" s="83"/>
      <c r="AM132" s="83"/>
      <c r="AN132" s="329">
        <f t="shared" si="118"/>
        <v>0</v>
      </c>
      <c r="AO132" s="425">
        <f t="shared" si="117"/>
        <v>0</v>
      </c>
      <c r="AP132" s="85"/>
      <c r="AQ132" s="342"/>
      <c r="AR132" s="290"/>
      <c r="AS132" s="290"/>
      <c r="AT132" s="13"/>
      <c r="AU132" s="81"/>
      <c r="AV132" s="81"/>
      <c r="AW132" s="81"/>
      <c r="AX132" s="290"/>
      <c r="AY132" s="342"/>
      <c r="AZ132" s="3"/>
      <c r="BA132" s="315"/>
      <c r="BB132" s="3"/>
      <c r="BC132" s="3"/>
      <c r="BD132" s="3"/>
      <c r="BE132" s="3"/>
      <c r="BF132" s="342"/>
      <c r="BG132" s="3"/>
      <c r="BH132" s="315"/>
      <c r="BI132" s="3"/>
      <c r="BJ132" s="3"/>
      <c r="BK132" s="3"/>
      <c r="BL132" s="3"/>
      <c r="BM132" s="342"/>
      <c r="BN132" s="3"/>
      <c r="BO132" s="315"/>
      <c r="BP132" s="3"/>
      <c r="BQ132" s="3"/>
      <c r="BR132" s="3"/>
      <c r="BS132" s="3"/>
      <c r="BT132" s="342"/>
      <c r="BU132" s="3"/>
      <c r="BV132" s="315"/>
      <c r="BW132" s="3"/>
      <c r="BX132" s="3"/>
      <c r="BY132" s="3"/>
      <c r="BZ132" s="3"/>
      <c r="CA132" s="342"/>
    </row>
    <row r="133" spans="1:79" s="325" customFormat="1" ht="16.149999999999999" thickTop="1">
      <c r="A133" s="480"/>
      <c r="B133" s="507"/>
      <c r="C133" s="507"/>
      <c r="D133" s="324"/>
      <c r="E133" s="342"/>
      <c r="F133" s="290"/>
      <c r="G133" s="79"/>
      <c r="H133" s="326"/>
      <c r="I133" s="326"/>
      <c r="J133" s="80"/>
      <c r="K133" s="290"/>
      <c r="L133" s="342"/>
      <c r="M133" s="7"/>
      <c r="N133" s="83"/>
      <c r="O133" s="333"/>
      <c r="P133" s="32"/>
      <c r="Q133" s="77"/>
      <c r="R133" s="77"/>
      <c r="S133" s="309"/>
      <c r="T133" s="309"/>
      <c r="U133" s="3" t="s">
        <v>35</v>
      </c>
      <c r="V133" s="86">
        <f ca="1">SUM(V126:V132)</f>
        <v>1053221.9513319002</v>
      </c>
      <c r="W133" s="427">
        <f t="shared" ca="1" si="113"/>
        <v>270.05691059792315</v>
      </c>
      <c r="X133" s="335"/>
      <c r="Y133" s="335"/>
      <c r="Z133" s="82"/>
      <c r="AA133" s="334"/>
      <c r="AB133" s="13"/>
      <c r="AC133" s="3" t="s">
        <v>35</v>
      </c>
      <c r="AD133" s="86">
        <f ca="1">SUM(AD126:AD132)</f>
        <v>1504602.8058096</v>
      </c>
      <c r="AE133" s="427">
        <f t="shared" ca="1" si="114"/>
        <v>385.79559123323077</v>
      </c>
      <c r="AF133" s="83"/>
      <c r="AG133" s="86">
        <f ca="1">SUM(AG126:AG132)</f>
        <v>0</v>
      </c>
      <c r="AH133" s="444">
        <f t="shared" ca="1" si="115"/>
        <v>0</v>
      </c>
      <c r="AI133" s="83"/>
      <c r="AJ133" s="86">
        <f ca="1">SUM(AJ126:AJ132)</f>
        <v>0</v>
      </c>
      <c r="AK133" s="427">
        <f t="shared" ca="1" si="116"/>
        <v>0</v>
      </c>
      <c r="AL133" s="83"/>
      <c r="AM133" s="83"/>
      <c r="AN133" s="86">
        <f t="shared" ca="1" si="118"/>
        <v>1504602.8058096</v>
      </c>
      <c r="AO133" s="427">
        <f t="shared" ca="1" si="117"/>
        <v>385.79559123323077</v>
      </c>
      <c r="AP133" s="85"/>
      <c r="AQ133" s="342"/>
      <c r="AR133" s="290"/>
      <c r="AS133" s="290"/>
      <c r="AT133" s="13"/>
      <c r="AU133" s="81"/>
      <c r="AV133" s="81"/>
      <c r="AW133" s="81"/>
      <c r="AX133" s="290"/>
      <c r="AY133" s="342"/>
      <c r="AZ133" s="3"/>
      <c r="BA133" s="315"/>
      <c r="BB133" s="3"/>
      <c r="BC133" s="3"/>
      <c r="BD133" s="3"/>
      <c r="BE133" s="3"/>
      <c r="BF133" s="342"/>
      <c r="BG133" s="3"/>
      <c r="BH133" s="315"/>
      <c r="BI133" s="3"/>
      <c r="BJ133" s="3"/>
      <c r="BK133" s="3"/>
      <c r="BL133" s="3"/>
      <c r="BM133" s="342"/>
      <c r="BN133" s="3"/>
      <c r="BO133" s="315"/>
      <c r="BP133" s="3"/>
      <c r="BQ133" s="3"/>
      <c r="BR133" s="3"/>
      <c r="BS133" s="3"/>
      <c r="BT133" s="342"/>
      <c r="BU133" s="3"/>
      <c r="BV133" s="315"/>
      <c r="BW133" s="3"/>
      <c r="BX133" s="3"/>
      <c r="BY133" s="3"/>
      <c r="BZ133" s="3"/>
      <c r="CA133" s="342"/>
    </row>
    <row r="134" spans="1:79" s="325" customFormat="1" ht="15.6">
      <c r="A134" s="480"/>
      <c r="B134" s="507"/>
      <c r="C134" s="507"/>
      <c r="D134" s="324"/>
      <c r="E134" s="342"/>
      <c r="F134" s="290"/>
      <c r="G134" s="336"/>
      <c r="H134" s="336"/>
      <c r="I134" s="336"/>
      <c r="J134" s="336"/>
      <c r="K134" s="290"/>
      <c r="L134" s="342"/>
      <c r="M134" s="7"/>
      <c r="N134" s="83"/>
      <c r="O134" s="333"/>
      <c r="P134" s="77"/>
      <c r="Q134" s="77"/>
      <c r="R134" s="77"/>
      <c r="S134" s="77"/>
      <c r="T134" s="77"/>
      <c r="U134" s="3"/>
      <c r="V134" s="77"/>
      <c r="W134" s="77"/>
      <c r="X134" s="77"/>
      <c r="Y134" s="77"/>
      <c r="Z134" s="82"/>
      <c r="AA134" s="334"/>
      <c r="AB134" s="13"/>
      <c r="AC134" s="13"/>
      <c r="AD134" s="13"/>
      <c r="AE134" s="13"/>
      <c r="AF134" s="13"/>
      <c r="AG134" s="13"/>
      <c r="AH134" s="13"/>
      <c r="AI134" s="13"/>
      <c r="AJ134" s="13"/>
      <c r="AK134" s="13"/>
      <c r="AL134" s="13"/>
      <c r="AM134" s="13"/>
      <c r="AN134" s="327"/>
      <c r="AO134" s="327"/>
      <c r="AP134" s="85"/>
      <c r="AQ134" s="342"/>
      <c r="AR134" s="290"/>
      <c r="AS134" s="81"/>
      <c r="AT134" s="81"/>
      <c r="AU134" s="81"/>
      <c r="AV134" s="81"/>
      <c r="AW134" s="81"/>
      <c r="AX134" s="290"/>
      <c r="AY134" s="342"/>
      <c r="AZ134" s="3"/>
      <c r="BA134" s="315"/>
      <c r="BB134" s="3"/>
      <c r="BC134" s="3"/>
      <c r="BD134" s="3"/>
      <c r="BE134" s="3"/>
      <c r="BF134" s="342"/>
      <c r="BG134" s="3"/>
      <c r="BH134" s="315"/>
      <c r="BI134" s="3"/>
      <c r="BJ134" s="3"/>
      <c r="BK134" s="3"/>
      <c r="BL134" s="3"/>
      <c r="BM134" s="342"/>
      <c r="BN134" s="3"/>
      <c r="BO134" s="315"/>
      <c r="BP134" s="3"/>
      <c r="BQ134" s="3"/>
      <c r="BR134" s="3"/>
      <c r="BS134" s="3"/>
      <c r="BT134" s="342"/>
      <c r="BU134" s="3"/>
      <c r="BV134" s="315"/>
      <c r="BW134" s="3"/>
      <c r="BX134" s="3"/>
      <c r="BY134" s="3"/>
      <c r="BZ134" s="3"/>
      <c r="CA134" s="342"/>
    </row>
    <row r="135" spans="1:79" s="304" customFormat="1" outlineLevel="1">
      <c r="B135" s="320"/>
      <c r="C135" s="320"/>
      <c r="D135" s="391"/>
      <c r="F135" s="391"/>
      <c r="G135" s="391"/>
      <c r="H135" s="391"/>
      <c r="I135" s="391"/>
      <c r="J135" s="391"/>
      <c r="K135" s="391"/>
      <c r="N135" s="337"/>
      <c r="O135" s="337"/>
      <c r="S135" s="337"/>
      <c r="T135" s="320"/>
      <c r="U135" s="320"/>
      <c r="V135" s="320"/>
      <c r="W135" s="393"/>
      <c r="Z135" s="338"/>
      <c r="AO135" s="338"/>
      <c r="AP135" s="340"/>
      <c r="AR135" s="391"/>
      <c r="AS135" s="391"/>
      <c r="AT135" s="391"/>
      <c r="AU135" s="391"/>
      <c r="AV135" s="391"/>
      <c r="AW135" s="391"/>
      <c r="AX135" s="391"/>
      <c r="AZ135"/>
      <c r="BA135"/>
      <c r="BB135"/>
      <c r="BC135"/>
      <c r="BD135"/>
      <c r="BE135"/>
      <c r="BG135"/>
      <c r="BH135"/>
      <c r="BI135"/>
      <c r="BJ135"/>
      <c r="BK135"/>
      <c r="BL135"/>
      <c r="BN135"/>
      <c r="BO135"/>
      <c r="BP135"/>
      <c r="BQ135"/>
      <c r="BR135"/>
      <c r="BS135"/>
      <c r="BU135"/>
      <c r="BV135"/>
      <c r="BW135"/>
      <c r="BX135"/>
      <c r="BY135"/>
      <c r="BZ135"/>
    </row>
    <row r="136" spans="1:79" s="325" customFormat="1" ht="15.6" outlineLevel="1">
      <c r="A136" s="480"/>
      <c r="B136" s="341"/>
      <c r="C136" s="341"/>
      <c r="D136" s="290"/>
      <c r="E136" s="342"/>
      <c r="F136" s="290"/>
      <c r="G136" s="343">
        <f>ROUNDUP(SUM(G138:G167),2)</f>
        <v>0</v>
      </c>
      <c r="H136" s="344"/>
      <c r="I136" s="344"/>
      <c r="J136" s="345">
        <f>ROUNDUP(SUM(J138:J167),2)</f>
        <v>0</v>
      </c>
      <c r="K136" s="290"/>
      <c r="L136" s="342"/>
      <c r="M136" s="7"/>
      <c r="N136" s="7"/>
      <c r="O136" s="7"/>
      <c r="P136" s="7"/>
      <c r="Q136" s="7"/>
      <c r="R136" s="7"/>
      <c r="S136" s="7"/>
      <c r="T136" s="398">
        <f ca="1">ROUNDUP(SUM(T138:T167),2)</f>
        <v>31.900000000000002</v>
      </c>
      <c r="U136" s="7"/>
      <c r="V136" s="7"/>
      <c r="W136" s="87">
        <f ca="1">SUM(W138:W165)</f>
        <v>1053221.9513319002</v>
      </c>
      <c r="X136" s="7"/>
      <c r="Y136" s="7" t="s">
        <v>102</v>
      </c>
      <c r="Z136" s="7"/>
      <c r="AA136" s="304"/>
      <c r="AB136" s="7"/>
      <c r="AC136" s="7"/>
      <c r="AD136" s="87">
        <f ca="1">SUM(AD138:AD167)</f>
        <v>1504602.8058096</v>
      </c>
      <c r="AE136" s="432">
        <f ca="1">IFERROR(1-($W136/$AD136),0)</f>
        <v>0.30000000846390806</v>
      </c>
      <c r="AF136" s="7"/>
      <c r="AG136" s="7"/>
      <c r="AH136" s="88">
        <f ca="1">SUM(AH138:AH167)</f>
        <v>0</v>
      </c>
      <c r="AI136" s="7"/>
      <c r="AJ136" s="7"/>
      <c r="AK136" s="88">
        <f ca="1">ROUNDUP(SUM(AK138:AK167),2)</f>
        <v>0</v>
      </c>
      <c r="AL136" s="7"/>
      <c r="AM136" s="88">
        <f ca="1">SUM(AM138:AM167)</f>
        <v>1504602.8058096</v>
      </c>
      <c r="AN136" s="88">
        <f ca="1">SUM(AN138:AN167)</f>
        <v>1504602.8058096</v>
      </c>
      <c r="AO136" s="417" t="str">
        <f>BillingCountryCurrency</f>
        <v>COP</v>
      </c>
      <c r="AP136" s="7"/>
      <c r="AQ136" s="18"/>
      <c r="AR136" s="290"/>
      <c r="AS136" s="290"/>
      <c r="AT136" s="503">
        <f ca="1">SUM(AT138:AU167)</f>
        <v>1504602.8058096</v>
      </c>
      <c r="AU136" s="504"/>
      <c r="AV136" s="417" t="str">
        <f>BillingCountryCurrency</f>
        <v>COP</v>
      </c>
      <c r="AW136" s="417" t="str">
        <f>IF(ISBLANK(BusinessCurrency),"N/A",BusinessCurrency)</f>
        <v>USD</v>
      </c>
      <c r="AX136" s="290"/>
      <c r="AY136" s="18"/>
      <c r="AZ136" s="3"/>
      <c r="BA136" s="315"/>
      <c r="BB136" s="3"/>
      <c r="BC136" s="3"/>
      <c r="BD136" s="3"/>
      <c r="BE136" s="3"/>
      <c r="BF136" s="18"/>
      <c r="BG136" s="3"/>
      <c r="BH136" s="315"/>
      <c r="BI136" s="3"/>
      <c r="BJ136" s="3"/>
      <c r="BK136" s="3"/>
      <c r="BL136" s="3"/>
      <c r="BM136" s="18"/>
      <c r="BN136" s="3"/>
      <c r="BO136" s="315"/>
      <c r="BP136" s="3"/>
      <c r="BQ136" s="3"/>
      <c r="BR136" s="3"/>
      <c r="BS136" s="3"/>
      <c r="BT136" s="18"/>
      <c r="BU136" s="3"/>
      <c r="BV136" s="315"/>
      <c r="BW136" s="3"/>
      <c r="BX136" s="3"/>
      <c r="BY136" s="3"/>
      <c r="BZ136" s="3"/>
      <c r="CA136" s="342"/>
    </row>
    <row r="137" spans="1:79" ht="15.6" outlineLevel="1">
      <c r="A137" s="7"/>
      <c r="B137" s="346"/>
      <c r="C137" s="346"/>
      <c r="D137" s="346"/>
      <c r="E137" s="342"/>
      <c r="F137" s="290"/>
      <c r="G137" s="347" t="s">
        <v>79</v>
      </c>
      <c r="H137" s="347" t="s">
        <v>103</v>
      </c>
      <c r="I137" s="347" t="s">
        <v>104</v>
      </c>
      <c r="J137" s="348" t="s">
        <v>91</v>
      </c>
      <c r="K137" s="290"/>
      <c r="L137" s="349"/>
      <c r="M137" s="7"/>
      <c r="N137" s="16" t="s">
        <v>105</v>
      </c>
      <c r="O137" s="16" t="s">
        <v>106</v>
      </c>
      <c r="P137" s="16" t="s">
        <v>107</v>
      </c>
      <c r="Q137" s="16" t="s">
        <v>108</v>
      </c>
      <c r="R137" s="16" t="s">
        <v>109</v>
      </c>
      <c r="S137" s="16" t="s">
        <v>110</v>
      </c>
      <c r="T137" s="16" t="s">
        <v>111</v>
      </c>
      <c r="U137" s="16" t="s">
        <v>112</v>
      </c>
      <c r="V137" s="350" t="s">
        <v>113</v>
      </c>
      <c r="W137" s="16" t="s">
        <v>114</v>
      </c>
      <c r="X137" s="16" t="s">
        <v>115</v>
      </c>
      <c r="Y137" s="16" t="s">
        <v>116</v>
      </c>
      <c r="Z137" s="6"/>
      <c r="AA137" s="304"/>
      <c r="AB137" s="7"/>
      <c r="AC137" s="351" t="s">
        <v>117</v>
      </c>
      <c r="AD137" s="352" t="s">
        <v>118</v>
      </c>
      <c r="AE137" s="89" t="s">
        <v>119</v>
      </c>
      <c r="AF137" s="7"/>
      <c r="AG137" s="89" t="s">
        <v>120</v>
      </c>
      <c r="AH137" s="353" t="s">
        <v>121</v>
      </c>
      <c r="AI137" s="7"/>
      <c r="AJ137" s="89" t="s">
        <v>122</v>
      </c>
      <c r="AK137" s="353" t="s">
        <v>123</v>
      </c>
      <c r="AL137" s="7"/>
      <c r="AM137" s="16" t="s">
        <v>118</v>
      </c>
      <c r="AN137" s="16" t="s">
        <v>124</v>
      </c>
      <c r="AO137" s="8" t="s">
        <v>125</v>
      </c>
      <c r="AP137" s="7"/>
      <c r="AQ137" s="18"/>
      <c r="AR137" s="290"/>
      <c r="AS137" s="8" t="s">
        <v>126</v>
      </c>
      <c r="AT137" s="505" t="s">
        <v>124</v>
      </c>
      <c r="AU137" s="506"/>
      <c r="AV137" s="8" t="s">
        <v>127</v>
      </c>
      <c r="AW137" s="8" t="s">
        <v>127</v>
      </c>
      <c r="AX137" s="290"/>
      <c r="AY137" s="18"/>
      <c r="AZ137" s="3"/>
      <c r="BA137" s="315"/>
      <c r="BB137" s="3"/>
      <c r="BC137" s="3"/>
      <c r="BD137" s="3"/>
      <c r="BE137" s="3"/>
      <c r="BF137" s="18"/>
      <c r="BG137" s="3"/>
      <c r="BH137" s="315"/>
      <c r="BI137" s="3"/>
      <c r="BJ137" s="3"/>
      <c r="BK137" s="3"/>
      <c r="BL137" s="3"/>
      <c r="BM137" s="18"/>
      <c r="BN137" s="3"/>
      <c r="BO137" s="315"/>
      <c r="BP137" s="3"/>
      <c r="BQ137" s="3"/>
      <c r="BR137" s="3"/>
      <c r="BS137" s="3"/>
      <c r="BT137" s="18"/>
      <c r="BU137" s="3"/>
      <c r="BV137" s="315"/>
      <c r="BW137" s="3"/>
      <c r="BX137" s="3"/>
      <c r="BY137" s="3"/>
      <c r="BZ137" s="3"/>
    </row>
    <row r="138" spans="1:79" ht="28.9" outlineLevel="1">
      <c r="A138" s="7"/>
      <c r="B138" s="354" t="s">
        <v>128</v>
      </c>
      <c r="C138" s="355" t="s">
        <v>176</v>
      </c>
      <c r="D138" s="356"/>
      <c r="E138" s="342"/>
      <c r="F138" s="290"/>
      <c r="G138" s="357">
        <v>0</v>
      </c>
      <c r="H138" s="358">
        <v>0</v>
      </c>
      <c r="I138" s="358">
        <v>0</v>
      </c>
      <c r="J138" s="359">
        <f>IFERROR(G138/(1-(H138+I138)),0)</f>
        <v>0</v>
      </c>
      <c r="K138" s="360"/>
      <c r="L138" s="349"/>
      <c r="M138" s="7"/>
      <c r="N138" s="12" t="s">
        <v>130</v>
      </c>
      <c r="O138" s="12" t="s">
        <v>177</v>
      </c>
      <c r="P138" s="12" t="s">
        <v>178</v>
      </c>
      <c r="Q138" s="468">
        <v>1</v>
      </c>
      <c r="R138" s="362" cm="1">
        <f t="array" aca="1" ref="R138" ca="1">$R$42*(1+(INDIRECT("CMSResumen!L"&amp;(MAX(IF(INDIRECT("CMSResumen!B1:B"&amp;ROW()-10)=B122,ROW(INDIRECT("CMSResumen!B1:B"&amp;ROW()-10)),0)+17)))))</f>
        <v>3.5000000000000003E-2</v>
      </c>
      <c r="S138" s="363">
        <v>20</v>
      </c>
      <c r="T138" s="364">
        <f t="shared" ref="T138" ca="1" si="119">IF(ISBLANK($P138),0,IF(Approach="Team-Based",$Q138*$R138*$S138*HoursPerDayTeamBased,$J138))</f>
        <v>5.67</v>
      </c>
      <c r="U138" s="365">
        <v>0</v>
      </c>
      <c r="V138" s="91">
        <f>ROUNDUP(IFERROR(INDEX(CostRateTbl[Cost Rate],MATCH(_xlfn.CONCAT(N138,O138,P138,"NA"),CostRateTbl[KeyCostRate],0)),0)*BillingCurrencyTRM*(1+U138),2)</f>
        <v>0</v>
      </c>
      <c r="W138" s="92">
        <f t="shared" ref="W138:W167" ca="1" si="120">T138*V138</f>
        <v>0</v>
      </c>
      <c r="X138" s="366" t="str" cm="1">
        <f t="array" ref="X138">_xlfn.LET(
    _xlpm.valor, INDEX(CostRate!H:H, MATCH(1, (CostRate!A:A=N138)*1, 0)),
    _xlpm.posicion, MATCH(_xlpm.valor, FilterSL!$F$1:$Z$1, 0),
    _xlpm.direccionCompleta, ADDRESS(1, _xlpm.posicion + 5, 4),
    _xlpm.letraColumna, SUBSTITUTE(_xlpm.direccionCompleta, "1", ""),
    _xlpm.letraColumna
)</f>
        <v>R</v>
      </c>
      <c r="Y138" s="366" t="str" cm="1">
        <f t="array" ref="Y138">_xlfn.LET(
    _xlpm.valor, INDEX(CostRate!I:I, MATCH(1, (CostRate!A:A=N138)*(CostRate!B:B=O138), 0)),
    _xlpm.posicion, MATCH(_xlpm.valor, FilterJP!$E$1:$FZ$1, 0),
    _xlpm.direccionCompleta, ADDRESS(1, _xlpm.posicion + 4, 4),
    _xlpm.letraColumna, SUBSTITUTE(_xlpm.direccionCompleta, "1", ""),
    _xlpm.letraColumna
)</f>
        <v>BO</v>
      </c>
      <c r="Z138" s="7"/>
      <c r="AA138" s="367"/>
      <c r="AB138" s="7"/>
      <c r="AC138" s="93">
        <f t="shared" ref="AC138:AC167" si="121">ROUNDUP($V138/(1-$AV$124),2)</f>
        <v>0</v>
      </c>
      <c r="AD138" s="94">
        <f ca="1">$T138*$AC138</f>
        <v>0</v>
      </c>
      <c r="AE138" s="109">
        <f ca="1">IFERROR(1-($W138/$AD138),0)</f>
        <v>0</v>
      </c>
      <c r="AF138" s="7"/>
      <c r="AG138" s="369">
        <f t="shared" ref="AG138:AG167" si="122">IFERROR(IF(OR(ISBLANK(N138),N138=CustomerCountry,COUNTIF($N138,"*xDC*")),0,10%),0)</f>
        <v>0</v>
      </c>
      <c r="AH138" s="368">
        <f t="shared" ref="AH138:AH167" ca="1" si="123">W138*AG138</f>
        <v>0</v>
      </c>
      <c r="AI138" s="7"/>
      <c r="AJ138" s="369" cm="1">
        <f t="array" ref="AJ138">IFERROR(INDEX(WHT!$C$7:$W$18,MATCH(
_xlfn.SWITCH(N138,"xDC Medellin","Colombia","xDC Belo Horizonte","Brazil","xDC Guadalajara","Mexico","xDC Gurugram","India","xDC Leon","Spain","xDC San Jose","Costa Rica","xDC Warsaw","Poland",N138),
WHT!$B$7:$B$18,0),MATCH(CustomerCountry,WHT!$C$5:$W$5,0)),0)</f>
        <v>0</v>
      </c>
      <c r="AK138" s="368">
        <f t="shared" ref="AK138:AK167" ca="1" si="124">(W138+AH138)*AJ138</f>
        <v>0</v>
      </c>
      <c r="AL138" s="7"/>
      <c r="AM138" s="95">
        <f ca="1">SUM($AD138,$AH138,$AK138)</f>
        <v>0</v>
      </c>
      <c r="AN138" s="95">
        <f t="shared" ref="AN138:AN167" ca="1" si="125">AM138+IFERROR(SUM($AN$127:$AN$132)*AM138/$AM$136,0)</f>
        <v>0</v>
      </c>
      <c r="AO138" s="95">
        <f ca="1">IFERROR($AN138/$T138,0)</f>
        <v>0</v>
      </c>
      <c r="AP138" s="7"/>
      <c r="AQ138" s="18"/>
      <c r="AR138" s="290"/>
      <c r="AS138" s="467" t="s">
        <v>133</v>
      </c>
      <c r="AT138" s="501">
        <f t="shared" ref="AT138:AT166" ca="1" si="126">IF(AS138="x",AM138+((SUM($AN$127:$AN$132)+SUMIF($AS$138:$AS$167,"&lt;&gt;x",$AM$138:$AM$167))*IFERROR(AM138/SUMIF($AS$138:$AS$167,"x",$AM$138:$AM$167),0)),0)</f>
        <v>0</v>
      </c>
      <c r="AU138" s="502"/>
      <c r="AV138" s="95">
        <f ca="1">IFERROR(AT138/T138,0)</f>
        <v>0</v>
      </c>
      <c r="AW138" s="469">
        <f t="shared" ref="AW138:AW167" ca="1" si="127">IFERROR(AV138/BusinessCurrencyTRM,"N/A")</f>
        <v>0</v>
      </c>
      <c r="AX138" s="290"/>
      <c r="AY138" s="18"/>
      <c r="AZ138" s="3"/>
      <c r="BA138" s="315"/>
      <c r="BB138" s="3"/>
      <c r="BC138" s="3"/>
      <c r="BD138" s="3"/>
      <c r="BE138" s="3"/>
      <c r="BF138" s="18"/>
      <c r="BG138" s="3"/>
      <c r="BH138" s="315"/>
      <c r="BI138" s="3"/>
      <c r="BJ138" s="3"/>
      <c r="BK138" s="3"/>
      <c r="BL138" s="3"/>
      <c r="BM138" s="18"/>
      <c r="BN138" s="3"/>
      <c r="BO138" s="315"/>
      <c r="BP138" s="3"/>
      <c r="BQ138" s="3"/>
      <c r="BR138" s="3"/>
      <c r="BS138" s="3"/>
      <c r="BT138" s="18"/>
      <c r="BU138" s="3"/>
      <c r="BV138" s="315"/>
      <c r="BW138" s="3"/>
      <c r="BX138" s="3"/>
      <c r="BY138" s="3"/>
      <c r="BZ138" s="3"/>
    </row>
    <row r="139" spans="1:79" ht="15.6" outlineLevel="1">
      <c r="A139" s="7"/>
      <c r="B139" s="370"/>
      <c r="C139" s="355" t="s">
        <v>179</v>
      </c>
      <c r="D139" s="356"/>
      <c r="E139" s="342"/>
      <c r="F139" s="290"/>
      <c r="G139" s="357">
        <v>0</v>
      </c>
      <c r="H139" s="358">
        <v>0</v>
      </c>
      <c r="I139" s="358">
        <v>0</v>
      </c>
      <c r="J139" s="359">
        <f t="shared" ref="J139:J167" si="128">IFERROR(G139/(1-(H139+I139)),0)</f>
        <v>0</v>
      </c>
      <c r="K139" s="290"/>
      <c r="L139" s="349"/>
      <c r="M139" s="7"/>
      <c r="N139" s="12" t="s">
        <v>130</v>
      </c>
      <c r="O139" s="12" t="s">
        <v>177</v>
      </c>
      <c r="P139" s="12" t="s">
        <v>180</v>
      </c>
      <c r="Q139" s="468">
        <v>1</v>
      </c>
      <c r="R139" s="362" cm="1">
        <f t="array" aca="1" ref="R139" ca="1">$R$43*(1+(INDIRECT("CMSResumen!L"&amp;(MAX(IF(INDIRECT("CMSResumen!B1:B"&amp;ROW()-10)=B121,ROW(INDIRECT("CMSResumen!B1:B"&amp;ROW()-10)),0)+18)))))</f>
        <v>7.8E-2</v>
      </c>
      <c r="S139" s="363">
        <v>20</v>
      </c>
      <c r="T139" s="364">
        <f t="shared" ref="T139" ca="1" si="129">IF(ISBLANK($P139),0,IF(Approach="Team-Based",$Q139*$R139*$S139*HoursPerDayTeamBased,$J139))</f>
        <v>12.635999999999999</v>
      </c>
      <c r="U139" s="365">
        <v>0</v>
      </c>
      <c r="V139" s="91">
        <f>ROUNDUP(IFERROR(INDEX(CostRateTbl[Cost Rate],MATCH(_xlfn.CONCAT(N139,O139,P139,"NA"),CostRateTbl[KeyCostRate],0)),0)*BillingCurrencyTRM*(1+U139),2)</f>
        <v>0</v>
      </c>
      <c r="W139" s="92">
        <f t="shared" ca="1" si="120"/>
        <v>0</v>
      </c>
      <c r="X139" s="366" t="str" cm="1">
        <f t="array" ref="X139">_xlfn.LET(
    _xlpm.valor, INDEX(CostRate!H:H, MATCH(1, (CostRate!A:A=N139)*1, 0)),
    _xlpm.posicion, MATCH(_xlpm.valor, FilterSL!$F$1:$Z$1, 0),
    _xlpm.direccionCompleta, ADDRESS(1, _xlpm.posicion + 5, 4),
    _xlpm.letraColumna, SUBSTITUTE(_xlpm.direccionCompleta, "1", ""),
    _xlpm.letraColumna
)</f>
        <v>R</v>
      </c>
      <c r="Y139" s="366" t="str" cm="1">
        <f t="array" ref="Y139">_xlfn.LET(
    _xlpm.valor, INDEX(CostRate!I:I, MATCH(1, (CostRate!A:A=N139)*(CostRate!B:B=O139), 0)),
    _xlpm.posicion, MATCH(_xlpm.valor, FilterJP!$E$1:$FZ$1, 0),
    _xlpm.direccionCompleta, ADDRESS(1, _xlpm.posicion + 4, 4),
    _xlpm.letraColumna, SUBSTITUTE(_xlpm.direccionCompleta, "1", ""),
    _xlpm.letraColumna
)</f>
        <v>BO</v>
      </c>
      <c r="Z139" s="7"/>
      <c r="AA139" s="367"/>
      <c r="AB139" s="7"/>
      <c r="AC139" s="93">
        <f t="shared" si="121"/>
        <v>0</v>
      </c>
      <c r="AD139" s="94">
        <f t="shared" ref="AD139:AD167" ca="1" si="130">$T139*$AC139</f>
        <v>0</v>
      </c>
      <c r="AE139" s="109">
        <f t="shared" ref="AE139:AE167" ca="1" si="131">IFERROR(1-($W139/$AD139),0)</f>
        <v>0</v>
      </c>
      <c r="AF139" s="7"/>
      <c r="AG139" s="369">
        <f t="shared" si="122"/>
        <v>0</v>
      </c>
      <c r="AH139" s="368">
        <f t="shared" ca="1" si="123"/>
        <v>0</v>
      </c>
      <c r="AI139" s="7"/>
      <c r="AJ139" s="369" cm="1">
        <f t="array" ref="AJ139">IFERROR(INDEX(WHT!$C$7:$W$18,MATCH(
_xlfn.SWITCH(N139,"xDC Medellin","Colombia","xDC Belo Horizonte","Brazil","xDC Guadalajara","Mexico","xDC Gurugram","India","xDC Leon","Spain","xDC San Jose","Costa Rica","xDC Warsaw","Poland",N139),
WHT!$B$7:$B$18,0),MATCH(CustomerCountry,WHT!$C$5:$W$5,0)),0)</f>
        <v>0</v>
      </c>
      <c r="AK139" s="368">
        <f t="shared" ca="1" si="124"/>
        <v>0</v>
      </c>
      <c r="AL139" s="7"/>
      <c r="AM139" s="95">
        <f t="shared" ref="AM139:AM167" ca="1" si="132">SUM($AD139,$AH139,$AK139)</f>
        <v>0</v>
      </c>
      <c r="AN139" s="95">
        <f t="shared" ca="1" si="125"/>
        <v>0</v>
      </c>
      <c r="AO139" s="95">
        <f t="shared" ref="AO139:AO167" ca="1" si="133">IFERROR($AN139/$T139,0)</f>
        <v>0</v>
      </c>
      <c r="AP139" s="90"/>
      <c r="AQ139" s="18"/>
      <c r="AR139" s="290"/>
      <c r="AS139" s="467" t="s">
        <v>133</v>
      </c>
      <c r="AT139" s="501">
        <f t="shared" ca="1" si="126"/>
        <v>0</v>
      </c>
      <c r="AU139" s="502"/>
      <c r="AV139" s="95">
        <f t="shared" ref="AV139:AV167" ca="1" si="134">IFERROR(AT139/T139,0)</f>
        <v>0</v>
      </c>
      <c r="AW139" s="469">
        <f t="shared" ca="1" si="127"/>
        <v>0</v>
      </c>
      <c r="AX139" s="290"/>
      <c r="AY139" s="18"/>
      <c r="AZ139" s="3"/>
      <c r="BA139" s="315"/>
      <c r="BB139" s="3"/>
      <c r="BC139" s="3"/>
      <c r="BD139" s="3"/>
      <c r="BE139" s="3"/>
      <c r="BF139" s="18"/>
      <c r="BG139" s="3"/>
      <c r="BH139" s="315"/>
      <c r="BI139" s="3"/>
      <c r="BJ139" s="3"/>
      <c r="BK139" s="3"/>
      <c r="BL139" s="3"/>
      <c r="BM139" s="18"/>
      <c r="BN139" s="3"/>
      <c r="BO139" s="315"/>
      <c r="BP139" s="3"/>
      <c r="BQ139" s="3"/>
      <c r="BR139" s="3"/>
      <c r="BS139" s="3"/>
      <c r="BT139" s="18"/>
      <c r="BU139" s="3"/>
      <c r="BV139" s="315"/>
      <c r="BW139" s="3"/>
      <c r="BX139" s="3"/>
      <c r="BY139" s="3"/>
      <c r="BZ139" s="3"/>
      <c r="CA139" s="371"/>
    </row>
    <row r="140" spans="1:79" ht="15.6" outlineLevel="1">
      <c r="A140" s="7"/>
      <c r="B140" s="370"/>
      <c r="C140" s="355" t="s">
        <v>181</v>
      </c>
      <c r="D140" s="356"/>
      <c r="E140" s="342"/>
      <c r="F140" s="290"/>
      <c r="G140" s="357">
        <v>0</v>
      </c>
      <c r="H140" s="358">
        <v>0</v>
      </c>
      <c r="I140" s="358">
        <v>0</v>
      </c>
      <c r="J140" s="359">
        <f t="shared" si="128"/>
        <v>0</v>
      </c>
      <c r="K140" s="290"/>
      <c r="L140" s="349"/>
      <c r="M140" s="7"/>
      <c r="N140" s="12" t="s">
        <v>130</v>
      </c>
      <c r="O140" s="12" t="s">
        <v>169</v>
      </c>
      <c r="P140" s="12" t="s">
        <v>182</v>
      </c>
      <c r="Q140" s="468">
        <v>1</v>
      </c>
      <c r="R140" s="362" cm="1">
        <f t="array" aca="1" ref="R140" ca="1">$R$44*(1+(INDIRECT("CMSResumen!L"&amp;(MAX(IF(INDIRECT("CMSResumen!B1:B"&amp;ROW()-10)=B121,ROW(INDIRECT("CMSResumen!B1:B"&amp;ROW()-10)),0)+19)))))</f>
        <v>3.5000000000000003E-2</v>
      </c>
      <c r="S140" s="363">
        <v>20</v>
      </c>
      <c r="T140" s="364">
        <f t="shared" ref="T140" ca="1" si="135">IF(ISBLANK($P140),0,IF(Approach="Team-Based",$Q140*$R140*$S140*HoursPerDayTeamBased,$J140))</f>
        <v>5.67</v>
      </c>
      <c r="U140" s="365">
        <v>0</v>
      </c>
      <c r="V140" s="91">
        <f>ROUNDUP(IFERROR(INDEX(CostRateTbl[Cost Rate],MATCH(_xlfn.CONCAT(N140,O140,P140,"NA"),CostRateTbl[KeyCostRate],0)),0)*BillingCurrencyTRM*(1+U140),2)</f>
        <v>133425.46000000002</v>
      </c>
      <c r="W140" s="92">
        <f t="shared" ca="1" si="120"/>
        <v>756522.35820000013</v>
      </c>
      <c r="X140" s="366" t="str" cm="1">
        <f t="array" ref="X140">_xlfn.LET(
    _xlpm.valor, INDEX(CostRate!H:H, MATCH(1, (CostRate!A:A=N140)*1, 0)),
    _xlpm.posicion, MATCH(_xlpm.valor, FilterSL!$F$1:$Z$1, 0),
    _xlpm.direccionCompleta, ADDRESS(1, _xlpm.posicion + 5, 4),
    _xlpm.letraColumna, SUBSTITUTE(_xlpm.direccionCompleta, "1", ""),
    _xlpm.letraColumna
)</f>
        <v>R</v>
      </c>
      <c r="Y140" s="366" t="str" cm="1">
        <f t="array" ref="Y140">_xlfn.LET(
    _xlpm.valor, INDEX(CostRate!I:I, MATCH(1, (CostRate!A:A=N140)*(CostRate!B:B=O140), 0)),
    _xlpm.posicion, MATCH(_xlpm.valor, FilterJP!$E$1:$FZ$1, 0),
    _xlpm.direccionCompleta, ADDRESS(1, _xlpm.posicion + 4, 4),
    _xlpm.letraColumna, SUBSTITUTE(_xlpm.direccionCompleta, "1", ""),
    _xlpm.letraColumna
)</f>
        <v>BI</v>
      </c>
      <c r="Z140" s="7"/>
      <c r="AA140" s="367"/>
      <c r="AB140" s="7"/>
      <c r="AC140" s="93">
        <f t="shared" si="121"/>
        <v>190607.8</v>
      </c>
      <c r="AD140" s="94">
        <f t="shared" ca="1" si="130"/>
        <v>1080746.226</v>
      </c>
      <c r="AE140" s="109">
        <f t="shared" ca="1" si="131"/>
        <v>0.29999999999999993</v>
      </c>
      <c r="AF140" s="7"/>
      <c r="AG140" s="369">
        <f t="shared" si="122"/>
        <v>0</v>
      </c>
      <c r="AH140" s="368">
        <f t="shared" ca="1" si="123"/>
        <v>0</v>
      </c>
      <c r="AI140" s="7"/>
      <c r="AJ140" s="369" cm="1">
        <f t="array" ref="AJ140">IFERROR(INDEX(WHT!$C$7:$W$18,MATCH(
_xlfn.SWITCH(N140,"xDC Medellin","Colombia","xDC Belo Horizonte","Brazil","xDC Guadalajara","Mexico","xDC Gurugram","India","xDC Leon","Spain","xDC San Jose","Costa Rica","xDC Warsaw","Poland",N140),
WHT!$B$7:$B$18,0),MATCH(CustomerCountry,WHT!$C$5:$W$5,0)),0)</f>
        <v>0</v>
      </c>
      <c r="AK140" s="368">
        <f t="shared" ca="1" si="124"/>
        <v>0</v>
      </c>
      <c r="AL140" s="7"/>
      <c r="AM140" s="95">
        <f t="shared" ca="1" si="132"/>
        <v>1080746.226</v>
      </c>
      <c r="AN140" s="95">
        <f t="shared" ca="1" si="125"/>
        <v>1080746.226</v>
      </c>
      <c r="AO140" s="95">
        <f t="shared" ca="1" si="133"/>
        <v>190607.80000000002</v>
      </c>
      <c r="AP140" s="90"/>
      <c r="AQ140" s="18"/>
      <c r="AR140" s="290"/>
      <c r="AS140" s="467" t="s">
        <v>133</v>
      </c>
      <c r="AT140" s="501">
        <f t="shared" ca="1" si="126"/>
        <v>1080746.226</v>
      </c>
      <c r="AU140" s="502"/>
      <c r="AV140" s="95">
        <f t="shared" ca="1" si="134"/>
        <v>190607.80000000002</v>
      </c>
      <c r="AW140" s="469">
        <f t="shared" ca="1" si="127"/>
        <v>48.873794871794878</v>
      </c>
      <c r="AX140" s="290"/>
      <c r="AY140" s="18"/>
      <c r="AZ140" s="3"/>
      <c r="BA140" s="315"/>
      <c r="BB140" s="3"/>
      <c r="BC140" s="3"/>
      <c r="BD140" s="3"/>
      <c r="BE140" s="3"/>
      <c r="BF140" s="18"/>
      <c r="BG140" s="3"/>
      <c r="BH140" s="315"/>
      <c r="BI140" s="3"/>
      <c r="BJ140" s="3"/>
      <c r="BK140" s="3"/>
      <c r="BL140" s="3"/>
      <c r="BM140" s="18"/>
      <c r="BN140" s="3"/>
      <c r="BO140" s="315"/>
      <c r="BP140" s="3"/>
      <c r="BQ140" s="3"/>
      <c r="BR140" s="3"/>
      <c r="BS140" s="3"/>
      <c r="BT140" s="18"/>
      <c r="BU140" s="3"/>
      <c r="BV140" s="315"/>
      <c r="BW140" s="3"/>
      <c r="BX140" s="3"/>
      <c r="BY140" s="3"/>
      <c r="BZ140" s="3"/>
    </row>
    <row r="141" spans="1:79" ht="15.6" outlineLevel="1">
      <c r="A141" s="7"/>
      <c r="B141" s="370"/>
      <c r="C141" s="355" t="s">
        <v>183</v>
      </c>
      <c r="D141" s="356"/>
      <c r="E141" s="342"/>
      <c r="F141" s="290"/>
      <c r="G141" s="357">
        <v>0</v>
      </c>
      <c r="H141" s="358">
        <v>0</v>
      </c>
      <c r="I141" s="358">
        <v>0</v>
      </c>
      <c r="J141" s="359">
        <f t="shared" si="128"/>
        <v>0</v>
      </c>
      <c r="K141" s="290"/>
      <c r="L141" s="349"/>
      <c r="M141" s="7"/>
      <c r="N141" s="12" t="s">
        <v>130</v>
      </c>
      <c r="O141" s="12" t="s">
        <v>177</v>
      </c>
      <c r="P141" s="12" t="s">
        <v>184</v>
      </c>
      <c r="Q141" s="468">
        <v>1</v>
      </c>
      <c r="R141" s="362" cm="1">
        <f t="array" aca="1" ref="R141" ca="1">$R$45*(1+(INDIRECT("CMSResumen!L"&amp;(MAX(IF(INDIRECT("CMSResumen!B1:B"&amp;ROW()-10)=B121,ROW(INDIRECT("CMSResumen!B1:B"&amp;ROW()-10)),0)+20)))))</f>
        <v>3.5000000000000003E-2</v>
      </c>
      <c r="S141" s="363">
        <v>20</v>
      </c>
      <c r="T141" s="364">
        <f t="shared" ref="T141" ca="1" si="136">IF(ISBLANK($P141),0,IF(Approach="Team-Based",$Q141*$R141*$S141*HoursPerDayTeamBased,$J141))</f>
        <v>5.67</v>
      </c>
      <c r="U141" s="365">
        <v>0</v>
      </c>
      <c r="V141" s="91">
        <f>ROUNDUP(IFERROR(INDEX(CostRateTbl[Cost Rate],MATCH(_xlfn.CONCAT(N141,O141,P141,"NA"),CostRateTbl[KeyCostRate],0)),0)*BillingCurrencyTRM*(1+U141),2)</f>
        <v>46596.590000000004</v>
      </c>
      <c r="W141" s="92">
        <f t="shared" ca="1" si="120"/>
        <v>264202.66529999999</v>
      </c>
      <c r="X141" s="366" t="str" cm="1">
        <f t="array" ref="X141">_xlfn.LET(
    _xlpm.valor, INDEX(CostRate!H:H, MATCH(1, (CostRate!A:A=N141)*1, 0)),
    _xlpm.posicion, MATCH(_xlpm.valor, FilterSL!$F$1:$Z$1, 0),
    _xlpm.direccionCompleta, ADDRESS(1, _xlpm.posicion + 5, 4),
    _xlpm.letraColumna, SUBSTITUTE(_xlpm.direccionCompleta, "1", ""),
    _xlpm.letraColumna
)</f>
        <v>R</v>
      </c>
      <c r="Y141" s="366" t="str" cm="1">
        <f t="array" ref="Y141">_xlfn.LET(
    _xlpm.valor, INDEX(CostRate!I:I, MATCH(1, (CostRate!A:A=N141)*(CostRate!B:B=O141), 0)),
    _xlpm.posicion, MATCH(_xlpm.valor, FilterJP!$E$1:$FZ$1, 0),
    _xlpm.direccionCompleta, ADDRESS(1, _xlpm.posicion + 4, 4),
    _xlpm.letraColumna, SUBSTITUTE(_xlpm.direccionCompleta, "1", ""),
    _xlpm.letraColumna
)</f>
        <v>BO</v>
      </c>
      <c r="Z141" s="7"/>
      <c r="AA141" s="367"/>
      <c r="AB141" s="7"/>
      <c r="AC141" s="93">
        <f t="shared" si="121"/>
        <v>66566.559999999998</v>
      </c>
      <c r="AD141" s="94">
        <f t="shared" ca="1" si="130"/>
        <v>377432.39519999997</v>
      </c>
      <c r="AE141" s="109">
        <f t="shared" ca="1" si="131"/>
        <v>0.30000003004511566</v>
      </c>
      <c r="AF141" s="7"/>
      <c r="AG141" s="369">
        <f t="shared" si="122"/>
        <v>0</v>
      </c>
      <c r="AH141" s="368">
        <f t="shared" ca="1" si="123"/>
        <v>0</v>
      </c>
      <c r="AI141" s="7"/>
      <c r="AJ141" s="369" cm="1">
        <f t="array" ref="AJ141">IFERROR(INDEX(WHT!$C$7:$W$18,MATCH(
_xlfn.SWITCH(N141,"xDC Medellin","Colombia","xDC Belo Horizonte","Brazil","xDC Guadalajara","Mexico","xDC Gurugram","India","xDC Leon","Spain","xDC San Jose","Costa Rica","xDC Warsaw","Poland",N141),
WHT!$B$7:$B$18,0),MATCH(CustomerCountry,WHT!$C$5:$W$5,0)),0)</f>
        <v>0</v>
      </c>
      <c r="AK141" s="368">
        <f t="shared" ca="1" si="124"/>
        <v>0</v>
      </c>
      <c r="AL141" s="7"/>
      <c r="AM141" s="95">
        <f t="shared" ca="1" si="132"/>
        <v>377432.39519999997</v>
      </c>
      <c r="AN141" s="95">
        <f t="shared" ca="1" si="125"/>
        <v>377432.39519999997</v>
      </c>
      <c r="AO141" s="95">
        <f t="shared" ca="1" si="133"/>
        <v>66566.559999999998</v>
      </c>
      <c r="AP141" s="90"/>
      <c r="AQ141" s="18"/>
      <c r="AR141" s="290"/>
      <c r="AS141" s="467" t="s">
        <v>133</v>
      </c>
      <c r="AT141" s="501">
        <f t="shared" ca="1" si="126"/>
        <v>377432.39519999997</v>
      </c>
      <c r="AU141" s="502"/>
      <c r="AV141" s="95">
        <f t="shared" ca="1" si="134"/>
        <v>66566.559999999998</v>
      </c>
      <c r="AW141" s="469">
        <f t="shared" ca="1" si="127"/>
        <v>17.068348717948716</v>
      </c>
      <c r="AX141" s="290"/>
      <c r="AY141" s="18"/>
      <c r="AZ141" s="3"/>
      <c r="BA141" s="315"/>
      <c r="BB141" s="3"/>
      <c r="BC141" s="3"/>
      <c r="BD141" s="3"/>
      <c r="BE141" s="3"/>
      <c r="BF141" s="18"/>
      <c r="BG141" s="3"/>
      <c r="BH141" s="315"/>
      <c r="BI141" s="3"/>
      <c r="BJ141" s="3"/>
      <c r="BK141" s="3"/>
      <c r="BL141" s="3"/>
      <c r="BM141" s="18"/>
      <c r="BN141" s="3"/>
      <c r="BO141" s="315"/>
      <c r="BP141" s="3"/>
      <c r="BQ141" s="3"/>
      <c r="BR141" s="3"/>
      <c r="BS141" s="3"/>
      <c r="BT141" s="18"/>
      <c r="BU141" s="3"/>
      <c r="BV141" s="315"/>
      <c r="BW141" s="3"/>
      <c r="BX141" s="3"/>
      <c r="BY141" s="3"/>
      <c r="BZ141" s="3"/>
    </row>
    <row r="142" spans="1:79" ht="15.6" outlineLevel="1">
      <c r="A142" s="7"/>
      <c r="B142" s="370"/>
      <c r="C142" s="355" t="s">
        <v>185</v>
      </c>
      <c r="D142" s="356"/>
      <c r="E142" s="342"/>
      <c r="F142" s="290"/>
      <c r="G142" s="357">
        <v>0</v>
      </c>
      <c r="H142" s="358">
        <v>0</v>
      </c>
      <c r="I142" s="358">
        <v>0</v>
      </c>
      <c r="J142" s="359">
        <f t="shared" si="128"/>
        <v>0</v>
      </c>
      <c r="K142" s="290"/>
      <c r="L142" s="349"/>
      <c r="M142" s="7"/>
      <c r="N142" s="12" t="s">
        <v>130</v>
      </c>
      <c r="O142" s="12" t="s">
        <v>177</v>
      </c>
      <c r="P142" s="12" t="s">
        <v>180</v>
      </c>
      <c r="Q142" s="468">
        <v>1.23</v>
      </c>
      <c r="R142" s="362" cm="1">
        <f t="array" aca="1" ref="R142" ca="1">$R$43*(1+(INDIRECT("CMSResumen!L"&amp;(MAX(IF(INDIRECT("CMSResumen!B1:B"&amp;ROW()-10)=B121,ROW(INDIRECT("CMSResumen!B1:B"&amp;ROW()-10)),0)+18)))))</f>
        <v>7.8E-2</v>
      </c>
      <c r="S142" s="363">
        <f>20*10%</f>
        <v>2</v>
      </c>
      <c r="T142" s="364">
        <f t="shared" ref="T142" ca="1" si="137">IF(ISBLANK($P142),0,IF(Approach="Team-Based",$Q142*$R142*$S142*HoursPerDayTeamBased,$J142))</f>
        <v>1.5542279999999999</v>
      </c>
      <c r="U142" s="365">
        <v>0</v>
      </c>
      <c r="V142" s="91">
        <f>ROUNDUP(IFERROR(INDEX(CostRateTbl[Cost Rate],MATCH(_xlfn.CONCAT(N142,O142,P142,"NA"),CostRateTbl[KeyCostRate],0)),0)*BillingCurrencyTRM*(1+U142),2)</f>
        <v>0</v>
      </c>
      <c r="W142" s="92">
        <f t="shared" ca="1" si="120"/>
        <v>0</v>
      </c>
      <c r="X142" s="366" t="str" cm="1">
        <f t="array" ref="X142">_xlfn.LET(
    _xlpm.valor, INDEX(CostRate!H:H, MATCH(1, (CostRate!A:A=N142)*1, 0)),
    _xlpm.posicion, MATCH(_xlpm.valor, FilterSL!$F$1:$Z$1, 0),
    _xlpm.direccionCompleta, ADDRESS(1, _xlpm.posicion + 5, 4),
    _xlpm.letraColumna, SUBSTITUTE(_xlpm.direccionCompleta, "1", ""),
    _xlpm.letraColumna
)</f>
        <v>R</v>
      </c>
      <c r="Y142" s="366" t="str" cm="1">
        <f t="array" ref="Y142">_xlfn.LET(
    _xlpm.valor, INDEX(CostRate!I:I, MATCH(1, (CostRate!A:A=N142)*(CostRate!B:B=O142), 0)),
    _xlpm.posicion, MATCH(_xlpm.valor, FilterJP!$E$1:$FZ$1, 0),
    _xlpm.direccionCompleta, ADDRESS(1, _xlpm.posicion + 4, 4),
    _xlpm.letraColumna, SUBSTITUTE(_xlpm.direccionCompleta, "1", ""),
    _xlpm.letraColumna
)</f>
        <v>BO</v>
      </c>
      <c r="Z142" s="7"/>
      <c r="AA142" s="367"/>
      <c r="AB142" s="7"/>
      <c r="AC142" s="93">
        <f t="shared" si="121"/>
        <v>0</v>
      </c>
      <c r="AD142" s="94">
        <f t="shared" ca="1" si="130"/>
        <v>0</v>
      </c>
      <c r="AE142" s="109">
        <f t="shared" ca="1" si="131"/>
        <v>0</v>
      </c>
      <c r="AF142" s="7"/>
      <c r="AG142" s="369">
        <f t="shared" si="122"/>
        <v>0</v>
      </c>
      <c r="AH142" s="368">
        <f t="shared" ca="1" si="123"/>
        <v>0</v>
      </c>
      <c r="AI142" s="7"/>
      <c r="AJ142" s="369" cm="1">
        <f t="array" ref="AJ142">IFERROR(INDEX(WHT!$C$7:$W$18,MATCH(
_xlfn.SWITCH(N142,"xDC Medellin","Colombia","xDC Belo Horizonte","Brazil","xDC Guadalajara","Mexico","xDC Gurugram","India","xDC Leon","Spain","xDC San Jose","Costa Rica","xDC Warsaw","Poland",N142),
WHT!$B$7:$B$18,0),MATCH(CustomerCountry,WHT!$C$5:$W$5,0)),0)</f>
        <v>0</v>
      </c>
      <c r="AK142" s="368">
        <f t="shared" ca="1" si="124"/>
        <v>0</v>
      </c>
      <c r="AL142" s="7"/>
      <c r="AM142" s="95">
        <f t="shared" ca="1" si="132"/>
        <v>0</v>
      </c>
      <c r="AN142" s="95">
        <f t="shared" ca="1" si="125"/>
        <v>0</v>
      </c>
      <c r="AO142" s="95">
        <f t="shared" ca="1" si="133"/>
        <v>0</v>
      </c>
      <c r="AP142" s="90"/>
      <c r="AQ142" s="18"/>
      <c r="AR142" s="290"/>
      <c r="AS142" s="467" t="s">
        <v>133</v>
      </c>
      <c r="AT142" s="501">
        <f t="shared" ca="1" si="126"/>
        <v>0</v>
      </c>
      <c r="AU142" s="502"/>
      <c r="AV142" s="95">
        <f t="shared" ca="1" si="134"/>
        <v>0</v>
      </c>
      <c r="AW142" s="469">
        <f t="shared" ca="1" si="127"/>
        <v>0</v>
      </c>
      <c r="AX142" s="290"/>
      <c r="AY142" s="18"/>
      <c r="AZ142" s="3"/>
      <c r="BA142" s="315"/>
      <c r="BB142" s="3"/>
      <c r="BC142" s="3"/>
      <c r="BD142" s="3"/>
      <c r="BE142" s="3"/>
      <c r="BF142" s="18"/>
      <c r="BG142" s="3"/>
      <c r="BH142" s="315"/>
      <c r="BI142" s="3"/>
      <c r="BJ142" s="3"/>
      <c r="BK142" s="3"/>
      <c r="BL142" s="3"/>
      <c r="BM142" s="18"/>
      <c r="BN142" s="3"/>
      <c r="BO142" s="315"/>
      <c r="BP142" s="3"/>
      <c r="BQ142" s="3"/>
      <c r="BR142" s="3"/>
      <c r="BS142" s="3"/>
      <c r="BT142" s="18"/>
      <c r="BU142" s="3"/>
      <c r="BV142" s="315"/>
      <c r="BW142" s="3"/>
      <c r="BX142" s="3"/>
      <c r="BY142" s="3"/>
      <c r="BZ142" s="3"/>
    </row>
    <row r="143" spans="1:79" ht="15.6" outlineLevel="1">
      <c r="A143" s="7"/>
      <c r="B143" s="370"/>
      <c r="C143" s="355" t="s">
        <v>186</v>
      </c>
      <c r="D143" s="356"/>
      <c r="E143" s="342"/>
      <c r="F143" s="290"/>
      <c r="G143" s="357">
        <v>0</v>
      </c>
      <c r="H143" s="358">
        <v>0</v>
      </c>
      <c r="I143" s="358">
        <v>0</v>
      </c>
      <c r="J143" s="359">
        <f t="shared" si="128"/>
        <v>0</v>
      </c>
      <c r="K143" s="290"/>
      <c r="L143" s="349"/>
      <c r="M143" s="7"/>
      <c r="N143" s="12" t="s">
        <v>130</v>
      </c>
      <c r="O143" s="12" t="s">
        <v>177</v>
      </c>
      <c r="P143" s="12" t="s">
        <v>184</v>
      </c>
      <c r="Q143" s="468">
        <v>1.23</v>
      </c>
      <c r="R143" s="362" cm="1">
        <f t="array" aca="1" ref="R143" ca="1">$R$45*(1+(INDIRECT("CMSResumen!L"&amp;(MAX(IF(INDIRECT("CMSResumen!B1:B"&amp;ROW()-10)=B121,ROW(INDIRECT("CMSResumen!B1:B"&amp;ROW()-10)),0)+20)))))</f>
        <v>3.5000000000000003E-2</v>
      </c>
      <c r="S143" s="363">
        <f>20*10%</f>
        <v>2</v>
      </c>
      <c r="T143" s="364">
        <f t="shared" ref="T143" ca="1" si="138">IF(ISBLANK($P143),0,IF(Approach="Team-Based",$Q143*$R143*$S143*HoursPerDayTeamBased,$J143))</f>
        <v>0.69741000000000009</v>
      </c>
      <c r="U143" s="365">
        <v>0</v>
      </c>
      <c r="V143" s="91">
        <f>ROUNDUP(IFERROR(INDEX(CostRateTbl[Cost Rate],MATCH(_xlfn.CONCAT(N143,O143,P143,"NA"),CostRateTbl[KeyCostRate],0)),0)*BillingCurrencyTRM*(1+U143),2)</f>
        <v>46596.590000000004</v>
      </c>
      <c r="W143" s="92">
        <f t="shared" ca="1" si="120"/>
        <v>32496.927831900008</v>
      </c>
      <c r="X143" s="366" t="str" cm="1">
        <f t="array" ref="X143">_xlfn.LET(
    _xlpm.valor, INDEX(CostRate!H:H, MATCH(1, (CostRate!A:A=N143)*1, 0)),
    _xlpm.posicion, MATCH(_xlpm.valor, FilterSL!$F$1:$Z$1, 0),
    _xlpm.direccionCompleta, ADDRESS(1, _xlpm.posicion + 5, 4),
    _xlpm.letraColumna, SUBSTITUTE(_xlpm.direccionCompleta, "1", ""),
    _xlpm.letraColumna
)</f>
        <v>R</v>
      </c>
      <c r="Y143" s="366" t="str" cm="1">
        <f t="array" ref="Y143">_xlfn.LET(
    _xlpm.valor, INDEX(CostRate!I:I, MATCH(1, (CostRate!A:A=N143)*(CostRate!B:B=O143), 0)),
    _xlpm.posicion, MATCH(_xlpm.valor, FilterJP!$E$1:$FZ$1, 0),
    _xlpm.direccionCompleta, ADDRESS(1, _xlpm.posicion + 4, 4),
    _xlpm.letraColumna, SUBSTITUTE(_xlpm.direccionCompleta, "1", ""),
    _xlpm.letraColumna
)</f>
        <v>BO</v>
      </c>
      <c r="Z143" s="7"/>
      <c r="AA143" s="367"/>
      <c r="AB143" s="7"/>
      <c r="AC143" s="93">
        <f t="shared" si="121"/>
        <v>66566.559999999998</v>
      </c>
      <c r="AD143" s="94">
        <f t="shared" ca="1" si="130"/>
        <v>46424.184609600001</v>
      </c>
      <c r="AE143" s="109">
        <f t="shared" ca="1" si="131"/>
        <v>0.30000003004511555</v>
      </c>
      <c r="AF143" s="7"/>
      <c r="AG143" s="369">
        <f t="shared" si="122"/>
        <v>0</v>
      </c>
      <c r="AH143" s="368">
        <f t="shared" ca="1" si="123"/>
        <v>0</v>
      </c>
      <c r="AI143" s="7"/>
      <c r="AJ143" s="369" cm="1">
        <f t="array" ref="AJ143">IFERROR(INDEX(WHT!$C$7:$W$18,MATCH(
_xlfn.SWITCH(N143,"xDC Medellin","Colombia","xDC Belo Horizonte","Brazil","xDC Guadalajara","Mexico","xDC Gurugram","India","xDC Leon","Spain","xDC San Jose","Costa Rica","xDC Warsaw","Poland",N143),
WHT!$B$7:$B$18,0),MATCH(CustomerCountry,WHT!$C$5:$W$5,0)),0)</f>
        <v>0</v>
      </c>
      <c r="AK143" s="368">
        <f t="shared" ca="1" si="124"/>
        <v>0</v>
      </c>
      <c r="AL143" s="7"/>
      <c r="AM143" s="95">
        <f t="shared" ca="1" si="132"/>
        <v>46424.184609600001</v>
      </c>
      <c r="AN143" s="95">
        <f t="shared" ca="1" si="125"/>
        <v>46424.184609600001</v>
      </c>
      <c r="AO143" s="95">
        <f t="shared" ca="1" si="133"/>
        <v>66566.559999999998</v>
      </c>
      <c r="AP143" s="90"/>
      <c r="AQ143" s="18"/>
      <c r="AR143" s="290"/>
      <c r="AS143" s="467" t="s">
        <v>133</v>
      </c>
      <c r="AT143" s="501">
        <f t="shared" ca="1" si="126"/>
        <v>46424.184609600001</v>
      </c>
      <c r="AU143" s="502"/>
      <c r="AV143" s="95">
        <f t="shared" ca="1" si="134"/>
        <v>66566.559999999998</v>
      </c>
      <c r="AW143" s="469">
        <f t="shared" ca="1" si="127"/>
        <v>17.068348717948716</v>
      </c>
      <c r="AX143" s="290"/>
      <c r="AY143" s="18"/>
      <c r="AZ143" s="3"/>
      <c r="BA143" s="315"/>
      <c r="BB143" s="3"/>
      <c r="BC143" s="3"/>
      <c r="BD143" s="3"/>
      <c r="BE143" s="3"/>
      <c r="BF143" s="18"/>
      <c r="BG143" s="3"/>
      <c r="BH143" s="315"/>
      <c r="BI143" s="3"/>
      <c r="BJ143" s="3"/>
      <c r="BK143" s="3"/>
      <c r="BL143" s="3"/>
      <c r="BM143" s="18"/>
      <c r="BN143" s="3"/>
      <c r="BO143" s="315"/>
      <c r="BP143" s="3"/>
      <c r="BQ143" s="3"/>
      <c r="BR143" s="3"/>
      <c r="BS143" s="3"/>
      <c r="BT143" s="18"/>
      <c r="BU143" s="3"/>
      <c r="BV143" s="315"/>
      <c r="BW143" s="3"/>
      <c r="BX143" s="3"/>
      <c r="BY143" s="3"/>
      <c r="BZ143" s="3"/>
    </row>
    <row r="144" spans="1:79" ht="28.9" outlineLevel="1">
      <c r="A144" s="7"/>
      <c r="B144" s="370"/>
      <c r="C144" s="355" t="s">
        <v>187</v>
      </c>
      <c r="D144" s="356"/>
      <c r="E144" s="342"/>
      <c r="F144" s="290"/>
      <c r="G144" s="357">
        <v>0</v>
      </c>
      <c r="H144" s="358">
        <v>0</v>
      </c>
      <c r="I144" s="358">
        <v>0</v>
      </c>
      <c r="J144" s="359">
        <f t="shared" si="128"/>
        <v>0</v>
      </c>
      <c r="K144" s="290"/>
      <c r="L144" s="349"/>
      <c r="M144" s="7"/>
      <c r="N144" s="12"/>
      <c r="O144" s="12"/>
      <c r="P144" s="12"/>
      <c r="Q144" s="361"/>
      <c r="R144" s="362"/>
      <c r="S144" s="363">
        <f t="shared" ref="S144:S167" si="139">IF(ISBLANK(P144),0,$O$130*20)</f>
        <v>0</v>
      </c>
      <c r="T144" s="364">
        <f t="shared" ref="T144" si="140">IF(ISBLANK($P144),0,IF(Approach="Team-Based",$Q144*$R144*$S144*HoursPerDayTeamBased,$J144))</f>
        <v>0</v>
      </c>
      <c r="U144" s="365">
        <v>0</v>
      </c>
      <c r="V144" s="91">
        <f>ROUNDUP(IFERROR(INDEX(CostRateTbl[Cost Rate],MATCH(_xlfn.CONCAT(N144,O144,P144,"NA"),CostRateTbl[KeyCostRate],0)),0)*BillingCurrencyTRM*(1+U144),2)</f>
        <v>0</v>
      </c>
      <c r="W144" s="92">
        <f t="shared" si="120"/>
        <v>0</v>
      </c>
      <c r="X144" s="366" t="e" cm="1">
        <f t="array" ref="X144">_xlfn.LET(
    _xlpm.valor, INDEX(CostRate!H:H, MATCH(1, (CostRate!A:A=N144)*1, 0)),
    _xlpm.posicion, MATCH(_xlpm.valor, FilterSL!$F$1:$Z$1, 0),
    _xlpm.direccionCompleta, ADDRESS(1, _xlpm.posicion + 5, 4),
    _xlpm.letraColumna, SUBSTITUTE(_xlpm.direccionCompleta, "1", ""),
    _xlpm.letraColumna
)</f>
        <v>#N/A</v>
      </c>
      <c r="Y144" s="366" t="e" cm="1">
        <f t="array" ref="Y144">_xlfn.LET(
    _xlpm.valor, INDEX(CostRate!I:I, MATCH(1, (CostRate!A:A=N144)*(CostRate!B:B=O144), 0)),
    _xlpm.posicion, MATCH(_xlpm.valor, FilterJP!$E$1:$FZ$1, 0),
    _xlpm.direccionCompleta, ADDRESS(1, _xlpm.posicion + 4, 4),
    _xlpm.letraColumna, SUBSTITUTE(_xlpm.direccionCompleta, "1", ""),
    _xlpm.letraColumna
)</f>
        <v>#N/A</v>
      </c>
      <c r="Z144" s="7"/>
      <c r="AA144" s="367"/>
      <c r="AB144" s="7"/>
      <c r="AC144" s="93">
        <f t="shared" si="121"/>
        <v>0</v>
      </c>
      <c r="AD144" s="94">
        <f t="shared" si="130"/>
        <v>0</v>
      </c>
      <c r="AE144" s="109">
        <f t="shared" si="131"/>
        <v>0</v>
      </c>
      <c r="AF144" s="7"/>
      <c r="AG144" s="369">
        <f t="shared" si="122"/>
        <v>0</v>
      </c>
      <c r="AH144" s="368">
        <f t="shared" si="123"/>
        <v>0</v>
      </c>
      <c r="AI144" s="7"/>
      <c r="AJ144" s="369" cm="1">
        <f t="array" ref="AJ144">IFERROR(INDEX(WHT!$C$7:$W$18,MATCH(
_xlfn.SWITCH(N144,"xDC Medellin","Colombia","xDC Belo Horizonte","Brazil","xDC Guadalajara","Mexico","xDC Gurugram","India","xDC Leon","Spain","xDC San Jose","Costa Rica","xDC Warsaw","Poland",N144),
WHT!$B$7:$B$18,0),MATCH(CustomerCountry,WHT!$C$5:$W$5,0)),0)</f>
        <v>0</v>
      </c>
      <c r="AK144" s="368">
        <f t="shared" si="124"/>
        <v>0</v>
      </c>
      <c r="AL144" s="7"/>
      <c r="AM144" s="95">
        <f t="shared" si="132"/>
        <v>0</v>
      </c>
      <c r="AN144" s="95">
        <f t="shared" ca="1" si="125"/>
        <v>0</v>
      </c>
      <c r="AO144" s="95">
        <f t="shared" ca="1" si="133"/>
        <v>0</v>
      </c>
      <c r="AP144" s="90"/>
      <c r="AQ144" s="18"/>
      <c r="AR144" s="290"/>
      <c r="AS144" s="467" t="s">
        <v>133</v>
      </c>
      <c r="AT144" s="501">
        <f t="shared" ca="1" si="126"/>
        <v>0</v>
      </c>
      <c r="AU144" s="502"/>
      <c r="AV144" s="95">
        <f t="shared" ca="1" si="134"/>
        <v>0</v>
      </c>
      <c r="AW144" s="469">
        <f t="shared" ca="1" si="127"/>
        <v>0</v>
      </c>
      <c r="AX144" s="290"/>
      <c r="AY144" s="18"/>
      <c r="AZ144" s="3"/>
      <c r="BA144" s="315"/>
      <c r="BB144" s="3"/>
      <c r="BC144" s="3"/>
      <c r="BD144" s="3"/>
      <c r="BE144" s="3"/>
      <c r="BF144" s="18"/>
      <c r="BG144" s="3"/>
      <c r="BH144" s="315"/>
      <c r="BI144" s="3"/>
      <c r="BJ144" s="3"/>
      <c r="BK144" s="3"/>
      <c r="BL144" s="3"/>
      <c r="BM144" s="18"/>
      <c r="BN144" s="3"/>
      <c r="BO144" s="315"/>
      <c r="BP144" s="3"/>
      <c r="BQ144" s="3"/>
      <c r="BR144" s="3"/>
      <c r="BS144" s="3"/>
      <c r="BT144" s="18"/>
      <c r="BU144" s="3"/>
      <c r="BV144" s="315"/>
      <c r="BW144" s="3"/>
      <c r="BX144" s="3"/>
      <c r="BY144" s="3"/>
      <c r="BZ144" s="3"/>
    </row>
    <row r="145" spans="1:78" ht="15.6" outlineLevel="1">
      <c r="A145" s="7"/>
      <c r="B145" s="370"/>
      <c r="C145" s="355"/>
      <c r="D145" s="356"/>
      <c r="E145" s="342"/>
      <c r="F145" s="290"/>
      <c r="G145" s="357">
        <v>0</v>
      </c>
      <c r="H145" s="358">
        <v>0</v>
      </c>
      <c r="I145" s="358">
        <v>0</v>
      </c>
      <c r="J145" s="359">
        <f t="shared" si="128"/>
        <v>0</v>
      </c>
      <c r="K145" s="290"/>
      <c r="L145" s="349"/>
      <c r="M145" s="7"/>
      <c r="N145" s="12"/>
      <c r="O145" s="12"/>
      <c r="P145" s="12"/>
      <c r="Q145" s="361"/>
      <c r="R145" s="362"/>
      <c r="S145" s="363">
        <f t="shared" si="139"/>
        <v>0</v>
      </c>
      <c r="T145" s="364">
        <f t="shared" ref="T145" si="141">IF(ISBLANK($P145),0,IF(Approach="Team-Based",$Q145*$R145*$S145*HoursPerDayTeamBased,$J145))</f>
        <v>0</v>
      </c>
      <c r="U145" s="365">
        <v>0</v>
      </c>
      <c r="V145" s="91">
        <f>ROUNDUP(IFERROR(INDEX(CostRateTbl[Cost Rate],MATCH(_xlfn.CONCAT(N145,O145,P145,"NA"),CostRateTbl[KeyCostRate],0)),0)*BillingCurrencyTRM*(1+U145),2)</f>
        <v>0</v>
      </c>
      <c r="W145" s="92">
        <f t="shared" si="120"/>
        <v>0</v>
      </c>
      <c r="X145" s="366" t="e" cm="1">
        <f t="array" ref="X145">_xlfn.LET(
    _xlpm.valor, INDEX(CostRate!H:H, MATCH(1, (CostRate!A:A=N145)*1, 0)),
    _xlpm.posicion, MATCH(_xlpm.valor, FilterSL!$F$1:$Z$1, 0),
    _xlpm.direccionCompleta, ADDRESS(1, _xlpm.posicion + 5, 4),
    _xlpm.letraColumna, SUBSTITUTE(_xlpm.direccionCompleta, "1", ""),
    _xlpm.letraColumna
)</f>
        <v>#N/A</v>
      </c>
      <c r="Y145" s="366" t="e" cm="1">
        <f t="array" ref="Y145">_xlfn.LET(
    _xlpm.valor, INDEX(CostRate!I:I, MATCH(1, (CostRate!A:A=N145)*(CostRate!B:B=O145), 0)),
    _xlpm.posicion, MATCH(_xlpm.valor, FilterJP!$E$1:$FZ$1, 0),
    _xlpm.direccionCompleta, ADDRESS(1, _xlpm.posicion + 4, 4),
    _xlpm.letraColumna, SUBSTITUTE(_xlpm.direccionCompleta, "1", ""),
    _xlpm.letraColumna
)</f>
        <v>#N/A</v>
      </c>
      <c r="Z145" s="7"/>
      <c r="AA145" s="367"/>
      <c r="AB145" s="7"/>
      <c r="AC145" s="93">
        <f t="shared" si="121"/>
        <v>0</v>
      </c>
      <c r="AD145" s="94">
        <f t="shared" si="130"/>
        <v>0</v>
      </c>
      <c r="AE145" s="109">
        <f t="shared" si="131"/>
        <v>0</v>
      </c>
      <c r="AF145" s="7"/>
      <c r="AG145" s="369">
        <f t="shared" si="122"/>
        <v>0</v>
      </c>
      <c r="AH145" s="368">
        <f t="shared" si="123"/>
        <v>0</v>
      </c>
      <c r="AI145" s="7"/>
      <c r="AJ145" s="369" cm="1">
        <f t="array" ref="AJ145">IFERROR(INDEX(WHT!$C$7:$W$18,MATCH(
_xlfn.SWITCH(N145,"xDC Medellin","Colombia","xDC Belo Horizonte","Brazil","xDC Guadalajara","Mexico","xDC Gurugram","India","xDC Leon","Spain","xDC San Jose","Costa Rica","xDC Warsaw","Poland",N145),
WHT!$B$7:$B$18,0),MATCH(CustomerCountry,WHT!$C$5:$W$5,0)),0)</f>
        <v>0</v>
      </c>
      <c r="AK145" s="368">
        <f t="shared" si="124"/>
        <v>0</v>
      </c>
      <c r="AL145" s="7"/>
      <c r="AM145" s="95">
        <f t="shared" si="132"/>
        <v>0</v>
      </c>
      <c r="AN145" s="95">
        <f t="shared" ca="1" si="125"/>
        <v>0</v>
      </c>
      <c r="AO145" s="95">
        <f t="shared" ca="1" si="133"/>
        <v>0</v>
      </c>
      <c r="AP145" s="90"/>
      <c r="AQ145" s="18"/>
      <c r="AR145" s="290"/>
      <c r="AS145" s="467" t="s">
        <v>133</v>
      </c>
      <c r="AT145" s="501">
        <f t="shared" ca="1" si="126"/>
        <v>0</v>
      </c>
      <c r="AU145" s="502"/>
      <c r="AV145" s="95">
        <f t="shared" ca="1" si="134"/>
        <v>0</v>
      </c>
      <c r="AW145" s="469">
        <f t="shared" ca="1" si="127"/>
        <v>0</v>
      </c>
      <c r="AX145" s="290"/>
      <c r="AY145" s="18"/>
      <c r="AZ145" s="3"/>
      <c r="BA145" s="315"/>
      <c r="BB145" s="3"/>
      <c r="BC145" s="3"/>
      <c r="BD145" s="3"/>
      <c r="BE145" s="3"/>
      <c r="BF145" s="18"/>
      <c r="BG145" s="3"/>
      <c r="BH145" s="315"/>
      <c r="BI145" s="3"/>
      <c r="BJ145" s="3"/>
      <c r="BK145" s="3"/>
      <c r="BL145" s="3"/>
      <c r="BM145" s="18"/>
      <c r="BN145" s="3"/>
      <c r="BO145" s="315"/>
      <c r="BP145" s="3"/>
      <c r="BQ145" s="3"/>
      <c r="BR145" s="3"/>
      <c r="BS145" s="3"/>
      <c r="BT145" s="18"/>
      <c r="BU145" s="3"/>
      <c r="BV145" s="315"/>
      <c r="BW145" s="3"/>
      <c r="BX145" s="3"/>
      <c r="BY145" s="3"/>
      <c r="BZ145" s="3"/>
    </row>
    <row r="146" spans="1:78" ht="15.6" outlineLevel="1">
      <c r="A146" s="7"/>
      <c r="B146" s="370"/>
      <c r="C146" s="355"/>
      <c r="D146" s="356"/>
      <c r="E146" s="342"/>
      <c r="F146" s="290"/>
      <c r="G146" s="357">
        <v>0</v>
      </c>
      <c r="H146" s="358">
        <v>0</v>
      </c>
      <c r="I146" s="358">
        <v>0</v>
      </c>
      <c r="J146" s="359">
        <f t="shared" si="128"/>
        <v>0</v>
      </c>
      <c r="K146" s="290"/>
      <c r="L146" s="349"/>
      <c r="M146" s="7"/>
      <c r="N146" s="12"/>
      <c r="O146" s="12"/>
      <c r="P146" s="12"/>
      <c r="Q146" s="361"/>
      <c r="R146" s="362"/>
      <c r="S146" s="363">
        <f t="shared" si="139"/>
        <v>0</v>
      </c>
      <c r="T146" s="364">
        <f t="shared" ref="T146" si="142">IF(ISBLANK($P146),0,IF(Approach="Team-Based",$Q146*$R146*$S146*HoursPerDayTeamBased,$J146))</f>
        <v>0</v>
      </c>
      <c r="U146" s="365">
        <v>0</v>
      </c>
      <c r="V146" s="91">
        <f>ROUNDUP(IFERROR(INDEX(CostRateTbl[Cost Rate],MATCH(_xlfn.CONCAT(N146,O146,P146,"NA"),CostRateTbl[KeyCostRate],0)),0)*BillingCurrencyTRM*(1+U146),2)</f>
        <v>0</v>
      </c>
      <c r="W146" s="92">
        <f t="shared" si="120"/>
        <v>0</v>
      </c>
      <c r="X146" s="366" t="e" cm="1">
        <f t="array" ref="X146">_xlfn.LET(
    _xlpm.valor, INDEX(CostRate!H:H, MATCH(1, (CostRate!A:A=N146)*1, 0)),
    _xlpm.posicion, MATCH(_xlpm.valor, FilterSL!$F$1:$Z$1, 0),
    _xlpm.direccionCompleta, ADDRESS(1, _xlpm.posicion + 5, 4),
    _xlpm.letraColumna, SUBSTITUTE(_xlpm.direccionCompleta, "1", ""),
    _xlpm.letraColumna
)</f>
        <v>#N/A</v>
      </c>
      <c r="Y146" s="366" t="e" cm="1">
        <f t="array" ref="Y146">_xlfn.LET(
    _xlpm.valor, INDEX(CostRate!I:I, MATCH(1, (CostRate!A:A=N146)*(CostRate!B:B=O146), 0)),
    _xlpm.posicion, MATCH(_xlpm.valor, FilterJP!$E$1:$FZ$1, 0),
    _xlpm.direccionCompleta, ADDRESS(1, _xlpm.posicion + 4, 4),
    _xlpm.letraColumna, SUBSTITUTE(_xlpm.direccionCompleta, "1", ""),
    _xlpm.letraColumna
)</f>
        <v>#N/A</v>
      </c>
      <c r="Z146" s="7"/>
      <c r="AA146" s="367"/>
      <c r="AB146" s="7"/>
      <c r="AC146" s="93">
        <f t="shared" si="121"/>
        <v>0</v>
      </c>
      <c r="AD146" s="94">
        <f t="shared" si="130"/>
        <v>0</v>
      </c>
      <c r="AE146" s="109">
        <f t="shared" si="131"/>
        <v>0</v>
      </c>
      <c r="AF146" s="7"/>
      <c r="AG146" s="369">
        <f t="shared" si="122"/>
        <v>0</v>
      </c>
      <c r="AH146" s="368">
        <f t="shared" si="123"/>
        <v>0</v>
      </c>
      <c r="AI146" s="7"/>
      <c r="AJ146" s="369" cm="1">
        <f t="array" ref="AJ146">IFERROR(INDEX(WHT!$C$7:$W$18,MATCH(
_xlfn.SWITCH(N146,"xDC Medellin","Colombia","xDC Belo Horizonte","Brazil","xDC Guadalajara","Mexico","xDC Gurugram","India","xDC Leon","Spain","xDC San Jose","Costa Rica","xDC Warsaw","Poland",N146),
WHT!$B$7:$B$18,0),MATCH(CustomerCountry,WHT!$C$5:$W$5,0)),0)</f>
        <v>0</v>
      </c>
      <c r="AK146" s="368">
        <f t="shared" si="124"/>
        <v>0</v>
      </c>
      <c r="AL146" s="7"/>
      <c r="AM146" s="95">
        <f t="shared" si="132"/>
        <v>0</v>
      </c>
      <c r="AN146" s="95">
        <f t="shared" ca="1" si="125"/>
        <v>0</v>
      </c>
      <c r="AO146" s="95">
        <f t="shared" ca="1" si="133"/>
        <v>0</v>
      </c>
      <c r="AP146" s="90"/>
      <c r="AQ146" s="18"/>
      <c r="AR146" s="290"/>
      <c r="AS146" s="467" t="s">
        <v>133</v>
      </c>
      <c r="AT146" s="501">
        <f t="shared" ca="1" si="126"/>
        <v>0</v>
      </c>
      <c r="AU146" s="502"/>
      <c r="AV146" s="95">
        <f t="shared" ca="1" si="134"/>
        <v>0</v>
      </c>
      <c r="AW146" s="469">
        <f t="shared" ca="1" si="127"/>
        <v>0</v>
      </c>
      <c r="AX146" s="290"/>
      <c r="AY146" s="18"/>
      <c r="AZ146" s="3"/>
      <c r="BA146" s="315"/>
      <c r="BB146" s="3"/>
      <c r="BC146" s="3"/>
      <c r="BD146" s="3"/>
      <c r="BE146" s="3"/>
      <c r="BF146" s="18"/>
      <c r="BG146" s="3"/>
      <c r="BH146" s="315"/>
      <c r="BI146" s="3"/>
      <c r="BJ146" s="3"/>
      <c r="BK146" s="3"/>
      <c r="BL146" s="3"/>
      <c r="BM146" s="18"/>
      <c r="BN146" s="3"/>
      <c r="BO146" s="315"/>
      <c r="BP146" s="3"/>
      <c r="BQ146" s="3"/>
      <c r="BR146" s="3"/>
      <c r="BS146" s="3"/>
      <c r="BT146" s="18"/>
      <c r="BU146" s="3"/>
      <c r="BV146" s="315"/>
      <c r="BW146" s="3"/>
      <c r="BX146" s="3"/>
      <c r="BY146" s="3"/>
      <c r="BZ146" s="3"/>
    </row>
    <row r="147" spans="1:78" ht="15.6" outlineLevel="1">
      <c r="A147" s="7"/>
      <c r="B147" s="370"/>
      <c r="C147" s="355"/>
      <c r="D147" s="356"/>
      <c r="E147" s="342"/>
      <c r="F147" s="290"/>
      <c r="G147" s="357">
        <v>0</v>
      </c>
      <c r="H147" s="358">
        <v>0</v>
      </c>
      <c r="I147" s="358">
        <v>0</v>
      </c>
      <c r="J147" s="359">
        <f t="shared" si="128"/>
        <v>0</v>
      </c>
      <c r="K147" s="290"/>
      <c r="L147" s="349"/>
      <c r="M147" s="7"/>
      <c r="N147" s="12"/>
      <c r="O147" s="12"/>
      <c r="P147" s="12"/>
      <c r="Q147" s="361"/>
      <c r="R147" s="362"/>
      <c r="S147" s="363">
        <f t="shared" si="139"/>
        <v>0</v>
      </c>
      <c r="T147" s="364">
        <f t="shared" ref="T147" si="143">IF(ISBLANK($P147),0,IF(Approach="Team-Based",$Q147*$R147*$S147*HoursPerDayTeamBased,$J147))</f>
        <v>0</v>
      </c>
      <c r="U147" s="365">
        <v>0</v>
      </c>
      <c r="V147" s="91">
        <f>ROUNDUP(IFERROR(INDEX(CostRateTbl[Cost Rate],MATCH(_xlfn.CONCAT(N147,O147,P147,"NA"),CostRateTbl[KeyCostRate],0)),0)*BillingCurrencyTRM*(1+U147),2)</f>
        <v>0</v>
      </c>
      <c r="W147" s="92">
        <f t="shared" si="120"/>
        <v>0</v>
      </c>
      <c r="X147" s="366" t="e" cm="1">
        <f t="array" ref="X147">_xlfn.LET(
    _xlpm.valor, INDEX(CostRate!H:H, MATCH(1, (CostRate!A:A=N147)*1, 0)),
    _xlpm.posicion, MATCH(_xlpm.valor, FilterSL!$F$1:$Z$1, 0),
    _xlpm.direccionCompleta, ADDRESS(1, _xlpm.posicion + 5, 4),
    _xlpm.letraColumna, SUBSTITUTE(_xlpm.direccionCompleta, "1", ""),
    _xlpm.letraColumna
)</f>
        <v>#N/A</v>
      </c>
      <c r="Y147" s="366" t="e" cm="1">
        <f t="array" ref="Y147">_xlfn.LET(
    _xlpm.valor, INDEX(CostRate!I:I, MATCH(1, (CostRate!A:A=N147)*(CostRate!B:B=O147), 0)),
    _xlpm.posicion, MATCH(_xlpm.valor, FilterJP!$E$1:$FZ$1, 0),
    _xlpm.direccionCompleta, ADDRESS(1, _xlpm.posicion + 4, 4),
    _xlpm.letraColumna, SUBSTITUTE(_xlpm.direccionCompleta, "1", ""),
    _xlpm.letraColumna
)</f>
        <v>#N/A</v>
      </c>
      <c r="Z147" s="7"/>
      <c r="AA147" s="367"/>
      <c r="AB147" s="7"/>
      <c r="AC147" s="93">
        <f t="shared" si="121"/>
        <v>0</v>
      </c>
      <c r="AD147" s="94">
        <f t="shared" si="130"/>
        <v>0</v>
      </c>
      <c r="AE147" s="109">
        <f t="shared" si="131"/>
        <v>0</v>
      </c>
      <c r="AF147" s="7"/>
      <c r="AG147" s="369">
        <f t="shared" si="122"/>
        <v>0</v>
      </c>
      <c r="AH147" s="368">
        <f t="shared" si="123"/>
        <v>0</v>
      </c>
      <c r="AI147" s="7"/>
      <c r="AJ147" s="369" cm="1">
        <f t="array" ref="AJ147">IFERROR(INDEX(WHT!$C$7:$W$18,MATCH(
_xlfn.SWITCH(N147,"xDC Medellin","Colombia","xDC Belo Horizonte","Brazil","xDC Guadalajara","Mexico","xDC Gurugram","India","xDC Leon","Spain","xDC San Jose","Costa Rica","xDC Warsaw","Poland",N147),
WHT!$B$7:$B$18,0),MATCH(CustomerCountry,WHT!$C$5:$W$5,0)),0)</f>
        <v>0</v>
      </c>
      <c r="AK147" s="368">
        <f t="shared" si="124"/>
        <v>0</v>
      </c>
      <c r="AL147" s="7"/>
      <c r="AM147" s="95">
        <f t="shared" si="132"/>
        <v>0</v>
      </c>
      <c r="AN147" s="95">
        <f t="shared" ca="1" si="125"/>
        <v>0</v>
      </c>
      <c r="AO147" s="95">
        <f t="shared" ca="1" si="133"/>
        <v>0</v>
      </c>
      <c r="AP147" s="90"/>
      <c r="AQ147" s="18"/>
      <c r="AR147" s="290"/>
      <c r="AS147" s="467" t="s">
        <v>133</v>
      </c>
      <c r="AT147" s="501">
        <f t="shared" ca="1" si="126"/>
        <v>0</v>
      </c>
      <c r="AU147" s="502"/>
      <c r="AV147" s="95">
        <f t="shared" ca="1" si="134"/>
        <v>0</v>
      </c>
      <c r="AW147" s="469">
        <f t="shared" ca="1" si="127"/>
        <v>0</v>
      </c>
      <c r="AX147" s="290"/>
      <c r="AY147" s="18"/>
      <c r="AZ147" s="3"/>
      <c r="BA147" s="315"/>
      <c r="BB147" s="3"/>
      <c r="BC147" s="3"/>
      <c r="BD147" s="3"/>
      <c r="BE147" s="3"/>
      <c r="BF147" s="18"/>
      <c r="BG147" s="3"/>
      <c r="BH147" s="315"/>
      <c r="BI147" s="3"/>
      <c r="BJ147" s="3"/>
      <c r="BK147" s="3"/>
      <c r="BL147" s="3"/>
      <c r="BM147" s="18"/>
      <c r="BN147" s="3"/>
      <c r="BO147" s="315"/>
      <c r="BP147" s="3"/>
      <c r="BQ147" s="3"/>
      <c r="BR147" s="3"/>
      <c r="BS147" s="3"/>
      <c r="BT147" s="18"/>
      <c r="BU147" s="3"/>
      <c r="BV147" s="315"/>
      <c r="BW147" s="3"/>
      <c r="BX147" s="3"/>
      <c r="BY147" s="3"/>
      <c r="BZ147" s="3"/>
    </row>
    <row r="148" spans="1:78" ht="15.6" outlineLevel="1">
      <c r="A148" s="7"/>
      <c r="B148" s="370"/>
      <c r="C148" s="355"/>
      <c r="D148" s="356"/>
      <c r="E148" s="342"/>
      <c r="F148" s="290"/>
      <c r="G148" s="357">
        <v>0</v>
      </c>
      <c r="H148" s="358">
        <v>0</v>
      </c>
      <c r="I148" s="358">
        <v>0</v>
      </c>
      <c r="J148" s="359">
        <f t="shared" si="128"/>
        <v>0</v>
      </c>
      <c r="K148" s="290"/>
      <c r="L148" s="349"/>
      <c r="M148" s="7"/>
      <c r="N148" s="12"/>
      <c r="O148" s="12"/>
      <c r="P148" s="12"/>
      <c r="Q148" s="361"/>
      <c r="R148" s="362"/>
      <c r="S148" s="363">
        <f t="shared" si="139"/>
        <v>0</v>
      </c>
      <c r="T148" s="364">
        <f t="shared" ref="T148" si="144">IF(ISBLANK($P148),0,IF(Approach="Team-Based",$Q148*$R148*$S148*HoursPerDayTeamBased,$J148))</f>
        <v>0</v>
      </c>
      <c r="U148" s="365">
        <v>0</v>
      </c>
      <c r="V148" s="91">
        <f>ROUNDUP(IFERROR(INDEX(CostRateTbl[Cost Rate],MATCH(_xlfn.CONCAT(N148,O148,P148,"NA"),CostRateTbl[KeyCostRate],0)),0)*BillingCurrencyTRM*(1+U148),2)</f>
        <v>0</v>
      </c>
      <c r="W148" s="92">
        <f t="shared" si="120"/>
        <v>0</v>
      </c>
      <c r="X148" s="366" t="e" cm="1">
        <f t="array" ref="X148">_xlfn.LET(
    _xlpm.valor, INDEX(CostRate!H:H, MATCH(1, (CostRate!A:A=N148)*1, 0)),
    _xlpm.posicion, MATCH(_xlpm.valor, FilterSL!$F$1:$Z$1, 0),
    _xlpm.direccionCompleta, ADDRESS(1, _xlpm.posicion + 5, 4),
    _xlpm.letraColumna, SUBSTITUTE(_xlpm.direccionCompleta, "1", ""),
    _xlpm.letraColumna
)</f>
        <v>#N/A</v>
      </c>
      <c r="Y148" s="366" t="e" cm="1">
        <f t="array" ref="Y148">_xlfn.LET(
    _xlpm.valor, INDEX(CostRate!I:I, MATCH(1, (CostRate!A:A=N148)*(CostRate!B:B=O148), 0)),
    _xlpm.posicion, MATCH(_xlpm.valor, FilterJP!$E$1:$FZ$1, 0),
    _xlpm.direccionCompleta, ADDRESS(1, _xlpm.posicion + 4, 4),
    _xlpm.letraColumna, SUBSTITUTE(_xlpm.direccionCompleta, "1", ""),
    _xlpm.letraColumna
)</f>
        <v>#N/A</v>
      </c>
      <c r="Z148" s="7"/>
      <c r="AA148" s="367"/>
      <c r="AB148" s="7"/>
      <c r="AC148" s="93">
        <f t="shared" si="121"/>
        <v>0</v>
      </c>
      <c r="AD148" s="94">
        <f t="shared" si="130"/>
        <v>0</v>
      </c>
      <c r="AE148" s="109">
        <f t="shared" si="131"/>
        <v>0</v>
      </c>
      <c r="AF148" s="7"/>
      <c r="AG148" s="369">
        <f t="shared" si="122"/>
        <v>0</v>
      </c>
      <c r="AH148" s="368">
        <f t="shared" si="123"/>
        <v>0</v>
      </c>
      <c r="AI148" s="7"/>
      <c r="AJ148" s="369" cm="1">
        <f t="array" ref="AJ148">IFERROR(INDEX(WHT!$C$7:$W$18,MATCH(
_xlfn.SWITCH(N148,"xDC Medellin","Colombia","xDC Belo Horizonte","Brazil","xDC Guadalajara","Mexico","xDC Gurugram","India","xDC Leon","Spain","xDC San Jose","Costa Rica","xDC Warsaw","Poland",N148),
WHT!$B$7:$B$18,0),MATCH(CustomerCountry,WHT!$C$5:$W$5,0)),0)</f>
        <v>0</v>
      </c>
      <c r="AK148" s="368">
        <f t="shared" si="124"/>
        <v>0</v>
      </c>
      <c r="AL148" s="7"/>
      <c r="AM148" s="95">
        <f t="shared" si="132"/>
        <v>0</v>
      </c>
      <c r="AN148" s="95">
        <f t="shared" ca="1" si="125"/>
        <v>0</v>
      </c>
      <c r="AO148" s="95">
        <f t="shared" ca="1" si="133"/>
        <v>0</v>
      </c>
      <c r="AP148" s="90"/>
      <c r="AQ148" s="18"/>
      <c r="AR148" s="290"/>
      <c r="AS148" s="467" t="s">
        <v>133</v>
      </c>
      <c r="AT148" s="501">
        <f t="shared" ca="1" si="126"/>
        <v>0</v>
      </c>
      <c r="AU148" s="502"/>
      <c r="AV148" s="95">
        <f t="shared" ca="1" si="134"/>
        <v>0</v>
      </c>
      <c r="AW148" s="469">
        <f t="shared" ca="1" si="127"/>
        <v>0</v>
      </c>
      <c r="AX148" s="290"/>
      <c r="AY148" s="18"/>
      <c r="AZ148" s="3"/>
      <c r="BA148" s="315"/>
      <c r="BB148" s="3"/>
      <c r="BC148" s="3"/>
      <c r="BD148" s="3"/>
      <c r="BE148" s="3"/>
      <c r="BF148" s="18"/>
      <c r="BG148" s="3"/>
      <c r="BH148" s="315"/>
      <c r="BI148" s="3"/>
      <c r="BJ148" s="3"/>
      <c r="BK148" s="3"/>
      <c r="BL148" s="3"/>
      <c r="BM148" s="18"/>
      <c r="BN148" s="3"/>
      <c r="BO148" s="315"/>
      <c r="BP148" s="3"/>
      <c r="BQ148" s="3"/>
      <c r="BR148" s="3"/>
      <c r="BS148" s="3"/>
      <c r="BT148" s="18"/>
      <c r="BU148" s="3"/>
      <c r="BV148" s="315"/>
      <c r="BW148" s="3"/>
      <c r="BX148" s="3"/>
      <c r="BY148" s="3"/>
      <c r="BZ148" s="3"/>
    </row>
    <row r="149" spans="1:78" ht="15.6" outlineLevel="1">
      <c r="A149" s="7"/>
      <c r="B149" s="370"/>
      <c r="C149" s="355"/>
      <c r="D149" s="356"/>
      <c r="E149" s="342"/>
      <c r="F149" s="290"/>
      <c r="G149" s="357">
        <v>0</v>
      </c>
      <c r="H149" s="358">
        <v>0</v>
      </c>
      <c r="I149" s="358">
        <v>0</v>
      </c>
      <c r="J149" s="359">
        <f t="shared" si="128"/>
        <v>0</v>
      </c>
      <c r="K149" s="290"/>
      <c r="L149" s="349"/>
      <c r="M149" s="7"/>
      <c r="N149" s="12"/>
      <c r="O149" s="12"/>
      <c r="P149" s="12"/>
      <c r="Q149" s="361"/>
      <c r="R149" s="362"/>
      <c r="S149" s="363">
        <f t="shared" si="139"/>
        <v>0</v>
      </c>
      <c r="T149" s="364">
        <f t="shared" ref="T149" si="145">IF(ISBLANK($P149),0,IF(Approach="Team-Based",$Q149*$R149*$S149*HoursPerDayTeamBased,$J149))</f>
        <v>0</v>
      </c>
      <c r="U149" s="365">
        <v>0</v>
      </c>
      <c r="V149" s="91">
        <f>ROUNDUP(IFERROR(INDEX(CostRateTbl[Cost Rate],MATCH(_xlfn.CONCAT(N149,O149,P149,"NA"),CostRateTbl[KeyCostRate],0)),0)*BillingCurrencyTRM*(1+U149),2)</f>
        <v>0</v>
      </c>
      <c r="W149" s="92">
        <f t="shared" si="120"/>
        <v>0</v>
      </c>
      <c r="X149" s="366" t="e" cm="1">
        <f t="array" ref="X149">_xlfn.LET(
    _xlpm.valor, INDEX(CostRate!H:H, MATCH(1, (CostRate!A:A=N149)*1, 0)),
    _xlpm.posicion, MATCH(_xlpm.valor, FilterSL!$F$1:$Z$1, 0),
    _xlpm.direccionCompleta, ADDRESS(1, _xlpm.posicion + 5, 4),
    _xlpm.letraColumna, SUBSTITUTE(_xlpm.direccionCompleta, "1", ""),
    _xlpm.letraColumna
)</f>
        <v>#N/A</v>
      </c>
      <c r="Y149" s="366" t="e" cm="1">
        <f t="array" ref="Y149">_xlfn.LET(
    _xlpm.valor, INDEX(CostRate!I:I, MATCH(1, (CostRate!A:A=N149)*(CostRate!B:B=O149), 0)),
    _xlpm.posicion, MATCH(_xlpm.valor, FilterJP!$E$1:$FZ$1, 0),
    _xlpm.direccionCompleta, ADDRESS(1, _xlpm.posicion + 4, 4),
    _xlpm.letraColumna, SUBSTITUTE(_xlpm.direccionCompleta, "1", ""),
    _xlpm.letraColumna
)</f>
        <v>#N/A</v>
      </c>
      <c r="Z149" s="7"/>
      <c r="AA149" s="367"/>
      <c r="AB149" s="7"/>
      <c r="AC149" s="93">
        <f t="shared" si="121"/>
        <v>0</v>
      </c>
      <c r="AD149" s="94">
        <f t="shared" si="130"/>
        <v>0</v>
      </c>
      <c r="AE149" s="109">
        <f t="shared" si="131"/>
        <v>0</v>
      </c>
      <c r="AF149" s="7"/>
      <c r="AG149" s="369">
        <f t="shared" si="122"/>
        <v>0</v>
      </c>
      <c r="AH149" s="368">
        <f t="shared" si="123"/>
        <v>0</v>
      </c>
      <c r="AI149" s="7"/>
      <c r="AJ149" s="369" cm="1">
        <f t="array" ref="AJ149">IFERROR(INDEX(WHT!$C$7:$W$18,MATCH(
_xlfn.SWITCH(N149,"xDC Medellin","Colombia","xDC Belo Horizonte","Brazil","xDC Guadalajara","Mexico","xDC Gurugram","India","xDC Leon","Spain","xDC San Jose","Costa Rica","xDC Warsaw","Poland",N149),
WHT!$B$7:$B$18,0),MATCH(CustomerCountry,WHT!$C$5:$W$5,0)),0)</f>
        <v>0</v>
      </c>
      <c r="AK149" s="368">
        <f t="shared" si="124"/>
        <v>0</v>
      </c>
      <c r="AL149" s="7"/>
      <c r="AM149" s="95">
        <f t="shared" si="132"/>
        <v>0</v>
      </c>
      <c r="AN149" s="95">
        <f t="shared" ca="1" si="125"/>
        <v>0</v>
      </c>
      <c r="AO149" s="95">
        <f t="shared" ca="1" si="133"/>
        <v>0</v>
      </c>
      <c r="AP149" s="90"/>
      <c r="AQ149" s="18"/>
      <c r="AR149" s="290"/>
      <c r="AS149" s="467" t="s">
        <v>133</v>
      </c>
      <c r="AT149" s="501">
        <f t="shared" ca="1" si="126"/>
        <v>0</v>
      </c>
      <c r="AU149" s="502"/>
      <c r="AV149" s="95">
        <f t="shared" ca="1" si="134"/>
        <v>0</v>
      </c>
      <c r="AW149" s="469">
        <f t="shared" ca="1" si="127"/>
        <v>0</v>
      </c>
      <c r="AX149" s="290"/>
      <c r="AY149" s="18"/>
      <c r="AZ149" s="3"/>
      <c r="BA149" s="315"/>
      <c r="BB149" s="3"/>
      <c r="BC149" s="3"/>
      <c r="BD149" s="3"/>
      <c r="BE149" s="3"/>
      <c r="BF149" s="18"/>
      <c r="BG149" s="3"/>
      <c r="BH149" s="315"/>
      <c r="BI149" s="3"/>
      <c r="BJ149" s="3"/>
      <c r="BK149" s="3"/>
      <c r="BL149" s="3"/>
      <c r="BM149" s="18"/>
      <c r="BN149" s="3"/>
      <c r="BO149" s="315"/>
      <c r="BP149" s="3"/>
      <c r="BQ149" s="3"/>
      <c r="BR149" s="3"/>
      <c r="BS149" s="3"/>
      <c r="BT149" s="18"/>
      <c r="BU149" s="3"/>
      <c r="BV149" s="315"/>
      <c r="BW149" s="3"/>
      <c r="BX149" s="3"/>
      <c r="BY149" s="3"/>
      <c r="BZ149" s="3"/>
    </row>
    <row r="150" spans="1:78" ht="15.6" outlineLevel="1">
      <c r="A150" s="7"/>
      <c r="B150" s="370"/>
      <c r="C150" s="355"/>
      <c r="D150" s="356"/>
      <c r="E150" s="342"/>
      <c r="F150" s="290"/>
      <c r="G150" s="357">
        <v>0</v>
      </c>
      <c r="H150" s="358">
        <v>0</v>
      </c>
      <c r="I150" s="358">
        <v>0</v>
      </c>
      <c r="J150" s="359">
        <f t="shared" si="128"/>
        <v>0</v>
      </c>
      <c r="K150" s="290"/>
      <c r="L150" s="349"/>
      <c r="M150" s="7"/>
      <c r="N150" s="12"/>
      <c r="O150" s="12"/>
      <c r="P150" s="12"/>
      <c r="Q150" s="361"/>
      <c r="R150" s="362"/>
      <c r="S150" s="363">
        <f t="shared" si="139"/>
        <v>0</v>
      </c>
      <c r="T150" s="364">
        <f t="shared" ref="T150" si="146">IF(ISBLANK($P150),0,IF(Approach="Team-Based",$Q150*$R150*$S150*HoursPerDayTeamBased,$J150))</f>
        <v>0</v>
      </c>
      <c r="U150" s="365">
        <v>0</v>
      </c>
      <c r="V150" s="91">
        <f>ROUNDUP(IFERROR(INDEX(CostRateTbl[Cost Rate],MATCH(_xlfn.CONCAT(N150,O150,P150,"NA"),CostRateTbl[KeyCostRate],0)),0)*BillingCurrencyTRM*(1+U150),2)</f>
        <v>0</v>
      </c>
      <c r="W150" s="92">
        <f t="shared" si="120"/>
        <v>0</v>
      </c>
      <c r="X150" s="366" t="e" cm="1">
        <f t="array" ref="X150">_xlfn.LET(
    _xlpm.valor, INDEX(CostRate!H:H, MATCH(1, (CostRate!A:A=N150)*1, 0)),
    _xlpm.posicion, MATCH(_xlpm.valor, FilterSL!$F$1:$Z$1, 0),
    _xlpm.direccionCompleta, ADDRESS(1, _xlpm.posicion + 5, 4),
    _xlpm.letraColumna, SUBSTITUTE(_xlpm.direccionCompleta, "1", ""),
    _xlpm.letraColumna
)</f>
        <v>#N/A</v>
      </c>
      <c r="Y150" s="366" t="e" cm="1">
        <f t="array" ref="Y150">_xlfn.LET(
    _xlpm.valor, INDEX(CostRate!I:I, MATCH(1, (CostRate!A:A=N150)*(CostRate!B:B=O150), 0)),
    _xlpm.posicion, MATCH(_xlpm.valor, FilterJP!$E$1:$FZ$1, 0),
    _xlpm.direccionCompleta, ADDRESS(1, _xlpm.posicion + 4, 4),
    _xlpm.letraColumna, SUBSTITUTE(_xlpm.direccionCompleta, "1", ""),
    _xlpm.letraColumna
)</f>
        <v>#N/A</v>
      </c>
      <c r="Z150" s="7"/>
      <c r="AA150" s="367"/>
      <c r="AB150" s="7"/>
      <c r="AC150" s="93">
        <f t="shared" si="121"/>
        <v>0</v>
      </c>
      <c r="AD150" s="94">
        <f t="shared" si="130"/>
        <v>0</v>
      </c>
      <c r="AE150" s="109">
        <f t="shared" si="131"/>
        <v>0</v>
      </c>
      <c r="AF150" s="7"/>
      <c r="AG150" s="369">
        <f t="shared" si="122"/>
        <v>0</v>
      </c>
      <c r="AH150" s="368">
        <f t="shared" si="123"/>
        <v>0</v>
      </c>
      <c r="AI150" s="7"/>
      <c r="AJ150" s="369" cm="1">
        <f t="array" ref="AJ150">IFERROR(INDEX(WHT!$C$7:$W$18,MATCH(
_xlfn.SWITCH(N150,"xDC Medellin","Colombia","xDC Belo Horizonte","Brazil","xDC Guadalajara","Mexico","xDC Gurugram","India","xDC Leon","Spain","xDC San Jose","Costa Rica","xDC Warsaw","Poland",N150),
WHT!$B$7:$B$18,0),MATCH(CustomerCountry,WHT!$C$5:$W$5,0)),0)</f>
        <v>0</v>
      </c>
      <c r="AK150" s="368">
        <f t="shared" si="124"/>
        <v>0</v>
      </c>
      <c r="AL150" s="7"/>
      <c r="AM150" s="95">
        <f t="shared" si="132"/>
        <v>0</v>
      </c>
      <c r="AN150" s="95">
        <f t="shared" ca="1" si="125"/>
        <v>0</v>
      </c>
      <c r="AO150" s="95">
        <f t="shared" ca="1" si="133"/>
        <v>0</v>
      </c>
      <c r="AP150" s="90"/>
      <c r="AQ150" s="18"/>
      <c r="AR150" s="290"/>
      <c r="AS150" s="467" t="s">
        <v>133</v>
      </c>
      <c r="AT150" s="501">
        <f t="shared" ca="1" si="126"/>
        <v>0</v>
      </c>
      <c r="AU150" s="502"/>
      <c r="AV150" s="95">
        <f t="shared" ca="1" si="134"/>
        <v>0</v>
      </c>
      <c r="AW150" s="469">
        <f t="shared" ca="1" si="127"/>
        <v>0</v>
      </c>
      <c r="AX150" s="290"/>
      <c r="AY150" s="18"/>
      <c r="AZ150" s="3"/>
      <c r="BA150" s="315"/>
      <c r="BB150" s="3"/>
      <c r="BC150" s="3"/>
      <c r="BD150" s="3"/>
      <c r="BE150" s="3"/>
      <c r="BF150" s="18"/>
      <c r="BG150" s="3"/>
      <c r="BH150" s="315"/>
      <c r="BI150" s="3"/>
      <c r="BJ150" s="3"/>
      <c r="BK150" s="3"/>
      <c r="BL150" s="3"/>
      <c r="BM150" s="18"/>
      <c r="BN150" s="3"/>
      <c r="BO150" s="315"/>
      <c r="BP150" s="3"/>
      <c r="BQ150" s="3"/>
      <c r="BR150" s="3"/>
      <c r="BS150" s="3"/>
      <c r="BT150" s="18"/>
      <c r="BU150" s="3"/>
      <c r="BV150" s="315"/>
      <c r="BW150" s="3"/>
      <c r="BX150" s="3"/>
      <c r="BY150" s="3"/>
      <c r="BZ150" s="3"/>
    </row>
    <row r="151" spans="1:78" ht="15.6" outlineLevel="1">
      <c r="A151" s="7"/>
      <c r="B151" s="370"/>
      <c r="C151" s="355"/>
      <c r="D151" s="356"/>
      <c r="E151" s="342"/>
      <c r="F151" s="290"/>
      <c r="G151" s="357">
        <v>0</v>
      </c>
      <c r="H151" s="358">
        <v>0</v>
      </c>
      <c r="I151" s="358">
        <v>0</v>
      </c>
      <c r="J151" s="359">
        <f t="shared" si="128"/>
        <v>0</v>
      </c>
      <c r="K151" s="290"/>
      <c r="L151" s="349"/>
      <c r="M151" s="7"/>
      <c r="N151" s="12"/>
      <c r="O151" s="12"/>
      <c r="P151" s="12"/>
      <c r="Q151" s="361"/>
      <c r="R151" s="362"/>
      <c r="S151" s="363">
        <f t="shared" si="139"/>
        <v>0</v>
      </c>
      <c r="T151" s="364">
        <f t="shared" ref="T151" si="147">IF(ISBLANK($P151),0,IF(Approach="Team-Based",$Q151*$R151*$S151*HoursPerDayTeamBased,$J151))</f>
        <v>0</v>
      </c>
      <c r="U151" s="365">
        <v>0</v>
      </c>
      <c r="V151" s="91">
        <f>ROUNDUP(IFERROR(INDEX(CostRateTbl[Cost Rate],MATCH(_xlfn.CONCAT(N151,O151,P151,"NA"),CostRateTbl[KeyCostRate],0)),0)*BillingCurrencyTRM*(1+U151),2)</f>
        <v>0</v>
      </c>
      <c r="W151" s="92">
        <f t="shared" si="120"/>
        <v>0</v>
      </c>
      <c r="X151" s="366" t="e" cm="1">
        <f t="array" ref="X151">_xlfn.LET(
    _xlpm.valor, INDEX(CostRate!H:H, MATCH(1, (CostRate!A:A=N151)*1, 0)),
    _xlpm.posicion, MATCH(_xlpm.valor, FilterSL!$F$1:$Z$1, 0),
    _xlpm.direccionCompleta, ADDRESS(1, _xlpm.posicion + 5, 4),
    _xlpm.letraColumna, SUBSTITUTE(_xlpm.direccionCompleta, "1", ""),
    _xlpm.letraColumna
)</f>
        <v>#N/A</v>
      </c>
      <c r="Y151" s="366" t="e" cm="1">
        <f t="array" ref="Y151">_xlfn.LET(
    _xlpm.valor, INDEX(CostRate!I:I, MATCH(1, (CostRate!A:A=N151)*(CostRate!B:B=O151), 0)),
    _xlpm.posicion, MATCH(_xlpm.valor, FilterJP!$E$1:$FZ$1, 0),
    _xlpm.direccionCompleta, ADDRESS(1, _xlpm.posicion + 4, 4),
    _xlpm.letraColumna, SUBSTITUTE(_xlpm.direccionCompleta, "1", ""),
    _xlpm.letraColumna
)</f>
        <v>#N/A</v>
      </c>
      <c r="Z151" s="7"/>
      <c r="AA151" s="367"/>
      <c r="AB151" s="7"/>
      <c r="AC151" s="93">
        <f t="shared" si="121"/>
        <v>0</v>
      </c>
      <c r="AD151" s="94">
        <f t="shared" si="130"/>
        <v>0</v>
      </c>
      <c r="AE151" s="109">
        <f t="shared" si="131"/>
        <v>0</v>
      </c>
      <c r="AF151" s="7"/>
      <c r="AG151" s="369">
        <f t="shared" si="122"/>
        <v>0</v>
      </c>
      <c r="AH151" s="368">
        <f t="shared" si="123"/>
        <v>0</v>
      </c>
      <c r="AI151" s="7"/>
      <c r="AJ151" s="369" cm="1">
        <f t="array" ref="AJ151">IFERROR(INDEX(WHT!$C$7:$W$18,MATCH(
_xlfn.SWITCH(N151,"xDC Medellin","Colombia","xDC Belo Horizonte","Brazil","xDC Guadalajara","Mexico","xDC Gurugram","India","xDC Leon","Spain","xDC San Jose","Costa Rica","xDC Warsaw","Poland",N151),
WHT!$B$7:$B$18,0),MATCH(CustomerCountry,WHT!$C$5:$W$5,0)),0)</f>
        <v>0</v>
      </c>
      <c r="AK151" s="368">
        <f t="shared" si="124"/>
        <v>0</v>
      </c>
      <c r="AL151" s="7"/>
      <c r="AM151" s="95">
        <f t="shared" si="132"/>
        <v>0</v>
      </c>
      <c r="AN151" s="95">
        <f t="shared" ca="1" si="125"/>
        <v>0</v>
      </c>
      <c r="AO151" s="95">
        <f t="shared" ca="1" si="133"/>
        <v>0</v>
      </c>
      <c r="AP151" s="90"/>
      <c r="AQ151" s="18"/>
      <c r="AR151" s="290"/>
      <c r="AS151" s="467" t="s">
        <v>133</v>
      </c>
      <c r="AT151" s="501">
        <f t="shared" ca="1" si="126"/>
        <v>0</v>
      </c>
      <c r="AU151" s="502"/>
      <c r="AV151" s="95">
        <f t="shared" ca="1" si="134"/>
        <v>0</v>
      </c>
      <c r="AW151" s="469">
        <f t="shared" ca="1" si="127"/>
        <v>0</v>
      </c>
      <c r="AX151" s="290"/>
      <c r="AY151" s="18"/>
      <c r="AZ151" s="3"/>
      <c r="BA151" s="315"/>
      <c r="BB151" s="3"/>
      <c r="BC151" s="3"/>
      <c r="BD151" s="3"/>
      <c r="BE151" s="3"/>
      <c r="BF151" s="18"/>
      <c r="BG151" s="3"/>
      <c r="BH151" s="315"/>
      <c r="BI151" s="3"/>
      <c r="BJ151" s="3"/>
      <c r="BK151" s="3"/>
      <c r="BL151" s="3"/>
      <c r="BM151" s="18"/>
      <c r="BN151" s="3"/>
      <c r="BO151" s="315"/>
      <c r="BP151" s="3"/>
      <c r="BQ151" s="3"/>
      <c r="BR151" s="3"/>
      <c r="BS151" s="3"/>
      <c r="BT151" s="18"/>
      <c r="BU151" s="3"/>
      <c r="BV151" s="315"/>
      <c r="BW151" s="3"/>
      <c r="BX151" s="3"/>
      <c r="BY151" s="3"/>
      <c r="BZ151" s="3"/>
    </row>
    <row r="152" spans="1:78" ht="15.6" outlineLevel="1">
      <c r="A152" s="7"/>
      <c r="B152" s="370"/>
      <c r="C152" s="355"/>
      <c r="D152" s="356"/>
      <c r="E152" s="342"/>
      <c r="F152" s="290"/>
      <c r="G152" s="357">
        <v>0</v>
      </c>
      <c r="H152" s="358">
        <v>0</v>
      </c>
      <c r="I152" s="358">
        <v>0</v>
      </c>
      <c r="J152" s="359">
        <f t="shared" si="128"/>
        <v>0</v>
      </c>
      <c r="K152" s="290"/>
      <c r="L152" s="349"/>
      <c r="M152" s="7"/>
      <c r="N152" s="12"/>
      <c r="O152" s="12"/>
      <c r="P152" s="12"/>
      <c r="Q152" s="361"/>
      <c r="R152" s="362"/>
      <c r="S152" s="363">
        <f t="shared" si="139"/>
        <v>0</v>
      </c>
      <c r="T152" s="364">
        <f t="shared" ref="T152" si="148">IF(ISBLANK($P152),0,IF(Approach="Team-Based",$Q152*$R152*$S152*HoursPerDayTeamBased,$J152))</f>
        <v>0</v>
      </c>
      <c r="U152" s="365">
        <v>0</v>
      </c>
      <c r="V152" s="91">
        <f>ROUNDUP(IFERROR(INDEX(CostRateTbl[Cost Rate],MATCH(_xlfn.CONCAT(N152,O152,P152,"NA"),CostRateTbl[KeyCostRate],0)),0)*BillingCurrencyTRM*(1+U152),2)</f>
        <v>0</v>
      </c>
      <c r="W152" s="92">
        <f t="shared" si="120"/>
        <v>0</v>
      </c>
      <c r="X152" s="366" t="e" cm="1">
        <f t="array" ref="X152">_xlfn.LET(
    _xlpm.valor, INDEX(CostRate!H:H, MATCH(1, (CostRate!A:A=N152)*1, 0)),
    _xlpm.posicion, MATCH(_xlpm.valor, FilterSL!$F$1:$Z$1, 0),
    _xlpm.direccionCompleta, ADDRESS(1, _xlpm.posicion + 5, 4),
    _xlpm.letraColumna, SUBSTITUTE(_xlpm.direccionCompleta, "1", ""),
    _xlpm.letraColumna
)</f>
        <v>#N/A</v>
      </c>
      <c r="Y152" s="366" t="e" cm="1">
        <f t="array" ref="Y152">_xlfn.LET(
    _xlpm.valor, INDEX(CostRate!I:I, MATCH(1, (CostRate!A:A=N152)*(CostRate!B:B=O152), 0)),
    _xlpm.posicion, MATCH(_xlpm.valor, FilterJP!$E$1:$FZ$1, 0),
    _xlpm.direccionCompleta, ADDRESS(1, _xlpm.posicion + 4, 4),
    _xlpm.letraColumna, SUBSTITUTE(_xlpm.direccionCompleta, "1", ""),
    _xlpm.letraColumna
)</f>
        <v>#N/A</v>
      </c>
      <c r="Z152" s="7"/>
      <c r="AA152" s="367"/>
      <c r="AB152" s="7"/>
      <c r="AC152" s="93">
        <f t="shared" si="121"/>
        <v>0</v>
      </c>
      <c r="AD152" s="94">
        <f t="shared" si="130"/>
        <v>0</v>
      </c>
      <c r="AE152" s="109">
        <f t="shared" si="131"/>
        <v>0</v>
      </c>
      <c r="AF152" s="7"/>
      <c r="AG152" s="369">
        <f t="shared" si="122"/>
        <v>0</v>
      </c>
      <c r="AH152" s="368">
        <f t="shared" si="123"/>
        <v>0</v>
      </c>
      <c r="AI152" s="7"/>
      <c r="AJ152" s="369" cm="1">
        <f t="array" ref="AJ152">IFERROR(INDEX(WHT!$C$7:$W$18,MATCH(
_xlfn.SWITCH(N152,"xDC Medellin","Colombia","xDC Belo Horizonte","Brazil","xDC Guadalajara","Mexico","xDC Gurugram","India","xDC Leon","Spain","xDC San Jose","Costa Rica","xDC Warsaw","Poland",N152),
WHT!$B$7:$B$18,0),MATCH(CustomerCountry,WHT!$C$5:$W$5,0)),0)</f>
        <v>0</v>
      </c>
      <c r="AK152" s="368">
        <f t="shared" si="124"/>
        <v>0</v>
      </c>
      <c r="AL152" s="7"/>
      <c r="AM152" s="95">
        <f t="shared" si="132"/>
        <v>0</v>
      </c>
      <c r="AN152" s="95">
        <f t="shared" ca="1" si="125"/>
        <v>0</v>
      </c>
      <c r="AO152" s="95">
        <f t="shared" ca="1" si="133"/>
        <v>0</v>
      </c>
      <c r="AP152" s="90"/>
      <c r="AQ152" s="18"/>
      <c r="AR152" s="290"/>
      <c r="AS152" s="467" t="s">
        <v>133</v>
      </c>
      <c r="AT152" s="501">
        <f t="shared" ca="1" si="126"/>
        <v>0</v>
      </c>
      <c r="AU152" s="502"/>
      <c r="AV152" s="95">
        <f t="shared" ca="1" si="134"/>
        <v>0</v>
      </c>
      <c r="AW152" s="469">
        <f t="shared" ca="1" si="127"/>
        <v>0</v>
      </c>
      <c r="AX152" s="290"/>
      <c r="AY152" s="18"/>
      <c r="AZ152" s="3"/>
      <c r="BA152" s="315"/>
      <c r="BB152" s="3"/>
      <c r="BC152" s="3"/>
      <c r="BD152" s="3"/>
      <c r="BE152" s="3"/>
      <c r="BF152" s="18"/>
      <c r="BG152" s="3"/>
      <c r="BH152" s="315"/>
      <c r="BI152" s="3"/>
      <c r="BJ152" s="3"/>
      <c r="BK152" s="3"/>
      <c r="BL152" s="3"/>
      <c r="BM152" s="18"/>
      <c r="BN152" s="3"/>
      <c r="BO152" s="315"/>
      <c r="BP152" s="3"/>
      <c r="BQ152" s="3"/>
      <c r="BR152" s="3"/>
      <c r="BS152" s="3"/>
      <c r="BT152" s="18"/>
      <c r="BU152" s="3"/>
      <c r="BV152" s="315"/>
      <c r="BW152" s="3"/>
      <c r="BX152" s="3"/>
      <c r="BY152" s="3"/>
      <c r="BZ152" s="3"/>
    </row>
    <row r="153" spans="1:78" ht="15.6" outlineLevel="1">
      <c r="A153" s="7"/>
      <c r="B153" s="370"/>
      <c r="C153" s="355"/>
      <c r="D153" s="356"/>
      <c r="E153" s="342"/>
      <c r="F153" s="290"/>
      <c r="G153" s="357">
        <v>0</v>
      </c>
      <c r="H153" s="358">
        <v>0</v>
      </c>
      <c r="I153" s="358">
        <v>0</v>
      </c>
      <c r="J153" s="359">
        <f t="shared" si="128"/>
        <v>0</v>
      </c>
      <c r="K153" s="290"/>
      <c r="L153" s="349"/>
      <c r="M153" s="7"/>
      <c r="N153" s="12"/>
      <c r="O153" s="12"/>
      <c r="P153" s="12"/>
      <c r="Q153" s="361"/>
      <c r="R153" s="362"/>
      <c r="S153" s="363">
        <f t="shared" si="139"/>
        <v>0</v>
      </c>
      <c r="T153" s="364">
        <f t="shared" ref="T153" si="149">IF(ISBLANK($P153),0,IF(Approach="Team-Based",$Q153*$R153*$S153*HoursPerDayTeamBased,$J153))</f>
        <v>0</v>
      </c>
      <c r="U153" s="365">
        <v>0</v>
      </c>
      <c r="V153" s="91">
        <f>ROUNDUP(IFERROR(INDEX(CostRateTbl[Cost Rate],MATCH(_xlfn.CONCAT(N153,O153,P153,"NA"),CostRateTbl[KeyCostRate],0)),0)*BillingCurrencyTRM*(1+U153),2)</f>
        <v>0</v>
      </c>
      <c r="W153" s="92">
        <f t="shared" si="120"/>
        <v>0</v>
      </c>
      <c r="X153" s="366" t="e" cm="1">
        <f t="array" ref="X153">_xlfn.LET(
    _xlpm.valor, INDEX(CostRate!H:H, MATCH(1, (CostRate!A:A=N153)*1, 0)),
    _xlpm.posicion, MATCH(_xlpm.valor, FilterSL!$F$1:$Z$1, 0),
    _xlpm.direccionCompleta, ADDRESS(1, _xlpm.posicion + 5, 4),
    _xlpm.letraColumna, SUBSTITUTE(_xlpm.direccionCompleta, "1", ""),
    _xlpm.letraColumna
)</f>
        <v>#N/A</v>
      </c>
      <c r="Y153" s="366" t="e" cm="1">
        <f t="array" ref="Y153">_xlfn.LET(
    _xlpm.valor, INDEX(CostRate!I:I, MATCH(1, (CostRate!A:A=N153)*(CostRate!B:B=O153), 0)),
    _xlpm.posicion, MATCH(_xlpm.valor, FilterJP!$E$1:$FZ$1, 0),
    _xlpm.direccionCompleta, ADDRESS(1, _xlpm.posicion + 4, 4),
    _xlpm.letraColumna, SUBSTITUTE(_xlpm.direccionCompleta, "1", ""),
    _xlpm.letraColumna
)</f>
        <v>#N/A</v>
      </c>
      <c r="Z153" s="7"/>
      <c r="AA153" s="367"/>
      <c r="AB153" s="7"/>
      <c r="AC153" s="93">
        <f t="shared" si="121"/>
        <v>0</v>
      </c>
      <c r="AD153" s="94">
        <f t="shared" si="130"/>
        <v>0</v>
      </c>
      <c r="AE153" s="109">
        <f t="shared" si="131"/>
        <v>0</v>
      </c>
      <c r="AF153" s="7"/>
      <c r="AG153" s="369">
        <f t="shared" si="122"/>
        <v>0</v>
      </c>
      <c r="AH153" s="368">
        <f t="shared" si="123"/>
        <v>0</v>
      </c>
      <c r="AI153" s="7"/>
      <c r="AJ153" s="369" cm="1">
        <f t="array" ref="AJ153">IFERROR(INDEX(WHT!$C$7:$W$18,MATCH(
_xlfn.SWITCH(N153,"xDC Medellin","Colombia","xDC Belo Horizonte","Brazil","xDC Guadalajara","Mexico","xDC Gurugram","India","xDC Leon","Spain","xDC San Jose","Costa Rica","xDC Warsaw","Poland",N153),
WHT!$B$7:$B$18,0),MATCH(CustomerCountry,WHT!$C$5:$W$5,0)),0)</f>
        <v>0</v>
      </c>
      <c r="AK153" s="368">
        <f t="shared" si="124"/>
        <v>0</v>
      </c>
      <c r="AL153" s="7"/>
      <c r="AM153" s="95">
        <f t="shared" si="132"/>
        <v>0</v>
      </c>
      <c r="AN153" s="95">
        <f t="shared" ca="1" si="125"/>
        <v>0</v>
      </c>
      <c r="AO153" s="95">
        <f t="shared" ca="1" si="133"/>
        <v>0</v>
      </c>
      <c r="AP153" s="90"/>
      <c r="AQ153" s="18"/>
      <c r="AR153" s="290"/>
      <c r="AS153" s="467" t="s">
        <v>133</v>
      </c>
      <c r="AT153" s="501">
        <f t="shared" ca="1" si="126"/>
        <v>0</v>
      </c>
      <c r="AU153" s="502"/>
      <c r="AV153" s="95">
        <f t="shared" ca="1" si="134"/>
        <v>0</v>
      </c>
      <c r="AW153" s="469">
        <f t="shared" ca="1" si="127"/>
        <v>0</v>
      </c>
      <c r="AX153" s="290"/>
      <c r="AY153" s="18"/>
      <c r="AZ153" s="3"/>
      <c r="BA153" s="315"/>
      <c r="BB153" s="3"/>
      <c r="BC153" s="3"/>
      <c r="BD153" s="3"/>
      <c r="BE153" s="3"/>
      <c r="BF153" s="18"/>
      <c r="BG153" s="3"/>
      <c r="BH153" s="315"/>
      <c r="BI153" s="3"/>
      <c r="BJ153" s="3"/>
      <c r="BK153" s="3"/>
      <c r="BL153" s="3"/>
      <c r="BM153" s="18"/>
      <c r="BN153" s="3"/>
      <c r="BO153" s="315"/>
      <c r="BP153" s="3"/>
      <c r="BQ153" s="3"/>
      <c r="BR153" s="3"/>
      <c r="BS153" s="3"/>
      <c r="BT153" s="18"/>
      <c r="BU153" s="3"/>
      <c r="BV153" s="315"/>
      <c r="BW153" s="3"/>
      <c r="BX153" s="3"/>
      <c r="BY153" s="3"/>
      <c r="BZ153" s="3"/>
    </row>
    <row r="154" spans="1:78" ht="15.6" outlineLevel="1">
      <c r="A154" s="7"/>
      <c r="B154" s="370"/>
      <c r="C154" s="355"/>
      <c r="D154" s="356"/>
      <c r="E154" s="342"/>
      <c r="F154" s="290"/>
      <c r="G154" s="357">
        <v>0</v>
      </c>
      <c r="H154" s="358">
        <v>0</v>
      </c>
      <c r="I154" s="358">
        <v>0</v>
      </c>
      <c r="J154" s="359">
        <f t="shared" si="128"/>
        <v>0</v>
      </c>
      <c r="K154" s="290"/>
      <c r="L154" s="349"/>
      <c r="M154" s="7"/>
      <c r="N154" s="12"/>
      <c r="O154" s="12"/>
      <c r="P154" s="12"/>
      <c r="Q154" s="361"/>
      <c r="R154" s="362"/>
      <c r="S154" s="363">
        <f t="shared" si="139"/>
        <v>0</v>
      </c>
      <c r="T154" s="364">
        <f t="shared" ref="T154" si="150">IF(ISBLANK($P154),0,IF(Approach="Team-Based",$Q154*$R154*$S154*HoursPerDayTeamBased,$J154))</f>
        <v>0</v>
      </c>
      <c r="U154" s="365">
        <v>0</v>
      </c>
      <c r="V154" s="91">
        <f>ROUNDUP(IFERROR(INDEX(CostRateTbl[Cost Rate],MATCH(_xlfn.CONCAT(N154,O154,P154,"NA"),CostRateTbl[KeyCostRate],0)),0)*BillingCurrencyTRM*(1+U154),2)</f>
        <v>0</v>
      </c>
      <c r="W154" s="92">
        <f t="shared" si="120"/>
        <v>0</v>
      </c>
      <c r="X154" s="366" t="e" cm="1">
        <f t="array" ref="X154">_xlfn.LET(
    _xlpm.valor, INDEX(CostRate!H:H, MATCH(1, (CostRate!A:A=N154)*1, 0)),
    _xlpm.posicion, MATCH(_xlpm.valor, FilterSL!$F$1:$Z$1, 0),
    _xlpm.direccionCompleta, ADDRESS(1, _xlpm.posicion + 5, 4),
    _xlpm.letraColumna, SUBSTITUTE(_xlpm.direccionCompleta, "1", ""),
    _xlpm.letraColumna
)</f>
        <v>#N/A</v>
      </c>
      <c r="Y154" s="366" t="e" cm="1">
        <f t="array" ref="Y154">_xlfn.LET(
    _xlpm.valor, INDEX(CostRate!I:I, MATCH(1, (CostRate!A:A=N154)*(CostRate!B:B=O154), 0)),
    _xlpm.posicion, MATCH(_xlpm.valor, FilterJP!$E$1:$FZ$1, 0),
    _xlpm.direccionCompleta, ADDRESS(1, _xlpm.posicion + 4, 4),
    _xlpm.letraColumna, SUBSTITUTE(_xlpm.direccionCompleta, "1", ""),
    _xlpm.letraColumna
)</f>
        <v>#N/A</v>
      </c>
      <c r="Z154" s="7"/>
      <c r="AA154" s="367"/>
      <c r="AB154" s="7"/>
      <c r="AC154" s="93">
        <f t="shared" si="121"/>
        <v>0</v>
      </c>
      <c r="AD154" s="94">
        <f t="shared" si="130"/>
        <v>0</v>
      </c>
      <c r="AE154" s="109">
        <f t="shared" si="131"/>
        <v>0</v>
      </c>
      <c r="AF154" s="7"/>
      <c r="AG154" s="369">
        <f t="shared" si="122"/>
        <v>0</v>
      </c>
      <c r="AH154" s="368">
        <f t="shared" si="123"/>
        <v>0</v>
      </c>
      <c r="AI154" s="7"/>
      <c r="AJ154" s="369" cm="1">
        <f t="array" ref="AJ154">IFERROR(INDEX(WHT!$C$7:$W$18,MATCH(
_xlfn.SWITCH(N154,"xDC Medellin","Colombia","xDC Belo Horizonte","Brazil","xDC Guadalajara","Mexico","xDC Gurugram","India","xDC Leon","Spain","xDC San Jose","Costa Rica","xDC Warsaw","Poland",N154),
WHT!$B$7:$B$18,0),MATCH(CustomerCountry,WHT!$C$5:$W$5,0)),0)</f>
        <v>0</v>
      </c>
      <c r="AK154" s="368">
        <f t="shared" si="124"/>
        <v>0</v>
      </c>
      <c r="AL154" s="7"/>
      <c r="AM154" s="95">
        <f t="shared" si="132"/>
        <v>0</v>
      </c>
      <c r="AN154" s="95">
        <f t="shared" ca="1" si="125"/>
        <v>0</v>
      </c>
      <c r="AO154" s="95">
        <f t="shared" ca="1" si="133"/>
        <v>0</v>
      </c>
      <c r="AP154" s="90"/>
      <c r="AQ154" s="18"/>
      <c r="AR154" s="290"/>
      <c r="AS154" s="467" t="s">
        <v>133</v>
      </c>
      <c r="AT154" s="501">
        <f t="shared" ca="1" si="126"/>
        <v>0</v>
      </c>
      <c r="AU154" s="502"/>
      <c r="AV154" s="95">
        <f t="shared" ca="1" si="134"/>
        <v>0</v>
      </c>
      <c r="AW154" s="469">
        <f t="shared" ca="1" si="127"/>
        <v>0</v>
      </c>
      <c r="AX154" s="290"/>
      <c r="AY154" s="18"/>
      <c r="AZ154" s="3"/>
      <c r="BA154" s="315"/>
      <c r="BB154" s="3"/>
      <c r="BC154" s="3"/>
      <c r="BD154" s="3"/>
      <c r="BE154" s="3"/>
      <c r="BF154" s="18"/>
      <c r="BG154" s="3"/>
      <c r="BH154" s="315"/>
      <c r="BI154" s="3"/>
      <c r="BJ154" s="3"/>
      <c r="BK154" s="3"/>
      <c r="BL154" s="3"/>
      <c r="BM154" s="18"/>
      <c r="BN154" s="3"/>
      <c r="BO154" s="315"/>
      <c r="BP154" s="3"/>
      <c r="BQ154" s="3"/>
      <c r="BR154" s="3"/>
      <c r="BS154" s="3"/>
      <c r="BT154" s="18"/>
      <c r="BU154" s="3"/>
      <c r="BV154" s="315"/>
      <c r="BW154" s="3"/>
      <c r="BX154" s="3"/>
      <c r="BY154" s="3"/>
      <c r="BZ154" s="3"/>
    </row>
    <row r="155" spans="1:78" ht="15.6" outlineLevel="1">
      <c r="A155" s="7"/>
      <c r="B155" s="370"/>
      <c r="C155" s="355"/>
      <c r="D155" s="356"/>
      <c r="E155" s="342"/>
      <c r="F155" s="290"/>
      <c r="G155" s="357">
        <v>0</v>
      </c>
      <c r="H155" s="358">
        <v>0</v>
      </c>
      <c r="I155" s="358">
        <v>0</v>
      </c>
      <c r="J155" s="359">
        <f t="shared" si="128"/>
        <v>0</v>
      </c>
      <c r="K155" s="290"/>
      <c r="L155" s="349"/>
      <c r="M155" s="7"/>
      <c r="N155" s="12"/>
      <c r="O155" s="12"/>
      <c r="P155" s="12"/>
      <c r="Q155" s="361"/>
      <c r="R155" s="362"/>
      <c r="S155" s="363">
        <f t="shared" si="139"/>
        <v>0</v>
      </c>
      <c r="T155" s="364">
        <f t="shared" ref="T155" si="151">IF(ISBLANK($P155),0,IF(Approach="Team-Based",$Q155*$R155*$S155*HoursPerDayTeamBased,$J155))</f>
        <v>0</v>
      </c>
      <c r="U155" s="365">
        <v>0</v>
      </c>
      <c r="V155" s="91">
        <f>ROUNDUP(IFERROR(INDEX(CostRateTbl[Cost Rate],MATCH(_xlfn.CONCAT(N155,O155,P155,"NA"),CostRateTbl[KeyCostRate],0)),0)*BillingCurrencyTRM*(1+U155),2)</f>
        <v>0</v>
      </c>
      <c r="W155" s="92">
        <f t="shared" si="120"/>
        <v>0</v>
      </c>
      <c r="X155" s="366" t="e" cm="1">
        <f t="array" ref="X155">_xlfn.LET(
    _xlpm.valor, INDEX(CostRate!H:H, MATCH(1, (CostRate!A:A=N155)*1, 0)),
    _xlpm.posicion, MATCH(_xlpm.valor, FilterSL!$F$1:$Z$1, 0),
    _xlpm.direccionCompleta, ADDRESS(1, _xlpm.posicion + 5, 4),
    _xlpm.letraColumna, SUBSTITUTE(_xlpm.direccionCompleta, "1", ""),
    _xlpm.letraColumna
)</f>
        <v>#N/A</v>
      </c>
      <c r="Y155" s="366" t="e" cm="1">
        <f t="array" ref="Y155">_xlfn.LET(
    _xlpm.valor, INDEX(CostRate!I:I, MATCH(1, (CostRate!A:A=N155)*(CostRate!B:B=O155), 0)),
    _xlpm.posicion, MATCH(_xlpm.valor, FilterJP!$E$1:$FZ$1, 0),
    _xlpm.direccionCompleta, ADDRESS(1, _xlpm.posicion + 4, 4),
    _xlpm.letraColumna, SUBSTITUTE(_xlpm.direccionCompleta, "1", ""),
    _xlpm.letraColumna
)</f>
        <v>#N/A</v>
      </c>
      <c r="Z155" s="7"/>
      <c r="AA155" s="367"/>
      <c r="AB155" s="7"/>
      <c r="AC155" s="93">
        <f t="shared" si="121"/>
        <v>0</v>
      </c>
      <c r="AD155" s="94">
        <f t="shared" si="130"/>
        <v>0</v>
      </c>
      <c r="AE155" s="109">
        <f t="shared" si="131"/>
        <v>0</v>
      </c>
      <c r="AF155" s="7"/>
      <c r="AG155" s="369">
        <f t="shared" si="122"/>
        <v>0</v>
      </c>
      <c r="AH155" s="368">
        <f t="shared" si="123"/>
        <v>0</v>
      </c>
      <c r="AI155" s="7"/>
      <c r="AJ155" s="369" cm="1">
        <f t="array" ref="AJ155">IFERROR(INDEX(WHT!$C$7:$W$18,MATCH(
_xlfn.SWITCH(N155,"xDC Medellin","Colombia","xDC Belo Horizonte","Brazil","xDC Guadalajara","Mexico","xDC Gurugram","India","xDC Leon","Spain","xDC San Jose","Costa Rica","xDC Warsaw","Poland",N155),
WHT!$B$7:$B$18,0),MATCH(CustomerCountry,WHT!$C$5:$W$5,0)),0)</f>
        <v>0</v>
      </c>
      <c r="AK155" s="368">
        <f t="shared" si="124"/>
        <v>0</v>
      </c>
      <c r="AL155" s="7"/>
      <c r="AM155" s="95">
        <f t="shared" si="132"/>
        <v>0</v>
      </c>
      <c r="AN155" s="95">
        <f t="shared" ca="1" si="125"/>
        <v>0</v>
      </c>
      <c r="AO155" s="95">
        <f t="shared" ca="1" si="133"/>
        <v>0</v>
      </c>
      <c r="AP155" s="90"/>
      <c r="AQ155" s="18"/>
      <c r="AR155" s="290"/>
      <c r="AS155" s="467" t="s">
        <v>133</v>
      </c>
      <c r="AT155" s="501">
        <f t="shared" ca="1" si="126"/>
        <v>0</v>
      </c>
      <c r="AU155" s="502"/>
      <c r="AV155" s="95">
        <f t="shared" ca="1" si="134"/>
        <v>0</v>
      </c>
      <c r="AW155" s="469">
        <f t="shared" ca="1" si="127"/>
        <v>0</v>
      </c>
      <c r="AX155" s="290"/>
      <c r="AY155" s="18"/>
      <c r="AZ155" s="3"/>
      <c r="BA155" s="315"/>
      <c r="BB155" s="3"/>
      <c r="BC155" s="3"/>
      <c r="BD155" s="3"/>
      <c r="BE155" s="3"/>
      <c r="BF155" s="18"/>
      <c r="BG155" s="3"/>
      <c r="BH155" s="315"/>
      <c r="BI155" s="3"/>
      <c r="BJ155" s="3"/>
      <c r="BK155" s="3"/>
      <c r="BL155" s="3"/>
      <c r="BM155" s="18"/>
      <c r="BN155" s="3"/>
      <c r="BO155" s="315"/>
      <c r="BP155" s="3"/>
      <c r="BQ155" s="3"/>
      <c r="BR155" s="3"/>
      <c r="BS155" s="3"/>
      <c r="BT155" s="18"/>
      <c r="BU155" s="3"/>
      <c r="BV155" s="315"/>
      <c r="BW155" s="3"/>
      <c r="BX155" s="3"/>
      <c r="BY155" s="3"/>
      <c r="BZ155" s="3"/>
    </row>
    <row r="156" spans="1:78" ht="15.6" outlineLevel="1">
      <c r="A156" s="7"/>
      <c r="B156" s="370"/>
      <c r="C156" s="355"/>
      <c r="D156" s="356"/>
      <c r="E156" s="342"/>
      <c r="F156" s="290"/>
      <c r="G156" s="357">
        <v>0</v>
      </c>
      <c r="H156" s="358">
        <v>0</v>
      </c>
      <c r="I156" s="358">
        <v>0</v>
      </c>
      <c r="J156" s="359">
        <f t="shared" si="128"/>
        <v>0</v>
      </c>
      <c r="K156" s="290"/>
      <c r="L156" s="349"/>
      <c r="M156" s="7"/>
      <c r="N156" s="12"/>
      <c r="O156" s="12"/>
      <c r="P156" s="12"/>
      <c r="Q156" s="361"/>
      <c r="R156" s="362"/>
      <c r="S156" s="363">
        <f t="shared" si="139"/>
        <v>0</v>
      </c>
      <c r="T156" s="364">
        <f t="shared" ref="T156" si="152">IF(ISBLANK($P156),0,IF(Approach="Team-Based",$Q156*$R156*$S156*HoursPerDayTeamBased,$J156))</f>
        <v>0</v>
      </c>
      <c r="U156" s="365">
        <v>0</v>
      </c>
      <c r="V156" s="91">
        <f>ROUNDUP(IFERROR(INDEX(CostRateTbl[Cost Rate],MATCH(_xlfn.CONCAT(N156,O156,P156,"NA"),CostRateTbl[KeyCostRate],0)),0)*BillingCurrencyTRM*(1+U156),2)</f>
        <v>0</v>
      </c>
      <c r="W156" s="92">
        <f t="shared" si="120"/>
        <v>0</v>
      </c>
      <c r="X156" s="366" t="e" cm="1">
        <f t="array" ref="X156">_xlfn.LET(
    _xlpm.valor, INDEX(CostRate!H:H, MATCH(1, (CostRate!A:A=N156)*1, 0)),
    _xlpm.posicion, MATCH(_xlpm.valor, FilterSL!$F$1:$Z$1, 0),
    _xlpm.direccionCompleta, ADDRESS(1, _xlpm.posicion + 5, 4),
    _xlpm.letraColumna, SUBSTITUTE(_xlpm.direccionCompleta, "1", ""),
    _xlpm.letraColumna
)</f>
        <v>#N/A</v>
      </c>
      <c r="Y156" s="366" t="e" cm="1">
        <f t="array" ref="Y156">_xlfn.LET(
    _xlpm.valor, INDEX(CostRate!I:I, MATCH(1, (CostRate!A:A=N156)*(CostRate!B:B=O156), 0)),
    _xlpm.posicion, MATCH(_xlpm.valor, FilterJP!$E$1:$FZ$1, 0),
    _xlpm.direccionCompleta, ADDRESS(1, _xlpm.posicion + 4, 4),
    _xlpm.letraColumna, SUBSTITUTE(_xlpm.direccionCompleta, "1", ""),
    _xlpm.letraColumna
)</f>
        <v>#N/A</v>
      </c>
      <c r="Z156" s="7"/>
      <c r="AA156" s="367"/>
      <c r="AB156" s="7"/>
      <c r="AC156" s="93">
        <f t="shared" si="121"/>
        <v>0</v>
      </c>
      <c r="AD156" s="94">
        <f t="shared" si="130"/>
        <v>0</v>
      </c>
      <c r="AE156" s="109">
        <f t="shared" si="131"/>
        <v>0</v>
      </c>
      <c r="AF156" s="7"/>
      <c r="AG156" s="369">
        <f t="shared" si="122"/>
        <v>0</v>
      </c>
      <c r="AH156" s="368">
        <f t="shared" si="123"/>
        <v>0</v>
      </c>
      <c r="AI156" s="7"/>
      <c r="AJ156" s="369" cm="1">
        <f t="array" ref="AJ156">IFERROR(INDEX(WHT!$C$7:$W$18,MATCH(
_xlfn.SWITCH(N156,"xDC Medellin","Colombia","xDC Belo Horizonte","Brazil","xDC Guadalajara","Mexico","xDC Gurugram","India","xDC Leon","Spain","xDC San Jose","Costa Rica","xDC Warsaw","Poland",N156),
WHT!$B$7:$B$18,0),MATCH(CustomerCountry,WHT!$C$5:$W$5,0)),0)</f>
        <v>0</v>
      </c>
      <c r="AK156" s="368">
        <f t="shared" si="124"/>
        <v>0</v>
      </c>
      <c r="AL156" s="7"/>
      <c r="AM156" s="95">
        <f t="shared" si="132"/>
        <v>0</v>
      </c>
      <c r="AN156" s="95">
        <f t="shared" ca="1" si="125"/>
        <v>0</v>
      </c>
      <c r="AO156" s="95">
        <f t="shared" ca="1" si="133"/>
        <v>0</v>
      </c>
      <c r="AP156" s="90"/>
      <c r="AQ156" s="18"/>
      <c r="AR156" s="290"/>
      <c r="AS156" s="467" t="s">
        <v>133</v>
      </c>
      <c r="AT156" s="501">
        <f t="shared" ca="1" si="126"/>
        <v>0</v>
      </c>
      <c r="AU156" s="502"/>
      <c r="AV156" s="95">
        <f t="shared" ca="1" si="134"/>
        <v>0</v>
      </c>
      <c r="AW156" s="469">
        <f t="shared" ca="1" si="127"/>
        <v>0</v>
      </c>
      <c r="AX156" s="290"/>
      <c r="AY156" s="18"/>
      <c r="AZ156" s="3"/>
      <c r="BA156" s="315"/>
      <c r="BB156" s="3"/>
      <c r="BC156" s="3"/>
      <c r="BD156" s="3"/>
      <c r="BE156" s="3"/>
      <c r="BF156" s="18"/>
      <c r="BG156" s="3"/>
      <c r="BH156" s="315"/>
      <c r="BI156" s="3"/>
      <c r="BJ156" s="3"/>
      <c r="BK156" s="3"/>
      <c r="BL156" s="3"/>
      <c r="BM156" s="18"/>
      <c r="BN156" s="3"/>
      <c r="BO156" s="315"/>
      <c r="BP156" s="3"/>
      <c r="BQ156" s="3"/>
      <c r="BR156" s="3"/>
      <c r="BS156" s="3"/>
      <c r="BT156" s="18"/>
      <c r="BU156" s="3"/>
      <c r="BV156" s="315"/>
      <c r="BW156" s="3"/>
      <c r="BX156" s="3"/>
      <c r="BY156" s="3"/>
      <c r="BZ156" s="3"/>
    </row>
    <row r="157" spans="1:78" ht="15.6" outlineLevel="1">
      <c r="A157" s="7"/>
      <c r="B157" s="370"/>
      <c r="C157" s="355"/>
      <c r="D157" s="356"/>
      <c r="E157" s="342"/>
      <c r="F157" s="290"/>
      <c r="G157" s="357">
        <v>0</v>
      </c>
      <c r="H157" s="358">
        <v>0</v>
      </c>
      <c r="I157" s="358">
        <v>0</v>
      </c>
      <c r="J157" s="359">
        <f t="shared" si="128"/>
        <v>0</v>
      </c>
      <c r="K157" s="290"/>
      <c r="L157" s="349"/>
      <c r="M157" s="7"/>
      <c r="N157" s="12"/>
      <c r="O157" s="12"/>
      <c r="P157" s="12"/>
      <c r="Q157" s="361"/>
      <c r="R157" s="362"/>
      <c r="S157" s="363">
        <f t="shared" si="139"/>
        <v>0</v>
      </c>
      <c r="T157" s="364">
        <f t="shared" ref="T157" si="153">IF(ISBLANK($P157),0,IF(Approach="Team-Based",$Q157*$R157*$S157*HoursPerDayTeamBased,$J157))</f>
        <v>0</v>
      </c>
      <c r="U157" s="365">
        <v>0</v>
      </c>
      <c r="V157" s="91">
        <f>ROUNDUP(IFERROR(INDEX(CostRateTbl[Cost Rate],MATCH(_xlfn.CONCAT(N157,O157,P157,"NA"),CostRateTbl[KeyCostRate],0)),0)*BillingCurrencyTRM*(1+U157),2)</f>
        <v>0</v>
      </c>
      <c r="W157" s="92">
        <f t="shared" si="120"/>
        <v>0</v>
      </c>
      <c r="X157" s="366" t="e" cm="1">
        <f t="array" ref="X157">_xlfn.LET(
    _xlpm.valor, INDEX(CostRate!H:H, MATCH(1, (CostRate!A:A=N157)*1, 0)),
    _xlpm.posicion, MATCH(_xlpm.valor, FilterSL!$F$1:$Z$1, 0),
    _xlpm.direccionCompleta, ADDRESS(1, _xlpm.posicion + 5, 4),
    _xlpm.letraColumna, SUBSTITUTE(_xlpm.direccionCompleta, "1", ""),
    _xlpm.letraColumna
)</f>
        <v>#N/A</v>
      </c>
      <c r="Y157" s="366" t="e" cm="1">
        <f t="array" ref="Y157">_xlfn.LET(
    _xlpm.valor, INDEX(CostRate!I:I, MATCH(1, (CostRate!A:A=N157)*(CostRate!B:B=O157), 0)),
    _xlpm.posicion, MATCH(_xlpm.valor, FilterJP!$E$1:$FZ$1, 0),
    _xlpm.direccionCompleta, ADDRESS(1, _xlpm.posicion + 4, 4),
    _xlpm.letraColumna, SUBSTITUTE(_xlpm.direccionCompleta, "1", ""),
    _xlpm.letraColumna
)</f>
        <v>#N/A</v>
      </c>
      <c r="Z157" s="7"/>
      <c r="AA157" s="367"/>
      <c r="AB157" s="7"/>
      <c r="AC157" s="93">
        <f t="shared" si="121"/>
        <v>0</v>
      </c>
      <c r="AD157" s="94">
        <f t="shared" si="130"/>
        <v>0</v>
      </c>
      <c r="AE157" s="109">
        <f t="shared" si="131"/>
        <v>0</v>
      </c>
      <c r="AF157" s="7"/>
      <c r="AG157" s="369">
        <f t="shared" si="122"/>
        <v>0</v>
      </c>
      <c r="AH157" s="368">
        <f t="shared" si="123"/>
        <v>0</v>
      </c>
      <c r="AI157" s="7"/>
      <c r="AJ157" s="369" cm="1">
        <f t="array" ref="AJ157">IFERROR(INDEX(WHT!$C$7:$W$18,MATCH(
_xlfn.SWITCH(N157,"xDC Medellin","Colombia","xDC Belo Horizonte","Brazil","xDC Guadalajara","Mexico","xDC Gurugram","India","xDC Leon","Spain","xDC San Jose","Costa Rica","xDC Warsaw","Poland",N157),
WHT!$B$7:$B$18,0),MATCH(CustomerCountry,WHT!$C$5:$W$5,0)),0)</f>
        <v>0</v>
      </c>
      <c r="AK157" s="368">
        <f t="shared" si="124"/>
        <v>0</v>
      </c>
      <c r="AL157" s="7"/>
      <c r="AM157" s="95">
        <f t="shared" si="132"/>
        <v>0</v>
      </c>
      <c r="AN157" s="95">
        <f t="shared" ca="1" si="125"/>
        <v>0</v>
      </c>
      <c r="AO157" s="95">
        <f t="shared" ca="1" si="133"/>
        <v>0</v>
      </c>
      <c r="AP157" s="90"/>
      <c r="AQ157" s="18"/>
      <c r="AR157" s="290"/>
      <c r="AS157" s="467" t="s">
        <v>133</v>
      </c>
      <c r="AT157" s="501">
        <f t="shared" ca="1" si="126"/>
        <v>0</v>
      </c>
      <c r="AU157" s="502"/>
      <c r="AV157" s="95">
        <f t="shared" ca="1" si="134"/>
        <v>0</v>
      </c>
      <c r="AW157" s="469">
        <f t="shared" ca="1" si="127"/>
        <v>0</v>
      </c>
      <c r="AX157" s="290"/>
      <c r="AY157" s="18"/>
      <c r="AZ157" s="3"/>
      <c r="BA157" s="315"/>
      <c r="BB157" s="3"/>
      <c r="BC157" s="3"/>
      <c r="BD157" s="3"/>
      <c r="BE157" s="3"/>
      <c r="BF157" s="18"/>
      <c r="BG157" s="3"/>
      <c r="BH157" s="315"/>
      <c r="BI157" s="3"/>
      <c r="BJ157" s="3"/>
      <c r="BK157" s="3"/>
      <c r="BL157" s="3"/>
      <c r="BM157" s="18"/>
      <c r="BN157" s="3"/>
      <c r="BO157" s="315"/>
      <c r="BP157" s="3"/>
      <c r="BQ157" s="3"/>
      <c r="BR157" s="3"/>
      <c r="BS157" s="3"/>
      <c r="BT157" s="18"/>
      <c r="BU157" s="3"/>
      <c r="BV157" s="315"/>
      <c r="BW157" s="3"/>
      <c r="BX157" s="3"/>
      <c r="BY157" s="3"/>
      <c r="BZ157" s="3"/>
    </row>
    <row r="158" spans="1:78" ht="15.6" outlineLevel="1">
      <c r="A158" s="7"/>
      <c r="B158" s="370"/>
      <c r="C158" s="355"/>
      <c r="D158" s="356"/>
      <c r="E158" s="342"/>
      <c r="F158" s="290"/>
      <c r="G158" s="357">
        <v>0</v>
      </c>
      <c r="H158" s="358">
        <v>0</v>
      </c>
      <c r="I158" s="358">
        <v>0</v>
      </c>
      <c r="J158" s="359">
        <f t="shared" si="128"/>
        <v>0</v>
      </c>
      <c r="K158" s="290"/>
      <c r="L158" s="349"/>
      <c r="M158" s="7"/>
      <c r="N158" s="12"/>
      <c r="O158" s="12"/>
      <c r="P158" s="12"/>
      <c r="Q158" s="361"/>
      <c r="R158" s="362"/>
      <c r="S158" s="363">
        <f t="shared" si="139"/>
        <v>0</v>
      </c>
      <c r="T158" s="364">
        <f t="shared" ref="T158" si="154">IF(ISBLANK($P158),0,IF(Approach="Team-Based",$Q158*$R158*$S158*HoursPerDayTeamBased,$J158))</f>
        <v>0</v>
      </c>
      <c r="U158" s="365">
        <v>0</v>
      </c>
      <c r="V158" s="91">
        <f>ROUNDUP(IFERROR(INDEX(CostRateTbl[Cost Rate],MATCH(_xlfn.CONCAT(N158,O158,P158,"NA"),CostRateTbl[KeyCostRate],0)),0)*BillingCurrencyTRM*(1+U158),2)</f>
        <v>0</v>
      </c>
      <c r="W158" s="92">
        <f t="shared" si="120"/>
        <v>0</v>
      </c>
      <c r="X158" s="366" t="e" cm="1">
        <f t="array" ref="X158">_xlfn.LET(
    _xlpm.valor, INDEX(CostRate!H:H, MATCH(1, (CostRate!A:A=N158)*1, 0)),
    _xlpm.posicion, MATCH(_xlpm.valor, FilterSL!$F$1:$Z$1, 0),
    _xlpm.direccionCompleta, ADDRESS(1, _xlpm.posicion + 5, 4),
    _xlpm.letraColumna, SUBSTITUTE(_xlpm.direccionCompleta, "1", ""),
    _xlpm.letraColumna
)</f>
        <v>#N/A</v>
      </c>
      <c r="Y158" s="366" t="e" cm="1">
        <f t="array" ref="Y158">_xlfn.LET(
    _xlpm.valor, INDEX(CostRate!I:I, MATCH(1, (CostRate!A:A=N158)*(CostRate!B:B=O158), 0)),
    _xlpm.posicion, MATCH(_xlpm.valor, FilterJP!$E$1:$FZ$1, 0),
    _xlpm.direccionCompleta, ADDRESS(1, _xlpm.posicion + 4, 4),
    _xlpm.letraColumna, SUBSTITUTE(_xlpm.direccionCompleta, "1", ""),
    _xlpm.letraColumna
)</f>
        <v>#N/A</v>
      </c>
      <c r="Z158" s="7"/>
      <c r="AA158" s="367"/>
      <c r="AB158" s="7"/>
      <c r="AC158" s="93">
        <f t="shared" si="121"/>
        <v>0</v>
      </c>
      <c r="AD158" s="94">
        <f t="shared" si="130"/>
        <v>0</v>
      </c>
      <c r="AE158" s="109">
        <f t="shared" si="131"/>
        <v>0</v>
      </c>
      <c r="AF158" s="7"/>
      <c r="AG158" s="369">
        <f t="shared" si="122"/>
        <v>0</v>
      </c>
      <c r="AH158" s="368">
        <f t="shared" si="123"/>
        <v>0</v>
      </c>
      <c r="AI158" s="7"/>
      <c r="AJ158" s="369" cm="1">
        <f t="array" ref="AJ158">IFERROR(INDEX(WHT!$C$7:$W$18,MATCH(
_xlfn.SWITCH(N158,"xDC Medellin","Colombia","xDC Belo Horizonte","Brazil","xDC Guadalajara","Mexico","xDC Gurugram","India","xDC Leon","Spain","xDC San Jose","Costa Rica","xDC Warsaw","Poland",N158),
WHT!$B$7:$B$18,0),MATCH(CustomerCountry,WHT!$C$5:$W$5,0)),0)</f>
        <v>0</v>
      </c>
      <c r="AK158" s="368">
        <f t="shared" si="124"/>
        <v>0</v>
      </c>
      <c r="AL158" s="7"/>
      <c r="AM158" s="95">
        <f t="shared" si="132"/>
        <v>0</v>
      </c>
      <c r="AN158" s="95">
        <f t="shared" ca="1" si="125"/>
        <v>0</v>
      </c>
      <c r="AO158" s="95">
        <f t="shared" ca="1" si="133"/>
        <v>0</v>
      </c>
      <c r="AP158" s="90"/>
      <c r="AQ158" s="18"/>
      <c r="AR158" s="290"/>
      <c r="AS158" s="467" t="s">
        <v>133</v>
      </c>
      <c r="AT158" s="501">
        <f t="shared" ca="1" si="126"/>
        <v>0</v>
      </c>
      <c r="AU158" s="502"/>
      <c r="AV158" s="95">
        <f t="shared" ca="1" si="134"/>
        <v>0</v>
      </c>
      <c r="AW158" s="469">
        <f t="shared" ca="1" si="127"/>
        <v>0</v>
      </c>
      <c r="AX158" s="290"/>
      <c r="AY158" s="18"/>
      <c r="AZ158" s="3"/>
      <c r="BA158" s="315"/>
      <c r="BB158" s="3"/>
      <c r="BC158" s="3"/>
      <c r="BD158" s="3"/>
      <c r="BE158" s="3"/>
      <c r="BF158" s="18"/>
      <c r="BG158" s="3"/>
      <c r="BH158" s="315"/>
      <c r="BI158" s="3"/>
      <c r="BJ158" s="3"/>
      <c r="BK158" s="3"/>
      <c r="BL158" s="3"/>
      <c r="BM158" s="18"/>
      <c r="BN158" s="3"/>
      <c r="BO158" s="315"/>
      <c r="BP158" s="3"/>
      <c r="BQ158" s="3"/>
      <c r="BR158" s="3"/>
      <c r="BS158" s="3"/>
      <c r="BT158" s="18"/>
      <c r="BU158" s="3"/>
      <c r="BV158" s="315"/>
      <c r="BW158" s="3"/>
      <c r="BX158" s="3"/>
      <c r="BY158" s="3"/>
      <c r="BZ158" s="3"/>
    </row>
    <row r="159" spans="1:78" ht="15.6" outlineLevel="1">
      <c r="A159" s="7"/>
      <c r="B159" s="370"/>
      <c r="C159" s="355"/>
      <c r="D159" s="356"/>
      <c r="E159" s="342"/>
      <c r="F159" s="290"/>
      <c r="G159" s="357">
        <v>0</v>
      </c>
      <c r="H159" s="358">
        <v>0</v>
      </c>
      <c r="I159" s="358">
        <v>0</v>
      </c>
      <c r="J159" s="359">
        <f t="shared" si="128"/>
        <v>0</v>
      </c>
      <c r="K159" s="290"/>
      <c r="L159" s="349"/>
      <c r="M159" s="7"/>
      <c r="N159" s="12"/>
      <c r="O159" s="12"/>
      <c r="P159" s="12"/>
      <c r="Q159" s="361"/>
      <c r="R159" s="362"/>
      <c r="S159" s="363">
        <f t="shared" si="139"/>
        <v>0</v>
      </c>
      <c r="T159" s="364">
        <f t="shared" ref="T159" si="155">IF(ISBLANK($P159),0,IF(Approach="Team-Based",$Q159*$R159*$S159*HoursPerDayTeamBased,$J159))</f>
        <v>0</v>
      </c>
      <c r="U159" s="365">
        <v>0</v>
      </c>
      <c r="V159" s="91">
        <f>ROUNDUP(IFERROR(INDEX(CostRateTbl[Cost Rate],MATCH(_xlfn.CONCAT(N159,O159,P159,"NA"),CostRateTbl[KeyCostRate],0)),0)*BillingCurrencyTRM*(1+U159),2)</f>
        <v>0</v>
      </c>
      <c r="W159" s="92">
        <f t="shared" si="120"/>
        <v>0</v>
      </c>
      <c r="X159" s="366" t="e" cm="1">
        <f t="array" ref="X159">_xlfn.LET(
    _xlpm.valor, INDEX(CostRate!H:H, MATCH(1, (CostRate!A:A=N159)*1, 0)),
    _xlpm.posicion, MATCH(_xlpm.valor, FilterSL!$F$1:$Z$1, 0),
    _xlpm.direccionCompleta, ADDRESS(1, _xlpm.posicion + 5, 4),
    _xlpm.letraColumna, SUBSTITUTE(_xlpm.direccionCompleta, "1", ""),
    _xlpm.letraColumna
)</f>
        <v>#N/A</v>
      </c>
      <c r="Y159" s="366" t="e" cm="1">
        <f t="array" ref="Y159">_xlfn.LET(
    _xlpm.valor, INDEX(CostRate!I:I, MATCH(1, (CostRate!A:A=N159)*(CostRate!B:B=O159), 0)),
    _xlpm.posicion, MATCH(_xlpm.valor, FilterJP!$E$1:$FZ$1, 0),
    _xlpm.direccionCompleta, ADDRESS(1, _xlpm.posicion + 4, 4),
    _xlpm.letraColumna, SUBSTITUTE(_xlpm.direccionCompleta, "1", ""),
    _xlpm.letraColumna
)</f>
        <v>#N/A</v>
      </c>
      <c r="Z159" s="7"/>
      <c r="AA159" s="367"/>
      <c r="AB159" s="7"/>
      <c r="AC159" s="93">
        <f t="shared" si="121"/>
        <v>0</v>
      </c>
      <c r="AD159" s="94">
        <f t="shared" si="130"/>
        <v>0</v>
      </c>
      <c r="AE159" s="109">
        <f t="shared" si="131"/>
        <v>0</v>
      </c>
      <c r="AF159" s="7"/>
      <c r="AG159" s="369">
        <f t="shared" si="122"/>
        <v>0</v>
      </c>
      <c r="AH159" s="368">
        <f t="shared" si="123"/>
        <v>0</v>
      </c>
      <c r="AI159" s="7"/>
      <c r="AJ159" s="369" cm="1">
        <f t="array" ref="AJ159">IFERROR(INDEX(WHT!$C$7:$W$18,MATCH(
_xlfn.SWITCH(N159,"xDC Medellin","Colombia","xDC Belo Horizonte","Brazil","xDC Guadalajara","Mexico","xDC Gurugram","India","xDC Leon","Spain","xDC San Jose","Costa Rica","xDC Warsaw","Poland",N159),
WHT!$B$7:$B$18,0),MATCH(CustomerCountry,WHT!$C$5:$W$5,0)),0)</f>
        <v>0</v>
      </c>
      <c r="AK159" s="368">
        <f t="shared" si="124"/>
        <v>0</v>
      </c>
      <c r="AL159" s="7"/>
      <c r="AM159" s="95">
        <f t="shared" si="132"/>
        <v>0</v>
      </c>
      <c r="AN159" s="95">
        <f t="shared" ca="1" si="125"/>
        <v>0</v>
      </c>
      <c r="AO159" s="95">
        <f t="shared" ca="1" si="133"/>
        <v>0</v>
      </c>
      <c r="AP159" s="90"/>
      <c r="AQ159" s="18"/>
      <c r="AR159" s="290"/>
      <c r="AS159" s="467" t="s">
        <v>133</v>
      </c>
      <c r="AT159" s="501">
        <f t="shared" ca="1" si="126"/>
        <v>0</v>
      </c>
      <c r="AU159" s="502"/>
      <c r="AV159" s="95">
        <f t="shared" ca="1" si="134"/>
        <v>0</v>
      </c>
      <c r="AW159" s="469">
        <f t="shared" ca="1" si="127"/>
        <v>0</v>
      </c>
      <c r="AX159" s="290"/>
      <c r="AY159" s="18"/>
      <c r="AZ159" s="3"/>
      <c r="BA159" s="315"/>
      <c r="BB159" s="3"/>
      <c r="BC159" s="3"/>
      <c r="BD159" s="3"/>
      <c r="BE159" s="3"/>
      <c r="BF159" s="18"/>
      <c r="BG159" s="3"/>
      <c r="BH159" s="315"/>
      <c r="BI159" s="3"/>
      <c r="BJ159" s="3"/>
      <c r="BK159" s="3"/>
      <c r="BL159" s="3"/>
      <c r="BM159" s="18"/>
      <c r="BN159" s="3"/>
      <c r="BO159" s="315"/>
      <c r="BP159" s="3"/>
      <c r="BQ159" s="3"/>
      <c r="BR159" s="3"/>
      <c r="BS159" s="3"/>
      <c r="BT159" s="18"/>
      <c r="BU159" s="3"/>
      <c r="BV159" s="315"/>
      <c r="BW159" s="3"/>
      <c r="BX159" s="3"/>
      <c r="BY159" s="3"/>
      <c r="BZ159" s="3"/>
    </row>
    <row r="160" spans="1:78" ht="15.6" outlineLevel="1">
      <c r="A160" s="7"/>
      <c r="B160" s="370"/>
      <c r="C160" s="355"/>
      <c r="D160" s="356"/>
      <c r="E160" s="342"/>
      <c r="F160" s="290"/>
      <c r="G160" s="357">
        <v>0</v>
      </c>
      <c r="H160" s="358">
        <v>0</v>
      </c>
      <c r="I160" s="358">
        <v>0</v>
      </c>
      <c r="J160" s="359">
        <f t="shared" si="128"/>
        <v>0</v>
      </c>
      <c r="K160" s="290"/>
      <c r="L160" s="349"/>
      <c r="M160" s="7"/>
      <c r="N160" s="12"/>
      <c r="O160" s="12"/>
      <c r="P160" s="12"/>
      <c r="Q160" s="361"/>
      <c r="R160" s="362"/>
      <c r="S160" s="363">
        <f t="shared" si="139"/>
        <v>0</v>
      </c>
      <c r="T160" s="364">
        <f t="shared" ref="T160" si="156">IF(ISBLANK($P160),0,IF(Approach="Team-Based",$Q160*$R160*$S160*HoursPerDayTeamBased,$J160))</f>
        <v>0</v>
      </c>
      <c r="U160" s="365">
        <v>0</v>
      </c>
      <c r="V160" s="91">
        <f>ROUNDUP(IFERROR(INDEX(CostRateTbl[Cost Rate],MATCH(_xlfn.CONCAT(N160,O160,P160,"NA"),CostRateTbl[KeyCostRate],0)),0)*BillingCurrencyTRM*(1+U160),2)</f>
        <v>0</v>
      </c>
      <c r="W160" s="92">
        <f t="shared" si="120"/>
        <v>0</v>
      </c>
      <c r="X160" s="366" t="e" cm="1">
        <f t="array" ref="X160">_xlfn.LET(
    _xlpm.valor, INDEX(CostRate!H:H, MATCH(1, (CostRate!A:A=N160)*1, 0)),
    _xlpm.posicion, MATCH(_xlpm.valor, FilterSL!$F$1:$Z$1, 0),
    _xlpm.direccionCompleta, ADDRESS(1, _xlpm.posicion + 5, 4),
    _xlpm.letraColumna, SUBSTITUTE(_xlpm.direccionCompleta, "1", ""),
    _xlpm.letraColumna
)</f>
        <v>#N/A</v>
      </c>
      <c r="Y160" s="366" t="e" cm="1">
        <f t="array" ref="Y160">_xlfn.LET(
    _xlpm.valor, INDEX(CostRate!I:I, MATCH(1, (CostRate!A:A=N160)*(CostRate!B:B=O160), 0)),
    _xlpm.posicion, MATCH(_xlpm.valor, FilterJP!$E$1:$FZ$1, 0),
    _xlpm.direccionCompleta, ADDRESS(1, _xlpm.posicion + 4, 4),
    _xlpm.letraColumna, SUBSTITUTE(_xlpm.direccionCompleta, "1", ""),
    _xlpm.letraColumna
)</f>
        <v>#N/A</v>
      </c>
      <c r="Z160" s="7"/>
      <c r="AA160" s="367"/>
      <c r="AB160" s="7"/>
      <c r="AC160" s="93">
        <f t="shared" si="121"/>
        <v>0</v>
      </c>
      <c r="AD160" s="94">
        <f t="shared" si="130"/>
        <v>0</v>
      </c>
      <c r="AE160" s="109">
        <f t="shared" si="131"/>
        <v>0</v>
      </c>
      <c r="AF160" s="7"/>
      <c r="AG160" s="369">
        <f t="shared" si="122"/>
        <v>0</v>
      </c>
      <c r="AH160" s="368">
        <f t="shared" si="123"/>
        <v>0</v>
      </c>
      <c r="AI160" s="7"/>
      <c r="AJ160" s="369" cm="1">
        <f t="array" ref="AJ160">IFERROR(INDEX(WHT!$C$7:$W$18,MATCH(
_xlfn.SWITCH(N160,"xDC Medellin","Colombia","xDC Belo Horizonte","Brazil","xDC Guadalajara","Mexico","xDC Gurugram","India","xDC Leon","Spain","xDC San Jose","Costa Rica","xDC Warsaw","Poland",N160),
WHT!$B$7:$B$18,0),MATCH(CustomerCountry,WHT!$C$5:$W$5,0)),0)</f>
        <v>0</v>
      </c>
      <c r="AK160" s="368">
        <f t="shared" si="124"/>
        <v>0</v>
      </c>
      <c r="AL160" s="7"/>
      <c r="AM160" s="95">
        <f t="shared" si="132"/>
        <v>0</v>
      </c>
      <c r="AN160" s="95">
        <f t="shared" ca="1" si="125"/>
        <v>0</v>
      </c>
      <c r="AO160" s="95">
        <f t="shared" ca="1" si="133"/>
        <v>0</v>
      </c>
      <c r="AP160" s="90"/>
      <c r="AQ160" s="18"/>
      <c r="AR160" s="290"/>
      <c r="AS160" s="467" t="s">
        <v>133</v>
      </c>
      <c r="AT160" s="501">
        <f t="shared" ca="1" si="126"/>
        <v>0</v>
      </c>
      <c r="AU160" s="502"/>
      <c r="AV160" s="95">
        <f t="shared" ca="1" si="134"/>
        <v>0</v>
      </c>
      <c r="AW160" s="469">
        <f t="shared" ca="1" si="127"/>
        <v>0</v>
      </c>
      <c r="AX160" s="290"/>
      <c r="AY160" s="18"/>
      <c r="AZ160" s="3"/>
      <c r="BA160" s="315"/>
      <c r="BB160" s="3"/>
      <c r="BC160" s="3"/>
      <c r="BD160" s="3"/>
      <c r="BE160" s="3"/>
      <c r="BF160" s="18"/>
      <c r="BG160" s="3"/>
      <c r="BH160" s="315"/>
      <c r="BI160" s="3"/>
      <c r="BJ160" s="3"/>
      <c r="BK160" s="3"/>
      <c r="BL160" s="3"/>
      <c r="BM160" s="18"/>
      <c r="BN160" s="3"/>
      <c r="BO160" s="315"/>
      <c r="BP160" s="3"/>
      <c r="BQ160" s="3"/>
      <c r="BR160" s="3"/>
      <c r="BS160" s="3"/>
      <c r="BT160" s="18"/>
      <c r="BU160" s="3"/>
      <c r="BV160" s="315"/>
      <c r="BW160" s="3"/>
      <c r="BX160" s="3"/>
      <c r="BY160" s="3"/>
      <c r="BZ160" s="3"/>
    </row>
    <row r="161" spans="1:82" ht="15.6" outlineLevel="1">
      <c r="A161" s="7"/>
      <c r="B161" s="370"/>
      <c r="C161" s="355"/>
      <c r="D161" s="356"/>
      <c r="E161" s="342"/>
      <c r="F161" s="290"/>
      <c r="G161" s="357">
        <v>0</v>
      </c>
      <c r="H161" s="358">
        <v>0</v>
      </c>
      <c r="I161" s="358">
        <v>0</v>
      </c>
      <c r="J161" s="359">
        <f t="shared" si="128"/>
        <v>0</v>
      </c>
      <c r="K161" s="290"/>
      <c r="L161" s="349"/>
      <c r="M161" s="7"/>
      <c r="N161" s="12"/>
      <c r="O161" s="12"/>
      <c r="P161" s="12"/>
      <c r="Q161" s="361"/>
      <c r="R161" s="362"/>
      <c r="S161" s="363">
        <f t="shared" si="139"/>
        <v>0</v>
      </c>
      <c r="T161" s="364">
        <f t="shared" ref="T161" si="157">IF(ISBLANK($P161),0,IF(Approach="Team-Based",$Q161*$R161*$S161*HoursPerDayTeamBased,$J161))</f>
        <v>0</v>
      </c>
      <c r="U161" s="365">
        <v>0</v>
      </c>
      <c r="V161" s="91">
        <f>ROUNDUP(IFERROR(INDEX(CostRateTbl[Cost Rate],MATCH(_xlfn.CONCAT(N161,O161,P161,"NA"),CostRateTbl[KeyCostRate],0)),0)*BillingCurrencyTRM*(1+U161),2)</f>
        <v>0</v>
      </c>
      <c r="W161" s="92">
        <f t="shared" si="120"/>
        <v>0</v>
      </c>
      <c r="X161" s="366" t="e" cm="1">
        <f t="array" ref="X161">_xlfn.LET(
    _xlpm.valor, INDEX(CostRate!H:H, MATCH(1, (CostRate!A:A=N161)*1, 0)),
    _xlpm.posicion, MATCH(_xlpm.valor, FilterSL!$F$1:$Z$1, 0),
    _xlpm.direccionCompleta, ADDRESS(1, _xlpm.posicion + 5, 4),
    _xlpm.letraColumna, SUBSTITUTE(_xlpm.direccionCompleta, "1", ""),
    _xlpm.letraColumna
)</f>
        <v>#N/A</v>
      </c>
      <c r="Y161" s="366" t="e" cm="1">
        <f t="array" ref="Y161">_xlfn.LET(
    _xlpm.valor, INDEX(CostRate!I:I, MATCH(1, (CostRate!A:A=N161)*(CostRate!B:B=O161), 0)),
    _xlpm.posicion, MATCH(_xlpm.valor, FilterJP!$E$1:$FZ$1, 0),
    _xlpm.direccionCompleta, ADDRESS(1, _xlpm.posicion + 4, 4),
    _xlpm.letraColumna, SUBSTITUTE(_xlpm.direccionCompleta, "1", ""),
    _xlpm.letraColumna
)</f>
        <v>#N/A</v>
      </c>
      <c r="Z161" s="7"/>
      <c r="AA161" s="367"/>
      <c r="AB161" s="7"/>
      <c r="AC161" s="93">
        <f t="shared" si="121"/>
        <v>0</v>
      </c>
      <c r="AD161" s="94">
        <f t="shared" si="130"/>
        <v>0</v>
      </c>
      <c r="AE161" s="109">
        <f t="shared" si="131"/>
        <v>0</v>
      </c>
      <c r="AF161" s="7"/>
      <c r="AG161" s="369">
        <f t="shared" si="122"/>
        <v>0</v>
      </c>
      <c r="AH161" s="368">
        <f t="shared" si="123"/>
        <v>0</v>
      </c>
      <c r="AI161" s="7"/>
      <c r="AJ161" s="369" cm="1">
        <f t="array" ref="AJ161">IFERROR(INDEX(WHT!$C$7:$W$18,MATCH(
_xlfn.SWITCH(N161,"xDC Medellin","Colombia","xDC Belo Horizonte","Brazil","xDC Guadalajara","Mexico","xDC Gurugram","India","xDC Leon","Spain","xDC San Jose","Costa Rica","xDC Warsaw","Poland",N161),
WHT!$B$7:$B$18,0),MATCH(CustomerCountry,WHT!$C$5:$W$5,0)),0)</f>
        <v>0</v>
      </c>
      <c r="AK161" s="368">
        <f t="shared" si="124"/>
        <v>0</v>
      </c>
      <c r="AL161" s="7"/>
      <c r="AM161" s="95">
        <f t="shared" si="132"/>
        <v>0</v>
      </c>
      <c r="AN161" s="95">
        <f t="shared" ca="1" si="125"/>
        <v>0</v>
      </c>
      <c r="AO161" s="95">
        <f t="shared" ca="1" si="133"/>
        <v>0</v>
      </c>
      <c r="AP161" s="90"/>
      <c r="AQ161" s="18"/>
      <c r="AR161" s="290"/>
      <c r="AS161" s="467" t="s">
        <v>133</v>
      </c>
      <c r="AT161" s="501">
        <f t="shared" ca="1" si="126"/>
        <v>0</v>
      </c>
      <c r="AU161" s="502"/>
      <c r="AV161" s="95">
        <f t="shared" ca="1" si="134"/>
        <v>0</v>
      </c>
      <c r="AW161" s="469">
        <f t="shared" ca="1" si="127"/>
        <v>0</v>
      </c>
      <c r="AX161" s="290"/>
      <c r="AY161" s="18"/>
      <c r="AZ161" s="3"/>
      <c r="BA161" s="315"/>
      <c r="BB161" s="3"/>
      <c r="BC161" s="3"/>
      <c r="BD161" s="3"/>
      <c r="BE161" s="3"/>
      <c r="BF161" s="18"/>
      <c r="BG161" s="3"/>
      <c r="BH161" s="315"/>
      <c r="BI161" s="3"/>
      <c r="BJ161" s="3"/>
      <c r="BK161" s="3"/>
      <c r="BL161" s="3"/>
      <c r="BM161" s="18"/>
      <c r="BN161" s="3"/>
      <c r="BO161" s="315"/>
      <c r="BP161" s="3"/>
      <c r="BQ161" s="3"/>
      <c r="BR161" s="3"/>
      <c r="BS161" s="3"/>
      <c r="BT161" s="18"/>
      <c r="BU161" s="3"/>
      <c r="BV161" s="315"/>
      <c r="BW161" s="3"/>
      <c r="BX161" s="3"/>
      <c r="BY161" s="3"/>
      <c r="BZ161" s="3"/>
    </row>
    <row r="162" spans="1:82" ht="15.6" outlineLevel="1">
      <c r="A162" s="7"/>
      <c r="B162" s="370"/>
      <c r="C162" s="355"/>
      <c r="D162" s="356"/>
      <c r="E162" s="342"/>
      <c r="F162" s="290"/>
      <c r="G162" s="357">
        <v>0</v>
      </c>
      <c r="H162" s="358">
        <v>0</v>
      </c>
      <c r="I162" s="358">
        <v>0</v>
      </c>
      <c r="J162" s="359">
        <f t="shared" si="128"/>
        <v>0</v>
      </c>
      <c r="K162" s="290"/>
      <c r="L162" s="349"/>
      <c r="M162" s="7"/>
      <c r="N162" s="12"/>
      <c r="O162" s="12"/>
      <c r="P162" s="12"/>
      <c r="Q162" s="361"/>
      <c r="R162" s="362"/>
      <c r="S162" s="363">
        <f t="shared" si="139"/>
        <v>0</v>
      </c>
      <c r="T162" s="364">
        <f t="shared" ref="T162" si="158">IF(ISBLANK($P162),0,IF(Approach="Team-Based",$Q162*$R162*$S162*HoursPerDayTeamBased,$J162))</f>
        <v>0</v>
      </c>
      <c r="U162" s="365">
        <v>0</v>
      </c>
      <c r="V162" s="91">
        <f>ROUNDUP(IFERROR(INDEX(CostRateTbl[Cost Rate],MATCH(_xlfn.CONCAT(N162,O162,P162,"NA"),CostRateTbl[KeyCostRate],0)),0)*BillingCurrencyTRM*(1+U162),2)</f>
        <v>0</v>
      </c>
      <c r="W162" s="92">
        <f t="shared" si="120"/>
        <v>0</v>
      </c>
      <c r="X162" s="366" t="e" cm="1">
        <f t="array" ref="X162">_xlfn.LET(
    _xlpm.valor, INDEX(CostRate!H:H, MATCH(1, (CostRate!A:A=N162)*1, 0)),
    _xlpm.posicion, MATCH(_xlpm.valor, FilterSL!$F$1:$Z$1, 0),
    _xlpm.direccionCompleta, ADDRESS(1, _xlpm.posicion + 5, 4),
    _xlpm.letraColumna, SUBSTITUTE(_xlpm.direccionCompleta, "1", ""),
    _xlpm.letraColumna
)</f>
        <v>#N/A</v>
      </c>
      <c r="Y162" s="366" t="e" cm="1">
        <f t="array" ref="Y162">_xlfn.LET(
    _xlpm.valor, INDEX(CostRate!I:I, MATCH(1, (CostRate!A:A=N162)*(CostRate!B:B=O162), 0)),
    _xlpm.posicion, MATCH(_xlpm.valor, FilterJP!$E$1:$FZ$1, 0),
    _xlpm.direccionCompleta, ADDRESS(1, _xlpm.posicion + 4, 4),
    _xlpm.letraColumna, SUBSTITUTE(_xlpm.direccionCompleta, "1", ""),
    _xlpm.letraColumna
)</f>
        <v>#N/A</v>
      </c>
      <c r="Z162" s="7"/>
      <c r="AA162" s="367"/>
      <c r="AB162" s="7"/>
      <c r="AC162" s="93">
        <f t="shared" si="121"/>
        <v>0</v>
      </c>
      <c r="AD162" s="94">
        <f t="shared" si="130"/>
        <v>0</v>
      </c>
      <c r="AE162" s="109">
        <f t="shared" si="131"/>
        <v>0</v>
      </c>
      <c r="AF162" s="7"/>
      <c r="AG162" s="369">
        <f t="shared" si="122"/>
        <v>0</v>
      </c>
      <c r="AH162" s="368">
        <f t="shared" si="123"/>
        <v>0</v>
      </c>
      <c r="AI162" s="7"/>
      <c r="AJ162" s="369" cm="1">
        <f t="array" ref="AJ162">IFERROR(INDEX(WHT!$C$7:$W$18,MATCH(
_xlfn.SWITCH(N162,"xDC Medellin","Colombia","xDC Belo Horizonte","Brazil","xDC Guadalajara","Mexico","xDC Gurugram","India","xDC Leon","Spain","xDC San Jose","Costa Rica","xDC Warsaw","Poland",N162),
WHT!$B$7:$B$18,0),MATCH(CustomerCountry,WHT!$C$5:$W$5,0)),0)</f>
        <v>0</v>
      </c>
      <c r="AK162" s="368">
        <f t="shared" si="124"/>
        <v>0</v>
      </c>
      <c r="AL162" s="7"/>
      <c r="AM162" s="95">
        <f t="shared" si="132"/>
        <v>0</v>
      </c>
      <c r="AN162" s="95">
        <f t="shared" ca="1" si="125"/>
        <v>0</v>
      </c>
      <c r="AO162" s="95">
        <f t="shared" ca="1" si="133"/>
        <v>0</v>
      </c>
      <c r="AP162" s="90"/>
      <c r="AQ162" s="18"/>
      <c r="AR162" s="290"/>
      <c r="AS162" s="467" t="s">
        <v>133</v>
      </c>
      <c r="AT162" s="501">
        <f t="shared" ca="1" si="126"/>
        <v>0</v>
      </c>
      <c r="AU162" s="502"/>
      <c r="AV162" s="95">
        <f t="shared" ca="1" si="134"/>
        <v>0</v>
      </c>
      <c r="AW162" s="469">
        <f t="shared" ca="1" si="127"/>
        <v>0</v>
      </c>
      <c r="AX162" s="290"/>
      <c r="AY162" s="18"/>
      <c r="AZ162" s="3"/>
      <c r="BA162" s="315"/>
      <c r="BB162" s="3"/>
      <c r="BC162" s="3"/>
      <c r="BD162" s="3"/>
      <c r="BE162" s="3"/>
      <c r="BF162" s="18"/>
      <c r="BG162" s="3"/>
      <c r="BH162" s="315"/>
      <c r="BI162" s="3"/>
      <c r="BJ162" s="3"/>
      <c r="BK162" s="3"/>
      <c r="BL162" s="3"/>
      <c r="BM162" s="18"/>
      <c r="BN162" s="3"/>
      <c r="BO162" s="315"/>
      <c r="BP162" s="3"/>
      <c r="BQ162" s="3"/>
      <c r="BR162" s="3"/>
      <c r="BS162" s="3"/>
      <c r="BT162" s="18"/>
      <c r="BU162" s="3"/>
      <c r="BV162" s="315"/>
      <c r="BW162" s="3"/>
      <c r="BX162" s="3"/>
      <c r="BY162" s="3"/>
      <c r="BZ162" s="3"/>
    </row>
    <row r="163" spans="1:82" ht="15.6" outlineLevel="1">
      <c r="A163" s="7"/>
      <c r="B163" s="370"/>
      <c r="C163" s="355"/>
      <c r="D163" s="356"/>
      <c r="E163" s="342"/>
      <c r="F163" s="290"/>
      <c r="G163" s="357">
        <v>0</v>
      </c>
      <c r="H163" s="358">
        <v>0</v>
      </c>
      <c r="I163" s="358">
        <v>0</v>
      </c>
      <c r="J163" s="359">
        <f t="shared" si="128"/>
        <v>0</v>
      </c>
      <c r="K163" s="290"/>
      <c r="L163" s="349"/>
      <c r="M163" s="7"/>
      <c r="N163" s="12"/>
      <c r="O163" s="12"/>
      <c r="P163" s="12"/>
      <c r="Q163" s="361"/>
      <c r="R163" s="362"/>
      <c r="S163" s="363">
        <f t="shared" si="139"/>
        <v>0</v>
      </c>
      <c r="T163" s="364">
        <f t="shared" ref="T163" si="159">IF(ISBLANK($P163),0,IF(Approach="Team-Based",$Q163*$R163*$S163*HoursPerDayTeamBased,$J163))</f>
        <v>0</v>
      </c>
      <c r="U163" s="365">
        <v>0</v>
      </c>
      <c r="V163" s="91">
        <f>ROUNDUP(IFERROR(INDEX(CostRateTbl[Cost Rate],MATCH(_xlfn.CONCAT(N163,O163,P163,"NA"),CostRateTbl[KeyCostRate],0)),0)*BillingCurrencyTRM*(1+U163),2)</f>
        <v>0</v>
      </c>
      <c r="W163" s="92">
        <f t="shared" si="120"/>
        <v>0</v>
      </c>
      <c r="X163" s="366" t="e" cm="1">
        <f t="array" ref="X163">_xlfn.LET(
    _xlpm.valor, INDEX(CostRate!H:H, MATCH(1, (CostRate!A:A=N163)*1, 0)),
    _xlpm.posicion, MATCH(_xlpm.valor, FilterSL!$F$1:$Z$1, 0),
    _xlpm.direccionCompleta, ADDRESS(1, _xlpm.posicion + 5, 4),
    _xlpm.letraColumna, SUBSTITUTE(_xlpm.direccionCompleta, "1", ""),
    _xlpm.letraColumna
)</f>
        <v>#N/A</v>
      </c>
      <c r="Y163" s="366" t="e" cm="1">
        <f t="array" ref="Y163">_xlfn.LET(
    _xlpm.valor, INDEX(CostRate!I:I, MATCH(1, (CostRate!A:A=N163)*(CostRate!B:B=O163), 0)),
    _xlpm.posicion, MATCH(_xlpm.valor, FilterJP!$E$1:$FZ$1, 0),
    _xlpm.direccionCompleta, ADDRESS(1, _xlpm.posicion + 4, 4),
    _xlpm.letraColumna, SUBSTITUTE(_xlpm.direccionCompleta, "1", ""),
    _xlpm.letraColumna
)</f>
        <v>#N/A</v>
      </c>
      <c r="Z163" s="7"/>
      <c r="AA163" s="367"/>
      <c r="AB163" s="7"/>
      <c r="AC163" s="93">
        <f t="shared" si="121"/>
        <v>0</v>
      </c>
      <c r="AD163" s="94">
        <f t="shared" si="130"/>
        <v>0</v>
      </c>
      <c r="AE163" s="109">
        <f t="shared" si="131"/>
        <v>0</v>
      </c>
      <c r="AF163" s="7"/>
      <c r="AG163" s="369">
        <f t="shared" si="122"/>
        <v>0</v>
      </c>
      <c r="AH163" s="368">
        <f t="shared" si="123"/>
        <v>0</v>
      </c>
      <c r="AI163" s="7"/>
      <c r="AJ163" s="369" cm="1">
        <f t="array" ref="AJ163">IFERROR(INDEX(WHT!$C$7:$W$18,MATCH(
_xlfn.SWITCH(N163,"xDC Medellin","Colombia","xDC Belo Horizonte","Brazil","xDC Guadalajara","Mexico","xDC Gurugram","India","xDC Leon","Spain","xDC San Jose","Costa Rica","xDC Warsaw","Poland",N163),
WHT!$B$7:$B$18,0),MATCH(CustomerCountry,WHT!$C$5:$W$5,0)),0)</f>
        <v>0</v>
      </c>
      <c r="AK163" s="368">
        <f t="shared" si="124"/>
        <v>0</v>
      </c>
      <c r="AL163" s="7"/>
      <c r="AM163" s="95">
        <f t="shared" si="132"/>
        <v>0</v>
      </c>
      <c r="AN163" s="95">
        <f t="shared" ca="1" si="125"/>
        <v>0</v>
      </c>
      <c r="AO163" s="95">
        <f t="shared" ca="1" si="133"/>
        <v>0</v>
      </c>
      <c r="AP163" s="90"/>
      <c r="AQ163" s="18"/>
      <c r="AR163" s="290"/>
      <c r="AS163" s="467" t="s">
        <v>133</v>
      </c>
      <c r="AT163" s="501">
        <f t="shared" ca="1" si="126"/>
        <v>0</v>
      </c>
      <c r="AU163" s="502"/>
      <c r="AV163" s="95">
        <f t="shared" ca="1" si="134"/>
        <v>0</v>
      </c>
      <c r="AW163" s="469">
        <f t="shared" ca="1" si="127"/>
        <v>0</v>
      </c>
      <c r="AX163" s="290"/>
      <c r="AY163" s="18"/>
      <c r="AZ163" s="3"/>
      <c r="BA163" s="315"/>
      <c r="BB163" s="3"/>
      <c r="BC163" s="3"/>
      <c r="BD163" s="3"/>
      <c r="BE163" s="3"/>
      <c r="BF163" s="18"/>
      <c r="BG163" s="3"/>
      <c r="BH163" s="315"/>
      <c r="BI163" s="3"/>
      <c r="BJ163" s="3"/>
      <c r="BK163" s="3"/>
      <c r="BL163" s="3"/>
      <c r="BM163" s="18"/>
      <c r="BN163" s="3"/>
      <c r="BO163" s="315"/>
      <c r="BP163" s="3"/>
      <c r="BQ163" s="3"/>
      <c r="BR163" s="3"/>
      <c r="BS163" s="3"/>
      <c r="BT163" s="18"/>
      <c r="BU163" s="3"/>
      <c r="BV163" s="315"/>
      <c r="BW163" s="3"/>
      <c r="BX163" s="3"/>
      <c r="BY163" s="3"/>
      <c r="BZ163" s="3"/>
    </row>
    <row r="164" spans="1:82" ht="15.6" outlineLevel="1">
      <c r="A164" s="7"/>
      <c r="B164" s="370"/>
      <c r="C164" s="355"/>
      <c r="D164" s="356"/>
      <c r="E164" s="342"/>
      <c r="F164" s="290"/>
      <c r="G164" s="357">
        <v>0</v>
      </c>
      <c r="H164" s="358">
        <v>0</v>
      </c>
      <c r="I164" s="358">
        <v>0</v>
      </c>
      <c r="J164" s="359">
        <f t="shared" si="128"/>
        <v>0</v>
      </c>
      <c r="K164" s="290"/>
      <c r="L164" s="349"/>
      <c r="M164" s="7"/>
      <c r="N164" s="12"/>
      <c r="O164" s="12"/>
      <c r="P164" s="12"/>
      <c r="Q164" s="361"/>
      <c r="R164" s="362"/>
      <c r="S164" s="363">
        <f t="shared" si="139"/>
        <v>0</v>
      </c>
      <c r="T164" s="364">
        <f t="shared" ref="T164" si="160">IF(ISBLANK($P164),0,IF(Approach="Team-Based",$Q164*$R164*$S164*HoursPerDayTeamBased,$J164))</f>
        <v>0</v>
      </c>
      <c r="U164" s="365">
        <v>0</v>
      </c>
      <c r="V164" s="91">
        <f>ROUNDUP(IFERROR(INDEX(CostRateTbl[Cost Rate],MATCH(_xlfn.CONCAT(N164,O164,P164,"NA"),CostRateTbl[KeyCostRate],0)),0)*BillingCurrencyTRM*(1+U164),2)</f>
        <v>0</v>
      </c>
      <c r="W164" s="92">
        <f t="shared" si="120"/>
        <v>0</v>
      </c>
      <c r="X164" s="366" t="e" cm="1">
        <f t="array" ref="X164">_xlfn.LET(
    _xlpm.valor, INDEX(CostRate!H:H, MATCH(1, (CostRate!A:A=N164)*1, 0)),
    _xlpm.posicion, MATCH(_xlpm.valor, FilterSL!$F$1:$Z$1, 0),
    _xlpm.direccionCompleta, ADDRESS(1, _xlpm.posicion + 5, 4),
    _xlpm.letraColumna, SUBSTITUTE(_xlpm.direccionCompleta, "1", ""),
    _xlpm.letraColumna
)</f>
        <v>#N/A</v>
      </c>
      <c r="Y164" s="366" t="e" cm="1">
        <f t="array" ref="Y164">_xlfn.LET(
    _xlpm.valor, INDEX(CostRate!I:I, MATCH(1, (CostRate!A:A=N164)*(CostRate!B:B=O164), 0)),
    _xlpm.posicion, MATCH(_xlpm.valor, FilterJP!$E$1:$FZ$1, 0),
    _xlpm.direccionCompleta, ADDRESS(1, _xlpm.posicion + 4, 4),
    _xlpm.letraColumna, SUBSTITUTE(_xlpm.direccionCompleta, "1", ""),
    _xlpm.letraColumna
)</f>
        <v>#N/A</v>
      </c>
      <c r="Z164" s="7"/>
      <c r="AA164" s="367"/>
      <c r="AB164" s="7"/>
      <c r="AC164" s="93">
        <f t="shared" si="121"/>
        <v>0</v>
      </c>
      <c r="AD164" s="94">
        <f t="shared" si="130"/>
        <v>0</v>
      </c>
      <c r="AE164" s="109">
        <f t="shared" si="131"/>
        <v>0</v>
      </c>
      <c r="AF164" s="7"/>
      <c r="AG164" s="369">
        <f t="shared" si="122"/>
        <v>0</v>
      </c>
      <c r="AH164" s="368">
        <f t="shared" si="123"/>
        <v>0</v>
      </c>
      <c r="AI164" s="7"/>
      <c r="AJ164" s="369" cm="1">
        <f t="array" ref="AJ164">IFERROR(INDEX(WHT!$C$7:$W$18,MATCH(
_xlfn.SWITCH(N164,"xDC Medellin","Colombia","xDC Belo Horizonte","Brazil","xDC Guadalajara","Mexico","xDC Gurugram","India","xDC Leon","Spain","xDC San Jose","Costa Rica","xDC Warsaw","Poland",N164),
WHT!$B$7:$B$18,0),MATCH(CustomerCountry,WHT!$C$5:$W$5,0)),0)</f>
        <v>0</v>
      </c>
      <c r="AK164" s="368">
        <f t="shared" si="124"/>
        <v>0</v>
      </c>
      <c r="AL164" s="7"/>
      <c r="AM164" s="95">
        <f t="shared" si="132"/>
        <v>0</v>
      </c>
      <c r="AN164" s="95">
        <f t="shared" ca="1" si="125"/>
        <v>0</v>
      </c>
      <c r="AO164" s="95">
        <f t="shared" ca="1" si="133"/>
        <v>0</v>
      </c>
      <c r="AP164" s="90"/>
      <c r="AQ164" s="18"/>
      <c r="AR164" s="290"/>
      <c r="AS164" s="467" t="s">
        <v>133</v>
      </c>
      <c r="AT164" s="501">
        <f t="shared" ca="1" si="126"/>
        <v>0</v>
      </c>
      <c r="AU164" s="502"/>
      <c r="AV164" s="95">
        <f t="shared" ca="1" si="134"/>
        <v>0</v>
      </c>
      <c r="AW164" s="469">
        <f t="shared" ca="1" si="127"/>
        <v>0</v>
      </c>
      <c r="AX164" s="290"/>
      <c r="AY164" s="18"/>
      <c r="AZ164" s="3"/>
      <c r="BA164" s="315"/>
      <c r="BB164" s="3"/>
      <c r="BC164" s="3"/>
      <c r="BD164" s="3"/>
      <c r="BE164" s="3"/>
      <c r="BF164" s="18"/>
      <c r="BG164" s="3"/>
      <c r="BH164" s="315"/>
      <c r="BI164" s="3"/>
      <c r="BJ164" s="3"/>
      <c r="BK164" s="3"/>
      <c r="BL164" s="3"/>
      <c r="BM164" s="18"/>
      <c r="BN164" s="3"/>
      <c r="BO164" s="315"/>
      <c r="BP164" s="3"/>
      <c r="BQ164" s="3"/>
      <c r="BR164" s="3"/>
      <c r="BS164" s="3"/>
      <c r="BT164" s="18"/>
      <c r="BU164" s="3"/>
      <c r="BV164" s="315"/>
      <c r="BW164" s="3"/>
      <c r="BX164" s="3"/>
      <c r="BY164" s="3"/>
      <c r="BZ164" s="3"/>
    </row>
    <row r="165" spans="1:82" ht="15.6" outlineLevel="1">
      <c r="A165" s="7"/>
      <c r="B165" s="370"/>
      <c r="C165" s="355"/>
      <c r="D165" s="356"/>
      <c r="E165" s="342"/>
      <c r="F165" s="290"/>
      <c r="G165" s="357">
        <v>0</v>
      </c>
      <c r="H165" s="358">
        <v>0</v>
      </c>
      <c r="I165" s="358">
        <v>0</v>
      </c>
      <c r="J165" s="359">
        <f t="shared" si="128"/>
        <v>0</v>
      </c>
      <c r="K165" s="290"/>
      <c r="L165" s="349"/>
      <c r="M165" s="7"/>
      <c r="N165" s="12"/>
      <c r="O165" s="12"/>
      <c r="P165" s="12"/>
      <c r="Q165" s="361"/>
      <c r="R165" s="362"/>
      <c r="S165" s="363">
        <f t="shared" si="139"/>
        <v>0</v>
      </c>
      <c r="T165" s="364">
        <f t="shared" ref="T165" si="161">IF(ISBLANK($P165),0,IF(Approach="Team-Based",$Q165*$R165*$S165*HoursPerDayTeamBased,$J165))</f>
        <v>0</v>
      </c>
      <c r="U165" s="365">
        <v>0</v>
      </c>
      <c r="V165" s="91">
        <f>ROUNDUP(IFERROR(INDEX(CostRateTbl[Cost Rate],MATCH(_xlfn.CONCAT(N165,O165,P165,"NA"),CostRateTbl[KeyCostRate],0)),0)*BillingCurrencyTRM*(1+U165),2)</f>
        <v>0</v>
      </c>
      <c r="W165" s="92">
        <f t="shared" si="120"/>
        <v>0</v>
      </c>
      <c r="X165" s="366" t="e" cm="1">
        <f t="array" ref="X165">_xlfn.LET(
    _xlpm.valor, INDEX(CostRate!H:H, MATCH(1, (CostRate!A:A=N165)*1, 0)),
    _xlpm.posicion, MATCH(_xlpm.valor, FilterSL!$F$1:$Z$1, 0),
    _xlpm.direccionCompleta, ADDRESS(1, _xlpm.posicion + 5, 4),
    _xlpm.letraColumna, SUBSTITUTE(_xlpm.direccionCompleta, "1", ""),
    _xlpm.letraColumna
)</f>
        <v>#N/A</v>
      </c>
      <c r="Y165" s="366" t="e" cm="1">
        <f t="array" ref="Y165">_xlfn.LET(
    _xlpm.valor, INDEX(CostRate!I:I, MATCH(1, (CostRate!A:A=N165)*(CostRate!B:B=O165), 0)),
    _xlpm.posicion, MATCH(_xlpm.valor, FilterJP!$E$1:$FZ$1, 0),
    _xlpm.direccionCompleta, ADDRESS(1, _xlpm.posicion + 4, 4),
    _xlpm.letraColumna, SUBSTITUTE(_xlpm.direccionCompleta, "1", ""),
    _xlpm.letraColumna
)</f>
        <v>#N/A</v>
      </c>
      <c r="Z165" s="7"/>
      <c r="AA165" s="367"/>
      <c r="AB165" s="7"/>
      <c r="AC165" s="93">
        <f t="shared" si="121"/>
        <v>0</v>
      </c>
      <c r="AD165" s="94">
        <f t="shared" si="130"/>
        <v>0</v>
      </c>
      <c r="AE165" s="109">
        <f t="shared" si="131"/>
        <v>0</v>
      </c>
      <c r="AF165" s="7"/>
      <c r="AG165" s="369">
        <f t="shared" si="122"/>
        <v>0</v>
      </c>
      <c r="AH165" s="368">
        <f t="shared" si="123"/>
        <v>0</v>
      </c>
      <c r="AI165" s="7"/>
      <c r="AJ165" s="369" cm="1">
        <f t="array" ref="AJ165">IFERROR(INDEX(WHT!$C$7:$W$18,MATCH(
_xlfn.SWITCH(N165,"xDC Medellin","Colombia","xDC Belo Horizonte","Brazil","xDC Guadalajara","Mexico","xDC Gurugram","India","xDC Leon","Spain","xDC San Jose","Costa Rica","xDC Warsaw","Poland",N165),
WHT!$B$7:$B$18,0),MATCH(CustomerCountry,WHT!$C$5:$W$5,0)),0)</f>
        <v>0</v>
      </c>
      <c r="AK165" s="368">
        <f t="shared" si="124"/>
        <v>0</v>
      </c>
      <c r="AL165" s="7"/>
      <c r="AM165" s="95">
        <f t="shared" si="132"/>
        <v>0</v>
      </c>
      <c r="AN165" s="95">
        <f t="shared" ca="1" si="125"/>
        <v>0</v>
      </c>
      <c r="AO165" s="95">
        <f t="shared" ca="1" si="133"/>
        <v>0</v>
      </c>
      <c r="AP165" s="90"/>
      <c r="AQ165" s="18"/>
      <c r="AR165" s="290"/>
      <c r="AS165" s="467" t="s">
        <v>133</v>
      </c>
      <c r="AT165" s="501">
        <f t="shared" ca="1" si="126"/>
        <v>0</v>
      </c>
      <c r="AU165" s="502"/>
      <c r="AV165" s="95">
        <f t="shared" ca="1" si="134"/>
        <v>0</v>
      </c>
      <c r="AW165" s="469">
        <f t="shared" ca="1" si="127"/>
        <v>0</v>
      </c>
      <c r="AX165" s="290"/>
      <c r="AY165" s="18"/>
      <c r="AZ165" s="3"/>
      <c r="BA165" s="315"/>
      <c r="BB165" s="3"/>
      <c r="BC165" s="3"/>
      <c r="BD165" s="3"/>
      <c r="BE165" s="3"/>
      <c r="BF165" s="18"/>
      <c r="BG165" s="3"/>
      <c r="BH165" s="315"/>
      <c r="BI165" s="3"/>
      <c r="BJ165" s="3"/>
      <c r="BK165" s="3"/>
      <c r="BL165" s="3"/>
      <c r="BM165" s="18"/>
      <c r="BN165" s="3"/>
      <c r="BO165" s="315"/>
      <c r="BP165" s="3"/>
      <c r="BQ165" s="3"/>
      <c r="BR165" s="3"/>
      <c r="BS165" s="3"/>
      <c r="BT165" s="18"/>
      <c r="BU165" s="3"/>
      <c r="BV165" s="315"/>
      <c r="BW165" s="3"/>
      <c r="BX165" s="3"/>
      <c r="BY165" s="3"/>
      <c r="BZ165" s="3"/>
    </row>
    <row r="166" spans="1:82" ht="15.6" outlineLevel="1">
      <c r="A166" s="7"/>
      <c r="B166" s="370"/>
      <c r="C166" s="355"/>
      <c r="D166" s="356"/>
      <c r="E166" s="342"/>
      <c r="F166" s="290"/>
      <c r="G166" s="373">
        <v>0</v>
      </c>
      <c r="H166" s="374">
        <v>0</v>
      </c>
      <c r="I166" s="374">
        <v>0</v>
      </c>
      <c r="J166" s="375">
        <f t="shared" si="128"/>
        <v>0</v>
      </c>
      <c r="K166" s="290"/>
      <c r="L166" s="349"/>
      <c r="M166" s="7"/>
      <c r="N166" s="12"/>
      <c r="O166" s="12"/>
      <c r="P166" s="12"/>
      <c r="Q166" s="361"/>
      <c r="R166" s="362"/>
      <c r="S166" s="363">
        <f t="shared" si="139"/>
        <v>0</v>
      </c>
      <c r="T166" s="364">
        <f t="shared" ref="T166" si="162">IF(ISBLANK($P166),0,IF(Approach="Team-Based",$Q166*$R166*$S166*HoursPerDayTeamBased,$J166))</f>
        <v>0</v>
      </c>
      <c r="U166" s="365">
        <v>0</v>
      </c>
      <c r="V166" s="91">
        <f>ROUNDUP(IFERROR(INDEX(CostRateTbl[Cost Rate],MATCH(_xlfn.CONCAT(N166,O166,P166,"NA"),CostRateTbl[KeyCostRate],0)),0)*BillingCurrencyTRM*(1+U166),2)</f>
        <v>0</v>
      </c>
      <c r="W166" s="92">
        <f t="shared" si="120"/>
        <v>0</v>
      </c>
      <c r="X166" s="366" t="e" cm="1">
        <f t="array" ref="X166">_xlfn.LET(
    _xlpm.valor, INDEX(CostRate!H:H, MATCH(1, (CostRate!A:A=N166)*1, 0)),
    _xlpm.posicion, MATCH(_xlpm.valor, FilterSL!$F$1:$Z$1, 0),
    _xlpm.direccionCompleta, ADDRESS(1, _xlpm.posicion + 5, 4),
    _xlpm.letraColumna, SUBSTITUTE(_xlpm.direccionCompleta, "1", ""),
    _xlpm.letraColumna
)</f>
        <v>#N/A</v>
      </c>
      <c r="Y166" s="366" t="e" cm="1">
        <f t="array" ref="Y166">_xlfn.LET(
    _xlpm.valor, INDEX(CostRate!I:I, MATCH(1, (CostRate!A:A=N166)*(CostRate!B:B=O166), 0)),
    _xlpm.posicion, MATCH(_xlpm.valor, FilterJP!$E$1:$FZ$1, 0),
    _xlpm.direccionCompleta, ADDRESS(1, _xlpm.posicion + 4, 4),
    _xlpm.letraColumna, SUBSTITUTE(_xlpm.direccionCompleta, "1", ""),
    _xlpm.letraColumna
)</f>
        <v>#N/A</v>
      </c>
      <c r="Z166" s="7"/>
      <c r="AA166" s="367"/>
      <c r="AB166" s="7"/>
      <c r="AC166" s="93">
        <f t="shared" si="121"/>
        <v>0</v>
      </c>
      <c r="AD166" s="94">
        <f t="shared" si="130"/>
        <v>0</v>
      </c>
      <c r="AE166" s="109">
        <f t="shared" si="131"/>
        <v>0</v>
      </c>
      <c r="AF166" s="7"/>
      <c r="AG166" s="369">
        <f t="shared" si="122"/>
        <v>0</v>
      </c>
      <c r="AH166" s="368">
        <f t="shared" si="123"/>
        <v>0</v>
      </c>
      <c r="AI166" s="7"/>
      <c r="AJ166" s="369" cm="1">
        <f t="array" ref="AJ166">IFERROR(INDEX(WHT!$C$7:$W$18,MATCH(
_xlfn.SWITCH(N166,"xDC Medellin","Colombia","xDC Belo Horizonte","Brazil","xDC Guadalajara","Mexico","xDC Gurugram","India","xDC Leon","Spain","xDC San Jose","Costa Rica","xDC Warsaw","Poland",N166),
WHT!$B$7:$B$18,0),MATCH(CustomerCountry,WHT!$C$5:$W$5,0)),0)</f>
        <v>0</v>
      </c>
      <c r="AK166" s="368">
        <f t="shared" si="124"/>
        <v>0</v>
      </c>
      <c r="AL166" s="7"/>
      <c r="AM166" s="95">
        <f t="shared" si="132"/>
        <v>0</v>
      </c>
      <c r="AN166" s="95">
        <f t="shared" ca="1" si="125"/>
        <v>0</v>
      </c>
      <c r="AO166" s="95">
        <f t="shared" ca="1" si="133"/>
        <v>0</v>
      </c>
      <c r="AP166" s="90"/>
      <c r="AQ166" s="18"/>
      <c r="AR166" s="290"/>
      <c r="AS166" s="467" t="s">
        <v>133</v>
      </c>
      <c r="AT166" s="501">
        <f t="shared" ca="1" si="126"/>
        <v>0</v>
      </c>
      <c r="AU166" s="502"/>
      <c r="AV166" s="95">
        <f t="shared" ca="1" si="134"/>
        <v>0</v>
      </c>
      <c r="AW166" s="469">
        <f t="shared" ca="1" si="127"/>
        <v>0</v>
      </c>
      <c r="AX166" s="290"/>
      <c r="AY166" s="18"/>
      <c r="AZ166" s="3"/>
      <c r="BA166" s="315"/>
      <c r="BB166" s="3"/>
      <c r="BC166" s="3"/>
      <c r="BD166" s="3"/>
      <c r="BE166" s="3"/>
      <c r="BF166" s="18"/>
      <c r="BG166" s="3"/>
      <c r="BH166" s="315"/>
      <c r="BI166" s="3"/>
      <c r="BJ166" s="3"/>
      <c r="BK166" s="3"/>
      <c r="BL166" s="3"/>
      <c r="BM166" s="18"/>
      <c r="BN166" s="3"/>
      <c r="BO166" s="315"/>
      <c r="BP166" s="3"/>
      <c r="BQ166" s="3"/>
      <c r="BR166" s="3"/>
      <c r="BS166" s="3"/>
      <c r="BT166" s="18"/>
      <c r="BU166" s="3"/>
      <c r="BV166" s="315"/>
      <c r="BW166" s="3"/>
      <c r="BX166" s="3"/>
      <c r="BY166" s="3"/>
      <c r="BZ166" s="3"/>
    </row>
    <row r="167" spans="1:82" ht="15.6" outlineLevel="1">
      <c r="A167" s="7"/>
      <c r="B167" s="372"/>
      <c r="C167" s="355"/>
      <c r="D167" s="356"/>
      <c r="E167" s="342"/>
      <c r="F167" s="290"/>
      <c r="G167" s="373">
        <v>0</v>
      </c>
      <c r="H167" s="374">
        <v>0</v>
      </c>
      <c r="I167" s="374">
        <v>0</v>
      </c>
      <c r="J167" s="375">
        <f t="shared" si="128"/>
        <v>0</v>
      </c>
      <c r="K167" s="290"/>
      <c r="L167" s="349"/>
      <c r="M167" s="7"/>
      <c r="N167" s="12"/>
      <c r="O167" s="12"/>
      <c r="P167" s="12"/>
      <c r="Q167" s="361"/>
      <c r="R167" s="362"/>
      <c r="S167" s="363">
        <f t="shared" si="139"/>
        <v>0</v>
      </c>
      <c r="T167" s="364">
        <f t="shared" ref="T167" si="163">IF(ISBLANK($P167),0,IF(Approach="Team-Based",$Q167*$R167*$S167*HoursPerDayTeamBased,$J167))</f>
        <v>0</v>
      </c>
      <c r="U167" s="365">
        <v>0</v>
      </c>
      <c r="V167" s="91">
        <f>ROUNDUP(IFERROR(INDEX(CostRateTbl[Cost Rate],MATCH(_xlfn.CONCAT(N167,O167,P167,"NA"),CostRateTbl[KeyCostRate],0)),0)*BillingCurrencyTRM*(1+U167),2)</f>
        <v>0</v>
      </c>
      <c r="W167" s="92">
        <f t="shared" si="120"/>
        <v>0</v>
      </c>
      <c r="X167" s="366" t="e" cm="1">
        <f t="array" ref="X167">_xlfn.LET(
    _xlpm.valor, INDEX(CostRate!H:H, MATCH(1, (CostRate!A:A=N167)*1, 0)),
    _xlpm.posicion, MATCH(_xlpm.valor, FilterSL!$F$1:$Z$1, 0),
    _xlpm.direccionCompleta, ADDRESS(1, _xlpm.posicion + 5, 4),
    _xlpm.letraColumna, SUBSTITUTE(_xlpm.direccionCompleta, "1", ""),
    _xlpm.letraColumna
)</f>
        <v>#N/A</v>
      </c>
      <c r="Y167" s="366" t="e" cm="1">
        <f t="array" ref="Y167">_xlfn.LET(
    _xlpm.valor, INDEX(CostRate!I:I, MATCH(1, (CostRate!A:A=N167)*(CostRate!B:B=O167), 0)),
    _xlpm.posicion, MATCH(_xlpm.valor, FilterJP!$E$1:$FZ$1, 0),
    _xlpm.direccionCompleta, ADDRESS(1, _xlpm.posicion + 4, 4),
    _xlpm.letraColumna, SUBSTITUTE(_xlpm.direccionCompleta, "1", ""),
    _xlpm.letraColumna
)</f>
        <v>#N/A</v>
      </c>
      <c r="Z167" s="7"/>
      <c r="AA167" s="367"/>
      <c r="AB167" s="7"/>
      <c r="AC167" s="93">
        <f t="shared" si="121"/>
        <v>0</v>
      </c>
      <c r="AD167" s="94">
        <f t="shared" si="130"/>
        <v>0</v>
      </c>
      <c r="AE167" s="109">
        <f t="shared" si="131"/>
        <v>0</v>
      </c>
      <c r="AF167" s="7"/>
      <c r="AG167" s="369">
        <f t="shared" si="122"/>
        <v>0</v>
      </c>
      <c r="AH167" s="368">
        <f t="shared" si="123"/>
        <v>0</v>
      </c>
      <c r="AI167" s="7"/>
      <c r="AJ167" s="369" cm="1">
        <f t="array" ref="AJ167">IFERROR(INDEX(WHT!$C$7:$W$18,MATCH(
_xlfn.SWITCH(N167,"xDC Medellin","Colombia","xDC Belo Horizonte","Brazil","xDC Guadalajara","Mexico","xDC Gurugram","India","xDC Leon","Spain","xDC San Jose","Costa Rica","xDC Warsaw","Poland",N167),
WHT!$B$7:$B$18,0),MATCH(CustomerCountry,WHT!$C$5:$W$5,0)),0)</f>
        <v>0</v>
      </c>
      <c r="AK167" s="368">
        <f t="shared" si="124"/>
        <v>0</v>
      </c>
      <c r="AL167" s="7"/>
      <c r="AM167" s="95">
        <f t="shared" si="132"/>
        <v>0</v>
      </c>
      <c r="AN167" s="95">
        <f t="shared" ca="1" si="125"/>
        <v>0</v>
      </c>
      <c r="AO167" s="95">
        <f t="shared" ca="1" si="133"/>
        <v>0</v>
      </c>
      <c r="AP167" s="90"/>
      <c r="AQ167" s="18"/>
      <c r="AR167" s="290"/>
      <c r="AS167" s="467" t="s">
        <v>133</v>
      </c>
      <c r="AT167" s="501">
        <f ca="1">IF(AS167="x",AM167+((SUM($AN$127:$AN$132)+SUMIF($AS$138:$AS$167,"&lt;&gt;x",$AM$138:$AM$167))*IFERROR(AM167/SUMIF($AS$138:$AS$167,"x",$AM$138:$AM$167),0)),0)</f>
        <v>0</v>
      </c>
      <c r="AU167" s="502"/>
      <c r="AV167" s="95">
        <f t="shared" ca="1" si="134"/>
        <v>0</v>
      </c>
      <c r="AW167" s="469">
        <f t="shared" ca="1" si="127"/>
        <v>0</v>
      </c>
      <c r="AX167" s="290"/>
      <c r="AY167" s="18"/>
      <c r="AZ167" s="3"/>
      <c r="BA167" s="315"/>
      <c r="BB167" s="3"/>
      <c r="BC167" s="3"/>
      <c r="BD167" s="3"/>
      <c r="BE167" s="3"/>
      <c r="BF167" s="18"/>
      <c r="BG167" s="3"/>
      <c r="BH167" s="315"/>
      <c r="BI167" s="3"/>
      <c r="BJ167" s="3"/>
      <c r="BK167" s="3"/>
      <c r="BL167" s="3"/>
      <c r="BM167" s="18"/>
      <c r="BN167" s="3"/>
      <c r="BO167" s="315"/>
      <c r="BP167" s="3"/>
      <c r="BQ167" s="3"/>
      <c r="BR167" s="3"/>
      <c r="BS167" s="3"/>
      <c r="BT167" s="18"/>
      <c r="BU167" s="3"/>
      <c r="BV167" s="315"/>
      <c r="BW167" s="3"/>
      <c r="BX167" s="3"/>
      <c r="BY167" s="3"/>
      <c r="BZ167" s="3"/>
    </row>
    <row r="168" spans="1:82" ht="15.6" outlineLevel="1">
      <c r="A168" s="7"/>
      <c r="B168" s="376"/>
      <c r="C168" s="376"/>
      <c r="D168" s="376"/>
      <c r="E168" s="342"/>
      <c r="F168" s="290"/>
      <c r="G168" s="290"/>
      <c r="H168" s="290"/>
      <c r="I168" s="290"/>
      <c r="J168" s="290"/>
      <c r="K168" s="290"/>
      <c r="L168" s="18"/>
      <c r="M168" s="7"/>
      <c r="N168" s="7"/>
      <c r="O168" s="7"/>
      <c r="P168" s="7"/>
      <c r="Q168" s="7"/>
      <c r="R168" s="7"/>
      <c r="S168" s="294"/>
      <c r="T168" s="294"/>
      <c r="U168" s="294"/>
      <c r="V168" s="294"/>
      <c r="W168" s="294"/>
      <c r="X168" s="7"/>
      <c r="Y168" s="7"/>
      <c r="Z168" s="294"/>
      <c r="AA168" s="377"/>
      <c r="AB168" s="294"/>
      <c r="AC168" s="294"/>
      <c r="AD168" s="294"/>
      <c r="AE168" s="294"/>
      <c r="AF168" s="7"/>
      <c r="AG168" s="294"/>
      <c r="AH168" s="294"/>
      <c r="AI168" s="7"/>
      <c r="AJ168" s="294"/>
      <c r="AK168" s="294"/>
      <c r="AL168" s="7"/>
      <c r="AM168" s="294"/>
      <c r="AN168" s="294"/>
      <c r="AO168" s="294"/>
      <c r="AP168" s="294"/>
      <c r="AQ168" s="18"/>
      <c r="AR168" s="378"/>
      <c r="AS168" s="378"/>
      <c r="AT168" s="378"/>
      <c r="AU168" s="81"/>
      <c r="AV168" s="378"/>
      <c r="AW168" s="7"/>
      <c r="AX168" s="378"/>
      <c r="AY168" s="18"/>
      <c r="AZ168" s="3"/>
      <c r="BA168" s="315"/>
      <c r="BB168" s="3"/>
      <c r="BC168" s="3"/>
      <c r="BD168" s="3"/>
      <c r="BE168" s="3"/>
      <c r="BF168" s="18"/>
      <c r="BG168" s="3"/>
      <c r="BH168" s="315"/>
      <c r="BI168" s="3"/>
      <c r="BJ168" s="3"/>
      <c r="BK168" s="3"/>
      <c r="BL168" s="3"/>
      <c r="BM168" s="18"/>
      <c r="BN168" s="3"/>
      <c r="BO168" s="315"/>
      <c r="BP168" s="3"/>
      <c r="BQ168" s="3"/>
      <c r="BR168" s="3"/>
      <c r="BS168" s="3"/>
      <c r="BT168" s="18"/>
      <c r="BU168" s="3"/>
      <c r="BV168" s="315"/>
      <c r="BW168" s="3"/>
      <c r="BX168" s="3"/>
      <c r="BY168" s="3"/>
      <c r="BZ168" s="3"/>
    </row>
    <row r="169" spans="1:82" s="389" customFormat="1">
      <c r="A169" s="390"/>
      <c r="B169" s="390"/>
      <c r="C169" s="390"/>
      <c r="D169" s="390"/>
      <c r="E169" s="390"/>
      <c r="F169" s="390"/>
      <c r="G169" s="390"/>
      <c r="H169" s="390"/>
      <c r="I169" s="390"/>
      <c r="J169" s="390"/>
      <c r="K169" s="390"/>
      <c r="L169" s="390"/>
      <c r="M169" s="392"/>
      <c r="N169" s="392"/>
      <c r="O169" s="392"/>
      <c r="P169" s="392"/>
      <c r="Q169" s="392"/>
      <c r="R169" s="392"/>
      <c r="S169" s="392"/>
      <c r="T169" s="392"/>
      <c r="U169" s="392"/>
      <c r="V169" s="392"/>
      <c r="W169" s="392"/>
      <c r="X169" s="392"/>
      <c r="Y169" s="392"/>
      <c r="Z169" s="392"/>
      <c r="AA169" s="320"/>
      <c r="AB169" s="321"/>
      <c r="AC169" s="322"/>
      <c r="AD169" s="322"/>
      <c r="AE169" s="322"/>
      <c r="AF169" s="322"/>
      <c r="AG169" s="322"/>
      <c r="AH169" s="322"/>
      <c r="AI169" s="322"/>
      <c r="AJ169" s="323"/>
      <c r="AK169" s="322"/>
      <c r="AL169" s="322"/>
      <c r="AM169" s="322"/>
      <c r="AN169" s="323"/>
      <c r="AO169" s="323"/>
      <c r="AP169" s="323"/>
      <c r="AR169" s="390"/>
      <c r="AS169" s="390"/>
      <c r="AT169" s="390"/>
      <c r="AU169" s="390"/>
      <c r="AV169" s="390"/>
      <c r="AW169" s="390"/>
      <c r="AX169" s="390"/>
      <c r="AZ169" s="390"/>
      <c r="BA169" s="390"/>
      <c r="BB169" s="390"/>
      <c r="BC169" s="390"/>
      <c r="BD169" s="390"/>
      <c r="BE169" s="390"/>
      <c r="BF169" s="390"/>
      <c r="BG169" s="390"/>
      <c r="BH169" s="390"/>
      <c r="BI169" s="390"/>
      <c r="BJ169" s="390"/>
      <c r="BK169" s="390"/>
      <c r="BL169" s="390"/>
      <c r="BM169" s="390"/>
      <c r="BN169" s="390"/>
      <c r="BO169" s="390"/>
      <c r="BP169" s="390"/>
      <c r="BQ169" s="390"/>
      <c r="BR169" s="390"/>
      <c r="BS169" s="390"/>
      <c r="BT169" s="390"/>
      <c r="BU169" s="390"/>
      <c r="BV169" s="390"/>
      <c r="BW169" s="390"/>
      <c r="BX169" s="390"/>
      <c r="BY169" s="390"/>
      <c r="BZ169" s="390"/>
      <c r="CA169" s="390"/>
      <c r="CB169" s="390"/>
      <c r="CC169" s="390"/>
      <c r="CD169" s="390"/>
    </row>
    <row r="170" spans="1:82" s="325" customFormat="1" ht="15.6">
      <c r="A170" s="480"/>
      <c r="B170" s="507">
        <f>CMSResumen!G5</f>
        <v>0</v>
      </c>
      <c r="C170" s="507"/>
      <c r="D170" s="324"/>
      <c r="E170" s="342"/>
      <c r="F170" s="290"/>
      <c r="G170" s="79"/>
      <c r="H170" s="326"/>
      <c r="I170" s="326"/>
      <c r="J170" s="80"/>
      <c r="K170" s="290"/>
      <c r="L170" s="342"/>
      <c r="M170" s="2"/>
      <c r="N170" s="7"/>
      <c r="O170" s="7"/>
      <c r="P170" s="77"/>
      <c r="Q170" s="77"/>
      <c r="R170" s="77"/>
      <c r="S170" s="77"/>
      <c r="T170" s="77"/>
      <c r="U170" s="77"/>
      <c r="V170" s="77"/>
      <c r="W170" s="77"/>
      <c r="X170" s="77"/>
      <c r="Y170" s="77"/>
      <c r="Z170" s="2"/>
      <c r="AA170" s="304"/>
      <c r="AB170" s="7"/>
      <c r="AC170" s="13"/>
      <c r="AD170" s="13"/>
      <c r="AE170" s="13"/>
      <c r="AF170" s="13"/>
      <c r="AG170" s="13"/>
      <c r="AH170" s="13"/>
      <c r="AI170" s="13"/>
      <c r="AJ170" s="70"/>
      <c r="AK170" s="70"/>
      <c r="AL170" s="13"/>
      <c r="AM170" s="13"/>
      <c r="AN170" s="70"/>
      <c r="AO170" s="70"/>
      <c r="AP170" s="7"/>
      <c r="AQ170" s="342"/>
      <c r="AR170" s="290"/>
      <c r="AS170" s="290"/>
      <c r="AT170" s="290"/>
      <c r="AU170" s="290"/>
      <c r="AV170" s="290"/>
      <c r="AW170" s="290"/>
      <c r="AX170" s="290"/>
      <c r="AY170" s="342"/>
      <c r="AZ170" s="3"/>
      <c r="BA170" s="315"/>
      <c r="BB170" s="3"/>
      <c r="BC170" s="3"/>
      <c r="BD170" s="3"/>
      <c r="BE170" s="3"/>
      <c r="BF170" s="342"/>
      <c r="BG170" s="3"/>
      <c r="BH170" s="315"/>
      <c r="BI170" s="3"/>
      <c r="BJ170" s="3"/>
      <c r="BK170" s="3"/>
      <c r="BL170" s="3"/>
      <c r="BM170" s="342"/>
      <c r="BN170" s="3"/>
      <c r="BO170" s="315"/>
      <c r="BP170" s="3"/>
      <c r="BQ170" s="3"/>
      <c r="BR170" s="3"/>
      <c r="BS170" s="3"/>
      <c r="BT170" s="342"/>
      <c r="BU170" s="3"/>
      <c r="BV170" s="315"/>
      <c r="BW170" s="3"/>
      <c r="BX170" s="3"/>
      <c r="BY170" s="3"/>
      <c r="BZ170" s="3"/>
      <c r="CA170" s="342"/>
      <c r="CB170" s="342"/>
      <c r="CC170" s="342"/>
      <c r="CD170" s="342"/>
    </row>
    <row r="171" spans="1:82" s="325" customFormat="1" ht="15.6">
      <c r="A171" s="480"/>
      <c r="B171" s="507"/>
      <c r="C171" s="507"/>
      <c r="D171" s="324"/>
      <c r="E171" s="342"/>
      <c r="F171" s="290"/>
      <c r="G171" s="79"/>
      <c r="H171" s="326"/>
      <c r="I171" s="326"/>
      <c r="J171" s="80"/>
      <c r="K171" s="290"/>
      <c r="L171" s="342"/>
      <c r="M171" s="2"/>
      <c r="N171" s="13" t="s">
        <v>78</v>
      </c>
      <c r="O171" s="395" t="s">
        <v>79</v>
      </c>
      <c r="P171" s="395" t="s">
        <v>80</v>
      </c>
      <c r="Q171" s="77"/>
      <c r="R171" s="77"/>
      <c r="S171" s="77"/>
      <c r="T171" s="77"/>
      <c r="U171" s="13" t="s">
        <v>81</v>
      </c>
      <c r="V171" s="428" t="str">
        <f>_xlfn.CONCAT("DELIVERY COST (",BillingCountryCurrency,")")</f>
        <v>DELIVERY COST (COP)</v>
      </c>
      <c r="W171" s="428" t="str">
        <f>_xlfn.CONCAT("DELIVERY COST (",IF(ISBLANK(BusinessCurrency),"N/A",BusinessCurrency),")")</f>
        <v>DELIVERY COST (USD)</v>
      </c>
      <c r="X171" s="77"/>
      <c r="Y171" s="77"/>
      <c r="Z171" s="2"/>
      <c r="AA171" s="304"/>
      <c r="AB171" s="7"/>
      <c r="AC171" s="13" t="s">
        <v>82</v>
      </c>
      <c r="AD171" s="428" t="str">
        <f>_xlfn.CONCAT("PRICING (",BillingCountryCurrency,")")</f>
        <v>PRICING (COP)</v>
      </c>
      <c r="AE171" s="428" t="str">
        <f>_xlfn.CONCAT("PRICING (",IF(ISBLANK(BusinessCurrency),"N/A",BusinessCurrency),")")</f>
        <v>PRICING (USD)</v>
      </c>
      <c r="AF171" s="70" t="s">
        <v>14</v>
      </c>
      <c r="AG171" s="428" t="str">
        <f>_xlfn.CONCAT("Intercompany (",BillingCountryCurrency,")")</f>
        <v>Intercompany (COP)</v>
      </c>
      <c r="AH171" s="428" t="str">
        <f>_xlfn.CONCAT("Intercompany (",IF(ISBLANK(BusinessCurrency),"N/A",BusinessCurrency),")")</f>
        <v>Intercompany (USD)</v>
      </c>
      <c r="AI171" s="70" t="s">
        <v>14</v>
      </c>
      <c r="AJ171" s="428" t="str">
        <f>_xlfn.CONCAT("WHT (",BillingCountryCurrency,")")</f>
        <v>WHT (COP)</v>
      </c>
      <c r="AK171" s="428" t="str">
        <f>_xlfn.CONCAT("WHT (",IF(ISBLANK(BusinessCurrency),"N/A",BusinessCurrency),")")</f>
        <v>WHT (USD)</v>
      </c>
      <c r="AL171" s="70"/>
      <c r="AM171" s="70" t="s">
        <v>15</v>
      </c>
      <c r="AN171" s="428" t="str">
        <f>_xlfn.CONCAT("SUBTOTAL PRICE (",BillingCountryCurrency,")")</f>
        <v>SUBTOTAL PRICE (COP)</v>
      </c>
      <c r="AO171" s="428" t="str">
        <f>_xlfn.CONCAT("SUBTOTAL PRICE (",IF(ISBLANK(BusinessCurrency),"N/A",BusinessCurrency),")")</f>
        <v>SUBTOTAL PRICE (USD)</v>
      </c>
      <c r="AP171" s="7"/>
      <c r="AQ171" s="342"/>
      <c r="AR171" s="290"/>
      <c r="AS171" s="13" t="s">
        <v>83</v>
      </c>
      <c r="AT171" s="290"/>
      <c r="AU171" s="100"/>
      <c r="AV171" s="417"/>
      <c r="AW171" s="417"/>
      <c r="AX171" s="290"/>
      <c r="AY171" s="342"/>
      <c r="AZ171" s="3"/>
      <c r="BA171" s="315"/>
      <c r="BB171" s="3"/>
      <c r="BC171" s="3"/>
      <c r="BD171" s="3"/>
      <c r="BE171" s="3"/>
      <c r="BF171" s="342"/>
      <c r="BG171" s="3"/>
      <c r="BH171" s="315"/>
      <c r="BI171" s="3"/>
      <c r="BJ171" s="3"/>
      <c r="BK171" s="3"/>
      <c r="BL171" s="3"/>
      <c r="BM171" s="342"/>
      <c r="BN171" s="3"/>
      <c r="BO171" s="315"/>
      <c r="BP171" s="3"/>
      <c r="BQ171" s="3"/>
      <c r="BR171" s="3"/>
      <c r="BS171" s="3"/>
      <c r="BT171" s="342"/>
      <c r="BU171" s="3"/>
      <c r="BV171" s="315"/>
      <c r="BW171" s="3"/>
      <c r="BX171" s="3"/>
      <c r="BY171" s="3"/>
      <c r="BZ171" s="3"/>
      <c r="CA171" s="342"/>
      <c r="CB171" s="342"/>
      <c r="CC171" s="342"/>
      <c r="CD171" s="342"/>
    </row>
    <row r="172" spans="1:82" s="325" customFormat="1" ht="15.6">
      <c r="A172" s="480"/>
      <c r="B172" s="507"/>
      <c r="C172" s="507"/>
      <c r="D172" s="324"/>
      <c r="E172" s="342"/>
      <c r="F172" s="290"/>
      <c r="G172" s="79"/>
      <c r="H172" s="326"/>
      <c r="I172" s="326"/>
      <c r="J172" s="80"/>
      <c r="K172" s="290"/>
      <c r="L172" s="342"/>
      <c r="M172" s="2"/>
      <c r="N172" s="79" t="s">
        <v>84</v>
      </c>
      <c r="O172" s="103">
        <f ca="1">SUMIF($P186:$P215,"&lt;&gt;*Project Management*",$T186:$T215)</f>
        <v>26.227637999999999</v>
      </c>
      <c r="P172" s="396">
        <f ca="1">IFERROR(O172/O175,0)</f>
        <v>0.82224389153830135</v>
      </c>
      <c r="Q172" s="82"/>
      <c r="R172" s="77"/>
      <c r="S172" s="77"/>
      <c r="T172" s="77"/>
      <c r="U172" s="4" t="s">
        <v>24</v>
      </c>
      <c r="V172" s="328">
        <f ca="1">SUMIF(P186:P215,"&lt;&gt;*Project Management*",W186:W215)</f>
        <v>1053221.9513319002</v>
      </c>
      <c r="W172" s="425">
        <f t="shared" ref="W172:W181" ca="1" si="164">IFERROR(V172/BusinessCurrencyTRM,"N/A")</f>
        <v>270.05691059792315</v>
      </c>
      <c r="X172" s="7"/>
      <c r="Y172" s="7" t="s">
        <v>85</v>
      </c>
      <c r="Z172" s="2"/>
      <c r="AA172" s="304"/>
      <c r="AB172" s="7"/>
      <c r="AC172" s="4" t="s">
        <v>24</v>
      </c>
      <c r="AD172" s="329">
        <f ca="1">SUMIF(P186:P215,"&lt;&gt;*Project Management*",AD186:AD215)</f>
        <v>1504602.8058096</v>
      </c>
      <c r="AE172" s="425">
        <f t="shared" ref="AE172:AE181" ca="1" si="165">IFERROR(AD172/BusinessCurrencyTRM,"N/A")</f>
        <v>385.79559123323077</v>
      </c>
      <c r="AF172" s="330"/>
      <c r="AG172" s="328">
        <f ca="1">SUMIF(P186:P215,"&lt;&gt;*Project Management*",AH186:AH215)</f>
        <v>0</v>
      </c>
      <c r="AH172" s="449">
        <f t="shared" ref="AH172:AH181" ca="1" si="166">IFERROR(AG172/BusinessCurrencyTRM,"N/A")</f>
        <v>0</v>
      </c>
      <c r="AI172" s="330"/>
      <c r="AJ172" s="328">
        <f ca="1">SUMIF(P186:P215,"&lt;&gt;*Project Management*",AK186:AK215)</f>
        <v>0</v>
      </c>
      <c r="AK172" s="425">
        <f t="shared" ref="AK172:AK181" ca="1" si="167">IFERROR(AJ172/BusinessCurrencyTRM,"N/A")</f>
        <v>0</v>
      </c>
      <c r="AL172" s="330"/>
      <c r="AM172" s="330"/>
      <c r="AN172" s="329">
        <f ca="1">SUM(AD172,AG172,AJ172)</f>
        <v>1504602.8058096</v>
      </c>
      <c r="AO172" s="425">
        <f t="shared" ref="AO172:AO181" ca="1" si="168">IFERROR(AN172/BusinessCurrencyTRM,"N/A")</f>
        <v>385.79559123323077</v>
      </c>
      <c r="AP172" s="7"/>
      <c r="AQ172" s="342"/>
      <c r="AR172" s="290"/>
      <c r="AS172" s="402" t="s">
        <v>86</v>
      </c>
      <c r="AT172" s="290"/>
      <c r="AU172" s="81"/>
      <c r="AV172" s="508">
        <f>CMSResumen!H21</f>
        <v>0.3</v>
      </c>
      <c r="AW172" s="508"/>
      <c r="AX172" s="290"/>
      <c r="AY172" s="342"/>
      <c r="AZ172" s="3"/>
      <c r="BA172" s="315"/>
      <c r="BB172" s="3"/>
      <c r="BC172" s="3"/>
      <c r="BD172" s="3"/>
      <c r="BE172" s="3"/>
      <c r="BF172" s="342"/>
      <c r="BG172" s="3"/>
      <c r="BH172" s="315"/>
      <c r="BI172" s="3"/>
      <c r="BJ172" s="3"/>
      <c r="BK172" s="3"/>
      <c r="BL172" s="3"/>
      <c r="BM172" s="342"/>
      <c r="BN172" s="3"/>
      <c r="BO172" s="315"/>
      <c r="BP172" s="3"/>
      <c r="BQ172" s="3"/>
      <c r="BR172" s="3"/>
      <c r="BS172" s="3"/>
      <c r="BT172" s="342"/>
      <c r="BU172" s="3"/>
      <c r="BV172" s="315"/>
      <c r="BW172" s="3"/>
      <c r="BX172" s="3"/>
      <c r="BY172" s="3"/>
      <c r="BZ172" s="3"/>
      <c r="CA172" s="342"/>
      <c r="CB172" s="342"/>
      <c r="CC172" s="342"/>
      <c r="CD172" s="342"/>
    </row>
    <row r="173" spans="1:82" s="325" customFormat="1" ht="16.149999999999999" thickBot="1">
      <c r="A173" s="480"/>
      <c r="B173" s="507"/>
      <c r="C173" s="507"/>
      <c r="D173" s="324"/>
      <c r="E173" s="342"/>
      <c r="F173" s="290"/>
      <c r="G173" s="79"/>
      <c r="H173" s="326"/>
      <c r="I173" s="326"/>
      <c r="J173" s="80"/>
      <c r="K173" s="290"/>
      <c r="L173" s="342"/>
      <c r="M173" s="2"/>
      <c r="N173" s="79" t="s">
        <v>87</v>
      </c>
      <c r="O173" s="103">
        <f ca="1">SUMIF($P186:$P215,"=*Project Management*",$T186:T215)</f>
        <v>5.67</v>
      </c>
      <c r="P173" s="396">
        <f ca="1">IFERROR(O173/O175,0)</f>
        <v>0.17775610846169862</v>
      </c>
      <c r="Q173" s="82"/>
      <c r="R173" s="77"/>
      <c r="S173" s="77"/>
      <c r="T173" s="77"/>
      <c r="U173" s="4" t="s">
        <v>30</v>
      </c>
      <c r="V173" s="328">
        <f ca="1">SUMIF(P186:P215,"=*Project Management*",W186:W215)</f>
        <v>0</v>
      </c>
      <c r="W173" s="425">
        <f t="shared" ca="1" si="164"/>
        <v>0</v>
      </c>
      <c r="X173" s="7"/>
      <c r="Y173" s="7" t="s">
        <v>88</v>
      </c>
      <c r="Z173" s="2"/>
      <c r="AA173" s="304"/>
      <c r="AB173" s="7"/>
      <c r="AC173" s="4" t="s">
        <v>30</v>
      </c>
      <c r="AD173" s="329">
        <f ca="1">SUMIF(P186:P215,"=*Project Management*",AD186:AD215)</f>
        <v>0</v>
      </c>
      <c r="AE173" s="425">
        <f t="shared" ca="1" si="165"/>
        <v>0</v>
      </c>
      <c r="AF173" s="330"/>
      <c r="AG173" s="328">
        <f ca="1">SUMIF(P186:P215,"=*Project Management*",AH186:AH215)</f>
        <v>0</v>
      </c>
      <c r="AH173" s="447">
        <f t="shared" ca="1" si="166"/>
        <v>0</v>
      </c>
      <c r="AI173" s="330"/>
      <c r="AJ173" s="448">
        <f ca="1">SUMIF(P186:P215,"=*Project Management*",AK186:AK215)</f>
        <v>0</v>
      </c>
      <c r="AK173" s="425">
        <f t="shared" ca="1" si="167"/>
        <v>0</v>
      </c>
      <c r="AL173" s="330"/>
      <c r="AM173" s="330"/>
      <c r="AN173" s="329">
        <f t="shared" ref="AN173:AN181" ca="1" si="169">SUM(AD173,AG173,AJ173)</f>
        <v>0</v>
      </c>
      <c r="AO173" s="425">
        <f t="shared" ca="1" si="168"/>
        <v>0</v>
      </c>
      <c r="AP173" s="7"/>
      <c r="AQ173" s="342"/>
      <c r="AR173" s="290"/>
      <c r="AS173" s="402" t="s">
        <v>89</v>
      </c>
      <c r="AT173" s="290"/>
      <c r="AU173" s="81"/>
      <c r="AV173" s="509">
        <f ca="1">IFERROR(1-AV175/AV176,0)</f>
        <v>0.30000000846390806</v>
      </c>
      <c r="AW173" s="509"/>
      <c r="AX173" s="290"/>
      <c r="AY173" s="342"/>
      <c r="AZ173" s="3"/>
      <c r="BA173" s="315"/>
      <c r="BB173" s="3"/>
      <c r="BC173" s="3"/>
      <c r="BD173" s="3"/>
      <c r="BE173" s="3"/>
      <c r="BF173" s="342"/>
      <c r="BG173" s="3"/>
      <c r="BH173" s="315"/>
      <c r="BI173" s="3"/>
      <c r="BJ173" s="3"/>
      <c r="BK173" s="3"/>
      <c r="BL173" s="3"/>
      <c r="BM173" s="342"/>
      <c r="BN173" s="3"/>
      <c r="BO173" s="315"/>
      <c r="BP173" s="3"/>
      <c r="BQ173" s="3"/>
      <c r="BR173" s="3"/>
      <c r="BS173" s="3"/>
      <c r="BT173" s="342"/>
      <c r="BU173" s="3"/>
      <c r="BV173" s="315"/>
      <c r="BW173" s="3"/>
      <c r="BX173" s="3"/>
      <c r="BY173" s="3"/>
      <c r="BZ173" s="3"/>
      <c r="CA173" s="342"/>
      <c r="CB173" s="342"/>
      <c r="CC173" s="342"/>
      <c r="CD173" s="342"/>
    </row>
    <row r="174" spans="1:82" s="325" customFormat="1" ht="16.899999999999999" thickTop="1" thickBot="1">
      <c r="A174" s="480"/>
      <c r="B174" s="507"/>
      <c r="C174" s="507"/>
      <c r="D174" s="324"/>
      <c r="E174" s="342"/>
      <c r="F174" s="290"/>
      <c r="G174" s="79"/>
      <c r="H174" s="326"/>
      <c r="I174" s="326"/>
      <c r="J174" s="80"/>
      <c r="K174" s="290"/>
      <c r="L174" s="342"/>
      <c r="M174" s="2"/>
      <c r="N174" s="79" t="s">
        <v>90</v>
      </c>
      <c r="O174" s="103">
        <f ca="1">IF(Approach="Team-Based",SUM(O172:O173)*$O177,$J184-$G184)</f>
        <v>0</v>
      </c>
      <c r="P174" s="396">
        <f ca="1">IFERROR(O174/O175,0)</f>
        <v>0</v>
      </c>
      <c r="Q174" s="77"/>
      <c r="R174" s="77"/>
      <c r="S174" s="77"/>
      <c r="T174" s="77"/>
      <c r="U174" s="13" t="s">
        <v>35</v>
      </c>
      <c r="V174" s="84">
        <f ca="1">SUM(V172:V173)</f>
        <v>1053221.9513319002</v>
      </c>
      <c r="W174" s="426">
        <f t="shared" ca="1" si="164"/>
        <v>270.05691059792315</v>
      </c>
      <c r="X174" s="77"/>
      <c r="Y174" s="77"/>
      <c r="Z174" s="2"/>
      <c r="AA174" s="304"/>
      <c r="AB174" s="7"/>
      <c r="AC174" s="13" t="s">
        <v>35</v>
      </c>
      <c r="AD174" s="84">
        <f ca="1">SUM(AD172:AD173)</f>
        <v>1504602.8058096</v>
      </c>
      <c r="AE174" s="426">
        <f t="shared" ca="1" si="165"/>
        <v>385.79559123323077</v>
      </c>
      <c r="AF174" s="330"/>
      <c r="AG174" s="84">
        <f ca="1">SUM(AG172:AG173)</f>
        <v>0</v>
      </c>
      <c r="AH174" s="450">
        <f t="shared" ca="1" si="166"/>
        <v>0</v>
      </c>
      <c r="AI174" s="330"/>
      <c r="AJ174" s="84">
        <f ca="1">SUM(AJ172:AJ173)</f>
        <v>0</v>
      </c>
      <c r="AK174" s="426">
        <f t="shared" ca="1" si="167"/>
        <v>0</v>
      </c>
      <c r="AL174" s="330"/>
      <c r="AM174" s="330"/>
      <c r="AN174" s="84">
        <f t="shared" ca="1" si="169"/>
        <v>1504602.8058096</v>
      </c>
      <c r="AO174" s="426">
        <f t="shared" ca="1" si="168"/>
        <v>385.79559123323077</v>
      </c>
      <c r="AP174" s="7"/>
      <c r="AQ174" s="342"/>
      <c r="AR174" s="290"/>
      <c r="AS174" s="81"/>
      <c r="AT174" s="81"/>
      <c r="AU174" s="81"/>
      <c r="AV174" s="417" t="str">
        <f>BillingCountryCurrency</f>
        <v>COP</v>
      </c>
      <c r="AW174" s="417" t="str">
        <f>IF(ISBLANK(BusinessCurrency),"N/A",BusinessCurrency)</f>
        <v>USD</v>
      </c>
      <c r="AX174" s="290"/>
      <c r="AY174" s="342"/>
      <c r="AZ174" s="3"/>
      <c r="BA174" s="315"/>
      <c r="BB174" s="3"/>
      <c r="BC174" s="3"/>
      <c r="BD174" s="3"/>
      <c r="BE174" s="3"/>
      <c r="BF174" s="342"/>
      <c r="BG174" s="3"/>
      <c r="BH174" s="315"/>
      <c r="BI174" s="3"/>
      <c r="BJ174" s="3"/>
      <c r="BK174" s="3"/>
      <c r="BL174" s="3"/>
      <c r="BM174" s="342"/>
      <c r="BN174" s="3"/>
      <c r="BO174" s="315"/>
      <c r="BP174" s="3"/>
      <c r="BQ174" s="3"/>
      <c r="BR174" s="3"/>
      <c r="BS174" s="3"/>
      <c r="BT174" s="342"/>
      <c r="BU174" s="3"/>
      <c r="BV174" s="315"/>
      <c r="BW174" s="3"/>
      <c r="BX174" s="3"/>
      <c r="BY174" s="3"/>
      <c r="BZ174" s="3"/>
      <c r="CA174" s="342"/>
      <c r="CB174" s="342"/>
      <c r="CC174" s="342"/>
      <c r="CD174" s="342"/>
    </row>
    <row r="175" spans="1:82" s="325" customFormat="1" ht="16.149999999999999" thickTop="1">
      <c r="A175" s="480"/>
      <c r="B175" s="507"/>
      <c r="C175" s="507"/>
      <c r="D175" s="324"/>
      <c r="E175" s="342"/>
      <c r="F175" s="290"/>
      <c r="G175" s="79"/>
      <c r="H175" s="326"/>
      <c r="I175" s="326"/>
      <c r="J175" s="80"/>
      <c r="K175" s="290"/>
      <c r="L175" s="342"/>
      <c r="M175" s="2"/>
      <c r="N175" s="83" t="s">
        <v>91</v>
      </c>
      <c r="O175" s="102">
        <f ca="1">SUM(O172:O174)</f>
        <v>31.897638000000001</v>
      </c>
      <c r="P175" s="397">
        <f ca="1">SUM(P172:P174)</f>
        <v>1</v>
      </c>
      <c r="Q175" s="77"/>
      <c r="R175" s="77"/>
      <c r="S175" s="77"/>
      <c r="T175" s="77"/>
      <c r="U175" s="4" t="s">
        <v>47</v>
      </c>
      <c r="V175" s="328">
        <f ca="1">ROUNDUP(V174*O177,2)</f>
        <v>0</v>
      </c>
      <c r="W175" s="425">
        <f t="shared" ca="1" si="164"/>
        <v>0</v>
      </c>
      <c r="X175" s="7"/>
      <c r="Y175" s="7" t="s">
        <v>92</v>
      </c>
      <c r="Z175" s="2"/>
      <c r="AA175" s="304"/>
      <c r="AB175" s="7"/>
      <c r="AC175" s="4" t="s">
        <v>47</v>
      </c>
      <c r="AD175" s="328">
        <f ca="1">ROUNDUP(V175/(1-$AV$172),2)</f>
        <v>0</v>
      </c>
      <c r="AE175" s="425">
        <f t="shared" ca="1" si="165"/>
        <v>0</v>
      </c>
      <c r="AF175" s="330"/>
      <c r="AG175" s="328">
        <f ca="1">IFERROR(V175*MAX(AG186:AG215),0)</f>
        <v>0</v>
      </c>
      <c r="AH175" s="449">
        <f t="shared" ca="1" si="166"/>
        <v>0</v>
      </c>
      <c r="AI175" s="330"/>
      <c r="AJ175" s="328">
        <f ca="1">IFERROR(SUM(V175,AG175)*MAX(AJ186:AJ215),0)</f>
        <v>0</v>
      </c>
      <c r="AK175" s="425">
        <f t="shared" ca="1" si="167"/>
        <v>0</v>
      </c>
      <c r="AL175" s="330"/>
      <c r="AM175" s="330"/>
      <c r="AN175" s="329">
        <f t="shared" ca="1" si="169"/>
        <v>0</v>
      </c>
      <c r="AO175" s="425">
        <f t="shared" ca="1" si="168"/>
        <v>0</v>
      </c>
      <c r="AP175" s="7"/>
      <c r="AQ175" s="342"/>
      <c r="AR175" s="290"/>
      <c r="AS175" s="402" t="s">
        <v>93</v>
      </c>
      <c r="AT175" s="290"/>
      <c r="AU175" s="81"/>
      <c r="AV175" s="298">
        <f ca="1">SUM(V181,AG181,AJ181)</f>
        <v>1053221.9513319002</v>
      </c>
      <c r="AW175" s="418">
        <f ca="1">IFERROR(AV175/BusinessCurrencyTRM,"N/A")</f>
        <v>270.05691059792315</v>
      </c>
      <c r="AX175" s="290"/>
      <c r="AY175" s="342"/>
      <c r="AZ175" s="3"/>
      <c r="BA175" s="315"/>
      <c r="BB175" s="3"/>
      <c r="BC175" s="3"/>
      <c r="BD175" s="3"/>
      <c r="BE175" s="3"/>
      <c r="BF175" s="342"/>
      <c r="BG175" s="3"/>
      <c r="BH175" s="315"/>
      <c r="BI175" s="3"/>
      <c r="BJ175" s="3"/>
      <c r="BK175" s="3"/>
      <c r="BL175" s="3"/>
      <c r="BM175" s="342"/>
      <c r="BN175" s="3"/>
      <c r="BO175" s="315"/>
      <c r="BP175" s="3"/>
      <c r="BQ175" s="3"/>
      <c r="BR175" s="3"/>
      <c r="BS175" s="3"/>
      <c r="BT175" s="342"/>
      <c r="BU175" s="3"/>
      <c r="BV175" s="315"/>
      <c r="BW175" s="3"/>
      <c r="BX175" s="3"/>
      <c r="BY175" s="3"/>
      <c r="BZ175" s="3"/>
      <c r="CA175" s="342"/>
      <c r="CB175" s="342"/>
      <c r="CC175" s="342"/>
      <c r="CD175" s="342"/>
    </row>
    <row r="176" spans="1:82" s="325" customFormat="1" ht="15.6">
      <c r="A176" s="480"/>
      <c r="B176" s="507"/>
      <c r="C176" s="507"/>
      <c r="D176" s="324"/>
      <c r="E176" s="342"/>
      <c r="F176" s="290"/>
      <c r="G176" s="79"/>
      <c r="H176" s="326"/>
      <c r="I176" s="326"/>
      <c r="J176" s="80"/>
      <c r="K176" s="290"/>
      <c r="L176" s="342"/>
      <c r="M176" s="2"/>
      <c r="N176" s="2"/>
      <c r="O176" s="2"/>
      <c r="P176" s="32"/>
      <c r="Q176" s="77"/>
      <c r="R176" s="77"/>
      <c r="S176" s="77"/>
      <c r="T176" s="77"/>
      <c r="U176" s="4" t="s">
        <v>50</v>
      </c>
      <c r="V176" s="328">
        <f>IFERROR(SUMIF(PayRise!A:A,B170,PayRise!J:J),0)</f>
        <v>0</v>
      </c>
      <c r="W176" s="425">
        <f t="shared" si="164"/>
        <v>0</v>
      </c>
      <c r="X176" s="7"/>
      <c r="Y176" s="7" t="s">
        <v>94</v>
      </c>
      <c r="Z176" s="2"/>
      <c r="AA176" s="304"/>
      <c r="AB176" s="7"/>
      <c r="AC176" s="4" t="s">
        <v>50</v>
      </c>
      <c r="AD176" s="328">
        <f>IFERROR(SUMIF(PayRise!A:A,B170,PayRise!K:K),0)</f>
        <v>0</v>
      </c>
      <c r="AE176" s="425">
        <f t="shared" si="165"/>
        <v>0</v>
      </c>
      <c r="AF176" s="330"/>
      <c r="AG176" s="328">
        <f>IFERROR(SUMIF(PayRise!A:A,B170,PayRise!L:L),0)</f>
        <v>0</v>
      </c>
      <c r="AH176" s="445">
        <f t="shared" si="166"/>
        <v>0</v>
      </c>
      <c r="AI176" s="330"/>
      <c r="AJ176" s="446">
        <f>IFERROR(SUMIF(PayRise!A:A,B170,PayRise!M:M),0)</f>
        <v>0</v>
      </c>
      <c r="AK176" s="425">
        <f t="shared" si="167"/>
        <v>0</v>
      </c>
      <c r="AL176" s="330"/>
      <c r="AM176" s="330"/>
      <c r="AN176" s="329">
        <f t="shared" si="169"/>
        <v>0</v>
      </c>
      <c r="AO176" s="425">
        <f t="shared" si="168"/>
        <v>0</v>
      </c>
      <c r="AP176" s="7"/>
      <c r="AQ176" s="342"/>
      <c r="AR176" s="290"/>
      <c r="AS176" s="402" t="s">
        <v>95</v>
      </c>
      <c r="AT176" s="290"/>
      <c r="AU176" s="100"/>
      <c r="AV176" s="298">
        <f ca="1">AN181</f>
        <v>1504602.8058096</v>
      </c>
      <c r="AW176" s="418">
        <f ca="1">IFERROR(AV176/BusinessCurrencyTRM,"N/A")</f>
        <v>385.79559123323077</v>
      </c>
      <c r="AX176" s="290"/>
      <c r="AY176" s="342"/>
      <c r="AZ176" s="3"/>
      <c r="BA176" s="315"/>
      <c r="BB176" s="3"/>
      <c r="BC176" s="3"/>
      <c r="BD176" s="3"/>
      <c r="BE176" s="3"/>
      <c r="BF176" s="342"/>
      <c r="BG176" s="3"/>
      <c r="BH176" s="315"/>
      <c r="BI176" s="3"/>
      <c r="BJ176" s="3"/>
      <c r="BK176" s="3"/>
      <c r="BL176" s="3"/>
      <c r="BM176" s="342"/>
      <c r="BN176" s="3"/>
      <c r="BO176" s="315"/>
      <c r="BP176" s="3"/>
      <c r="BQ176" s="3"/>
      <c r="BR176" s="3"/>
      <c r="BS176" s="3"/>
      <c r="BT176" s="342"/>
      <c r="BU176" s="3"/>
      <c r="BV176" s="315"/>
      <c r="BW176" s="3"/>
      <c r="BX176" s="3"/>
      <c r="BY176" s="3"/>
      <c r="BZ176" s="3"/>
      <c r="CA176" s="342"/>
      <c r="CB176" s="342"/>
      <c r="CC176" s="342"/>
      <c r="CD176" s="342"/>
    </row>
    <row r="177" spans="1:79" s="325" customFormat="1" ht="15.6">
      <c r="A177" s="480"/>
      <c r="B177" s="507"/>
      <c r="C177" s="507"/>
      <c r="D177" s="324"/>
      <c r="E177" s="342"/>
      <c r="F177" s="290"/>
      <c r="G177" s="79"/>
      <c r="H177" s="326"/>
      <c r="I177" s="326"/>
      <c r="J177" s="80"/>
      <c r="K177" s="290"/>
      <c r="L177" s="342"/>
      <c r="M177" s="2"/>
      <c r="N177" s="13" t="str">
        <f>IF(Approach="By Hours", "N/A for ByHours", "% Risks")</f>
        <v>% Risks</v>
      </c>
      <c r="O177" s="331">
        <v>0</v>
      </c>
      <c r="P177" s="32"/>
      <c r="Q177" s="77"/>
      <c r="R177" s="77"/>
      <c r="S177" s="309"/>
      <c r="T177" s="309"/>
      <c r="U177" s="4" t="s">
        <v>55</v>
      </c>
      <c r="V177" s="328">
        <f>IFERROR(SUMIFS(OtherCosts!Q:Q,OtherCosts!A:A,B170,OtherCosts!B:B,"Hardware/Software"),0)</f>
        <v>0</v>
      </c>
      <c r="W177" s="425">
        <f t="shared" si="164"/>
        <v>0</v>
      </c>
      <c r="X177" s="7"/>
      <c r="Y177" s="7" t="s">
        <v>96</v>
      </c>
      <c r="Z177" s="2"/>
      <c r="AA177" s="304"/>
      <c r="AB177" s="7"/>
      <c r="AC177" s="4" t="s">
        <v>55</v>
      </c>
      <c r="AD177" s="328">
        <f>IFERROR(SUMIFS(OtherCosts!R:R,OtherCosts!A:A,B170,OtherCosts!B:B,"Hardware/Software"),0)</f>
        <v>0</v>
      </c>
      <c r="AE177" s="425">
        <f t="shared" si="165"/>
        <v>0</v>
      </c>
      <c r="AF177" s="330"/>
      <c r="AG177" s="328">
        <f>IFERROR(SUMIFS(OtherCosts!S:S,OtherCosts!A:A,B170,OtherCosts!B:B,"Hardware/Software"),0)</f>
        <v>0</v>
      </c>
      <c r="AH177" s="445">
        <f t="shared" si="166"/>
        <v>0</v>
      </c>
      <c r="AI177" s="330"/>
      <c r="AJ177" s="446">
        <f>IFERROR(SUMIFS(OtherCosts!T:T,OtherCosts!A:A,B170,OtherCosts!B:B,"Hardware/Software"),0)</f>
        <v>0</v>
      </c>
      <c r="AK177" s="425">
        <f t="shared" si="167"/>
        <v>0</v>
      </c>
      <c r="AL177" s="330"/>
      <c r="AM177" s="330"/>
      <c r="AN177" s="329">
        <f t="shared" si="169"/>
        <v>0</v>
      </c>
      <c r="AO177" s="425">
        <f t="shared" si="168"/>
        <v>0</v>
      </c>
      <c r="AP177" s="7"/>
      <c r="AQ177" s="342"/>
      <c r="AR177" s="290"/>
      <c r="AS177" s="402" t="s">
        <v>97</v>
      </c>
      <c r="AT177" s="290"/>
      <c r="AU177" s="100"/>
      <c r="AV177" s="298">
        <f ca="1">IFERROR(IF(O178&lt;1,AN181,AN181/O178),0)</f>
        <v>1504602.8058096</v>
      </c>
      <c r="AW177" s="418">
        <f ca="1">IFERROR(AV177/BusinessCurrencyTRM,"N/A")</f>
        <v>385.79559123323077</v>
      </c>
      <c r="AX177" s="290"/>
      <c r="AY177" s="342"/>
      <c r="AZ177" s="3"/>
      <c r="BA177" s="315"/>
      <c r="BB177" s="3"/>
      <c r="BC177" s="3"/>
      <c r="BD177" s="3"/>
      <c r="BE177" s="3"/>
      <c r="BF177" s="342"/>
      <c r="BG177" s="3"/>
      <c r="BH177" s="315"/>
      <c r="BI177" s="3"/>
      <c r="BJ177" s="3"/>
      <c r="BK177" s="3"/>
      <c r="BL177" s="3"/>
      <c r="BM177" s="342"/>
      <c r="BN177" s="3"/>
      <c r="BO177" s="315"/>
      <c r="BP177" s="3"/>
      <c r="BQ177" s="3"/>
      <c r="BR177" s="3"/>
      <c r="BS177" s="3"/>
      <c r="BT177" s="342"/>
      <c r="BU177" s="3"/>
      <c r="BV177" s="315"/>
      <c r="BW177" s="3"/>
      <c r="BX177" s="3"/>
      <c r="BY177" s="3"/>
      <c r="BZ177" s="3"/>
      <c r="CA177" s="342"/>
    </row>
    <row r="178" spans="1:79" s="325" customFormat="1" ht="15.6">
      <c r="A178" s="480"/>
      <c r="B178" s="507"/>
      <c r="C178" s="507"/>
      <c r="D178" s="324"/>
      <c r="E178" s="342"/>
      <c r="F178" s="290"/>
      <c r="G178" s="79"/>
      <c r="H178" s="326"/>
      <c r="I178" s="326"/>
      <c r="J178" s="80"/>
      <c r="K178" s="290"/>
      <c r="L178" s="342"/>
      <c r="M178" s="2"/>
      <c r="N178" s="13" t="str">
        <f>IF(Approach="By Hours", "N/A for ByHours", "Duration (Months) *")</f>
        <v>Duration (Months) *</v>
      </c>
      <c r="O178" s="332">
        <v>0</v>
      </c>
      <c r="P178" s="32"/>
      <c r="Q178" s="77"/>
      <c r="R178" s="77"/>
      <c r="S178" s="309"/>
      <c r="T178" s="309"/>
      <c r="U178" s="4" t="s">
        <v>58</v>
      </c>
      <c r="V178" s="328">
        <f>IFERROR(SUMIFS(OtherCosts!Q:Q,OtherCosts!A:A,B170,OtherCosts!B:B,"Vendor"),0)</f>
        <v>0</v>
      </c>
      <c r="W178" s="425">
        <f t="shared" si="164"/>
        <v>0</v>
      </c>
      <c r="X178" s="7"/>
      <c r="Y178" s="7" t="s">
        <v>98</v>
      </c>
      <c r="Z178" s="2"/>
      <c r="AA178" s="304"/>
      <c r="AB178" s="7"/>
      <c r="AC178" s="4" t="s">
        <v>58</v>
      </c>
      <c r="AD178" s="328">
        <f>IFERROR(SUMIFS(OtherCosts!R:R,OtherCosts!A:A,B170,OtherCosts!B:B,"Vendor"),0)</f>
        <v>0</v>
      </c>
      <c r="AE178" s="425">
        <f t="shared" si="165"/>
        <v>0</v>
      </c>
      <c r="AF178" s="330"/>
      <c r="AG178" s="328">
        <f>IFERROR(SUMIFS(OtherCosts!S:S,OtherCosts!A:A,B170,OtherCosts!B:B,"Vendor"),0)</f>
        <v>0</v>
      </c>
      <c r="AH178" s="445">
        <f t="shared" si="166"/>
        <v>0</v>
      </c>
      <c r="AI178" s="330"/>
      <c r="AJ178" s="446">
        <f>IFERROR(SUMIFS(OtherCosts!T:T,OtherCosts!A:A,B170,OtherCosts!B:B,"Vendor"),0)</f>
        <v>0</v>
      </c>
      <c r="AK178" s="425">
        <f t="shared" si="167"/>
        <v>0</v>
      </c>
      <c r="AL178" s="330"/>
      <c r="AM178" s="330"/>
      <c r="AN178" s="329">
        <f t="shared" si="169"/>
        <v>0</v>
      </c>
      <c r="AO178" s="425">
        <f t="shared" si="168"/>
        <v>0</v>
      </c>
      <c r="AP178" s="7"/>
      <c r="AQ178" s="342"/>
      <c r="AR178" s="290"/>
      <c r="AS178" s="402" t="s">
        <v>99</v>
      </c>
      <c r="AT178" s="290"/>
      <c r="AU178" s="100"/>
      <c r="AV178" s="298">
        <f ca="1">IFERROR(AN181/T184,0)</f>
        <v>47166.232157040751</v>
      </c>
      <c r="AW178" s="418">
        <f ca="1">IFERROR(AV178/BusinessCurrencyTRM,"N/A")</f>
        <v>12.093905681292501</v>
      </c>
      <c r="AX178" s="290"/>
      <c r="AY178" s="342"/>
      <c r="AZ178" s="3"/>
      <c r="BA178" s="315"/>
      <c r="BB178" s="3"/>
      <c r="BC178" s="3"/>
      <c r="BD178" s="3"/>
      <c r="BE178" s="3"/>
      <c r="BF178" s="342"/>
      <c r="BG178" s="3"/>
      <c r="BH178" s="315"/>
      <c r="BI178" s="3"/>
      <c r="BJ178" s="3"/>
      <c r="BK178" s="3"/>
      <c r="BL178" s="3"/>
      <c r="BM178" s="342"/>
      <c r="BN178" s="3"/>
      <c r="BO178" s="315"/>
      <c r="BP178" s="3"/>
      <c r="BQ178" s="3"/>
      <c r="BR178" s="3"/>
      <c r="BS178" s="3"/>
      <c r="BT178" s="342"/>
      <c r="BU178" s="3"/>
      <c r="BV178" s="315"/>
      <c r="BW178" s="3"/>
      <c r="BX178" s="3"/>
      <c r="BY178" s="3"/>
      <c r="BZ178" s="3"/>
      <c r="CA178" s="342"/>
    </row>
    <row r="179" spans="1:79" s="325" customFormat="1" ht="15.6">
      <c r="A179" s="480"/>
      <c r="B179" s="507"/>
      <c r="C179" s="507"/>
      <c r="D179" s="324"/>
      <c r="E179" s="342"/>
      <c r="F179" s="290"/>
      <c r="G179" s="79"/>
      <c r="H179" s="326"/>
      <c r="I179" s="326"/>
      <c r="J179" s="80"/>
      <c r="K179" s="290"/>
      <c r="L179" s="342"/>
      <c r="M179" s="2"/>
      <c r="N179" s="83"/>
      <c r="O179" s="333"/>
      <c r="P179" s="32"/>
      <c r="Q179" s="77"/>
      <c r="R179" s="77"/>
      <c r="S179" s="309"/>
      <c r="T179" s="309"/>
      <c r="U179" s="4" t="s">
        <v>61</v>
      </c>
      <c r="V179" s="328">
        <f>IFERROR(SUMIFS(OtherCosts!Q:Q,OtherCosts!A:A,B170,OtherCosts!B:B,"Insurance"),0)</f>
        <v>0</v>
      </c>
      <c r="W179" s="425">
        <f t="shared" si="164"/>
        <v>0</v>
      </c>
      <c r="X179" s="7"/>
      <c r="Y179" s="7" t="s">
        <v>100</v>
      </c>
      <c r="Z179" s="2"/>
      <c r="AA179" s="304"/>
      <c r="AB179" s="7"/>
      <c r="AC179" s="4" t="s">
        <v>61</v>
      </c>
      <c r="AD179" s="328">
        <f>IFERROR(SUMIFS(OtherCosts!R:R,OtherCosts!A:A,B170,OtherCosts!B:B,"Insurance"),0)</f>
        <v>0</v>
      </c>
      <c r="AE179" s="425">
        <f t="shared" si="165"/>
        <v>0</v>
      </c>
      <c r="AF179" s="330"/>
      <c r="AG179" s="328">
        <f>IFERROR(SUMIFS(OtherCosts!S:S,OtherCosts!A:A,B170,OtherCosts!B:B,"Insurance"),0)</f>
        <v>0</v>
      </c>
      <c r="AH179" s="445">
        <f t="shared" si="166"/>
        <v>0</v>
      </c>
      <c r="AI179" s="330"/>
      <c r="AJ179" s="446">
        <f>IFERROR(SUMIFS(OtherCosts!T:T,OtherCosts!A:A,B170,OtherCosts!B:B,"Insurance"),0)</f>
        <v>0</v>
      </c>
      <c r="AK179" s="425">
        <f t="shared" si="167"/>
        <v>0</v>
      </c>
      <c r="AL179" s="330"/>
      <c r="AM179" s="330"/>
      <c r="AN179" s="329">
        <f t="shared" si="169"/>
        <v>0</v>
      </c>
      <c r="AO179" s="425">
        <f t="shared" si="168"/>
        <v>0</v>
      </c>
      <c r="AP179" s="7"/>
      <c r="AQ179" s="342"/>
      <c r="AR179" s="290"/>
      <c r="AS179" s="290"/>
      <c r="AT179" s="81"/>
      <c r="AU179" s="81"/>
      <c r="AV179" s="81"/>
      <c r="AW179" s="81"/>
      <c r="AX179" s="290"/>
      <c r="AY179" s="342"/>
      <c r="AZ179" s="3"/>
      <c r="BA179" s="315"/>
      <c r="BB179" s="3"/>
      <c r="BC179" s="3"/>
      <c r="BD179" s="3"/>
      <c r="BE179" s="3"/>
      <c r="BF179" s="342"/>
      <c r="BG179" s="3"/>
      <c r="BH179" s="315"/>
      <c r="BI179" s="3"/>
      <c r="BJ179" s="3"/>
      <c r="BK179" s="3"/>
      <c r="BL179" s="3"/>
      <c r="BM179" s="342"/>
      <c r="BN179" s="3"/>
      <c r="BO179" s="315"/>
      <c r="BP179" s="3"/>
      <c r="BQ179" s="3"/>
      <c r="BR179" s="3"/>
      <c r="BS179" s="3"/>
      <c r="BT179" s="342"/>
      <c r="BU179" s="3"/>
      <c r="BV179" s="315"/>
      <c r="BW179" s="3"/>
      <c r="BX179" s="3"/>
      <c r="BY179" s="3"/>
      <c r="BZ179" s="3"/>
      <c r="CA179" s="342"/>
    </row>
    <row r="180" spans="1:79" s="325" customFormat="1" ht="16.149999999999999" thickBot="1">
      <c r="A180" s="480"/>
      <c r="B180" s="507"/>
      <c r="C180" s="507"/>
      <c r="D180" s="324"/>
      <c r="E180" s="342"/>
      <c r="F180" s="290"/>
      <c r="G180" s="79"/>
      <c r="H180" s="326"/>
      <c r="I180" s="326"/>
      <c r="J180" s="80"/>
      <c r="K180" s="290"/>
      <c r="L180" s="342"/>
      <c r="M180" s="7"/>
      <c r="N180" s="83"/>
      <c r="O180" s="333"/>
      <c r="P180" s="32"/>
      <c r="Q180" s="77"/>
      <c r="R180" s="77"/>
      <c r="S180" s="309"/>
      <c r="T180" s="309"/>
      <c r="U180" s="4" t="s">
        <v>64</v>
      </c>
      <c r="V180" s="328">
        <f>IFERROR(SUMIFS(OtherCosts!Q:Q,OtherCosts!A:A,B170,OtherCosts!B:B,"Other"),0)</f>
        <v>0</v>
      </c>
      <c r="W180" s="425">
        <f t="shared" si="164"/>
        <v>0</v>
      </c>
      <c r="X180" s="7"/>
      <c r="Y180" s="7" t="s">
        <v>101</v>
      </c>
      <c r="Z180" s="82"/>
      <c r="AA180" s="334"/>
      <c r="AB180" s="13"/>
      <c r="AC180" s="4" t="s">
        <v>64</v>
      </c>
      <c r="AD180" s="328">
        <f>IFERROR(SUMIFS(OtherCosts!R:R,OtherCosts!A:A,B170,OtherCosts!B:B,"Other"),0)</f>
        <v>0</v>
      </c>
      <c r="AE180" s="425">
        <f t="shared" si="165"/>
        <v>0</v>
      </c>
      <c r="AF180" s="83"/>
      <c r="AG180" s="328">
        <f>IFERROR(SUMIFS(OtherCosts!S:S,OtherCosts!A:A,B170,OtherCosts!B:B,"Other"),0)</f>
        <v>0</v>
      </c>
      <c r="AH180" s="447">
        <f t="shared" si="166"/>
        <v>0</v>
      </c>
      <c r="AI180" s="83"/>
      <c r="AJ180" s="448">
        <f>IFERROR(SUMIFS(OtherCosts!T:T,OtherCosts!A:A,B170,OtherCosts!B:B,"Other"),0)</f>
        <v>0</v>
      </c>
      <c r="AK180" s="425">
        <f t="shared" si="167"/>
        <v>0</v>
      </c>
      <c r="AL180" s="83"/>
      <c r="AM180" s="83"/>
      <c r="AN180" s="329">
        <f t="shared" si="169"/>
        <v>0</v>
      </c>
      <c r="AO180" s="425">
        <f t="shared" si="168"/>
        <v>0</v>
      </c>
      <c r="AP180" s="85"/>
      <c r="AQ180" s="342"/>
      <c r="AR180" s="290"/>
      <c r="AS180" s="290"/>
      <c r="AT180" s="13"/>
      <c r="AU180" s="81"/>
      <c r="AV180" s="81"/>
      <c r="AW180" s="81"/>
      <c r="AX180" s="290"/>
      <c r="AY180" s="342"/>
      <c r="AZ180" s="3"/>
      <c r="BA180" s="315"/>
      <c r="BB180" s="3"/>
      <c r="BC180" s="3"/>
      <c r="BD180" s="3"/>
      <c r="BE180" s="3"/>
      <c r="BF180" s="342"/>
      <c r="BG180" s="3"/>
      <c r="BH180" s="315"/>
      <c r="BI180" s="3"/>
      <c r="BJ180" s="3"/>
      <c r="BK180" s="3"/>
      <c r="BL180" s="3"/>
      <c r="BM180" s="342"/>
      <c r="BN180" s="3"/>
      <c r="BO180" s="315"/>
      <c r="BP180" s="3"/>
      <c r="BQ180" s="3"/>
      <c r="BR180" s="3"/>
      <c r="BS180" s="3"/>
      <c r="BT180" s="342"/>
      <c r="BU180" s="3"/>
      <c r="BV180" s="315"/>
      <c r="BW180" s="3"/>
      <c r="BX180" s="3"/>
      <c r="BY180" s="3"/>
      <c r="BZ180" s="3"/>
      <c r="CA180" s="342"/>
    </row>
    <row r="181" spans="1:79" s="325" customFormat="1" ht="16.149999999999999" thickTop="1">
      <c r="A181" s="480"/>
      <c r="B181" s="507"/>
      <c r="C181" s="507"/>
      <c r="D181" s="324"/>
      <c r="E181" s="342"/>
      <c r="F181" s="290"/>
      <c r="G181" s="79"/>
      <c r="H181" s="326"/>
      <c r="I181" s="326"/>
      <c r="J181" s="80"/>
      <c r="K181" s="290"/>
      <c r="L181" s="342"/>
      <c r="M181" s="7"/>
      <c r="N181" s="83"/>
      <c r="O181" s="333"/>
      <c r="P181" s="32"/>
      <c r="Q181" s="77"/>
      <c r="R181" s="77"/>
      <c r="S181" s="309"/>
      <c r="T181" s="309"/>
      <c r="U181" s="3" t="s">
        <v>35</v>
      </c>
      <c r="V181" s="86">
        <f ca="1">SUM(V174:V180)</f>
        <v>1053221.9513319002</v>
      </c>
      <c r="W181" s="427">
        <f t="shared" ca="1" si="164"/>
        <v>270.05691059792315</v>
      </c>
      <c r="X181" s="335"/>
      <c r="Y181" s="335"/>
      <c r="Z181" s="82"/>
      <c r="AA181" s="334"/>
      <c r="AB181" s="13"/>
      <c r="AC181" s="3" t="s">
        <v>35</v>
      </c>
      <c r="AD181" s="86">
        <f ca="1">SUM(AD174:AD180)</f>
        <v>1504602.8058096</v>
      </c>
      <c r="AE181" s="427">
        <f t="shared" ca="1" si="165"/>
        <v>385.79559123323077</v>
      </c>
      <c r="AF181" s="83"/>
      <c r="AG181" s="86">
        <f ca="1">SUM(AG174:AG180)</f>
        <v>0</v>
      </c>
      <c r="AH181" s="444">
        <f t="shared" ca="1" si="166"/>
        <v>0</v>
      </c>
      <c r="AI181" s="83"/>
      <c r="AJ181" s="86">
        <f ca="1">SUM(AJ174:AJ180)</f>
        <v>0</v>
      </c>
      <c r="AK181" s="427">
        <f t="shared" ca="1" si="167"/>
        <v>0</v>
      </c>
      <c r="AL181" s="83"/>
      <c r="AM181" s="83"/>
      <c r="AN181" s="86">
        <f t="shared" ca="1" si="169"/>
        <v>1504602.8058096</v>
      </c>
      <c r="AO181" s="427">
        <f t="shared" ca="1" si="168"/>
        <v>385.79559123323077</v>
      </c>
      <c r="AP181" s="85"/>
      <c r="AQ181" s="342"/>
      <c r="AR181" s="290"/>
      <c r="AS181" s="290"/>
      <c r="AT181" s="13"/>
      <c r="AU181" s="81"/>
      <c r="AV181" s="81"/>
      <c r="AW181" s="81"/>
      <c r="AX181" s="290"/>
      <c r="AY181" s="342"/>
      <c r="AZ181" s="3"/>
      <c r="BA181" s="315"/>
      <c r="BB181" s="3"/>
      <c r="BC181" s="3"/>
      <c r="BD181" s="3"/>
      <c r="BE181" s="3"/>
      <c r="BF181" s="342"/>
      <c r="BG181" s="3"/>
      <c r="BH181" s="315"/>
      <c r="BI181" s="3"/>
      <c r="BJ181" s="3"/>
      <c r="BK181" s="3"/>
      <c r="BL181" s="3"/>
      <c r="BM181" s="342"/>
      <c r="BN181" s="3"/>
      <c r="BO181" s="315"/>
      <c r="BP181" s="3"/>
      <c r="BQ181" s="3"/>
      <c r="BR181" s="3"/>
      <c r="BS181" s="3"/>
      <c r="BT181" s="342"/>
      <c r="BU181" s="3"/>
      <c r="BV181" s="315"/>
      <c r="BW181" s="3"/>
      <c r="BX181" s="3"/>
      <c r="BY181" s="3"/>
      <c r="BZ181" s="3"/>
      <c r="CA181" s="342"/>
    </row>
    <row r="182" spans="1:79" s="325" customFormat="1" ht="15.6">
      <c r="A182" s="480"/>
      <c r="B182" s="507"/>
      <c r="C182" s="507"/>
      <c r="D182" s="324"/>
      <c r="E182" s="342"/>
      <c r="F182" s="290"/>
      <c r="G182" s="336"/>
      <c r="H182" s="336"/>
      <c r="I182" s="336"/>
      <c r="J182" s="336"/>
      <c r="K182" s="290"/>
      <c r="L182" s="342"/>
      <c r="M182" s="7"/>
      <c r="N182" s="83"/>
      <c r="O182" s="333"/>
      <c r="P182" s="77"/>
      <c r="Q182" s="77"/>
      <c r="R182" s="77"/>
      <c r="S182" s="77"/>
      <c r="T182" s="77"/>
      <c r="U182" s="3"/>
      <c r="V182" s="77"/>
      <c r="W182" s="77"/>
      <c r="X182" s="77"/>
      <c r="Y182" s="77"/>
      <c r="Z182" s="82"/>
      <c r="AA182" s="334"/>
      <c r="AB182" s="13"/>
      <c r="AC182" s="13"/>
      <c r="AD182" s="13"/>
      <c r="AE182" s="13"/>
      <c r="AF182" s="13"/>
      <c r="AG182" s="13"/>
      <c r="AH182" s="13"/>
      <c r="AI182" s="13"/>
      <c r="AJ182" s="13"/>
      <c r="AK182" s="13"/>
      <c r="AL182" s="13"/>
      <c r="AM182" s="13"/>
      <c r="AN182" s="327"/>
      <c r="AO182" s="327"/>
      <c r="AP182" s="85"/>
      <c r="AQ182" s="342"/>
      <c r="AR182" s="290"/>
      <c r="AS182" s="81"/>
      <c r="AT182" s="81"/>
      <c r="AU182" s="81"/>
      <c r="AV182" s="81"/>
      <c r="AW182" s="81"/>
      <c r="AX182" s="290"/>
      <c r="AY182" s="342"/>
      <c r="AZ182" s="3"/>
      <c r="BA182" s="315"/>
      <c r="BB182" s="3"/>
      <c r="BC182" s="3"/>
      <c r="BD182" s="3"/>
      <c r="BE182" s="3"/>
      <c r="BF182" s="342"/>
      <c r="BG182" s="3"/>
      <c r="BH182" s="315"/>
      <c r="BI182" s="3"/>
      <c r="BJ182" s="3"/>
      <c r="BK182" s="3"/>
      <c r="BL182" s="3"/>
      <c r="BM182" s="342"/>
      <c r="BN182" s="3"/>
      <c r="BO182" s="315"/>
      <c r="BP182" s="3"/>
      <c r="BQ182" s="3"/>
      <c r="BR182" s="3"/>
      <c r="BS182" s="3"/>
      <c r="BT182" s="342"/>
      <c r="BU182" s="3"/>
      <c r="BV182" s="315"/>
      <c r="BW182" s="3"/>
      <c r="BX182" s="3"/>
      <c r="BY182" s="3"/>
      <c r="BZ182" s="3"/>
      <c r="CA182" s="342"/>
    </row>
    <row r="183" spans="1:79" s="304" customFormat="1" outlineLevel="1">
      <c r="B183" s="320"/>
      <c r="C183" s="320"/>
      <c r="D183" s="391"/>
      <c r="F183" s="391"/>
      <c r="G183" s="391"/>
      <c r="H183" s="391"/>
      <c r="I183" s="391"/>
      <c r="J183" s="391"/>
      <c r="K183" s="391"/>
      <c r="N183" s="337"/>
      <c r="O183" s="337"/>
      <c r="S183" s="337"/>
      <c r="T183" s="320"/>
      <c r="U183" s="320"/>
      <c r="V183" s="320"/>
      <c r="W183" s="393"/>
      <c r="Z183" s="338"/>
      <c r="AO183" s="338"/>
      <c r="AP183" s="340"/>
      <c r="AR183" s="391"/>
      <c r="AS183" s="391"/>
      <c r="AT183" s="391"/>
      <c r="AU183" s="391"/>
      <c r="AV183" s="391"/>
      <c r="AW183" s="391"/>
      <c r="AX183" s="391"/>
      <c r="AZ183"/>
      <c r="BA183"/>
      <c r="BB183"/>
      <c r="BC183"/>
      <c r="BD183"/>
      <c r="BE183"/>
      <c r="BG183"/>
      <c r="BH183"/>
      <c r="BI183"/>
      <c r="BJ183"/>
      <c r="BK183"/>
      <c r="BL183"/>
      <c r="BN183"/>
      <c r="BO183"/>
      <c r="BP183"/>
      <c r="BQ183"/>
      <c r="BR183"/>
      <c r="BS183"/>
      <c r="BU183"/>
      <c r="BV183"/>
      <c r="BW183"/>
      <c r="BX183"/>
      <c r="BY183"/>
      <c r="BZ183"/>
    </row>
    <row r="184" spans="1:79" s="325" customFormat="1" ht="15.6" outlineLevel="1">
      <c r="A184" s="480"/>
      <c r="B184" s="341"/>
      <c r="C184" s="341"/>
      <c r="D184" s="290"/>
      <c r="E184" s="342"/>
      <c r="F184" s="290"/>
      <c r="G184" s="343">
        <f>ROUNDUP(SUM(G186:G215),2)</f>
        <v>0</v>
      </c>
      <c r="H184" s="344"/>
      <c r="I184" s="344"/>
      <c r="J184" s="345">
        <f>ROUNDUP(SUM(J186:J215),2)</f>
        <v>0</v>
      </c>
      <c r="K184" s="290"/>
      <c r="L184" s="342"/>
      <c r="M184" s="7"/>
      <c r="N184" s="7"/>
      <c r="O184" s="7"/>
      <c r="P184" s="7"/>
      <c r="Q184" s="7"/>
      <c r="R184" s="7"/>
      <c r="S184" s="7"/>
      <c r="T184" s="398">
        <f ca="1">ROUNDUP(SUM(T186:T215),2)</f>
        <v>31.900000000000002</v>
      </c>
      <c r="U184" s="7"/>
      <c r="V184" s="7"/>
      <c r="W184" s="87">
        <f ca="1">SUM(W186:W213)</f>
        <v>1053221.9513319002</v>
      </c>
      <c r="X184" s="7"/>
      <c r="Y184" s="7" t="s">
        <v>102</v>
      </c>
      <c r="Z184" s="7"/>
      <c r="AA184" s="304"/>
      <c r="AB184" s="7"/>
      <c r="AC184" s="7"/>
      <c r="AD184" s="87">
        <f ca="1">SUM(AD186:AD215)</f>
        <v>1504602.8058096</v>
      </c>
      <c r="AE184" s="432">
        <f ca="1">IFERROR(1-($W184/$AD184),0)</f>
        <v>0.30000000846390806</v>
      </c>
      <c r="AF184" s="7"/>
      <c r="AG184" s="7"/>
      <c r="AH184" s="88">
        <f ca="1">SUM(AH186:AH215)</f>
        <v>0</v>
      </c>
      <c r="AI184" s="7"/>
      <c r="AJ184" s="7"/>
      <c r="AK184" s="88">
        <f ca="1">ROUNDUP(SUM(AK186:AK215),2)</f>
        <v>0</v>
      </c>
      <c r="AL184" s="7"/>
      <c r="AM184" s="88">
        <f ca="1">SUM(AM186:AM215)</f>
        <v>1504602.8058096</v>
      </c>
      <c r="AN184" s="88">
        <f ca="1">SUM(AN186:AN215)</f>
        <v>1504602.8058096</v>
      </c>
      <c r="AO184" s="417" t="str">
        <f>BillingCountryCurrency</f>
        <v>COP</v>
      </c>
      <c r="AP184" s="7"/>
      <c r="AQ184" s="18"/>
      <c r="AR184" s="290"/>
      <c r="AS184" s="290"/>
      <c r="AT184" s="503">
        <f ca="1">SUM(AT186:AU215)</f>
        <v>1504602.8058096</v>
      </c>
      <c r="AU184" s="504"/>
      <c r="AV184" s="417" t="str">
        <f>BillingCountryCurrency</f>
        <v>COP</v>
      </c>
      <c r="AW184" s="417" t="str">
        <f>IF(ISBLANK(BusinessCurrency),"N/A",BusinessCurrency)</f>
        <v>USD</v>
      </c>
      <c r="AX184" s="290"/>
      <c r="AY184" s="18"/>
      <c r="AZ184" s="3"/>
      <c r="BA184" s="315"/>
      <c r="BB184" s="3"/>
      <c r="BC184" s="3"/>
      <c r="BD184" s="3"/>
      <c r="BE184" s="3"/>
      <c r="BF184" s="18"/>
      <c r="BG184" s="3"/>
      <c r="BH184" s="315"/>
      <c r="BI184" s="3"/>
      <c r="BJ184" s="3"/>
      <c r="BK184" s="3"/>
      <c r="BL184" s="3"/>
      <c r="BM184" s="18"/>
      <c r="BN184" s="3"/>
      <c r="BO184" s="315"/>
      <c r="BP184" s="3"/>
      <c r="BQ184" s="3"/>
      <c r="BR184" s="3"/>
      <c r="BS184" s="3"/>
      <c r="BT184" s="18"/>
      <c r="BU184" s="3"/>
      <c r="BV184" s="315"/>
      <c r="BW184" s="3"/>
      <c r="BX184" s="3"/>
      <c r="BY184" s="3"/>
      <c r="BZ184" s="3"/>
      <c r="CA184" s="342"/>
    </row>
    <row r="185" spans="1:79" ht="15.6" outlineLevel="1">
      <c r="A185" s="7"/>
      <c r="B185" s="346"/>
      <c r="C185" s="346"/>
      <c r="D185" s="346"/>
      <c r="E185" s="342"/>
      <c r="F185" s="290"/>
      <c r="G185" s="347" t="s">
        <v>79</v>
      </c>
      <c r="H185" s="347" t="s">
        <v>103</v>
      </c>
      <c r="I185" s="347" t="s">
        <v>104</v>
      </c>
      <c r="J185" s="348" t="s">
        <v>91</v>
      </c>
      <c r="K185" s="290"/>
      <c r="L185" s="349"/>
      <c r="M185" s="7"/>
      <c r="N185" s="16" t="s">
        <v>105</v>
      </c>
      <c r="O185" s="16" t="s">
        <v>106</v>
      </c>
      <c r="P185" s="16" t="s">
        <v>107</v>
      </c>
      <c r="Q185" s="16" t="s">
        <v>108</v>
      </c>
      <c r="R185" s="16" t="s">
        <v>109</v>
      </c>
      <c r="S185" s="16" t="s">
        <v>110</v>
      </c>
      <c r="T185" s="16" t="s">
        <v>111</v>
      </c>
      <c r="U185" s="16" t="s">
        <v>112</v>
      </c>
      <c r="V185" s="350" t="s">
        <v>113</v>
      </c>
      <c r="W185" s="16" t="s">
        <v>114</v>
      </c>
      <c r="X185" s="16" t="s">
        <v>115</v>
      </c>
      <c r="Y185" s="16" t="s">
        <v>116</v>
      </c>
      <c r="Z185" s="6"/>
      <c r="AA185" s="304"/>
      <c r="AB185" s="7"/>
      <c r="AC185" s="351" t="s">
        <v>117</v>
      </c>
      <c r="AD185" s="352" t="s">
        <v>118</v>
      </c>
      <c r="AE185" s="89" t="s">
        <v>119</v>
      </c>
      <c r="AF185" s="7"/>
      <c r="AG185" s="89" t="s">
        <v>120</v>
      </c>
      <c r="AH185" s="353" t="s">
        <v>121</v>
      </c>
      <c r="AI185" s="7"/>
      <c r="AJ185" s="89" t="s">
        <v>122</v>
      </c>
      <c r="AK185" s="353" t="s">
        <v>123</v>
      </c>
      <c r="AL185" s="7"/>
      <c r="AM185" s="16" t="s">
        <v>118</v>
      </c>
      <c r="AN185" s="16" t="s">
        <v>124</v>
      </c>
      <c r="AO185" s="8" t="s">
        <v>125</v>
      </c>
      <c r="AP185" s="7"/>
      <c r="AQ185" s="18"/>
      <c r="AR185" s="290"/>
      <c r="AS185" s="8" t="s">
        <v>126</v>
      </c>
      <c r="AT185" s="505" t="s">
        <v>124</v>
      </c>
      <c r="AU185" s="506"/>
      <c r="AV185" s="8" t="s">
        <v>127</v>
      </c>
      <c r="AW185" s="8" t="s">
        <v>127</v>
      </c>
      <c r="AX185" s="290"/>
      <c r="AY185" s="18"/>
      <c r="AZ185" s="3"/>
      <c r="BA185" s="315"/>
      <c r="BB185" s="3"/>
      <c r="BC185" s="3"/>
      <c r="BD185" s="3"/>
      <c r="BE185" s="3"/>
      <c r="BF185" s="18"/>
      <c r="BG185" s="3"/>
      <c r="BH185" s="315"/>
      <c r="BI185" s="3"/>
      <c r="BJ185" s="3"/>
      <c r="BK185" s="3"/>
      <c r="BL185" s="3"/>
      <c r="BM185" s="18"/>
      <c r="BN185" s="3"/>
      <c r="BO185" s="315"/>
      <c r="BP185" s="3"/>
      <c r="BQ185" s="3"/>
      <c r="BR185" s="3"/>
      <c r="BS185" s="3"/>
      <c r="BT185" s="18"/>
      <c r="BU185" s="3"/>
      <c r="BV185" s="315"/>
      <c r="BW185" s="3"/>
      <c r="BX185" s="3"/>
      <c r="BY185" s="3"/>
      <c r="BZ185" s="3"/>
    </row>
    <row r="186" spans="1:79" ht="28.9" outlineLevel="1">
      <c r="A186" s="7"/>
      <c r="B186" s="354" t="s">
        <v>128</v>
      </c>
      <c r="C186" s="355" t="s">
        <v>176</v>
      </c>
      <c r="D186" s="356"/>
      <c r="E186" s="342"/>
      <c r="F186" s="290"/>
      <c r="G186" s="357">
        <v>0</v>
      </c>
      <c r="H186" s="358">
        <v>0</v>
      </c>
      <c r="I186" s="358">
        <v>0</v>
      </c>
      <c r="J186" s="359">
        <f>IFERROR(G186/(1-(H186+I186)),0)</f>
        <v>0</v>
      </c>
      <c r="K186" s="360"/>
      <c r="L186" s="349"/>
      <c r="M186" s="7"/>
      <c r="N186" s="12" t="s">
        <v>130</v>
      </c>
      <c r="O186" s="12" t="s">
        <v>177</v>
      </c>
      <c r="P186" s="12" t="s">
        <v>178</v>
      </c>
      <c r="Q186" s="468">
        <v>1</v>
      </c>
      <c r="R186" s="362" cm="1">
        <f t="array" aca="1" ref="R186" ca="1">$R$42*(1+(INDIRECT("CMSResumen!L"&amp;(MAX(IF(INDIRECT("CMSResumen!B1:B"&amp;ROW()-10)=B170,ROW(INDIRECT("CMSResumen!B1:B"&amp;ROW()-10)),0)+17)))))</f>
        <v>3.5000000000000003E-2</v>
      </c>
      <c r="S186" s="363">
        <v>20</v>
      </c>
      <c r="T186" s="364">
        <f t="shared" ref="T186" ca="1" si="170">IF(ISBLANK($P186),0,IF(Approach="Team-Based",$Q186*$R186*$S186*HoursPerDayTeamBased,$J186))</f>
        <v>5.67</v>
      </c>
      <c r="U186" s="365">
        <v>0</v>
      </c>
      <c r="V186" s="91">
        <f>ROUNDUP(IFERROR(INDEX(CostRateTbl[Cost Rate],MATCH(_xlfn.CONCAT(N186,O186,P186,"NA"),CostRateTbl[KeyCostRate],0)),0)*BillingCurrencyTRM*(1+U186),2)</f>
        <v>0</v>
      </c>
      <c r="W186" s="92">
        <f t="shared" ref="W186:W215" ca="1" si="171">T186*V186</f>
        <v>0</v>
      </c>
      <c r="X186" s="366" t="str" cm="1">
        <f t="array" ref="X186">_xlfn.LET(
    _xlpm.valor, INDEX(CostRate!H:H, MATCH(1, (CostRate!A:A=N186)*1, 0)),
    _xlpm.posicion, MATCH(_xlpm.valor, FilterSL!$F$1:$Z$1, 0),
    _xlpm.direccionCompleta, ADDRESS(1, _xlpm.posicion + 5, 4),
    _xlpm.letraColumna, SUBSTITUTE(_xlpm.direccionCompleta, "1", ""),
    _xlpm.letraColumna
)</f>
        <v>R</v>
      </c>
      <c r="Y186" s="366" t="str" cm="1">
        <f t="array" ref="Y186">_xlfn.LET(
    _xlpm.valor, INDEX(CostRate!I:I, MATCH(1, (CostRate!A:A=N186)*(CostRate!B:B=O186), 0)),
    _xlpm.posicion, MATCH(_xlpm.valor, FilterJP!$E$1:$FZ$1, 0),
    _xlpm.direccionCompleta, ADDRESS(1, _xlpm.posicion + 4, 4),
    _xlpm.letraColumna, SUBSTITUTE(_xlpm.direccionCompleta, "1", ""),
    _xlpm.letraColumna
)</f>
        <v>BO</v>
      </c>
      <c r="Z186" s="7"/>
      <c r="AA186" s="367"/>
      <c r="AB186" s="7"/>
      <c r="AC186" s="93">
        <f t="shared" ref="AC186:AC215" si="172">ROUNDUP($V186/(1-$AV$172),2)</f>
        <v>0</v>
      </c>
      <c r="AD186" s="94">
        <f ca="1">$T186*$AC186</f>
        <v>0</v>
      </c>
      <c r="AE186" s="109">
        <f ca="1">IFERROR(1-($W186/$AD186),0)</f>
        <v>0</v>
      </c>
      <c r="AF186" s="7"/>
      <c r="AG186" s="369">
        <f t="shared" ref="AG186:AG215" si="173">IFERROR(IF(OR(ISBLANK(N186),N186=CustomerCountry,COUNTIF($N186,"*xDC*")),0,10%),0)</f>
        <v>0</v>
      </c>
      <c r="AH186" s="368">
        <f t="shared" ref="AH186:AH215" ca="1" si="174">W186*AG186</f>
        <v>0</v>
      </c>
      <c r="AI186" s="7"/>
      <c r="AJ186" s="369" cm="1">
        <f t="array" ref="AJ186">IFERROR(INDEX(WHT!$C$7:$W$18,MATCH(
_xlfn.SWITCH(N186,"xDC Medellin","Colombia","xDC Belo Horizonte","Brazil","xDC Guadalajara","Mexico","xDC Gurugram","India","xDC Leon","Spain","xDC San Jose","Costa Rica","xDC Warsaw","Poland",N186),
WHT!$B$7:$B$18,0),MATCH(CustomerCountry,WHT!$C$5:$W$5,0)),0)</f>
        <v>0</v>
      </c>
      <c r="AK186" s="368">
        <f t="shared" ref="AK186:AK215" ca="1" si="175">(W186+AH186)*AJ186</f>
        <v>0</v>
      </c>
      <c r="AL186" s="7"/>
      <c r="AM186" s="95">
        <f ca="1">SUM($AD186,$AH186,$AK186)</f>
        <v>0</v>
      </c>
      <c r="AN186" s="95">
        <f t="shared" ref="AN186:AN215" ca="1" si="176">AM186+IFERROR(SUM($AN$175:$AN$180)*AM186/$AM$184,0)</f>
        <v>0</v>
      </c>
      <c r="AO186" s="95">
        <f ca="1">IFERROR($AN186/$T186,0)</f>
        <v>0</v>
      </c>
      <c r="AP186" s="7"/>
      <c r="AQ186" s="18"/>
      <c r="AR186" s="290"/>
      <c r="AS186" s="467" t="s">
        <v>133</v>
      </c>
      <c r="AT186" s="501">
        <f t="shared" ref="AT186:AT214" ca="1" si="177">IF(AS186="x",AM186+((SUM($AN$175:$AN$180)+SUMIF($AS$186:$AS$215,"&lt;&gt;x",$AM$186:$AM$215))*IFERROR(AM186/SUMIF($AS$186:$AS$215,"x",$AM$186:$AM$215),0)),0)</f>
        <v>0</v>
      </c>
      <c r="AU186" s="502"/>
      <c r="AV186" s="95">
        <f ca="1">IFERROR(AT186/T186,0)</f>
        <v>0</v>
      </c>
      <c r="AW186" s="469">
        <f t="shared" ref="AW186:AW215" ca="1" si="178">IFERROR(AV186/BusinessCurrencyTRM,"N/A")</f>
        <v>0</v>
      </c>
      <c r="AX186" s="290"/>
      <c r="AY186" s="18"/>
      <c r="AZ186" s="3"/>
      <c r="BA186" s="315"/>
      <c r="BB186" s="3"/>
      <c r="BC186" s="3"/>
      <c r="BD186" s="3"/>
      <c r="BE186" s="3"/>
      <c r="BF186" s="18"/>
      <c r="BG186" s="3"/>
      <c r="BH186" s="315"/>
      <c r="BI186" s="3"/>
      <c r="BJ186" s="3"/>
      <c r="BK186" s="3"/>
      <c r="BL186" s="3"/>
      <c r="BM186" s="18"/>
      <c r="BN186" s="3"/>
      <c r="BO186" s="315"/>
      <c r="BP186" s="3"/>
      <c r="BQ186" s="3"/>
      <c r="BR186" s="3"/>
      <c r="BS186" s="3"/>
      <c r="BT186" s="18"/>
      <c r="BU186" s="3"/>
      <c r="BV186" s="315"/>
      <c r="BW186" s="3"/>
      <c r="BX186" s="3"/>
      <c r="BY186" s="3"/>
      <c r="BZ186" s="3"/>
    </row>
    <row r="187" spans="1:79" ht="15.6" outlineLevel="1">
      <c r="A187" s="7"/>
      <c r="B187" s="370"/>
      <c r="C187" s="355" t="s">
        <v>179</v>
      </c>
      <c r="D187" s="356"/>
      <c r="E187" s="342"/>
      <c r="F187" s="290"/>
      <c r="G187" s="357">
        <v>0</v>
      </c>
      <c r="H187" s="358">
        <v>0</v>
      </c>
      <c r="I187" s="358">
        <v>0</v>
      </c>
      <c r="J187" s="359">
        <f t="shared" ref="J187:J215" si="179">IFERROR(G187/(1-(H187+I187)),0)</f>
        <v>0</v>
      </c>
      <c r="K187" s="290"/>
      <c r="L187" s="349"/>
      <c r="M187" s="7"/>
      <c r="N187" s="12" t="s">
        <v>130</v>
      </c>
      <c r="O187" s="12" t="s">
        <v>177</v>
      </c>
      <c r="P187" s="12" t="s">
        <v>180</v>
      </c>
      <c r="Q187" s="468">
        <v>1</v>
      </c>
      <c r="R187" s="362" cm="1">
        <f t="array" aca="1" ref="R187" ca="1">$R$43*(1+(INDIRECT("CMSResumen!L"&amp;(MAX(IF(INDIRECT("CMSResumen!B1:B"&amp;ROW()-10)=B169,ROW(INDIRECT("CMSResumen!B1:B"&amp;ROW()-10)),0)+18)))))</f>
        <v>7.8E-2</v>
      </c>
      <c r="S187" s="363">
        <v>20</v>
      </c>
      <c r="T187" s="364">
        <f t="shared" ref="T187" ca="1" si="180">IF(ISBLANK($P187),0,IF(Approach="Team-Based",$Q187*$R187*$S187*HoursPerDayTeamBased,$J187))</f>
        <v>12.635999999999999</v>
      </c>
      <c r="U187" s="365">
        <v>0</v>
      </c>
      <c r="V187" s="91">
        <f>ROUNDUP(IFERROR(INDEX(CostRateTbl[Cost Rate],MATCH(_xlfn.CONCAT(N187,O187,P187,"NA"),CostRateTbl[KeyCostRate],0)),0)*BillingCurrencyTRM*(1+U187),2)</f>
        <v>0</v>
      </c>
      <c r="W187" s="92">
        <f t="shared" ca="1" si="171"/>
        <v>0</v>
      </c>
      <c r="X187" s="366" t="str" cm="1">
        <f t="array" ref="X187">_xlfn.LET(
    _xlpm.valor, INDEX(CostRate!H:H, MATCH(1, (CostRate!A:A=N187)*1, 0)),
    _xlpm.posicion, MATCH(_xlpm.valor, FilterSL!$F$1:$Z$1, 0),
    _xlpm.direccionCompleta, ADDRESS(1, _xlpm.posicion + 5, 4),
    _xlpm.letraColumna, SUBSTITUTE(_xlpm.direccionCompleta, "1", ""),
    _xlpm.letraColumna
)</f>
        <v>R</v>
      </c>
      <c r="Y187" s="366" t="str" cm="1">
        <f t="array" ref="Y187">_xlfn.LET(
    _xlpm.valor, INDEX(CostRate!I:I, MATCH(1, (CostRate!A:A=N187)*(CostRate!B:B=O187), 0)),
    _xlpm.posicion, MATCH(_xlpm.valor, FilterJP!$E$1:$FZ$1, 0),
    _xlpm.direccionCompleta, ADDRESS(1, _xlpm.posicion + 4, 4),
    _xlpm.letraColumna, SUBSTITUTE(_xlpm.direccionCompleta, "1", ""),
    _xlpm.letraColumna
)</f>
        <v>BO</v>
      </c>
      <c r="Z187" s="7"/>
      <c r="AA187" s="367"/>
      <c r="AB187" s="7"/>
      <c r="AC187" s="93">
        <f t="shared" si="172"/>
        <v>0</v>
      </c>
      <c r="AD187" s="94">
        <f t="shared" ref="AD187:AD215" ca="1" si="181">$T187*$AC187</f>
        <v>0</v>
      </c>
      <c r="AE187" s="109">
        <f t="shared" ref="AE187:AE215" ca="1" si="182">IFERROR(1-($W187/$AD187),0)</f>
        <v>0</v>
      </c>
      <c r="AF187" s="7"/>
      <c r="AG187" s="369">
        <f t="shared" si="173"/>
        <v>0</v>
      </c>
      <c r="AH187" s="368">
        <f t="shared" ca="1" si="174"/>
        <v>0</v>
      </c>
      <c r="AI187" s="7"/>
      <c r="AJ187" s="369" cm="1">
        <f t="array" ref="AJ187">IFERROR(INDEX(WHT!$C$7:$W$18,MATCH(
_xlfn.SWITCH(N187,"xDC Medellin","Colombia","xDC Belo Horizonte","Brazil","xDC Guadalajara","Mexico","xDC Gurugram","India","xDC Leon","Spain","xDC San Jose","Costa Rica","xDC Warsaw","Poland",N187),
WHT!$B$7:$B$18,0),MATCH(CustomerCountry,WHT!$C$5:$W$5,0)),0)</f>
        <v>0</v>
      </c>
      <c r="AK187" s="368">
        <f t="shared" ca="1" si="175"/>
        <v>0</v>
      </c>
      <c r="AL187" s="7"/>
      <c r="AM187" s="95">
        <f t="shared" ref="AM187:AM215" ca="1" si="183">SUM($AD187,$AH187,$AK187)</f>
        <v>0</v>
      </c>
      <c r="AN187" s="95">
        <f t="shared" ca="1" si="176"/>
        <v>0</v>
      </c>
      <c r="AO187" s="95">
        <f t="shared" ref="AO187:AO215" ca="1" si="184">IFERROR($AN187/$T187,0)</f>
        <v>0</v>
      </c>
      <c r="AP187" s="90"/>
      <c r="AQ187" s="18"/>
      <c r="AR187" s="290"/>
      <c r="AS187" s="467" t="s">
        <v>133</v>
      </c>
      <c r="AT187" s="501">
        <f t="shared" ca="1" si="177"/>
        <v>0</v>
      </c>
      <c r="AU187" s="502"/>
      <c r="AV187" s="95">
        <f t="shared" ref="AV187:AV215" ca="1" si="185">IFERROR(AT187/T187,0)</f>
        <v>0</v>
      </c>
      <c r="AW187" s="469">
        <f t="shared" ca="1" si="178"/>
        <v>0</v>
      </c>
      <c r="AX187" s="290"/>
      <c r="AY187" s="18"/>
      <c r="AZ187" s="3"/>
      <c r="BA187" s="315"/>
      <c r="BB187" s="3"/>
      <c r="BC187" s="3"/>
      <c r="BD187" s="3"/>
      <c r="BE187" s="3"/>
      <c r="BF187" s="18"/>
      <c r="BG187" s="3"/>
      <c r="BH187" s="315"/>
      <c r="BI187" s="3"/>
      <c r="BJ187" s="3"/>
      <c r="BK187" s="3"/>
      <c r="BL187" s="3"/>
      <c r="BM187" s="18"/>
      <c r="BN187" s="3"/>
      <c r="BO187" s="315"/>
      <c r="BP187" s="3"/>
      <c r="BQ187" s="3"/>
      <c r="BR187" s="3"/>
      <c r="BS187" s="3"/>
      <c r="BT187" s="18"/>
      <c r="BU187" s="3"/>
      <c r="BV187" s="315"/>
      <c r="BW187" s="3"/>
      <c r="BX187" s="3"/>
      <c r="BY187" s="3"/>
      <c r="BZ187" s="3"/>
      <c r="CA187" s="371"/>
    </row>
    <row r="188" spans="1:79" ht="15.6" outlineLevel="1">
      <c r="A188" s="7"/>
      <c r="B188" s="370"/>
      <c r="C188" s="355" t="s">
        <v>181</v>
      </c>
      <c r="D188" s="356"/>
      <c r="E188" s="342"/>
      <c r="F188" s="290"/>
      <c r="G188" s="357">
        <v>0</v>
      </c>
      <c r="H188" s="358">
        <v>0</v>
      </c>
      <c r="I188" s="358">
        <v>0</v>
      </c>
      <c r="J188" s="359">
        <f t="shared" si="179"/>
        <v>0</v>
      </c>
      <c r="K188" s="290"/>
      <c r="L188" s="349"/>
      <c r="M188" s="7"/>
      <c r="N188" s="12" t="s">
        <v>130</v>
      </c>
      <c r="O188" s="12" t="s">
        <v>169</v>
      </c>
      <c r="P188" s="12" t="s">
        <v>182</v>
      </c>
      <c r="Q188" s="468">
        <v>1</v>
      </c>
      <c r="R188" s="362" cm="1">
        <f t="array" aca="1" ref="R188" ca="1">$R$44*(1+(INDIRECT("CMSResumen!L"&amp;(MAX(IF(INDIRECT("CMSResumen!B1:B"&amp;ROW()-10)=B169,ROW(INDIRECT("CMSResumen!B1:B"&amp;ROW()-10)),0)+19)))))</f>
        <v>3.5000000000000003E-2</v>
      </c>
      <c r="S188" s="363">
        <v>20</v>
      </c>
      <c r="T188" s="364">
        <f t="shared" ref="T188" ca="1" si="186">IF(ISBLANK($P188),0,IF(Approach="Team-Based",$Q188*$R188*$S188*HoursPerDayTeamBased,$J188))</f>
        <v>5.67</v>
      </c>
      <c r="U188" s="365">
        <v>0</v>
      </c>
      <c r="V188" s="91">
        <f>ROUNDUP(IFERROR(INDEX(CostRateTbl[Cost Rate],MATCH(_xlfn.CONCAT(N188,O188,P188,"NA"),CostRateTbl[KeyCostRate],0)),0)*BillingCurrencyTRM*(1+U188),2)</f>
        <v>133425.46000000002</v>
      </c>
      <c r="W188" s="92">
        <f t="shared" ca="1" si="171"/>
        <v>756522.35820000013</v>
      </c>
      <c r="X188" s="366" t="str" cm="1">
        <f t="array" ref="X188">_xlfn.LET(
    _xlpm.valor, INDEX(CostRate!H:H, MATCH(1, (CostRate!A:A=N188)*1, 0)),
    _xlpm.posicion, MATCH(_xlpm.valor, FilterSL!$F$1:$Z$1, 0),
    _xlpm.direccionCompleta, ADDRESS(1, _xlpm.posicion + 5, 4),
    _xlpm.letraColumna, SUBSTITUTE(_xlpm.direccionCompleta, "1", ""),
    _xlpm.letraColumna
)</f>
        <v>R</v>
      </c>
      <c r="Y188" s="366" t="str" cm="1">
        <f t="array" ref="Y188">_xlfn.LET(
    _xlpm.valor, INDEX(CostRate!I:I, MATCH(1, (CostRate!A:A=N188)*(CostRate!B:B=O188), 0)),
    _xlpm.posicion, MATCH(_xlpm.valor, FilterJP!$E$1:$FZ$1, 0),
    _xlpm.direccionCompleta, ADDRESS(1, _xlpm.posicion + 4, 4),
    _xlpm.letraColumna, SUBSTITUTE(_xlpm.direccionCompleta, "1", ""),
    _xlpm.letraColumna
)</f>
        <v>BI</v>
      </c>
      <c r="Z188" s="7"/>
      <c r="AA188" s="367"/>
      <c r="AB188" s="7"/>
      <c r="AC188" s="93">
        <f t="shared" si="172"/>
        <v>190607.8</v>
      </c>
      <c r="AD188" s="94">
        <f t="shared" ca="1" si="181"/>
        <v>1080746.226</v>
      </c>
      <c r="AE188" s="109">
        <f t="shared" ca="1" si="182"/>
        <v>0.29999999999999993</v>
      </c>
      <c r="AF188" s="7"/>
      <c r="AG188" s="369">
        <f t="shared" si="173"/>
        <v>0</v>
      </c>
      <c r="AH188" s="368">
        <f t="shared" ca="1" si="174"/>
        <v>0</v>
      </c>
      <c r="AI188" s="7"/>
      <c r="AJ188" s="369" cm="1">
        <f t="array" ref="AJ188">IFERROR(INDEX(WHT!$C$7:$W$18,MATCH(
_xlfn.SWITCH(N188,"xDC Medellin","Colombia","xDC Belo Horizonte","Brazil","xDC Guadalajara","Mexico","xDC Gurugram","India","xDC Leon","Spain","xDC San Jose","Costa Rica","xDC Warsaw","Poland",N188),
WHT!$B$7:$B$18,0),MATCH(CustomerCountry,WHT!$C$5:$W$5,0)),0)</f>
        <v>0</v>
      </c>
      <c r="AK188" s="368">
        <f t="shared" ca="1" si="175"/>
        <v>0</v>
      </c>
      <c r="AL188" s="7"/>
      <c r="AM188" s="95">
        <f t="shared" ca="1" si="183"/>
        <v>1080746.226</v>
      </c>
      <c r="AN188" s="95">
        <f t="shared" ca="1" si="176"/>
        <v>1080746.226</v>
      </c>
      <c r="AO188" s="95">
        <f t="shared" ca="1" si="184"/>
        <v>190607.80000000002</v>
      </c>
      <c r="AP188" s="90"/>
      <c r="AQ188" s="18"/>
      <c r="AR188" s="290"/>
      <c r="AS188" s="467" t="s">
        <v>133</v>
      </c>
      <c r="AT188" s="501">
        <f t="shared" ca="1" si="177"/>
        <v>1080746.226</v>
      </c>
      <c r="AU188" s="502"/>
      <c r="AV188" s="95">
        <f t="shared" ca="1" si="185"/>
        <v>190607.80000000002</v>
      </c>
      <c r="AW188" s="469">
        <f t="shared" ca="1" si="178"/>
        <v>48.873794871794878</v>
      </c>
      <c r="AX188" s="290"/>
      <c r="AY188" s="18"/>
      <c r="AZ188" s="3"/>
      <c r="BA188" s="315"/>
      <c r="BB188" s="3"/>
      <c r="BC188" s="3"/>
      <c r="BD188" s="3"/>
      <c r="BE188" s="3"/>
      <c r="BF188" s="18"/>
      <c r="BG188" s="3"/>
      <c r="BH188" s="315"/>
      <c r="BI188" s="3"/>
      <c r="BJ188" s="3"/>
      <c r="BK188" s="3"/>
      <c r="BL188" s="3"/>
      <c r="BM188" s="18"/>
      <c r="BN188" s="3"/>
      <c r="BO188" s="315"/>
      <c r="BP188" s="3"/>
      <c r="BQ188" s="3"/>
      <c r="BR188" s="3"/>
      <c r="BS188" s="3"/>
      <c r="BT188" s="18"/>
      <c r="BU188" s="3"/>
      <c r="BV188" s="315"/>
      <c r="BW188" s="3"/>
      <c r="BX188" s="3"/>
      <c r="BY188" s="3"/>
      <c r="BZ188" s="3"/>
    </row>
    <row r="189" spans="1:79" ht="15.6" outlineLevel="1">
      <c r="A189" s="7"/>
      <c r="B189" s="370"/>
      <c r="C189" s="355" t="s">
        <v>183</v>
      </c>
      <c r="D189" s="356"/>
      <c r="E189" s="342"/>
      <c r="F189" s="290"/>
      <c r="G189" s="357">
        <v>0</v>
      </c>
      <c r="H189" s="358">
        <v>0</v>
      </c>
      <c r="I189" s="358">
        <v>0</v>
      </c>
      <c r="J189" s="359">
        <f t="shared" si="179"/>
        <v>0</v>
      </c>
      <c r="K189" s="290"/>
      <c r="L189" s="349"/>
      <c r="M189" s="7"/>
      <c r="N189" s="12" t="s">
        <v>130</v>
      </c>
      <c r="O189" s="12" t="s">
        <v>177</v>
      </c>
      <c r="P189" s="12" t="s">
        <v>184</v>
      </c>
      <c r="Q189" s="468">
        <v>1</v>
      </c>
      <c r="R189" s="362" cm="1">
        <f t="array" aca="1" ref="R189" ca="1">$R$45*(1+(INDIRECT("CMSResumen!L"&amp;(MAX(IF(INDIRECT("CMSResumen!B1:B"&amp;ROW()-10)=B169,ROW(INDIRECT("CMSResumen!B1:B"&amp;ROW()-10)),0)+20)))))</f>
        <v>3.5000000000000003E-2</v>
      </c>
      <c r="S189" s="363">
        <v>20</v>
      </c>
      <c r="T189" s="364">
        <f t="shared" ref="T189" ca="1" si="187">IF(ISBLANK($P189),0,IF(Approach="Team-Based",$Q189*$R189*$S189*HoursPerDayTeamBased,$J189))</f>
        <v>5.67</v>
      </c>
      <c r="U189" s="365">
        <v>0</v>
      </c>
      <c r="V189" s="91">
        <f>ROUNDUP(IFERROR(INDEX(CostRateTbl[Cost Rate],MATCH(_xlfn.CONCAT(N189,O189,P189,"NA"),CostRateTbl[KeyCostRate],0)),0)*BillingCurrencyTRM*(1+U189),2)</f>
        <v>46596.590000000004</v>
      </c>
      <c r="W189" s="92">
        <f t="shared" ca="1" si="171"/>
        <v>264202.66529999999</v>
      </c>
      <c r="X189" s="366" t="str" cm="1">
        <f t="array" ref="X189">_xlfn.LET(
    _xlpm.valor, INDEX(CostRate!H:H, MATCH(1, (CostRate!A:A=N189)*1, 0)),
    _xlpm.posicion, MATCH(_xlpm.valor, FilterSL!$F$1:$Z$1, 0),
    _xlpm.direccionCompleta, ADDRESS(1, _xlpm.posicion + 5, 4),
    _xlpm.letraColumna, SUBSTITUTE(_xlpm.direccionCompleta, "1", ""),
    _xlpm.letraColumna
)</f>
        <v>R</v>
      </c>
      <c r="Y189" s="366" t="str" cm="1">
        <f t="array" ref="Y189">_xlfn.LET(
    _xlpm.valor, INDEX(CostRate!I:I, MATCH(1, (CostRate!A:A=N189)*(CostRate!B:B=O189), 0)),
    _xlpm.posicion, MATCH(_xlpm.valor, FilterJP!$E$1:$FZ$1, 0),
    _xlpm.direccionCompleta, ADDRESS(1, _xlpm.posicion + 4, 4),
    _xlpm.letraColumna, SUBSTITUTE(_xlpm.direccionCompleta, "1", ""),
    _xlpm.letraColumna
)</f>
        <v>BO</v>
      </c>
      <c r="Z189" s="7"/>
      <c r="AA189" s="367"/>
      <c r="AB189" s="7"/>
      <c r="AC189" s="93">
        <f t="shared" si="172"/>
        <v>66566.559999999998</v>
      </c>
      <c r="AD189" s="94">
        <f t="shared" ca="1" si="181"/>
        <v>377432.39519999997</v>
      </c>
      <c r="AE189" s="109">
        <f t="shared" ca="1" si="182"/>
        <v>0.30000003004511566</v>
      </c>
      <c r="AF189" s="7"/>
      <c r="AG189" s="369">
        <f t="shared" si="173"/>
        <v>0</v>
      </c>
      <c r="AH189" s="368">
        <f t="shared" ca="1" si="174"/>
        <v>0</v>
      </c>
      <c r="AI189" s="7"/>
      <c r="AJ189" s="369" cm="1">
        <f t="array" ref="AJ189">IFERROR(INDEX(WHT!$C$7:$W$18,MATCH(
_xlfn.SWITCH(N189,"xDC Medellin","Colombia","xDC Belo Horizonte","Brazil","xDC Guadalajara","Mexico","xDC Gurugram","India","xDC Leon","Spain","xDC San Jose","Costa Rica","xDC Warsaw","Poland",N189),
WHT!$B$7:$B$18,0),MATCH(CustomerCountry,WHT!$C$5:$W$5,0)),0)</f>
        <v>0</v>
      </c>
      <c r="AK189" s="368">
        <f t="shared" ca="1" si="175"/>
        <v>0</v>
      </c>
      <c r="AL189" s="7"/>
      <c r="AM189" s="95">
        <f t="shared" ca="1" si="183"/>
        <v>377432.39519999997</v>
      </c>
      <c r="AN189" s="95">
        <f t="shared" ca="1" si="176"/>
        <v>377432.39519999997</v>
      </c>
      <c r="AO189" s="95">
        <f t="shared" ca="1" si="184"/>
        <v>66566.559999999998</v>
      </c>
      <c r="AP189" s="90"/>
      <c r="AQ189" s="18"/>
      <c r="AR189" s="290"/>
      <c r="AS189" s="467" t="s">
        <v>133</v>
      </c>
      <c r="AT189" s="501">
        <f t="shared" ca="1" si="177"/>
        <v>377432.39519999997</v>
      </c>
      <c r="AU189" s="502"/>
      <c r="AV189" s="95">
        <f t="shared" ca="1" si="185"/>
        <v>66566.559999999998</v>
      </c>
      <c r="AW189" s="469">
        <f t="shared" ca="1" si="178"/>
        <v>17.068348717948716</v>
      </c>
      <c r="AX189" s="290"/>
      <c r="AY189" s="18"/>
      <c r="AZ189" s="3"/>
      <c r="BA189" s="315"/>
      <c r="BB189" s="3"/>
      <c r="BC189" s="3"/>
      <c r="BD189" s="3"/>
      <c r="BE189" s="3"/>
      <c r="BF189" s="18"/>
      <c r="BG189" s="3"/>
      <c r="BH189" s="315"/>
      <c r="BI189" s="3"/>
      <c r="BJ189" s="3"/>
      <c r="BK189" s="3"/>
      <c r="BL189" s="3"/>
      <c r="BM189" s="18"/>
      <c r="BN189" s="3"/>
      <c r="BO189" s="315"/>
      <c r="BP189" s="3"/>
      <c r="BQ189" s="3"/>
      <c r="BR189" s="3"/>
      <c r="BS189" s="3"/>
      <c r="BT189" s="18"/>
      <c r="BU189" s="3"/>
      <c r="BV189" s="315"/>
      <c r="BW189" s="3"/>
      <c r="BX189" s="3"/>
      <c r="BY189" s="3"/>
      <c r="BZ189" s="3"/>
    </row>
    <row r="190" spans="1:79" ht="15.6" outlineLevel="1">
      <c r="A190" s="7"/>
      <c r="B190" s="370"/>
      <c r="C190" s="355" t="s">
        <v>185</v>
      </c>
      <c r="D190" s="356"/>
      <c r="E190" s="342"/>
      <c r="F190" s="290"/>
      <c r="G190" s="357">
        <v>0</v>
      </c>
      <c r="H190" s="358">
        <v>0</v>
      </c>
      <c r="I190" s="358">
        <v>0</v>
      </c>
      <c r="J190" s="359">
        <f t="shared" si="179"/>
        <v>0</v>
      </c>
      <c r="K190" s="290"/>
      <c r="L190" s="349"/>
      <c r="M190" s="7"/>
      <c r="N190" s="12" t="s">
        <v>130</v>
      </c>
      <c r="O190" s="12" t="s">
        <v>177</v>
      </c>
      <c r="P190" s="12" t="s">
        <v>180</v>
      </c>
      <c r="Q190" s="468">
        <v>1.23</v>
      </c>
      <c r="R190" s="362" cm="1">
        <f t="array" aca="1" ref="R190" ca="1">$R$43*(1+(INDIRECT("CMSResumen!L"&amp;(MAX(IF(INDIRECT("CMSResumen!B1:B"&amp;ROW()-10)=B169,ROW(INDIRECT("CMSResumen!B1:B"&amp;ROW()-10)),0)+18)))))</f>
        <v>7.8E-2</v>
      </c>
      <c r="S190" s="363">
        <f>20*10%</f>
        <v>2</v>
      </c>
      <c r="T190" s="364">
        <f t="shared" ref="T190" ca="1" si="188">IF(ISBLANK($P190),0,IF(Approach="Team-Based",$Q190*$R190*$S190*HoursPerDayTeamBased,$J190))</f>
        <v>1.5542279999999999</v>
      </c>
      <c r="U190" s="365">
        <v>0</v>
      </c>
      <c r="V190" s="91">
        <f>ROUNDUP(IFERROR(INDEX(CostRateTbl[Cost Rate],MATCH(_xlfn.CONCAT(N190,O190,P190,"NA"),CostRateTbl[KeyCostRate],0)),0)*BillingCurrencyTRM*(1+U190),2)</f>
        <v>0</v>
      </c>
      <c r="W190" s="92">
        <f t="shared" ca="1" si="171"/>
        <v>0</v>
      </c>
      <c r="X190" s="366" t="str" cm="1">
        <f t="array" ref="X190">_xlfn.LET(
    _xlpm.valor, INDEX(CostRate!H:H, MATCH(1, (CostRate!A:A=N190)*1, 0)),
    _xlpm.posicion, MATCH(_xlpm.valor, FilterSL!$F$1:$Z$1, 0),
    _xlpm.direccionCompleta, ADDRESS(1, _xlpm.posicion + 5, 4),
    _xlpm.letraColumna, SUBSTITUTE(_xlpm.direccionCompleta, "1", ""),
    _xlpm.letraColumna
)</f>
        <v>R</v>
      </c>
      <c r="Y190" s="366" t="str" cm="1">
        <f t="array" ref="Y190">_xlfn.LET(
    _xlpm.valor, INDEX(CostRate!I:I, MATCH(1, (CostRate!A:A=N190)*(CostRate!B:B=O190), 0)),
    _xlpm.posicion, MATCH(_xlpm.valor, FilterJP!$E$1:$FZ$1, 0),
    _xlpm.direccionCompleta, ADDRESS(1, _xlpm.posicion + 4, 4),
    _xlpm.letraColumna, SUBSTITUTE(_xlpm.direccionCompleta, "1", ""),
    _xlpm.letraColumna
)</f>
        <v>BO</v>
      </c>
      <c r="Z190" s="7"/>
      <c r="AA190" s="367"/>
      <c r="AB190" s="7"/>
      <c r="AC190" s="93">
        <f t="shared" si="172"/>
        <v>0</v>
      </c>
      <c r="AD190" s="94">
        <f t="shared" ca="1" si="181"/>
        <v>0</v>
      </c>
      <c r="AE190" s="109">
        <f t="shared" ca="1" si="182"/>
        <v>0</v>
      </c>
      <c r="AF190" s="7"/>
      <c r="AG190" s="369">
        <f t="shared" si="173"/>
        <v>0</v>
      </c>
      <c r="AH190" s="368">
        <f t="shared" ca="1" si="174"/>
        <v>0</v>
      </c>
      <c r="AI190" s="7"/>
      <c r="AJ190" s="369" cm="1">
        <f t="array" ref="AJ190">IFERROR(INDEX(WHT!$C$7:$W$18,MATCH(
_xlfn.SWITCH(N190,"xDC Medellin","Colombia","xDC Belo Horizonte","Brazil","xDC Guadalajara","Mexico","xDC Gurugram","India","xDC Leon","Spain","xDC San Jose","Costa Rica","xDC Warsaw","Poland",N190),
WHT!$B$7:$B$18,0),MATCH(CustomerCountry,WHT!$C$5:$W$5,0)),0)</f>
        <v>0</v>
      </c>
      <c r="AK190" s="368">
        <f t="shared" ca="1" si="175"/>
        <v>0</v>
      </c>
      <c r="AL190" s="7"/>
      <c r="AM190" s="95">
        <f t="shared" ca="1" si="183"/>
        <v>0</v>
      </c>
      <c r="AN190" s="95">
        <f t="shared" ca="1" si="176"/>
        <v>0</v>
      </c>
      <c r="AO190" s="95">
        <f t="shared" ca="1" si="184"/>
        <v>0</v>
      </c>
      <c r="AP190" s="90"/>
      <c r="AQ190" s="18"/>
      <c r="AR190" s="290"/>
      <c r="AS190" s="467" t="s">
        <v>133</v>
      </c>
      <c r="AT190" s="501">
        <f t="shared" ca="1" si="177"/>
        <v>0</v>
      </c>
      <c r="AU190" s="502"/>
      <c r="AV190" s="95">
        <f t="shared" ca="1" si="185"/>
        <v>0</v>
      </c>
      <c r="AW190" s="469">
        <f t="shared" ca="1" si="178"/>
        <v>0</v>
      </c>
      <c r="AX190" s="290"/>
      <c r="AY190" s="18"/>
      <c r="AZ190" s="3"/>
      <c r="BA190" s="315"/>
      <c r="BB190" s="3"/>
      <c r="BC190" s="3"/>
      <c r="BD190" s="3"/>
      <c r="BE190" s="3"/>
      <c r="BF190" s="18"/>
      <c r="BG190" s="3"/>
      <c r="BH190" s="315"/>
      <c r="BI190" s="3"/>
      <c r="BJ190" s="3"/>
      <c r="BK190" s="3"/>
      <c r="BL190" s="3"/>
      <c r="BM190" s="18"/>
      <c r="BN190" s="3"/>
      <c r="BO190" s="315"/>
      <c r="BP190" s="3"/>
      <c r="BQ190" s="3"/>
      <c r="BR190" s="3"/>
      <c r="BS190" s="3"/>
      <c r="BT190" s="18"/>
      <c r="BU190" s="3"/>
      <c r="BV190" s="315"/>
      <c r="BW190" s="3"/>
      <c r="BX190" s="3"/>
      <c r="BY190" s="3"/>
      <c r="BZ190" s="3"/>
    </row>
    <row r="191" spans="1:79" ht="15.6" outlineLevel="1">
      <c r="A191" s="7"/>
      <c r="B191" s="370"/>
      <c r="C191" s="355" t="s">
        <v>186</v>
      </c>
      <c r="D191" s="356"/>
      <c r="E191" s="342"/>
      <c r="F191" s="290"/>
      <c r="G191" s="357">
        <v>0</v>
      </c>
      <c r="H191" s="358">
        <v>0</v>
      </c>
      <c r="I191" s="358">
        <v>0</v>
      </c>
      <c r="J191" s="359">
        <f t="shared" si="179"/>
        <v>0</v>
      </c>
      <c r="K191" s="290"/>
      <c r="L191" s="349"/>
      <c r="M191" s="7"/>
      <c r="N191" s="12" t="s">
        <v>130</v>
      </c>
      <c r="O191" s="12" t="s">
        <v>177</v>
      </c>
      <c r="P191" s="12" t="s">
        <v>184</v>
      </c>
      <c r="Q191" s="468">
        <v>1.23</v>
      </c>
      <c r="R191" s="362" cm="1">
        <f t="array" aca="1" ref="R191" ca="1">$R$45*(1+(INDIRECT("CMSResumen!L"&amp;(MAX(IF(INDIRECT("CMSResumen!B1:B"&amp;ROW()-10)=B169,ROW(INDIRECT("CMSResumen!B1:B"&amp;ROW()-10)),0)+20)))))</f>
        <v>3.5000000000000003E-2</v>
      </c>
      <c r="S191" s="363">
        <f>20*10%</f>
        <v>2</v>
      </c>
      <c r="T191" s="364">
        <f t="shared" ref="T191" ca="1" si="189">IF(ISBLANK($P191),0,IF(Approach="Team-Based",$Q191*$R191*$S191*HoursPerDayTeamBased,$J191))</f>
        <v>0.69741000000000009</v>
      </c>
      <c r="U191" s="365">
        <v>0</v>
      </c>
      <c r="V191" s="91">
        <f>ROUNDUP(IFERROR(INDEX(CostRateTbl[Cost Rate],MATCH(_xlfn.CONCAT(N191,O191,P191,"NA"),CostRateTbl[KeyCostRate],0)),0)*BillingCurrencyTRM*(1+U191),2)</f>
        <v>46596.590000000004</v>
      </c>
      <c r="W191" s="92">
        <f t="shared" ca="1" si="171"/>
        <v>32496.927831900008</v>
      </c>
      <c r="X191" s="366" t="str" cm="1">
        <f t="array" ref="X191">_xlfn.LET(
    _xlpm.valor, INDEX(CostRate!H:H, MATCH(1, (CostRate!A:A=N191)*1, 0)),
    _xlpm.posicion, MATCH(_xlpm.valor, FilterSL!$F$1:$Z$1, 0),
    _xlpm.direccionCompleta, ADDRESS(1, _xlpm.posicion + 5, 4),
    _xlpm.letraColumna, SUBSTITUTE(_xlpm.direccionCompleta, "1", ""),
    _xlpm.letraColumna
)</f>
        <v>R</v>
      </c>
      <c r="Y191" s="366" t="str" cm="1">
        <f t="array" ref="Y191">_xlfn.LET(
    _xlpm.valor, INDEX(CostRate!I:I, MATCH(1, (CostRate!A:A=N191)*(CostRate!B:B=O191), 0)),
    _xlpm.posicion, MATCH(_xlpm.valor, FilterJP!$E$1:$FZ$1, 0),
    _xlpm.direccionCompleta, ADDRESS(1, _xlpm.posicion + 4, 4),
    _xlpm.letraColumna, SUBSTITUTE(_xlpm.direccionCompleta, "1", ""),
    _xlpm.letraColumna
)</f>
        <v>BO</v>
      </c>
      <c r="Z191" s="7"/>
      <c r="AA191" s="367"/>
      <c r="AB191" s="7"/>
      <c r="AC191" s="93">
        <f t="shared" si="172"/>
        <v>66566.559999999998</v>
      </c>
      <c r="AD191" s="94">
        <f t="shared" ca="1" si="181"/>
        <v>46424.184609600001</v>
      </c>
      <c r="AE191" s="109">
        <f t="shared" ca="1" si="182"/>
        <v>0.30000003004511555</v>
      </c>
      <c r="AF191" s="7"/>
      <c r="AG191" s="369">
        <f t="shared" si="173"/>
        <v>0</v>
      </c>
      <c r="AH191" s="368">
        <f t="shared" ca="1" si="174"/>
        <v>0</v>
      </c>
      <c r="AI191" s="7"/>
      <c r="AJ191" s="369" cm="1">
        <f t="array" ref="AJ191">IFERROR(INDEX(WHT!$C$7:$W$18,MATCH(
_xlfn.SWITCH(N191,"xDC Medellin","Colombia","xDC Belo Horizonte","Brazil","xDC Guadalajara","Mexico","xDC Gurugram","India","xDC Leon","Spain","xDC San Jose","Costa Rica","xDC Warsaw","Poland",N191),
WHT!$B$7:$B$18,0),MATCH(CustomerCountry,WHT!$C$5:$W$5,0)),0)</f>
        <v>0</v>
      </c>
      <c r="AK191" s="368">
        <f t="shared" ca="1" si="175"/>
        <v>0</v>
      </c>
      <c r="AL191" s="7"/>
      <c r="AM191" s="95">
        <f t="shared" ca="1" si="183"/>
        <v>46424.184609600001</v>
      </c>
      <c r="AN191" s="95">
        <f t="shared" ca="1" si="176"/>
        <v>46424.184609600001</v>
      </c>
      <c r="AO191" s="95">
        <f t="shared" ca="1" si="184"/>
        <v>66566.559999999998</v>
      </c>
      <c r="AP191" s="90"/>
      <c r="AQ191" s="18"/>
      <c r="AR191" s="290"/>
      <c r="AS191" s="467" t="s">
        <v>133</v>
      </c>
      <c r="AT191" s="501">
        <f t="shared" ca="1" si="177"/>
        <v>46424.184609600001</v>
      </c>
      <c r="AU191" s="502"/>
      <c r="AV191" s="95">
        <f t="shared" ca="1" si="185"/>
        <v>66566.559999999998</v>
      </c>
      <c r="AW191" s="469">
        <f t="shared" ca="1" si="178"/>
        <v>17.068348717948716</v>
      </c>
      <c r="AX191" s="290"/>
      <c r="AY191" s="18"/>
      <c r="AZ191" s="3"/>
      <c r="BA191" s="315"/>
      <c r="BB191" s="3"/>
      <c r="BC191" s="3"/>
      <c r="BD191" s="3"/>
      <c r="BE191" s="3"/>
      <c r="BF191" s="18"/>
      <c r="BG191" s="3"/>
      <c r="BH191" s="315"/>
      <c r="BI191" s="3"/>
      <c r="BJ191" s="3"/>
      <c r="BK191" s="3"/>
      <c r="BL191" s="3"/>
      <c r="BM191" s="18"/>
      <c r="BN191" s="3"/>
      <c r="BO191" s="315"/>
      <c r="BP191" s="3"/>
      <c r="BQ191" s="3"/>
      <c r="BR191" s="3"/>
      <c r="BS191" s="3"/>
      <c r="BT191" s="18"/>
      <c r="BU191" s="3"/>
      <c r="BV191" s="315"/>
      <c r="BW191" s="3"/>
      <c r="BX191" s="3"/>
      <c r="BY191" s="3"/>
      <c r="BZ191" s="3"/>
    </row>
    <row r="192" spans="1:79" ht="28.9" outlineLevel="1">
      <c r="A192" s="7"/>
      <c r="B192" s="370"/>
      <c r="C192" s="355" t="s">
        <v>187</v>
      </c>
      <c r="D192" s="356"/>
      <c r="E192" s="342"/>
      <c r="F192" s="290"/>
      <c r="G192" s="357">
        <v>0</v>
      </c>
      <c r="H192" s="358">
        <v>0</v>
      </c>
      <c r="I192" s="358">
        <v>0</v>
      </c>
      <c r="J192" s="359">
        <f t="shared" si="179"/>
        <v>0</v>
      </c>
      <c r="K192" s="290"/>
      <c r="L192" s="349"/>
      <c r="M192" s="7"/>
      <c r="N192" s="12"/>
      <c r="O192" s="12"/>
      <c r="P192" s="12"/>
      <c r="Q192" s="361"/>
      <c r="R192" s="362"/>
      <c r="S192" s="363">
        <f t="shared" ref="S192:S215" si="190">IF(ISBLANK(P192),0,$O$178*20)</f>
        <v>0</v>
      </c>
      <c r="T192" s="364">
        <f t="shared" ref="T192" si="191">IF(ISBLANK($P192),0,IF(Approach="Team-Based",$Q192*$R192*$S192*HoursPerDayTeamBased,$J192))</f>
        <v>0</v>
      </c>
      <c r="U192" s="365">
        <v>0</v>
      </c>
      <c r="V192" s="91">
        <f>ROUNDUP(IFERROR(INDEX(CostRateTbl[Cost Rate],MATCH(_xlfn.CONCAT(N192,O192,P192,"NA"),CostRateTbl[KeyCostRate],0)),0)*BillingCurrencyTRM*(1+U192),2)</f>
        <v>0</v>
      </c>
      <c r="W192" s="92">
        <f t="shared" si="171"/>
        <v>0</v>
      </c>
      <c r="X192" s="366" t="e" cm="1">
        <f t="array" ref="X192">_xlfn.LET(
    _xlpm.valor, INDEX(CostRate!H:H, MATCH(1, (CostRate!A:A=N192)*1, 0)),
    _xlpm.posicion, MATCH(_xlpm.valor, FilterSL!$F$1:$Z$1, 0),
    _xlpm.direccionCompleta, ADDRESS(1, _xlpm.posicion + 5, 4),
    _xlpm.letraColumna, SUBSTITUTE(_xlpm.direccionCompleta, "1", ""),
    _xlpm.letraColumna
)</f>
        <v>#N/A</v>
      </c>
      <c r="Y192" s="366" t="e" cm="1">
        <f t="array" ref="Y192">_xlfn.LET(
    _xlpm.valor, INDEX(CostRate!I:I, MATCH(1, (CostRate!A:A=N192)*(CostRate!B:B=O192), 0)),
    _xlpm.posicion, MATCH(_xlpm.valor, FilterJP!$E$1:$FZ$1, 0),
    _xlpm.direccionCompleta, ADDRESS(1, _xlpm.posicion + 4, 4),
    _xlpm.letraColumna, SUBSTITUTE(_xlpm.direccionCompleta, "1", ""),
    _xlpm.letraColumna
)</f>
        <v>#N/A</v>
      </c>
      <c r="Z192" s="7"/>
      <c r="AA192" s="367"/>
      <c r="AB192" s="7"/>
      <c r="AC192" s="93">
        <f t="shared" si="172"/>
        <v>0</v>
      </c>
      <c r="AD192" s="94">
        <f t="shared" si="181"/>
        <v>0</v>
      </c>
      <c r="AE192" s="109">
        <f t="shared" si="182"/>
        <v>0</v>
      </c>
      <c r="AF192" s="7"/>
      <c r="AG192" s="369">
        <f t="shared" si="173"/>
        <v>0</v>
      </c>
      <c r="AH192" s="368">
        <f t="shared" si="174"/>
        <v>0</v>
      </c>
      <c r="AI192" s="7"/>
      <c r="AJ192" s="369" cm="1">
        <f t="array" ref="AJ192">IFERROR(INDEX(WHT!$C$7:$W$18,MATCH(
_xlfn.SWITCH(N192,"xDC Medellin","Colombia","xDC Belo Horizonte","Brazil","xDC Guadalajara","Mexico","xDC Gurugram","India","xDC Leon","Spain","xDC San Jose","Costa Rica","xDC Warsaw","Poland",N192),
WHT!$B$7:$B$18,0),MATCH(CustomerCountry,WHT!$C$5:$W$5,0)),0)</f>
        <v>0</v>
      </c>
      <c r="AK192" s="368">
        <f t="shared" si="175"/>
        <v>0</v>
      </c>
      <c r="AL192" s="7"/>
      <c r="AM192" s="95">
        <f t="shared" si="183"/>
        <v>0</v>
      </c>
      <c r="AN192" s="95">
        <f t="shared" ca="1" si="176"/>
        <v>0</v>
      </c>
      <c r="AO192" s="95">
        <f t="shared" ca="1" si="184"/>
        <v>0</v>
      </c>
      <c r="AP192" s="90"/>
      <c r="AQ192" s="18"/>
      <c r="AR192" s="290"/>
      <c r="AS192" s="467" t="s">
        <v>133</v>
      </c>
      <c r="AT192" s="501">
        <f t="shared" ca="1" si="177"/>
        <v>0</v>
      </c>
      <c r="AU192" s="502"/>
      <c r="AV192" s="95">
        <f t="shared" ca="1" si="185"/>
        <v>0</v>
      </c>
      <c r="AW192" s="469">
        <f t="shared" ca="1" si="178"/>
        <v>0</v>
      </c>
      <c r="AX192" s="290"/>
      <c r="AY192" s="18"/>
      <c r="AZ192" s="3"/>
      <c r="BA192" s="315"/>
      <c r="BB192" s="3"/>
      <c r="BC192" s="3"/>
      <c r="BD192" s="3"/>
      <c r="BE192" s="3"/>
      <c r="BF192" s="18"/>
      <c r="BG192" s="3"/>
      <c r="BH192" s="315"/>
      <c r="BI192" s="3"/>
      <c r="BJ192" s="3"/>
      <c r="BK192" s="3"/>
      <c r="BL192" s="3"/>
      <c r="BM192" s="18"/>
      <c r="BN192" s="3"/>
      <c r="BO192" s="315"/>
      <c r="BP192" s="3"/>
      <c r="BQ192" s="3"/>
      <c r="BR192" s="3"/>
      <c r="BS192" s="3"/>
      <c r="BT192" s="18"/>
      <c r="BU192" s="3"/>
      <c r="BV192" s="315"/>
      <c r="BW192" s="3"/>
      <c r="BX192" s="3"/>
      <c r="BY192" s="3"/>
      <c r="BZ192" s="3"/>
    </row>
    <row r="193" spans="1:78" ht="15.6" outlineLevel="1">
      <c r="A193" s="7"/>
      <c r="B193" s="370"/>
      <c r="C193" s="355"/>
      <c r="D193" s="356"/>
      <c r="E193" s="342"/>
      <c r="F193" s="290"/>
      <c r="G193" s="357">
        <v>0</v>
      </c>
      <c r="H193" s="358">
        <v>0</v>
      </c>
      <c r="I193" s="358">
        <v>0</v>
      </c>
      <c r="J193" s="359">
        <f t="shared" si="179"/>
        <v>0</v>
      </c>
      <c r="K193" s="290"/>
      <c r="L193" s="349"/>
      <c r="M193" s="7"/>
      <c r="N193" s="12"/>
      <c r="O193" s="12"/>
      <c r="P193" s="12"/>
      <c r="Q193" s="361"/>
      <c r="R193" s="362"/>
      <c r="S193" s="363">
        <f t="shared" si="190"/>
        <v>0</v>
      </c>
      <c r="T193" s="364">
        <f t="shared" ref="T193" si="192">IF(ISBLANK($P193),0,IF(Approach="Team-Based",$Q193*$R193*$S193*HoursPerDayTeamBased,$J193))</f>
        <v>0</v>
      </c>
      <c r="U193" s="365">
        <v>0</v>
      </c>
      <c r="V193" s="91">
        <f>ROUNDUP(IFERROR(INDEX(CostRateTbl[Cost Rate],MATCH(_xlfn.CONCAT(N193,O193,P193,"NA"),CostRateTbl[KeyCostRate],0)),0)*BillingCurrencyTRM*(1+U193),2)</f>
        <v>0</v>
      </c>
      <c r="W193" s="92">
        <f t="shared" si="171"/>
        <v>0</v>
      </c>
      <c r="X193" s="366" t="e" cm="1">
        <f t="array" ref="X193">_xlfn.LET(
    _xlpm.valor, INDEX(CostRate!H:H, MATCH(1, (CostRate!A:A=N193)*1, 0)),
    _xlpm.posicion, MATCH(_xlpm.valor, FilterSL!$F$1:$Z$1, 0),
    _xlpm.direccionCompleta, ADDRESS(1, _xlpm.posicion + 5, 4),
    _xlpm.letraColumna, SUBSTITUTE(_xlpm.direccionCompleta, "1", ""),
    _xlpm.letraColumna
)</f>
        <v>#N/A</v>
      </c>
      <c r="Y193" s="366" t="e" cm="1">
        <f t="array" ref="Y193">_xlfn.LET(
    _xlpm.valor, INDEX(CostRate!I:I, MATCH(1, (CostRate!A:A=N193)*(CostRate!B:B=O193), 0)),
    _xlpm.posicion, MATCH(_xlpm.valor, FilterJP!$E$1:$FZ$1, 0),
    _xlpm.direccionCompleta, ADDRESS(1, _xlpm.posicion + 4, 4),
    _xlpm.letraColumna, SUBSTITUTE(_xlpm.direccionCompleta, "1", ""),
    _xlpm.letraColumna
)</f>
        <v>#N/A</v>
      </c>
      <c r="Z193" s="7"/>
      <c r="AA193" s="367"/>
      <c r="AB193" s="7"/>
      <c r="AC193" s="93">
        <f t="shared" si="172"/>
        <v>0</v>
      </c>
      <c r="AD193" s="94">
        <f t="shared" si="181"/>
        <v>0</v>
      </c>
      <c r="AE193" s="109">
        <f t="shared" si="182"/>
        <v>0</v>
      </c>
      <c r="AF193" s="7"/>
      <c r="AG193" s="369">
        <f t="shared" si="173"/>
        <v>0</v>
      </c>
      <c r="AH193" s="368">
        <f t="shared" si="174"/>
        <v>0</v>
      </c>
      <c r="AI193" s="7"/>
      <c r="AJ193" s="369" cm="1">
        <f t="array" ref="AJ193">IFERROR(INDEX(WHT!$C$7:$W$18,MATCH(
_xlfn.SWITCH(N193,"xDC Medellin","Colombia","xDC Belo Horizonte","Brazil","xDC Guadalajara","Mexico","xDC Gurugram","India","xDC Leon","Spain","xDC San Jose","Costa Rica","xDC Warsaw","Poland",N193),
WHT!$B$7:$B$18,0),MATCH(CustomerCountry,WHT!$C$5:$W$5,0)),0)</f>
        <v>0</v>
      </c>
      <c r="AK193" s="368">
        <f t="shared" si="175"/>
        <v>0</v>
      </c>
      <c r="AL193" s="7"/>
      <c r="AM193" s="95">
        <f t="shared" si="183"/>
        <v>0</v>
      </c>
      <c r="AN193" s="95">
        <f t="shared" ca="1" si="176"/>
        <v>0</v>
      </c>
      <c r="AO193" s="95">
        <f t="shared" ca="1" si="184"/>
        <v>0</v>
      </c>
      <c r="AP193" s="90"/>
      <c r="AQ193" s="18"/>
      <c r="AR193" s="290"/>
      <c r="AS193" s="467" t="s">
        <v>133</v>
      </c>
      <c r="AT193" s="501">
        <f t="shared" ca="1" si="177"/>
        <v>0</v>
      </c>
      <c r="AU193" s="502"/>
      <c r="AV193" s="95">
        <f t="shared" ca="1" si="185"/>
        <v>0</v>
      </c>
      <c r="AW193" s="469">
        <f t="shared" ca="1" si="178"/>
        <v>0</v>
      </c>
      <c r="AX193" s="290"/>
      <c r="AY193" s="18"/>
      <c r="AZ193" s="3"/>
      <c r="BA193" s="315"/>
      <c r="BB193" s="3"/>
      <c r="BC193" s="3"/>
      <c r="BD193" s="3"/>
      <c r="BE193" s="3"/>
      <c r="BF193" s="18"/>
      <c r="BG193" s="3"/>
      <c r="BH193" s="315"/>
      <c r="BI193" s="3"/>
      <c r="BJ193" s="3"/>
      <c r="BK193" s="3"/>
      <c r="BL193" s="3"/>
      <c r="BM193" s="18"/>
      <c r="BN193" s="3"/>
      <c r="BO193" s="315"/>
      <c r="BP193" s="3"/>
      <c r="BQ193" s="3"/>
      <c r="BR193" s="3"/>
      <c r="BS193" s="3"/>
      <c r="BT193" s="18"/>
      <c r="BU193" s="3"/>
      <c r="BV193" s="315"/>
      <c r="BW193" s="3"/>
      <c r="BX193" s="3"/>
      <c r="BY193" s="3"/>
      <c r="BZ193" s="3"/>
    </row>
    <row r="194" spans="1:78" ht="15.6" outlineLevel="1">
      <c r="A194" s="7"/>
      <c r="B194" s="370"/>
      <c r="C194" s="355"/>
      <c r="D194" s="356"/>
      <c r="E194" s="342"/>
      <c r="F194" s="290"/>
      <c r="G194" s="357">
        <v>0</v>
      </c>
      <c r="H194" s="358">
        <v>0</v>
      </c>
      <c r="I194" s="358">
        <v>0</v>
      </c>
      <c r="J194" s="359">
        <f t="shared" si="179"/>
        <v>0</v>
      </c>
      <c r="K194" s="290"/>
      <c r="L194" s="349"/>
      <c r="M194" s="7"/>
      <c r="N194" s="12"/>
      <c r="O194" s="12"/>
      <c r="P194" s="12"/>
      <c r="Q194" s="361"/>
      <c r="R194" s="362"/>
      <c r="S194" s="363">
        <f t="shared" si="190"/>
        <v>0</v>
      </c>
      <c r="T194" s="364">
        <f t="shared" ref="T194" si="193">IF(ISBLANK($P194),0,IF(Approach="Team-Based",$Q194*$R194*$S194*HoursPerDayTeamBased,$J194))</f>
        <v>0</v>
      </c>
      <c r="U194" s="365">
        <v>0</v>
      </c>
      <c r="V194" s="91">
        <f>ROUNDUP(IFERROR(INDEX(CostRateTbl[Cost Rate],MATCH(_xlfn.CONCAT(N194,O194,P194,"NA"),CostRateTbl[KeyCostRate],0)),0)*BillingCurrencyTRM*(1+U194),2)</f>
        <v>0</v>
      </c>
      <c r="W194" s="92">
        <f t="shared" si="171"/>
        <v>0</v>
      </c>
      <c r="X194" s="366" t="e" cm="1">
        <f t="array" ref="X194">_xlfn.LET(
    _xlpm.valor, INDEX(CostRate!H:H, MATCH(1, (CostRate!A:A=N194)*1, 0)),
    _xlpm.posicion, MATCH(_xlpm.valor, FilterSL!$F$1:$Z$1, 0),
    _xlpm.direccionCompleta, ADDRESS(1, _xlpm.posicion + 5, 4),
    _xlpm.letraColumna, SUBSTITUTE(_xlpm.direccionCompleta, "1", ""),
    _xlpm.letraColumna
)</f>
        <v>#N/A</v>
      </c>
      <c r="Y194" s="366" t="e" cm="1">
        <f t="array" ref="Y194">_xlfn.LET(
    _xlpm.valor, INDEX(CostRate!I:I, MATCH(1, (CostRate!A:A=N194)*(CostRate!B:B=O194), 0)),
    _xlpm.posicion, MATCH(_xlpm.valor, FilterJP!$E$1:$FZ$1, 0),
    _xlpm.direccionCompleta, ADDRESS(1, _xlpm.posicion + 4, 4),
    _xlpm.letraColumna, SUBSTITUTE(_xlpm.direccionCompleta, "1", ""),
    _xlpm.letraColumna
)</f>
        <v>#N/A</v>
      </c>
      <c r="Z194" s="7"/>
      <c r="AA194" s="367"/>
      <c r="AB194" s="7"/>
      <c r="AC194" s="93">
        <f t="shared" si="172"/>
        <v>0</v>
      </c>
      <c r="AD194" s="94">
        <f t="shared" si="181"/>
        <v>0</v>
      </c>
      <c r="AE194" s="109">
        <f t="shared" si="182"/>
        <v>0</v>
      </c>
      <c r="AF194" s="7"/>
      <c r="AG194" s="369">
        <f t="shared" si="173"/>
        <v>0</v>
      </c>
      <c r="AH194" s="368">
        <f t="shared" si="174"/>
        <v>0</v>
      </c>
      <c r="AI194" s="7"/>
      <c r="AJ194" s="369" cm="1">
        <f t="array" ref="AJ194">IFERROR(INDEX(WHT!$C$7:$W$18,MATCH(
_xlfn.SWITCH(N194,"xDC Medellin","Colombia","xDC Belo Horizonte","Brazil","xDC Guadalajara","Mexico","xDC Gurugram","India","xDC Leon","Spain","xDC San Jose","Costa Rica","xDC Warsaw","Poland",N194),
WHT!$B$7:$B$18,0),MATCH(CustomerCountry,WHT!$C$5:$W$5,0)),0)</f>
        <v>0</v>
      </c>
      <c r="AK194" s="368">
        <f t="shared" si="175"/>
        <v>0</v>
      </c>
      <c r="AL194" s="7"/>
      <c r="AM194" s="95">
        <f t="shared" si="183"/>
        <v>0</v>
      </c>
      <c r="AN194" s="95">
        <f t="shared" ca="1" si="176"/>
        <v>0</v>
      </c>
      <c r="AO194" s="95">
        <f t="shared" ca="1" si="184"/>
        <v>0</v>
      </c>
      <c r="AP194" s="90"/>
      <c r="AQ194" s="18"/>
      <c r="AR194" s="290"/>
      <c r="AS194" s="467" t="s">
        <v>133</v>
      </c>
      <c r="AT194" s="501">
        <f t="shared" ca="1" si="177"/>
        <v>0</v>
      </c>
      <c r="AU194" s="502"/>
      <c r="AV194" s="95">
        <f t="shared" ca="1" si="185"/>
        <v>0</v>
      </c>
      <c r="AW194" s="469">
        <f t="shared" ca="1" si="178"/>
        <v>0</v>
      </c>
      <c r="AX194" s="290"/>
      <c r="AY194" s="18"/>
      <c r="AZ194" s="3"/>
      <c r="BA194" s="315"/>
      <c r="BB194" s="3"/>
      <c r="BC194" s="3"/>
      <c r="BD194" s="3"/>
      <c r="BE194" s="3"/>
      <c r="BF194" s="18"/>
      <c r="BG194" s="3"/>
      <c r="BH194" s="315"/>
      <c r="BI194" s="3"/>
      <c r="BJ194" s="3"/>
      <c r="BK194" s="3"/>
      <c r="BL194" s="3"/>
      <c r="BM194" s="18"/>
      <c r="BN194" s="3"/>
      <c r="BO194" s="315"/>
      <c r="BP194" s="3"/>
      <c r="BQ194" s="3"/>
      <c r="BR194" s="3"/>
      <c r="BS194" s="3"/>
      <c r="BT194" s="18"/>
      <c r="BU194" s="3"/>
      <c r="BV194" s="315"/>
      <c r="BW194" s="3"/>
      <c r="BX194" s="3"/>
      <c r="BY194" s="3"/>
      <c r="BZ194" s="3"/>
    </row>
    <row r="195" spans="1:78" ht="15.6" outlineLevel="1">
      <c r="A195" s="7"/>
      <c r="B195" s="370"/>
      <c r="C195" s="355"/>
      <c r="D195" s="356"/>
      <c r="E195" s="342"/>
      <c r="F195" s="290"/>
      <c r="G195" s="357">
        <v>0</v>
      </c>
      <c r="H195" s="358">
        <v>0</v>
      </c>
      <c r="I195" s="358">
        <v>0</v>
      </c>
      <c r="J195" s="359">
        <f t="shared" si="179"/>
        <v>0</v>
      </c>
      <c r="K195" s="290"/>
      <c r="L195" s="349"/>
      <c r="M195" s="7"/>
      <c r="N195" s="12"/>
      <c r="O195" s="12"/>
      <c r="P195" s="12"/>
      <c r="Q195" s="361"/>
      <c r="R195" s="362"/>
      <c r="S195" s="363">
        <f t="shared" si="190"/>
        <v>0</v>
      </c>
      <c r="T195" s="364">
        <f t="shared" ref="T195" si="194">IF(ISBLANK($P195),0,IF(Approach="Team-Based",$Q195*$R195*$S195*HoursPerDayTeamBased,$J195))</f>
        <v>0</v>
      </c>
      <c r="U195" s="365">
        <v>0</v>
      </c>
      <c r="V195" s="91">
        <f>ROUNDUP(IFERROR(INDEX(CostRateTbl[Cost Rate],MATCH(_xlfn.CONCAT(N195,O195,P195,"NA"),CostRateTbl[KeyCostRate],0)),0)*BillingCurrencyTRM*(1+U195),2)</f>
        <v>0</v>
      </c>
      <c r="W195" s="92">
        <f t="shared" si="171"/>
        <v>0</v>
      </c>
      <c r="X195" s="366" t="e" cm="1">
        <f t="array" ref="X195">_xlfn.LET(
    _xlpm.valor, INDEX(CostRate!H:H, MATCH(1, (CostRate!A:A=N195)*1, 0)),
    _xlpm.posicion, MATCH(_xlpm.valor, FilterSL!$F$1:$Z$1, 0),
    _xlpm.direccionCompleta, ADDRESS(1, _xlpm.posicion + 5, 4),
    _xlpm.letraColumna, SUBSTITUTE(_xlpm.direccionCompleta, "1", ""),
    _xlpm.letraColumna
)</f>
        <v>#N/A</v>
      </c>
      <c r="Y195" s="366" t="e" cm="1">
        <f t="array" ref="Y195">_xlfn.LET(
    _xlpm.valor, INDEX(CostRate!I:I, MATCH(1, (CostRate!A:A=N195)*(CostRate!B:B=O195), 0)),
    _xlpm.posicion, MATCH(_xlpm.valor, FilterJP!$E$1:$FZ$1, 0),
    _xlpm.direccionCompleta, ADDRESS(1, _xlpm.posicion + 4, 4),
    _xlpm.letraColumna, SUBSTITUTE(_xlpm.direccionCompleta, "1", ""),
    _xlpm.letraColumna
)</f>
        <v>#N/A</v>
      </c>
      <c r="Z195" s="7"/>
      <c r="AA195" s="367"/>
      <c r="AB195" s="7"/>
      <c r="AC195" s="93">
        <f t="shared" si="172"/>
        <v>0</v>
      </c>
      <c r="AD195" s="94">
        <f t="shared" si="181"/>
        <v>0</v>
      </c>
      <c r="AE195" s="109">
        <f t="shared" si="182"/>
        <v>0</v>
      </c>
      <c r="AF195" s="7"/>
      <c r="AG195" s="369">
        <f t="shared" si="173"/>
        <v>0</v>
      </c>
      <c r="AH195" s="368">
        <f t="shared" si="174"/>
        <v>0</v>
      </c>
      <c r="AI195" s="7"/>
      <c r="AJ195" s="369" cm="1">
        <f t="array" ref="AJ195">IFERROR(INDEX(WHT!$C$7:$W$18,MATCH(
_xlfn.SWITCH(N195,"xDC Medellin","Colombia","xDC Belo Horizonte","Brazil","xDC Guadalajara","Mexico","xDC Gurugram","India","xDC Leon","Spain","xDC San Jose","Costa Rica","xDC Warsaw","Poland",N195),
WHT!$B$7:$B$18,0),MATCH(CustomerCountry,WHT!$C$5:$W$5,0)),0)</f>
        <v>0</v>
      </c>
      <c r="AK195" s="368">
        <f t="shared" si="175"/>
        <v>0</v>
      </c>
      <c r="AL195" s="7"/>
      <c r="AM195" s="95">
        <f t="shared" si="183"/>
        <v>0</v>
      </c>
      <c r="AN195" s="95">
        <f t="shared" ca="1" si="176"/>
        <v>0</v>
      </c>
      <c r="AO195" s="95">
        <f t="shared" ca="1" si="184"/>
        <v>0</v>
      </c>
      <c r="AP195" s="90"/>
      <c r="AQ195" s="18"/>
      <c r="AR195" s="290"/>
      <c r="AS195" s="467" t="s">
        <v>133</v>
      </c>
      <c r="AT195" s="501">
        <f t="shared" ca="1" si="177"/>
        <v>0</v>
      </c>
      <c r="AU195" s="502"/>
      <c r="AV195" s="95">
        <f t="shared" ca="1" si="185"/>
        <v>0</v>
      </c>
      <c r="AW195" s="469">
        <f t="shared" ca="1" si="178"/>
        <v>0</v>
      </c>
      <c r="AX195" s="290"/>
      <c r="AY195" s="18"/>
      <c r="AZ195" s="3"/>
      <c r="BA195" s="315"/>
      <c r="BB195" s="3"/>
      <c r="BC195" s="3"/>
      <c r="BD195" s="3"/>
      <c r="BE195" s="3"/>
      <c r="BF195" s="18"/>
      <c r="BG195" s="3"/>
      <c r="BH195" s="315"/>
      <c r="BI195" s="3"/>
      <c r="BJ195" s="3"/>
      <c r="BK195" s="3"/>
      <c r="BL195" s="3"/>
      <c r="BM195" s="18"/>
      <c r="BN195" s="3"/>
      <c r="BO195" s="315"/>
      <c r="BP195" s="3"/>
      <c r="BQ195" s="3"/>
      <c r="BR195" s="3"/>
      <c r="BS195" s="3"/>
      <c r="BT195" s="18"/>
      <c r="BU195" s="3"/>
      <c r="BV195" s="315"/>
      <c r="BW195" s="3"/>
      <c r="BX195" s="3"/>
      <c r="BY195" s="3"/>
      <c r="BZ195" s="3"/>
    </row>
    <row r="196" spans="1:78" ht="15.6" outlineLevel="1">
      <c r="A196" s="7"/>
      <c r="B196" s="370"/>
      <c r="C196" s="355"/>
      <c r="D196" s="356"/>
      <c r="E196" s="342"/>
      <c r="F196" s="290"/>
      <c r="G196" s="357">
        <v>0</v>
      </c>
      <c r="H196" s="358">
        <v>0</v>
      </c>
      <c r="I196" s="358">
        <v>0</v>
      </c>
      <c r="J196" s="359">
        <f t="shared" si="179"/>
        <v>0</v>
      </c>
      <c r="K196" s="290"/>
      <c r="L196" s="349"/>
      <c r="M196" s="7"/>
      <c r="N196" s="12"/>
      <c r="O196" s="12"/>
      <c r="P196" s="12"/>
      <c r="Q196" s="361"/>
      <c r="R196" s="362"/>
      <c r="S196" s="363">
        <f t="shared" si="190"/>
        <v>0</v>
      </c>
      <c r="T196" s="364">
        <f t="shared" ref="T196" si="195">IF(ISBLANK($P196),0,IF(Approach="Team-Based",$Q196*$R196*$S196*HoursPerDayTeamBased,$J196))</f>
        <v>0</v>
      </c>
      <c r="U196" s="365">
        <v>0</v>
      </c>
      <c r="V196" s="91">
        <f>ROUNDUP(IFERROR(INDEX(CostRateTbl[Cost Rate],MATCH(_xlfn.CONCAT(N196,O196,P196,"NA"),CostRateTbl[KeyCostRate],0)),0)*BillingCurrencyTRM*(1+U196),2)</f>
        <v>0</v>
      </c>
      <c r="W196" s="92">
        <f t="shared" si="171"/>
        <v>0</v>
      </c>
      <c r="X196" s="366" t="e" cm="1">
        <f t="array" ref="X196">_xlfn.LET(
    _xlpm.valor, INDEX(CostRate!H:H, MATCH(1, (CostRate!A:A=N196)*1, 0)),
    _xlpm.posicion, MATCH(_xlpm.valor, FilterSL!$F$1:$Z$1, 0),
    _xlpm.direccionCompleta, ADDRESS(1, _xlpm.posicion + 5, 4),
    _xlpm.letraColumna, SUBSTITUTE(_xlpm.direccionCompleta, "1", ""),
    _xlpm.letraColumna
)</f>
        <v>#N/A</v>
      </c>
      <c r="Y196" s="366" t="e" cm="1">
        <f t="array" ref="Y196">_xlfn.LET(
    _xlpm.valor, INDEX(CostRate!I:I, MATCH(1, (CostRate!A:A=N196)*(CostRate!B:B=O196), 0)),
    _xlpm.posicion, MATCH(_xlpm.valor, FilterJP!$E$1:$FZ$1, 0),
    _xlpm.direccionCompleta, ADDRESS(1, _xlpm.posicion + 4, 4),
    _xlpm.letraColumna, SUBSTITUTE(_xlpm.direccionCompleta, "1", ""),
    _xlpm.letraColumna
)</f>
        <v>#N/A</v>
      </c>
      <c r="Z196" s="7"/>
      <c r="AA196" s="367"/>
      <c r="AB196" s="7"/>
      <c r="AC196" s="93">
        <f t="shared" si="172"/>
        <v>0</v>
      </c>
      <c r="AD196" s="94">
        <f t="shared" si="181"/>
        <v>0</v>
      </c>
      <c r="AE196" s="109">
        <f t="shared" si="182"/>
        <v>0</v>
      </c>
      <c r="AF196" s="7"/>
      <c r="AG196" s="369">
        <f t="shared" si="173"/>
        <v>0</v>
      </c>
      <c r="AH196" s="368">
        <f t="shared" si="174"/>
        <v>0</v>
      </c>
      <c r="AI196" s="7"/>
      <c r="AJ196" s="369" cm="1">
        <f t="array" ref="AJ196">IFERROR(INDEX(WHT!$C$7:$W$18,MATCH(
_xlfn.SWITCH(N196,"xDC Medellin","Colombia","xDC Belo Horizonte","Brazil","xDC Guadalajara","Mexico","xDC Gurugram","India","xDC Leon","Spain","xDC San Jose","Costa Rica","xDC Warsaw","Poland",N196),
WHT!$B$7:$B$18,0),MATCH(CustomerCountry,WHT!$C$5:$W$5,0)),0)</f>
        <v>0</v>
      </c>
      <c r="AK196" s="368">
        <f t="shared" si="175"/>
        <v>0</v>
      </c>
      <c r="AL196" s="7"/>
      <c r="AM196" s="95">
        <f t="shared" si="183"/>
        <v>0</v>
      </c>
      <c r="AN196" s="95">
        <f t="shared" ca="1" si="176"/>
        <v>0</v>
      </c>
      <c r="AO196" s="95">
        <f t="shared" ca="1" si="184"/>
        <v>0</v>
      </c>
      <c r="AP196" s="90"/>
      <c r="AQ196" s="18"/>
      <c r="AR196" s="290"/>
      <c r="AS196" s="467" t="s">
        <v>133</v>
      </c>
      <c r="AT196" s="501">
        <f t="shared" ca="1" si="177"/>
        <v>0</v>
      </c>
      <c r="AU196" s="502"/>
      <c r="AV196" s="95">
        <f t="shared" ca="1" si="185"/>
        <v>0</v>
      </c>
      <c r="AW196" s="469">
        <f t="shared" ca="1" si="178"/>
        <v>0</v>
      </c>
      <c r="AX196" s="290"/>
      <c r="AY196" s="18"/>
      <c r="AZ196" s="3"/>
      <c r="BA196" s="315"/>
      <c r="BB196" s="3"/>
      <c r="BC196" s="3"/>
      <c r="BD196" s="3"/>
      <c r="BE196" s="3"/>
      <c r="BF196" s="18"/>
      <c r="BG196" s="3"/>
      <c r="BH196" s="315"/>
      <c r="BI196" s="3"/>
      <c r="BJ196" s="3"/>
      <c r="BK196" s="3"/>
      <c r="BL196" s="3"/>
      <c r="BM196" s="18"/>
      <c r="BN196" s="3"/>
      <c r="BO196" s="315"/>
      <c r="BP196" s="3"/>
      <c r="BQ196" s="3"/>
      <c r="BR196" s="3"/>
      <c r="BS196" s="3"/>
      <c r="BT196" s="18"/>
      <c r="BU196" s="3"/>
      <c r="BV196" s="315"/>
      <c r="BW196" s="3"/>
      <c r="BX196" s="3"/>
      <c r="BY196" s="3"/>
      <c r="BZ196" s="3"/>
    </row>
    <row r="197" spans="1:78" ht="15.6" outlineLevel="1">
      <c r="A197" s="7"/>
      <c r="B197" s="370"/>
      <c r="C197" s="355"/>
      <c r="D197" s="356"/>
      <c r="E197" s="342"/>
      <c r="F197" s="290"/>
      <c r="G197" s="357">
        <v>0</v>
      </c>
      <c r="H197" s="358">
        <v>0</v>
      </c>
      <c r="I197" s="358">
        <v>0</v>
      </c>
      <c r="J197" s="359">
        <f t="shared" si="179"/>
        <v>0</v>
      </c>
      <c r="K197" s="290"/>
      <c r="L197" s="349"/>
      <c r="M197" s="7"/>
      <c r="N197" s="12"/>
      <c r="O197" s="12"/>
      <c r="P197" s="12"/>
      <c r="Q197" s="361"/>
      <c r="R197" s="362"/>
      <c r="S197" s="363">
        <f t="shared" si="190"/>
        <v>0</v>
      </c>
      <c r="T197" s="364">
        <f t="shared" ref="T197" si="196">IF(ISBLANK($P197),0,IF(Approach="Team-Based",$Q197*$R197*$S197*HoursPerDayTeamBased,$J197))</f>
        <v>0</v>
      </c>
      <c r="U197" s="365">
        <v>0</v>
      </c>
      <c r="V197" s="91">
        <f>ROUNDUP(IFERROR(INDEX(CostRateTbl[Cost Rate],MATCH(_xlfn.CONCAT(N197,O197,P197,"NA"),CostRateTbl[KeyCostRate],0)),0)*BillingCurrencyTRM*(1+U197),2)</f>
        <v>0</v>
      </c>
      <c r="W197" s="92">
        <f t="shared" si="171"/>
        <v>0</v>
      </c>
      <c r="X197" s="366" t="e" cm="1">
        <f t="array" ref="X197">_xlfn.LET(
    _xlpm.valor, INDEX(CostRate!H:H, MATCH(1, (CostRate!A:A=N197)*1, 0)),
    _xlpm.posicion, MATCH(_xlpm.valor, FilterSL!$F$1:$Z$1, 0),
    _xlpm.direccionCompleta, ADDRESS(1, _xlpm.posicion + 5, 4),
    _xlpm.letraColumna, SUBSTITUTE(_xlpm.direccionCompleta, "1", ""),
    _xlpm.letraColumna
)</f>
        <v>#N/A</v>
      </c>
      <c r="Y197" s="366" t="e" cm="1">
        <f t="array" ref="Y197">_xlfn.LET(
    _xlpm.valor, INDEX(CostRate!I:I, MATCH(1, (CostRate!A:A=N197)*(CostRate!B:B=O197), 0)),
    _xlpm.posicion, MATCH(_xlpm.valor, FilterJP!$E$1:$FZ$1, 0),
    _xlpm.direccionCompleta, ADDRESS(1, _xlpm.posicion + 4, 4),
    _xlpm.letraColumna, SUBSTITUTE(_xlpm.direccionCompleta, "1", ""),
    _xlpm.letraColumna
)</f>
        <v>#N/A</v>
      </c>
      <c r="Z197" s="7"/>
      <c r="AA197" s="367"/>
      <c r="AB197" s="7"/>
      <c r="AC197" s="93">
        <f t="shared" si="172"/>
        <v>0</v>
      </c>
      <c r="AD197" s="94">
        <f t="shared" si="181"/>
        <v>0</v>
      </c>
      <c r="AE197" s="109">
        <f t="shared" si="182"/>
        <v>0</v>
      </c>
      <c r="AF197" s="7"/>
      <c r="AG197" s="369">
        <f t="shared" si="173"/>
        <v>0</v>
      </c>
      <c r="AH197" s="368">
        <f t="shared" si="174"/>
        <v>0</v>
      </c>
      <c r="AI197" s="7"/>
      <c r="AJ197" s="369" cm="1">
        <f t="array" ref="AJ197">IFERROR(INDEX(WHT!$C$7:$W$18,MATCH(
_xlfn.SWITCH(N197,"xDC Medellin","Colombia","xDC Belo Horizonte","Brazil","xDC Guadalajara","Mexico","xDC Gurugram","India","xDC Leon","Spain","xDC San Jose","Costa Rica","xDC Warsaw","Poland",N197),
WHT!$B$7:$B$18,0),MATCH(CustomerCountry,WHT!$C$5:$W$5,0)),0)</f>
        <v>0</v>
      </c>
      <c r="AK197" s="368">
        <f t="shared" si="175"/>
        <v>0</v>
      </c>
      <c r="AL197" s="7"/>
      <c r="AM197" s="95">
        <f t="shared" si="183"/>
        <v>0</v>
      </c>
      <c r="AN197" s="95">
        <f t="shared" ca="1" si="176"/>
        <v>0</v>
      </c>
      <c r="AO197" s="95">
        <f t="shared" ca="1" si="184"/>
        <v>0</v>
      </c>
      <c r="AP197" s="90"/>
      <c r="AQ197" s="18"/>
      <c r="AR197" s="290"/>
      <c r="AS197" s="467" t="s">
        <v>133</v>
      </c>
      <c r="AT197" s="501">
        <f t="shared" ca="1" si="177"/>
        <v>0</v>
      </c>
      <c r="AU197" s="502"/>
      <c r="AV197" s="95">
        <f t="shared" ca="1" si="185"/>
        <v>0</v>
      </c>
      <c r="AW197" s="469">
        <f t="shared" ca="1" si="178"/>
        <v>0</v>
      </c>
      <c r="AX197" s="290"/>
      <c r="AY197" s="18"/>
      <c r="AZ197" s="3"/>
      <c r="BA197" s="315"/>
      <c r="BB197" s="3"/>
      <c r="BC197" s="3"/>
      <c r="BD197" s="3"/>
      <c r="BE197" s="3"/>
      <c r="BF197" s="18"/>
      <c r="BG197" s="3"/>
      <c r="BH197" s="315"/>
      <c r="BI197" s="3"/>
      <c r="BJ197" s="3"/>
      <c r="BK197" s="3"/>
      <c r="BL197" s="3"/>
      <c r="BM197" s="18"/>
      <c r="BN197" s="3"/>
      <c r="BO197" s="315"/>
      <c r="BP197" s="3"/>
      <c r="BQ197" s="3"/>
      <c r="BR197" s="3"/>
      <c r="BS197" s="3"/>
      <c r="BT197" s="18"/>
      <c r="BU197" s="3"/>
      <c r="BV197" s="315"/>
      <c r="BW197" s="3"/>
      <c r="BX197" s="3"/>
      <c r="BY197" s="3"/>
      <c r="BZ197" s="3"/>
    </row>
    <row r="198" spans="1:78" ht="15.6" outlineLevel="1">
      <c r="A198" s="7"/>
      <c r="B198" s="370"/>
      <c r="C198" s="355"/>
      <c r="D198" s="356"/>
      <c r="E198" s="342"/>
      <c r="F198" s="290"/>
      <c r="G198" s="357">
        <v>0</v>
      </c>
      <c r="H198" s="358">
        <v>0</v>
      </c>
      <c r="I198" s="358">
        <v>0</v>
      </c>
      <c r="J198" s="359">
        <f t="shared" si="179"/>
        <v>0</v>
      </c>
      <c r="K198" s="290"/>
      <c r="L198" s="349"/>
      <c r="M198" s="7"/>
      <c r="N198" s="12"/>
      <c r="O198" s="12"/>
      <c r="P198" s="12"/>
      <c r="Q198" s="361"/>
      <c r="R198" s="362"/>
      <c r="S198" s="363">
        <f t="shared" si="190"/>
        <v>0</v>
      </c>
      <c r="T198" s="364">
        <f t="shared" ref="T198" si="197">IF(ISBLANK($P198),0,IF(Approach="Team-Based",$Q198*$R198*$S198*HoursPerDayTeamBased,$J198))</f>
        <v>0</v>
      </c>
      <c r="U198" s="365">
        <v>0</v>
      </c>
      <c r="V198" s="91">
        <f>ROUNDUP(IFERROR(INDEX(CostRateTbl[Cost Rate],MATCH(_xlfn.CONCAT(N198,O198,P198,"NA"),CostRateTbl[KeyCostRate],0)),0)*BillingCurrencyTRM*(1+U198),2)</f>
        <v>0</v>
      </c>
      <c r="W198" s="92">
        <f t="shared" si="171"/>
        <v>0</v>
      </c>
      <c r="X198" s="366" t="e" cm="1">
        <f t="array" ref="X198">_xlfn.LET(
    _xlpm.valor, INDEX(CostRate!H:H, MATCH(1, (CostRate!A:A=N198)*1, 0)),
    _xlpm.posicion, MATCH(_xlpm.valor, FilterSL!$F$1:$Z$1, 0),
    _xlpm.direccionCompleta, ADDRESS(1, _xlpm.posicion + 5, 4),
    _xlpm.letraColumna, SUBSTITUTE(_xlpm.direccionCompleta, "1", ""),
    _xlpm.letraColumna
)</f>
        <v>#N/A</v>
      </c>
      <c r="Y198" s="366" t="e" cm="1">
        <f t="array" ref="Y198">_xlfn.LET(
    _xlpm.valor, INDEX(CostRate!I:I, MATCH(1, (CostRate!A:A=N198)*(CostRate!B:B=O198), 0)),
    _xlpm.posicion, MATCH(_xlpm.valor, FilterJP!$E$1:$FZ$1, 0),
    _xlpm.direccionCompleta, ADDRESS(1, _xlpm.posicion + 4, 4),
    _xlpm.letraColumna, SUBSTITUTE(_xlpm.direccionCompleta, "1", ""),
    _xlpm.letraColumna
)</f>
        <v>#N/A</v>
      </c>
      <c r="Z198" s="7"/>
      <c r="AA198" s="367"/>
      <c r="AB198" s="7"/>
      <c r="AC198" s="93">
        <f t="shared" si="172"/>
        <v>0</v>
      </c>
      <c r="AD198" s="94">
        <f t="shared" si="181"/>
        <v>0</v>
      </c>
      <c r="AE198" s="109">
        <f t="shared" si="182"/>
        <v>0</v>
      </c>
      <c r="AF198" s="7"/>
      <c r="AG198" s="369">
        <f t="shared" si="173"/>
        <v>0</v>
      </c>
      <c r="AH198" s="368">
        <f t="shared" si="174"/>
        <v>0</v>
      </c>
      <c r="AI198" s="7"/>
      <c r="AJ198" s="369" cm="1">
        <f t="array" ref="AJ198">IFERROR(INDEX(WHT!$C$7:$W$18,MATCH(
_xlfn.SWITCH(N198,"xDC Medellin","Colombia","xDC Belo Horizonte","Brazil","xDC Guadalajara","Mexico","xDC Gurugram","India","xDC Leon","Spain","xDC San Jose","Costa Rica","xDC Warsaw","Poland",N198),
WHT!$B$7:$B$18,0),MATCH(CustomerCountry,WHT!$C$5:$W$5,0)),0)</f>
        <v>0</v>
      </c>
      <c r="AK198" s="368">
        <f t="shared" si="175"/>
        <v>0</v>
      </c>
      <c r="AL198" s="7"/>
      <c r="AM198" s="95">
        <f t="shared" si="183"/>
        <v>0</v>
      </c>
      <c r="AN198" s="95">
        <f t="shared" ca="1" si="176"/>
        <v>0</v>
      </c>
      <c r="AO198" s="95">
        <f t="shared" ca="1" si="184"/>
        <v>0</v>
      </c>
      <c r="AP198" s="90"/>
      <c r="AQ198" s="18"/>
      <c r="AR198" s="290"/>
      <c r="AS198" s="467" t="s">
        <v>133</v>
      </c>
      <c r="AT198" s="501">
        <f t="shared" ca="1" si="177"/>
        <v>0</v>
      </c>
      <c r="AU198" s="502"/>
      <c r="AV198" s="95">
        <f t="shared" ca="1" si="185"/>
        <v>0</v>
      </c>
      <c r="AW198" s="469">
        <f t="shared" ca="1" si="178"/>
        <v>0</v>
      </c>
      <c r="AX198" s="290"/>
      <c r="AY198" s="18"/>
      <c r="AZ198" s="3"/>
      <c r="BA198" s="315"/>
      <c r="BB198" s="3"/>
      <c r="BC198" s="3"/>
      <c r="BD198" s="3"/>
      <c r="BE198" s="3"/>
      <c r="BF198" s="18"/>
      <c r="BG198" s="3"/>
      <c r="BH198" s="315"/>
      <c r="BI198" s="3"/>
      <c r="BJ198" s="3"/>
      <c r="BK198" s="3"/>
      <c r="BL198" s="3"/>
      <c r="BM198" s="18"/>
      <c r="BN198" s="3"/>
      <c r="BO198" s="315"/>
      <c r="BP198" s="3"/>
      <c r="BQ198" s="3"/>
      <c r="BR198" s="3"/>
      <c r="BS198" s="3"/>
      <c r="BT198" s="18"/>
      <c r="BU198" s="3"/>
      <c r="BV198" s="315"/>
      <c r="BW198" s="3"/>
      <c r="BX198" s="3"/>
      <c r="BY198" s="3"/>
      <c r="BZ198" s="3"/>
    </row>
    <row r="199" spans="1:78" ht="15.6" outlineLevel="1">
      <c r="A199" s="7"/>
      <c r="B199" s="370"/>
      <c r="C199" s="355"/>
      <c r="D199" s="356"/>
      <c r="E199" s="342"/>
      <c r="F199" s="290"/>
      <c r="G199" s="357">
        <v>0</v>
      </c>
      <c r="H199" s="358">
        <v>0</v>
      </c>
      <c r="I199" s="358">
        <v>0</v>
      </c>
      <c r="J199" s="359">
        <f t="shared" si="179"/>
        <v>0</v>
      </c>
      <c r="K199" s="290"/>
      <c r="L199" s="349"/>
      <c r="M199" s="7"/>
      <c r="N199" s="12"/>
      <c r="O199" s="12"/>
      <c r="P199" s="12"/>
      <c r="Q199" s="361"/>
      <c r="R199" s="362"/>
      <c r="S199" s="363">
        <f t="shared" si="190"/>
        <v>0</v>
      </c>
      <c r="T199" s="364">
        <f t="shared" ref="T199" si="198">IF(ISBLANK($P199),0,IF(Approach="Team-Based",$Q199*$R199*$S199*HoursPerDayTeamBased,$J199))</f>
        <v>0</v>
      </c>
      <c r="U199" s="365">
        <v>0</v>
      </c>
      <c r="V199" s="91">
        <f>ROUNDUP(IFERROR(INDEX(CostRateTbl[Cost Rate],MATCH(_xlfn.CONCAT(N199,O199,P199,"NA"),CostRateTbl[KeyCostRate],0)),0)*BillingCurrencyTRM*(1+U199),2)</f>
        <v>0</v>
      </c>
      <c r="W199" s="92">
        <f t="shared" si="171"/>
        <v>0</v>
      </c>
      <c r="X199" s="366" t="e" cm="1">
        <f t="array" ref="X199">_xlfn.LET(
    _xlpm.valor, INDEX(CostRate!H:H, MATCH(1, (CostRate!A:A=N199)*1, 0)),
    _xlpm.posicion, MATCH(_xlpm.valor, FilterSL!$F$1:$Z$1, 0),
    _xlpm.direccionCompleta, ADDRESS(1, _xlpm.posicion + 5, 4),
    _xlpm.letraColumna, SUBSTITUTE(_xlpm.direccionCompleta, "1", ""),
    _xlpm.letraColumna
)</f>
        <v>#N/A</v>
      </c>
      <c r="Y199" s="366" t="e" cm="1">
        <f t="array" ref="Y199">_xlfn.LET(
    _xlpm.valor, INDEX(CostRate!I:I, MATCH(1, (CostRate!A:A=N199)*(CostRate!B:B=O199), 0)),
    _xlpm.posicion, MATCH(_xlpm.valor, FilterJP!$E$1:$FZ$1, 0),
    _xlpm.direccionCompleta, ADDRESS(1, _xlpm.posicion + 4, 4),
    _xlpm.letraColumna, SUBSTITUTE(_xlpm.direccionCompleta, "1", ""),
    _xlpm.letraColumna
)</f>
        <v>#N/A</v>
      </c>
      <c r="Z199" s="7"/>
      <c r="AA199" s="367"/>
      <c r="AB199" s="7"/>
      <c r="AC199" s="93">
        <f t="shared" si="172"/>
        <v>0</v>
      </c>
      <c r="AD199" s="94">
        <f t="shared" si="181"/>
        <v>0</v>
      </c>
      <c r="AE199" s="109">
        <f t="shared" si="182"/>
        <v>0</v>
      </c>
      <c r="AF199" s="7"/>
      <c r="AG199" s="369">
        <f t="shared" si="173"/>
        <v>0</v>
      </c>
      <c r="AH199" s="368">
        <f t="shared" si="174"/>
        <v>0</v>
      </c>
      <c r="AI199" s="7"/>
      <c r="AJ199" s="369" cm="1">
        <f t="array" ref="AJ199">IFERROR(INDEX(WHT!$C$7:$W$18,MATCH(
_xlfn.SWITCH(N199,"xDC Medellin","Colombia","xDC Belo Horizonte","Brazil","xDC Guadalajara","Mexico","xDC Gurugram","India","xDC Leon","Spain","xDC San Jose","Costa Rica","xDC Warsaw","Poland",N199),
WHT!$B$7:$B$18,0),MATCH(CustomerCountry,WHT!$C$5:$W$5,0)),0)</f>
        <v>0</v>
      </c>
      <c r="AK199" s="368">
        <f t="shared" si="175"/>
        <v>0</v>
      </c>
      <c r="AL199" s="7"/>
      <c r="AM199" s="95">
        <f t="shared" si="183"/>
        <v>0</v>
      </c>
      <c r="AN199" s="95">
        <f t="shared" ca="1" si="176"/>
        <v>0</v>
      </c>
      <c r="AO199" s="95">
        <f t="shared" ca="1" si="184"/>
        <v>0</v>
      </c>
      <c r="AP199" s="90"/>
      <c r="AQ199" s="18"/>
      <c r="AR199" s="290"/>
      <c r="AS199" s="467" t="s">
        <v>133</v>
      </c>
      <c r="AT199" s="501">
        <f t="shared" ca="1" si="177"/>
        <v>0</v>
      </c>
      <c r="AU199" s="502"/>
      <c r="AV199" s="95">
        <f t="shared" ca="1" si="185"/>
        <v>0</v>
      </c>
      <c r="AW199" s="469">
        <f t="shared" ca="1" si="178"/>
        <v>0</v>
      </c>
      <c r="AX199" s="290"/>
      <c r="AY199" s="18"/>
      <c r="AZ199" s="3"/>
      <c r="BA199" s="315"/>
      <c r="BB199" s="3"/>
      <c r="BC199" s="3"/>
      <c r="BD199" s="3"/>
      <c r="BE199" s="3"/>
      <c r="BF199" s="18"/>
      <c r="BG199" s="3"/>
      <c r="BH199" s="315"/>
      <c r="BI199" s="3"/>
      <c r="BJ199" s="3"/>
      <c r="BK199" s="3"/>
      <c r="BL199" s="3"/>
      <c r="BM199" s="18"/>
      <c r="BN199" s="3"/>
      <c r="BO199" s="315"/>
      <c r="BP199" s="3"/>
      <c r="BQ199" s="3"/>
      <c r="BR199" s="3"/>
      <c r="BS199" s="3"/>
      <c r="BT199" s="18"/>
      <c r="BU199" s="3"/>
      <c r="BV199" s="315"/>
      <c r="BW199" s="3"/>
      <c r="BX199" s="3"/>
      <c r="BY199" s="3"/>
      <c r="BZ199" s="3"/>
    </row>
    <row r="200" spans="1:78" ht="15.6" outlineLevel="1">
      <c r="A200" s="7"/>
      <c r="B200" s="370"/>
      <c r="C200" s="355"/>
      <c r="D200" s="356"/>
      <c r="E200" s="342"/>
      <c r="F200" s="290"/>
      <c r="G200" s="357">
        <v>0</v>
      </c>
      <c r="H200" s="358">
        <v>0</v>
      </c>
      <c r="I200" s="358">
        <v>0</v>
      </c>
      <c r="J200" s="359">
        <f t="shared" si="179"/>
        <v>0</v>
      </c>
      <c r="K200" s="290"/>
      <c r="L200" s="349"/>
      <c r="M200" s="7"/>
      <c r="N200" s="12"/>
      <c r="O200" s="12"/>
      <c r="P200" s="12"/>
      <c r="Q200" s="361"/>
      <c r="R200" s="362"/>
      <c r="S200" s="363">
        <f t="shared" si="190"/>
        <v>0</v>
      </c>
      <c r="T200" s="364">
        <f t="shared" ref="T200" si="199">IF(ISBLANK($P200),0,IF(Approach="Team-Based",$Q200*$R200*$S200*HoursPerDayTeamBased,$J200))</f>
        <v>0</v>
      </c>
      <c r="U200" s="365">
        <v>0</v>
      </c>
      <c r="V200" s="91">
        <f>ROUNDUP(IFERROR(INDEX(CostRateTbl[Cost Rate],MATCH(_xlfn.CONCAT(N200,O200,P200,"NA"),CostRateTbl[KeyCostRate],0)),0)*BillingCurrencyTRM*(1+U200),2)</f>
        <v>0</v>
      </c>
      <c r="W200" s="92">
        <f t="shared" si="171"/>
        <v>0</v>
      </c>
      <c r="X200" s="366" t="e" cm="1">
        <f t="array" ref="X200">_xlfn.LET(
    _xlpm.valor, INDEX(CostRate!H:H, MATCH(1, (CostRate!A:A=N200)*1, 0)),
    _xlpm.posicion, MATCH(_xlpm.valor, FilterSL!$F$1:$Z$1, 0),
    _xlpm.direccionCompleta, ADDRESS(1, _xlpm.posicion + 5, 4),
    _xlpm.letraColumna, SUBSTITUTE(_xlpm.direccionCompleta, "1", ""),
    _xlpm.letraColumna
)</f>
        <v>#N/A</v>
      </c>
      <c r="Y200" s="366" t="e" cm="1">
        <f t="array" ref="Y200">_xlfn.LET(
    _xlpm.valor, INDEX(CostRate!I:I, MATCH(1, (CostRate!A:A=N200)*(CostRate!B:B=O200), 0)),
    _xlpm.posicion, MATCH(_xlpm.valor, FilterJP!$E$1:$FZ$1, 0),
    _xlpm.direccionCompleta, ADDRESS(1, _xlpm.posicion + 4, 4),
    _xlpm.letraColumna, SUBSTITUTE(_xlpm.direccionCompleta, "1", ""),
    _xlpm.letraColumna
)</f>
        <v>#N/A</v>
      </c>
      <c r="Z200" s="7"/>
      <c r="AA200" s="367"/>
      <c r="AB200" s="7"/>
      <c r="AC200" s="93">
        <f t="shared" si="172"/>
        <v>0</v>
      </c>
      <c r="AD200" s="94">
        <f t="shared" si="181"/>
        <v>0</v>
      </c>
      <c r="AE200" s="109">
        <f t="shared" si="182"/>
        <v>0</v>
      </c>
      <c r="AF200" s="7"/>
      <c r="AG200" s="369">
        <f t="shared" si="173"/>
        <v>0</v>
      </c>
      <c r="AH200" s="368">
        <f t="shared" si="174"/>
        <v>0</v>
      </c>
      <c r="AI200" s="7"/>
      <c r="AJ200" s="369" cm="1">
        <f t="array" ref="AJ200">IFERROR(INDEX(WHT!$C$7:$W$18,MATCH(
_xlfn.SWITCH(N200,"xDC Medellin","Colombia","xDC Belo Horizonte","Brazil","xDC Guadalajara","Mexico","xDC Gurugram","India","xDC Leon","Spain","xDC San Jose","Costa Rica","xDC Warsaw","Poland",N200),
WHT!$B$7:$B$18,0),MATCH(CustomerCountry,WHT!$C$5:$W$5,0)),0)</f>
        <v>0</v>
      </c>
      <c r="AK200" s="368">
        <f t="shared" si="175"/>
        <v>0</v>
      </c>
      <c r="AL200" s="7"/>
      <c r="AM200" s="95">
        <f t="shared" si="183"/>
        <v>0</v>
      </c>
      <c r="AN200" s="95">
        <f t="shared" ca="1" si="176"/>
        <v>0</v>
      </c>
      <c r="AO200" s="95">
        <f t="shared" ca="1" si="184"/>
        <v>0</v>
      </c>
      <c r="AP200" s="90"/>
      <c r="AQ200" s="18"/>
      <c r="AR200" s="290"/>
      <c r="AS200" s="467" t="s">
        <v>133</v>
      </c>
      <c r="AT200" s="501">
        <f t="shared" ca="1" si="177"/>
        <v>0</v>
      </c>
      <c r="AU200" s="502"/>
      <c r="AV200" s="95">
        <f t="shared" ca="1" si="185"/>
        <v>0</v>
      </c>
      <c r="AW200" s="469">
        <f t="shared" ca="1" si="178"/>
        <v>0</v>
      </c>
      <c r="AX200" s="290"/>
      <c r="AY200" s="18"/>
      <c r="AZ200" s="3"/>
      <c r="BA200" s="315"/>
      <c r="BB200" s="3"/>
      <c r="BC200" s="3"/>
      <c r="BD200" s="3"/>
      <c r="BE200" s="3"/>
      <c r="BF200" s="18"/>
      <c r="BG200" s="3"/>
      <c r="BH200" s="315"/>
      <c r="BI200" s="3"/>
      <c r="BJ200" s="3"/>
      <c r="BK200" s="3"/>
      <c r="BL200" s="3"/>
      <c r="BM200" s="18"/>
      <c r="BN200" s="3"/>
      <c r="BO200" s="315"/>
      <c r="BP200" s="3"/>
      <c r="BQ200" s="3"/>
      <c r="BR200" s="3"/>
      <c r="BS200" s="3"/>
      <c r="BT200" s="18"/>
      <c r="BU200" s="3"/>
      <c r="BV200" s="315"/>
      <c r="BW200" s="3"/>
      <c r="BX200" s="3"/>
      <c r="BY200" s="3"/>
      <c r="BZ200" s="3"/>
    </row>
    <row r="201" spans="1:78" ht="15.6" outlineLevel="1">
      <c r="A201" s="7"/>
      <c r="B201" s="370"/>
      <c r="C201" s="355"/>
      <c r="D201" s="356"/>
      <c r="E201" s="342"/>
      <c r="F201" s="290"/>
      <c r="G201" s="357">
        <v>0</v>
      </c>
      <c r="H201" s="358">
        <v>0</v>
      </c>
      <c r="I201" s="358">
        <v>0</v>
      </c>
      <c r="J201" s="359">
        <f t="shared" si="179"/>
        <v>0</v>
      </c>
      <c r="K201" s="290"/>
      <c r="L201" s="349"/>
      <c r="M201" s="7"/>
      <c r="N201" s="12"/>
      <c r="O201" s="12"/>
      <c r="P201" s="12"/>
      <c r="Q201" s="361"/>
      <c r="R201" s="362"/>
      <c r="S201" s="363">
        <f t="shared" si="190"/>
        <v>0</v>
      </c>
      <c r="T201" s="364">
        <f t="shared" ref="T201" si="200">IF(ISBLANK($P201),0,IF(Approach="Team-Based",$Q201*$R201*$S201*HoursPerDayTeamBased,$J201))</f>
        <v>0</v>
      </c>
      <c r="U201" s="365">
        <v>0</v>
      </c>
      <c r="V201" s="91">
        <f>ROUNDUP(IFERROR(INDEX(CostRateTbl[Cost Rate],MATCH(_xlfn.CONCAT(N201,O201,P201,"NA"),CostRateTbl[KeyCostRate],0)),0)*BillingCurrencyTRM*(1+U201),2)</f>
        <v>0</v>
      </c>
      <c r="W201" s="92">
        <f t="shared" si="171"/>
        <v>0</v>
      </c>
      <c r="X201" s="366" t="e" cm="1">
        <f t="array" ref="X201">_xlfn.LET(
    _xlpm.valor, INDEX(CostRate!H:H, MATCH(1, (CostRate!A:A=N201)*1, 0)),
    _xlpm.posicion, MATCH(_xlpm.valor, FilterSL!$F$1:$Z$1, 0),
    _xlpm.direccionCompleta, ADDRESS(1, _xlpm.posicion + 5, 4),
    _xlpm.letraColumna, SUBSTITUTE(_xlpm.direccionCompleta, "1", ""),
    _xlpm.letraColumna
)</f>
        <v>#N/A</v>
      </c>
      <c r="Y201" s="366" t="e" cm="1">
        <f t="array" ref="Y201">_xlfn.LET(
    _xlpm.valor, INDEX(CostRate!I:I, MATCH(1, (CostRate!A:A=N201)*(CostRate!B:B=O201), 0)),
    _xlpm.posicion, MATCH(_xlpm.valor, FilterJP!$E$1:$FZ$1, 0),
    _xlpm.direccionCompleta, ADDRESS(1, _xlpm.posicion + 4, 4),
    _xlpm.letraColumna, SUBSTITUTE(_xlpm.direccionCompleta, "1", ""),
    _xlpm.letraColumna
)</f>
        <v>#N/A</v>
      </c>
      <c r="Z201" s="7"/>
      <c r="AA201" s="367"/>
      <c r="AB201" s="7"/>
      <c r="AC201" s="93">
        <f t="shared" si="172"/>
        <v>0</v>
      </c>
      <c r="AD201" s="94">
        <f t="shared" si="181"/>
        <v>0</v>
      </c>
      <c r="AE201" s="109">
        <f t="shared" si="182"/>
        <v>0</v>
      </c>
      <c r="AF201" s="7"/>
      <c r="AG201" s="369">
        <f t="shared" si="173"/>
        <v>0</v>
      </c>
      <c r="AH201" s="368">
        <f t="shared" si="174"/>
        <v>0</v>
      </c>
      <c r="AI201" s="7"/>
      <c r="AJ201" s="369" cm="1">
        <f t="array" ref="AJ201">IFERROR(INDEX(WHT!$C$7:$W$18,MATCH(
_xlfn.SWITCH(N201,"xDC Medellin","Colombia","xDC Belo Horizonte","Brazil","xDC Guadalajara","Mexico","xDC Gurugram","India","xDC Leon","Spain","xDC San Jose","Costa Rica","xDC Warsaw","Poland",N201),
WHT!$B$7:$B$18,0),MATCH(CustomerCountry,WHT!$C$5:$W$5,0)),0)</f>
        <v>0</v>
      </c>
      <c r="AK201" s="368">
        <f t="shared" si="175"/>
        <v>0</v>
      </c>
      <c r="AL201" s="7"/>
      <c r="AM201" s="95">
        <f t="shared" si="183"/>
        <v>0</v>
      </c>
      <c r="AN201" s="95">
        <f t="shared" ca="1" si="176"/>
        <v>0</v>
      </c>
      <c r="AO201" s="95">
        <f t="shared" ca="1" si="184"/>
        <v>0</v>
      </c>
      <c r="AP201" s="90"/>
      <c r="AQ201" s="18"/>
      <c r="AR201" s="290"/>
      <c r="AS201" s="467" t="s">
        <v>133</v>
      </c>
      <c r="AT201" s="501">
        <f t="shared" ca="1" si="177"/>
        <v>0</v>
      </c>
      <c r="AU201" s="502"/>
      <c r="AV201" s="95">
        <f t="shared" ca="1" si="185"/>
        <v>0</v>
      </c>
      <c r="AW201" s="469">
        <f t="shared" ca="1" si="178"/>
        <v>0</v>
      </c>
      <c r="AX201" s="290"/>
      <c r="AY201" s="18"/>
      <c r="AZ201" s="3"/>
      <c r="BA201" s="315"/>
      <c r="BB201" s="3"/>
      <c r="BC201" s="3"/>
      <c r="BD201" s="3"/>
      <c r="BE201" s="3"/>
      <c r="BF201" s="18"/>
      <c r="BG201" s="3"/>
      <c r="BH201" s="315"/>
      <c r="BI201" s="3"/>
      <c r="BJ201" s="3"/>
      <c r="BK201" s="3"/>
      <c r="BL201" s="3"/>
      <c r="BM201" s="18"/>
      <c r="BN201" s="3"/>
      <c r="BO201" s="315"/>
      <c r="BP201" s="3"/>
      <c r="BQ201" s="3"/>
      <c r="BR201" s="3"/>
      <c r="BS201" s="3"/>
      <c r="BT201" s="18"/>
      <c r="BU201" s="3"/>
      <c r="BV201" s="315"/>
      <c r="BW201" s="3"/>
      <c r="BX201" s="3"/>
      <c r="BY201" s="3"/>
      <c r="BZ201" s="3"/>
    </row>
    <row r="202" spans="1:78" ht="15.6" outlineLevel="1">
      <c r="A202" s="7"/>
      <c r="B202" s="370"/>
      <c r="C202" s="355"/>
      <c r="D202" s="356"/>
      <c r="E202" s="342"/>
      <c r="F202" s="290"/>
      <c r="G202" s="357">
        <v>0</v>
      </c>
      <c r="H202" s="358">
        <v>0</v>
      </c>
      <c r="I202" s="358">
        <v>0</v>
      </c>
      <c r="J202" s="359">
        <f t="shared" si="179"/>
        <v>0</v>
      </c>
      <c r="K202" s="290"/>
      <c r="L202" s="349"/>
      <c r="M202" s="7"/>
      <c r="N202" s="12"/>
      <c r="O202" s="12"/>
      <c r="P202" s="12"/>
      <c r="Q202" s="361"/>
      <c r="R202" s="362"/>
      <c r="S202" s="363">
        <f t="shared" si="190"/>
        <v>0</v>
      </c>
      <c r="T202" s="364">
        <f t="shared" ref="T202" si="201">IF(ISBLANK($P202),0,IF(Approach="Team-Based",$Q202*$R202*$S202*HoursPerDayTeamBased,$J202))</f>
        <v>0</v>
      </c>
      <c r="U202" s="365">
        <v>0</v>
      </c>
      <c r="V202" s="91">
        <f>ROUNDUP(IFERROR(INDEX(CostRateTbl[Cost Rate],MATCH(_xlfn.CONCAT(N202,O202,P202,"NA"),CostRateTbl[KeyCostRate],0)),0)*BillingCurrencyTRM*(1+U202),2)</f>
        <v>0</v>
      </c>
      <c r="W202" s="92">
        <f t="shared" si="171"/>
        <v>0</v>
      </c>
      <c r="X202" s="366" t="e" cm="1">
        <f t="array" ref="X202">_xlfn.LET(
    _xlpm.valor, INDEX(CostRate!H:H, MATCH(1, (CostRate!A:A=N202)*1, 0)),
    _xlpm.posicion, MATCH(_xlpm.valor, FilterSL!$F$1:$Z$1, 0),
    _xlpm.direccionCompleta, ADDRESS(1, _xlpm.posicion + 5, 4),
    _xlpm.letraColumna, SUBSTITUTE(_xlpm.direccionCompleta, "1", ""),
    _xlpm.letraColumna
)</f>
        <v>#N/A</v>
      </c>
      <c r="Y202" s="366" t="e" cm="1">
        <f t="array" ref="Y202">_xlfn.LET(
    _xlpm.valor, INDEX(CostRate!I:I, MATCH(1, (CostRate!A:A=N202)*(CostRate!B:B=O202), 0)),
    _xlpm.posicion, MATCH(_xlpm.valor, FilterJP!$E$1:$FZ$1, 0),
    _xlpm.direccionCompleta, ADDRESS(1, _xlpm.posicion + 4, 4),
    _xlpm.letraColumna, SUBSTITUTE(_xlpm.direccionCompleta, "1", ""),
    _xlpm.letraColumna
)</f>
        <v>#N/A</v>
      </c>
      <c r="Z202" s="7"/>
      <c r="AA202" s="367"/>
      <c r="AB202" s="7"/>
      <c r="AC202" s="93">
        <f t="shared" si="172"/>
        <v>0</v>
      </c>
      <c r="AD202" s="94">
        <f t="shared" si="181"/>
        <v>0</v>
      </c>
      <c r="AE202" s="109">
        <f t="shared" si="182"/>
        <v>0</v>
      </c>
      <c r="AF202" s="7"/>
      <c r="AG202" s="369">
        <f t="shared" si="173"/>
        <v>0</v>
      </c>
      <c r="AH202" s="368">
        <f t="shared" si="174"/>
        <v>0</v>
      </c>
      <c r="AI202" s="7"/>
      <c r="AJ202" s="369" cm="1">
        <f t="array" ref="AJ202">IFERROR(INDEX(WHT!$C$7:$W$18,MATCH(
_xlfn.SWITCH(N202,"xDC Medellin","Colombia","xDC Belo Horizonte","Brazil","xDC Guadalajara","Mexico","xDC Gurugram","India","xDC Leon","Spain","xDC San Jose","Costa Rica","xDC Warsaw","Poland",N202),
WHT!$B$7:$B$18,0),MATCH(CustomerCountry,WHT!$C$5:$W$5,0)),0)</f>
        <v>0</v>
      </c>
      <c r="AK202" s="368">
        <f t="shared" si="175"/>
        <v>0</v>
      </c>
      <c r="AL202" s="7"/>
      <c r="AM202" s="95">
        <f t="shared" si="183"/>
        <v>0</v>
      </c>
      <c r="AN202" s="95">
        <f t="shared" ca="1" si="176"/>
        <v>0</v>
      </c>
      <c r="AO202" s="95">
        <f t="shared" ca="1" si="184"/>
        <v>0</v>
      </c>
      <c r="AP202" s="90"/>
      <c r="AQ202" s="18"/>
      <c r="AR202" s="290"/>
      <c r="AS202" s="467" t="s">
        <v>133</v>
      </c>
      <c r="AT202" s="501">
        <f t="shared" ca="1" si="177"/>
        <v>0</v>
      </c>
      <c r="AU202" s="502"/>
      <c r="AV202" s="95">
        <f t="shared" ca="1" si="185"/>
        <v>0</v>
      </c>
      <c r="AW202" s="469">
        <f t="shared" ca="1" si="178"/>
        <v>0</v>
      </c>
      <c r="AX202" s="290"/>
      <c r="AY202" s="18"/>
      <c r="AZ202" s="3"/>
      <c r="BA202" s="315"/>
      <c r="BB202" s="3"/>
      <c r="BC202" s="3"/>
      <c r="BD202" s="3"/>
      <c r="BE202" s="3"/>
      <c r="BF202" s="18"/>
      <c r="BG202" s="3"/>
      <c r="BH202" s="315"/>
      <c r="BI202" s="3"/>
      <c r="BJ202" s="3"/>
      <c r="BK202" s="3"/>
      <c r="BL202" s="3"/>
      <c r="BM202" s="18"/>
      <c r="BN202" s="3"/>
      <c r="BO202" s="315"/>
      <c r="BP202" s="3"/>
      <c r="BQ202" s="3"/>
      <c r="BR202" s="3"/>
      <c r="BS202" s="3"/>
      <c r="BT202" s="18"/>
      <c r="BU202" s="3"/>
      <c r="BV202" s="315"/>
      <c r="BW202" s="3"/>
      <c r="BX202" s="3"/>
      <c r="BY202" s="3"/>
      <c r="BZ202" s="3"/>
    </row>
    <row r="203" spans="1:78" ht="15.6" outlineLevel="1">
      <c r="A203" s="7"/>
      <c r="B203" s="370"/>
      <c r="C203" s="355"/>
      <c r="D203" s="356"/>
      <c r="E203" s="342"/>
      <c r="F203" s="290"/>
      <c r="G203" s="357">
        <v>0</v>
      </c>
      <c r="H203" s="358">
        <v>0</v>
      </c>
      <c r="I203" s="358">
        <v>0</v>
      </c>
      <c r="J203" s="359">
        <f t="shared" si="179"/>
        <v>0</v>
      </c>
      <c r="K203" s="290"/>
      <c r="L203" s="349"/>
      <c r="M203" s="7"/>
      <c r="N203" s="12"/>
      <c r="O203" s="12"/>
      <c r="P203" s="12"/>
      <c r="Q203" s="361"/>
      <c r="R203" s="362"/>
      <c r="S203" s="363">
        <f t="shared" si="190"/>
        <v>0</v>
      </c>
      <c r="T203" s="364">
        <f t="shared" ref="T203" si="202">IF(ISBLANK($P203),0,IF(Approach="Team-Based",$Q203*$R203*$S203*HoursPerDayTeamBased,$J203))</f>
        <v>0</v>
      </c>
      <c r="U203" s="365">
        <v>0</v>
      </c>
      <c r="V203" s="91">
        <f>ROUNDUP(IFERROR(INDEX(CostRateTbl[Cost Rate],MATCH(_xlfn.CONCAT(N203,O203,P203,"NA"),CostRateTbl[KeyCostRate],0)),0)*BillingCurrencyTRM*(1+U203),2)</f>
        <v>0</v>
      </c>
      <c r="W203" s="92">
        <f t="shared" si="171"/>
        <v>0</v>
      </c>
      <c r="X203" s="366" t="e" cm="1">
        <f t="array" ref="X203">_xlfn.LET(
    _xlpm.valor, INDEX(CostRate!H:H, MATCH(1, (CostRate!A:A=N203)*1, 0)),
    _xlpm.posicion, MATCH(_xlpm.valor, FilterSL!$F$1:$Z$1, 0),
    _xlpm.direccionCompleta, ADDRESS(1, _xlpm.posicion + 5, 4),
    _xlpm.letraColumna, SUBSTITUTE(_xlpm.direccionCompleta, "1", ""),
    _xlpm.letraColumna
)</f>
        <v>#N/A</v>
      </c>
      <c r="Y203" s="366" t="e" cm="1">
        <f t="array" ref="Y203">_xlfn.LET(
    _xlpm.valor, INDEX(CostRate!I:I, MATCH(1, (CostRate!A:A=N203)*(CostRate!B:B=O203), 0)),
    _xlpm.posicion, MATCH(_xlpm.valor, FilterJP!$E$1:$FZ$1, 0),
    _xlpm.direccionCompleta, ADDRESS(1, _xlpm.posicion + 4, 4),
    _xlpm.letraColumna, SUBSTITUTE(_xlpm.direccionCompleta, "1", ""),
    _xlpm.letraColumna
)</f>
        <v>#N/A</v>
      </c>
      <c r="Z203" s="7"/>
      <c r="AA203" s="367"/>
      <c r="AB203" s="7"/>
      <c r="AC203" s="93">
        <f t="shared" si="172"/>
        <v>0</v>
      </c>
      <c r="AD203" s="94">
        <f t="shared" si="181"/>
        <v>0</v>
      </c>
      <c r="AE203" s="109">
        <f t="shared" si="182"/>
        <v>0</v>
      </c>
      <c r="AF203" s="7"/>
      <c r="AG203" s="369">
        <f t="shared" si="173"/>
        <v>0</v>
      </c>
      <c r="AH203" s="368">
        <f t="shared" si="174"/>
        <v>0</v>
      </c>
      <c r="AI203" s="7"/>
      <c r="AJ203" s="369" cm="1">
        <f t="array" ref="AJ203">IFERROR(INDEX(WHT!$C$7:$W$18,MATCH(
_xlfn.SWITCH(N203,"xDC Medellin","Colombia","xDC Belo Horizonte","Brazil","xDC Guadalajara","Mexico","xDC Gurugram","India","xDC Leon","Spain","xDC San Jose","Costa Rica","xDC Warsaw","Poland",N203),
WHT!$B$7:$B$18,0),MATCH(CustomerCountry,WHT!$C$5:$W$5,0)),0)</f>
        <v>0</v>
      </c>
      <c r="AK203" s="368">
        <f t="shared" si="175"/>
        <v>0</v>
      </c>
      <c r="AL203" s="7"/>
      <c r="AM203" s="95">
        <f t="shared" si="183"/>
        <v>0</v>
      </c>
      <c r="AN203" s="95">
        <f t="shared" ca="1" si="176"/>
        <v>0</v>
      </c>
      <c r="AO203" s="95">
        <f t="shared" ca="1" si="184"/>
        <v>0</v>
      </c>
      <c r="AP203" s="90"/>
      <c r="AQ203" s="18"/>
      <c r="AR203" s="290"/>
      <c r="AS203" s="467" t="s">
        <v>133</v>
      </c>
      <c r="AT203" s="501">
        <f t="shared" ca="1" si="177"/>
        <v>0</v>
      </c>
      <c r="AU203" s="502"/>
      <c r="AV203" s="95">
        <f t="shared" ca="1" si="185"/>
        <v>0</v>
      </c>
      <c r="AW203" s="469">
        <f t="shared" ca="1" si="178"/>
        <v>0</v>
      </c>
      <c r="AX203" s="290"/>
      <c r="AY203" s="18"/>
      <c r="AZ203" s="3"/>
      <c r="BA203" s="315"/>
      <c r="BB203" s="3"/>
      <c r="BC203" s="3"/>
      <c r="BD203" s="3"/>
      <c r="BE203" s="3"/>
      <c r="BF203" s="18"/>
      <c r="BG203" s="3"/>
      <c r="BH203" s="315"/>
      <c r="BI203" s="3"/>
      <c r="BJ203" s="3"/>
      <c r="BK203" s="3"/>
      <c r="BL203" s="3"/>
      <c r="BM203" s="18"/>
      <c r="BN203" s="3"/>
      <c r="BO203" s="315"/>
      <c r="BP203" s="3"/>
      <c r="BQ203" s="3"/>
      <c r="BR203" s="3"/>
      <c r="BS203" s="3"/>
      <c r="BT203" s="18"/>
      <c r="BU203" s="3"/>
      <c r="BV203" s="315"/>
      <c r="BW203" s="3"/>
      <c r="BX203" s="3"/>
      <c r="BY203" s="3"/>
      <c r="BZ203" s="3"/>
    </row>
    <row r="204" spans="1:78" ht="15.6" outlineLevel="1">
      <c r="A204" s="7"/>
      <c r="B204" s="370"/>
      <c r="C204" s="355"/>
      <c r="D204" s="356"/>
      <c r="E204" s="342"/>
      <c r="F204" s="290"/>
      <c r="G204" s="357">
        <v>0</v>
      </c>
      <c r="H204" s="358">
        <v>0</v>
      </c>
      <c r="I204" s="358">
        <v>0</v>
      </c>
      <c r="J204" s="359">
        <f t="shared" si="179"/>
        <v>0</v>
      </c>
      <c r="K204" s="290"/>
      <c r="L204" s="349"/>
      <c r="M204" s="7"/>
      <c r="N204" s="12"/>
      <c r="O204" s="12"/>
      <c r="P204" s="12"/>
      <c r="Q204" s="361"/>
      <c r="R204" s="362"/>
      <c r="S204" s="363">
        <f t="shared" si="190"/>
        <v>0</v>
      </c>
      <c r="T204" s="364">
        <f t="shared" ref="T204" si="203">IF(ISBLANK($P204),0,IF(Approach="Team-Based",$Q204*$R204*$S204*HoursPerDayTeamBased,$J204))</f>
        <v>0</v>
      </c>
      <c r="U204" s="365">
        <v>0</v>
      </c>
      <c r="V204" s="91">
        <f>ROUNDUP(IFERROR(INDEX(CostRateTbl[Cost Rate],MATCH(_xlfn.CONCAT(N204,O204,P204,"NA"),CostRateTbl[KeyCostRate],0)),0)*BillingCurrencyTRM*(1+U204),2)</f>
        <v>0</v>
      </c>
      <c r="W204" s="92">
        <f t="shared" si="171"/>
        <v>0</v>
      </c>
      <c r="X204" s="366" t="e" cm="1">
        <f t="array" ref="X204">_xlfn.LET(
    _xlpm.valor, INDEX(CostRate!H:H, MATCH(1, (CostRate!A:A=N204)*1, 0)),
    _xlpm.posicion, MATCH(_xlpm.valor, FilterSL!$F$1:$Z$1, 0),
    _xlpm.direccionCompleta, ADDRESS(1, _xlpm.posicion + 5, 4),
    _xlpm.letraColumna, SUBSTITUTE(_xlpm.direccionCompleta, "1", ""),
    _xlpm.letraColumna
)</f>
        <v>#N/A</v>
      </c>
      <c r="Y204" s="366" t="e" cm="1">
        <f t="array" ref="Y204">_xlfn.LET(
    _xlpm.valor, INDEX(CostRate!I:I, MATCH(1, (CostRate!A:A=N204)*(CostRate!B:B=O204), 0)),
    _xlpm.posicion, MATCH(_xlpm.valor, FilterJP!$E$1:$FZ$1, 0),
    _xlpm.direccionCompleta, ADDRESS(1, _xlpm.posicion + 4, 4),
    _xlpm.letraColumna, SUBSTITUTE(_xlpm.direccionCompleta, "1", ""),
    _xlpm.letraColumna
)</f>
        <v>#N/A</v>
      </c>
      <c r="Z204" s="7"/>
      <c r="AA204" s="367"/>
      <c r="AB204" s="7"/>
      <c r="AC204" s="93">
        <f t="shared" si="172"/>
        <v>0</v>
      </c>
      <c r="AD204" s="94">
        <f t="shared" si="181"/>
        <v>0</v>
      </c>
      <c r="AE204" s="109">
        <f t="shared" si="182"/>
        <v>0</v>
      </c>
      <c r="AF204" s="7"/>
      <c r="AG204" s="369">
        <f t="shared" si="173"/>
        <v>0</v>
      </c>
      <c r="AH204" s="368">
        <f t="shared" si="174"/>
        <v>0</v>
      </c>
      <c r="AI204" s="7"/>
      <c r="AJ204" s="369" cm="1">
        <f t="array" ref="AJ204">IFERROR(INDEX(WHT!$C$7:$W$18,MATCH(
_xlfn.SWITCH(N204,"xDC Medellin","Colombia","xDC Belo Horizonte","Brazil","xDC Guadalajara","Mexico","xDC Gurugram","India","xDC Leon","Spain","xDC San Jose","Costa Rica","xDC Warsaw","Poland",N204),
WHT!$B$7:$B$18,0),MATCH(CustomerCountry,WHT!$C$5:$W$5,0)),0)</f>
        <v>0</v>
      </c>
      <c r="AK204" s="368">
        <f t="shared" si="175"/>
        <v>0</v>
      </c>
      <c r="AL204" s="7"/>
      <c r="AM204" s="95">
        <f t="shared" si="183"/>
        <v>0</v>
      </c>
      <c r="AN204" s="95">
        <f t="shared" ca="1" si="176"/>
        <v>0</v>
      </c>
      <c r="AO204" s="95">
        <f t="shared" ca="1" si="184"/>
        <v>0</v>
      </c>
      <c r="AP204" s="90"/>
      <c r="AQ204" s="18"/>
      <c r="AR204" s="290"/>
      <c r="AS204" s="467" t="s">
        <v>133</v>
      </c>
      <c r="AT204" s="501">
        <f t="shared" ca="1" si="177"/>
        <v>0</v>
      </c>
      <c r="AU204" s="502"/>
      <c r="AV204" s="95">
        <f t="shared" ca="1" si="185"/>
        <v>0</v>
      </c>
      <c r="AW204" s="469">
        <f t="shared" ca="1" si="178"/>
        <v>0</v>
      </c>
      <c r="AX204" s="290"/>
      <c r="AY204" s="18"/>
      <c r="AZ204" s="3"/>
      <c r="BA204" s="315"/>
      <c r="BB204" s="3"/>
      <c r="BC204" s="3"/>
      <c r="BD204" s="3"/>
      <c r="BE204" s="3"/>
      <c r="BF204" s="18"/>
      <c r="BG204" s="3"/>
      <c r="BH204" s="315"/>
      <c r="BI204" s="3"/>
      <c r="BJ204" s="3"/>
      <c r="BK204" s="3"/>
      <c r="BL204" s="3"/>
      <c r="BM204" s="18"/>
      <c r="BN204" s="3"/>
      <c r="BO204" s="315"/>
      <c r="BP204" s="3"/>
      <c r="BQ204" s="3"/>
      <c r="BR204" s="3"/>
      <c r="BS204" s="3"/>
      <c r="BT204" s="18"/>
      <c r="BU204" s="3"/>
      <c r="BV204" s="315"/>
      <c r="BW204" s="3"/>
      <c r="BX204" s="3"/>
      <c r="BY204" s="3"/>
      <c r="BZ204" s="3"/>
    </row>
    <row r="205" spans="1:78" ht="15.6" outlineLevel="1">
      <c r="A205" s="7"/>
      <c r="B205" s="370"/>
      <c r="C205" s="355"/>
      <c r="D205" s="356"/>
      <c r="E205" s="342"/>
      <c r="F205" s="290"/>
      <c r="G205" s="357">
        <v>0</v>
      </c>
      <c r="H205" s="358">
        <v>0</v>
      </c>
      <c r="I205" s="358">
        <v>0</v>
      </c>
      <c r="J205" s="359">
        <f t="shared" si="179"/>
        <v>0</v>
      </c>
      <c r="K205" s="290"/>
      <c r="L205" s="349"/>
      <c r="M205" s="7"/>
      <c r="N205" s="12"/>
      <c r="O205" s="12"/>
      <c r="P205" s="12"/>
      <c r="Q205" s="361"/>
      <c r="R205" s="362"/>
      <c r="S205" s="363">
        <f t="shared" si="190"/>
        <v>0</v>
      </c>
      <c r="T205" s="364">
        <f t="shared" ref="T205" si="204">IF(ISBLANK($P205),0,IF(Approach="Team-Based",$Q205*$R205*$S205*HoursPerDayTeamBased,$J205))</f>
        <v>0</v>
      </c>
      <c r="U205" s="365">
        <v>0</v>
      </c>
      <c r="V205" s="91">
        <f>ROUNDUP(IFERROR(INDEX(CostRateTbl[Cost Rate],MATCH(_xlfn.CONCAT(N205,O205,P205,"NA"),CostRateTbl[KeyCostRate],0)),0)*BillingCurrencyTRM*(1+U205),2)</f>
        <v>0</v>
      </c>
      <c r="W205" s="92">
        <f t="shared" si="171"/>
        <v>0</v>
      </c>
      <c r="X205" s="366" t="e" cm="1">
        <f t="array" ref="X205">_xlfn.LET(
    _xlpm.valor, INDEX(CostRate!H:H, MATCH(1, (CostRate!A:A=N205)*1, 0)),
    _xlpm.posicion, MATCH(_xlpm.valor, FilterSL!$F$1:$Z$1, 0),
    _xlpm.direccionCompleta, ADDRESS(1, _xlpm.posicion + 5, 4),
    _xlpm.letraColumna, SUBSTITUTE(_xlpm.direccionCompleta, "1", ""),
    _xlpm.letraColumna
)</f>
        <v>#N/A</v>
      </c>
      <c r="Y205" s="366" t="e" cm="1">
        <f t="array" ref="Y205">_xlfn.LET(
    _xlpm.valor, INDEX(CostRate!I:I, MATCH(1, (CostRate!A:A=N205)*(CostRate!B:B=O205), 0)),
    _xlpm.posicion, MATCH(_xlpm.valor, FilterJP!$E$1:$FZ$1, 0),
    _xlpm.direccionCompleta, ADDRESS(1, _xlpm.posicion + 4, 4),
    _xlpm.letraColumna, SUBSTITUTE(_xlpm.direccionCompleta, "1", ""),
    _xlpm.letraColumna
)</f>
        <v>#N/A</v>
      </c>
      <c r="Z205" s="7"/>
      <c r="AA205" s="367"/>
      <c r="AB205" s="7"/>
      <c r="AC205" s="93">
        <f t="shared" si="172"/>
        <v>0</v>
      </c>
      <c r="AD205" s="94">
        <f t="shared" si="181"/>
        <v>0</v>
      </c>
      <c r="AE205" s="109">
        <f t="shared" si="182"/>
        <v>0</v>
      </c>
      <c r="AF205" s="7"/>
      <c r="AG205" s="369">
        <f t="shared" si="173"/>
        <v>0</v>
      </c>
      <c r="AH205" s="368">
        <f t="shared" si="174"/>
        <v>0</v>
      </c>
      <c r="AI205" s="7"/>
      <c r="AJ205" s="369" cm="1">
        <f t="array" ref="AJ205">IFERROR(INDEX(WHT!$C$7:$W$18,MATCH(
_xlfn.SWITCH(N205,"xDC Medellin","Colombia","xDC Belo Horizonte","Brazil","xDC Guadalajara","Mexico","xDC Gurugram","India","xDC Leon","Spain","xDC San Jose","Costa Rica","xDC Warsaw","Poland",N205),
WHT!$B$7:$B$18,0),MATCH(CustomerCountry,WHT!$C$5:$W$5,0)),0)</f>
        <v>0</v>
      </c>
      <c r="AK205" s="368">
        <f t="shared" si="175"/>
        <v>0</v>
      </c>
      <c r="AL205" s="7"/>
      <c r="AM205" s="95">
        <f t="shared" si="183"/>
        <v>0</v>
      </c>
      <c r="AN205" s="95">
        <f t="shared" ca="1" si="176"/>
        <v>0</v>
      </c>
      <c r="AO205" s="95">
        <f t="shared" ca="1" si="184"/>
        <v>0</v>
      </c>
      <c r="AP205" s="90"/>
      <c r="AQ205" s="18"/>
      <c r="AR205" s="290"/>
      <c r="AS205" s="467" t="s">
        <v>133</v>
      </c>
      <c r="AT205" s="501">
        <f t="shared" ca="1" si="177"/>
        <v>0</v>
      </c>
      <c r="AU205" s="502"/>
      <c r="AV205" s="95">
        <f t="shared" ca="1" si="185"/>
        <v>0</v>
      </c>
      <c r="AW205" s="469">
        <f t="shared" ca="1" si="178"/>
        <v>0</v>
      </c>
      <c r="AX205" s="290"/>
      <c r="AY205" s="18"/>
      <c r="AZ205" s="3"/>
      <c r="BA205" s="315"/>
      <c r="BB205" s="3"/>
      <c r="BC205" s="3"/>
      <c r="BD205" s="3"/>
      <c r="BE205" s="3"/>
      <c r="BF205" s="18"/>
      <c r="BG205" s="3"/>
      <c r="BH205" s="315"/>
      <c r="BI205" s="3"/>
      <c r="BJ205" s="3"/>
      <c r="BK205" s="3"/>
      <c r="BL205" s="3"/>
      <c r="BM205" s="18"/>
      <c r="BN205" s="3"/>
      <c r="BO205" s="315"/>
      <c r="BP205" s="3"/>
      <c r="BQ205" s="3"/>
      <c r="BR205" s="3"/>
      <c r="BS205" s="3"/>
      <c r="BT205" s="18"/>
      <c r="BU205" s="3"/>
      <c r="BV205" s="315"/>
      <c r="BW205" s="3"/>
      <c r="BX205" s="3"/>
      <c r="BY205" s="3"/>
      <c r="BZ205" s="3"/>
    </row>
    <row r="206" spans="1:78" ht="15.6" outlineLevel="1">
      <c r="A206" s="7"/>
      <c r="B206" s="370"/>
      <c r="C206" s="355"/>
      <c r="D206" s="356"/>
      <c r="E206" s="342"/>
      <c r="F206" s="290"/>
      <c r="G206" s="357">
        <v>0</v>
      </c>
      <c r="H206" s="358">
        <v>0</v>
      </c>
      <c r="I206" s="358">
        <v>0</v>
      </c>
      <c r="J206" s="359">
        <f t="shared" si="179"/>
        <v>0</v>
      </c>
      <c r="K206" s="290"/>
      <c r="L206" s="349"/>
      <c r="M206" s="7"/>
      <c r="N206" s="12"/>
      <c r="O206" s="12"/>
      <c r="P206" s="12"/>
      <c r="Q206" s="361"/>
      <c r="R206" s="362"/>
      <c r="S206" s="363">
        <f t="shared" si="190"/>
        <v>0</v>
      </c>
      <c r="T206" s="364">
        <f t="shared" ref="T206" si="205">IF(ISBLANK($P206),0,IF(Approach="Team-Based",$Q206*$R206*$S206*HoursPerDayTeamBased,$J206))</f>
        <v>0</v>
      </c>
      <c r="U206" s="365">
        <v>0</v>
      </c>
      <c r="V206" s="91">
        <f>ROUNDUP(IFERROR(INDEX(CostRateTbl[Cost Rate],MATCH(_xlfn.CONCAT(N206,O206,P206,"NA"),CostRateTbl[KeyCostRate],0)),0)*BillingCurrencyTRM*(1+U206),2)</f>
        <v>0</v>
      </c>
      <c r="W206" s="92">
        <f t="shared" si="171"/>
        <v>0</v>
      </c>
      <c r="X206" s="366" t="e" cm="1">
        <f t="array" ref="X206">_xlfn.LET(
    _xlpm.valor, INDEX(CostRate!H:H, MATCH(1, (CostRate!A:A=N206)*1, 0)),
    _xlpm.posicion, MATCH(_xlpm.valor, FilterSL!$F$1:$Z$1, 0),
    _xlpm.direccionCompleta, ADDRESS(1, _xlpm.posicion + 5, 4),
    _xlpm.letraColumna, SUBSTITUTE(_xlpm.direccionCompleta, "1", ""),
    _xlpm.letraColumna
)</f>
        <v>#N/A</v>
      </c>
      <c r="Y206" s="366" t="e" cm="1">
        <f t="array" ref="Y206">_xlfn.LET(
    _xlpm.valor, INDEX(CostRate!I:I, MATCH(1, (CostRate!A:A=N206)*(CostRate!B:B=O206), 0)),
    _xlpm.posicion, MATCH(_xlpm.valor, FilterJP!$E$1:$FZ$1, 0),
    _xlpm.direccionCompleta, ADDRESS(1, _xlpm.posicion + 4, 4),
    _xlpm.letraColumna, SUBSTITUTE(_xlpm.direccionCompleta, "1", ""),
    _xlpm.letraColumna
)</f>
        <v>#N/A</v>
      </c>
      <c r="Z206" s="7"/>
      <c r="AA206" s="367"/>
      <c r="AB206" s="7"/>
      <c r="AC206" s="93">
        <f t="shared" si="172"/>
        <v>0</v>
      </c>
      <c r="AD206" s="94">
        <f t="shared" si="181"/>
        <v>0</v>
      </c>
      <c r="AE206" s="109">
        <f t="shared" si="182"/>
        <v>0</v>
      </c>
      <c r="AF206" s="7"/>
      <c r="AG206" s="369">
        <f t="shared" si="173"/>
        <v>0</v>
      </c>
      <c r="AH206" s="368">
        <f t="shared" si="174"/>
        <v>0</v>
      </c>
      <c r="AI206" s="7"/>
      <c r="AJ206" s="369" cm="1">
        <f t="array" ref="AJ206">IFERROR(INDEX(WHT!$C$7:$W$18,MATCH(
_xlfn.SWITCH(N206,"xDC Medellin","Colombia","xDC Belo Horizonte","Brazil","xDC Guadalajara","Mexico","xDC Gurugram","India","xDC Leon","Spain","xDC San Jose","Costa Rica","xDC Warsaw","Poland",N206),
WHT!$B$7:$B$18,0),MATCH(CustomerCountry,WHT!$C$5:$W$5,0)),0)</f>
        <v>0</v>
      </c>
      <c r="AK206" s="368">
        <f t="shared" si="175"/>
        <v>0</v>
      </c>
      <c r="AL206" s="7"/>
      <c r="AM206" s="95">
        <f t="shared" si="183"/>
        <v>0</v>
      </c>
      <c r="AN206" s="95">
        <f t="shared" ca="1" si="176"/>
        <v>0</v>
      </c>
      <c r="AO206" s="95">
        <f t="shared" ca="1" si="184"/>
        <v>0</v>
      </c>
      <c r="AP206" s="90"/>
      <c r="AQ206" s="18"/>
      <c r="AR206" s="290"/>
      <c r="AS206" s="467" t="s">
        <v>133</v>
      </c>
      <c r="AT206" s="501">
        <f t="shared" ca="1" si="177"/>
        <v>0</v>
      </c>
      <c r="AU206" s="502"/>
      <c r="AV206" s="95">
        <f t="shared" ca="1" si="185"/>
        <v>0</v>
      </c>
      <c r="AW206" s="469">
        <f t="shared" ca="1" si="178"/>
        <v>0</v>
      </c>
      <c r="AX206" s="290"/>
      <c r="AY206" s="18"/>
      <c r="AZ206" s="3"/>
      <c r="BA206" s="315"/>
      <c r="BB206" s="3"/>
      <c r="BC206" s="3"/>
      <c r="BD206" s="3"/>
      <c r="BE206" s="3"/>
      <c r="BF206" s="18"/>
      <c r="BG206" s="3"/>
      <c r="BH206" s="315"/>
      <c r="BI206" s="3"/>
      <c r="BJ206" s="3"/>
      <c r="BK206" s="3"/>
      <c r="BL206" s="3"/>
      <c r="BM206" s="18"/>
      <c r="BN206" s="3"/>
      <c r="BO206" s="315"/>
      <c r="BP206" s="3"/>
      <c r="BQ206" s="3"/>
      <c r="BR206" s="3"/>
      <c r="BS206" s="3"/>
      <c r="BT206" s="18"/>
      <c r="BU206" s="3"/>
      <c r="BV206" s="315"/>
      <c r="BW206" s="3"/>
      <c r="BX206" s="3"/>
      <c r="BY206" s="3"/>
      <c r="BZ206" s="3"/>
    </row>
    <row r="207" spans="1:78" ht="15.6" outlineLevel="1">
      <c r="A207" s="7"/>
      <c r="B207" s="370"/>
      <c r="C207" s="355"/>
      <c r="D207" s="356"/>
      <c r="E207" s="342"/>
      <c r="F207" s="290"/>
      <c r="G207" s="357">
        <v>0</v>
      </c>
      <c r="H207" s="358">
        <v>0</v>
      </c>
      <c r="I207" s="358">
        <v>0</v>
      </c>
      <c r="J207" s="359">
        <f t="shared" si="179"/>
        <v>0</v>
      </c>
      <c r="K207" s="290"/>
      <c r="L207" s="349"/>
      <c r="M207" s="7"/>
      <c r="N207" s="12"/>
      <c r="O207" s="12"/>
      <c r="P207" s="12"/>
      <c r="Q207" s="361"/>
      <c r="R207" s="362"/>
      <c r="S207" s="363">
        <f t="shared" si="190"/>
        <v>0</v>
      </c>
      <c r="T207" s="364">
        <f t="shared" ref="T207" si="206">IF(ISBLANK($P207),0,IF(Approach="Team-Based",$Q207*$R207*$S207*HoursPerDayTeamBased,$J207))</f>
        <v>0</v>
      </c>
      <c r="U207" s="365">
        <v>0</v>
      </c>
      <c r="V207" s="91">
        <f>ROUNDUP(IFERROR(INDEX(CostRateTbl[Cost Rate],MATCH(_xlfn.CONCAT(N207,O207,P207,"NA"),CostRateTbl[KeyCostRate],0)),0)*BillingCurrencyTRM*(1+U207),2)</f>
        <v>0</v>
      </c>
      <c r="W207" s="92">
        <f t="shared" si="171"/>
        <v>0</v>
      </c>
      <c r="X207" s="366" t="e" cm="1">
        <f t="array" ref="X207">_xlfn.LET(
    _xlpm.valor, INDEX(CostRate!H:H, MATCH(1, (CostRate!A:A=N207)*1, 0)),
    _xlpm.posicion, MATCH(_xlpm.valor, FilterSL!$F$1:$Z$1, 0),
    _xlpm.direccionCompleta, ADDRESS(1, _xlpm.posicion + 5, 4),
    _xlpm.letraColumna, SUBSTITUTE(_xlpm.direccionCompleta, "1", ""),
    _xlpm.letraColumna
)</f>
        <v>#N/A</v>
      </c>
      <c r="Y207" s="366" t="e" cm="1">
        <f t="array" ref="Y207">_xlfn.LET(
    _xlpm.valor, INDEX(CostRate!I:I, MATCH(1, (CostRate!A:A=N207)*(CostRate!B:B=O207), 0)),
    _xlpm.posicion, MATCH(_xlpm.valor, FilterJP!$E$1:$FZ$1, 0),
    _xlpm.direccionCompleta, ADDRESS(1, _xlpm.posicion + 4, 4),
    _xlpm.letraColumna, SUBSTITUTE(_xlpm.direccionCompleta, "1", ""),
    _xlpm.letraColumna
)</f>
        <v>#N/A</v>
      </c>
      <c r="Z207" s="7"/>
      <c r="AA207" s="367"/>
      <c r="AB207" s="7"/>
      <c r="AC207" s="93">
        <f t="shared" si="172"/>
        <v>0</v>
      </c>
      <c r="AD207" s="94">
        <f t="shared" si="181"/>
        <v>0</v>
      </c>
      <c r="AE207" s="109">
        <f t="shared" si="182"/>
        <v>0</v>
      </c>
      <c r="AF207" s="7"/>
      <c r="AG207" s="369">
        <f t="shared" si="173"/>
        <v>0</v>
      </c>
      <c r="AH207" s="368">
        <f t="shared" si="174"/>
        <v>0</v>
      </c>
      <c r="AI207" s="7"/>
      <c r="AJ207" s="369" cm="1">
        <f t="array" ref="AJ207">IFERROR(INDEX(WHT!$C$7:$W$18,MATCH(
_xlfn.SWITCH(N207,"xDC Medellin","Colombia","xDC Belo Horizonte","Brazil","xDC Guadalajara","Mexico","xDC Gurugram","India","xDC Leon","Spain","xDC San Jose","Costa Rica","xDC Warsaw","Poland",N207),
WHT!$B$7:$B$18,0),MATCH(CustomerCountry,WHT!$C$5:$W$5,0)),0)</f>
        <v>0</v>
      </c>
      <c r="AK207" s="368">
        <f t="shared" si="175"/>
        <v>0</v>
      </c>
      <c r="AL207" s="7"/>
      <c r="AM207" s="95">
        <f t="shared" si="183"/>
        <v>0</v>
      </c>
      <c r="AN207" s="95">
        <f t="shared" ca="1" si="176"/>
        <v>0</v>
      </c>
      <c r="AO207" s="95">
        <f t="shared" ca="1" si="184"/>
        <v>0</v>
      </c>
      <c r="AP207" s="90"/>
      <c r="AQ207" s="18"/>
      <c r="AR207" s="290"/>
      <c r="AS207" s="467" t="s">
        <v>133</v>
      </c>
      <c r="AT207" s="501">
        <f t="shared" ca="1" si="177"/>
        <v>0</v>
      </c>
      <c r="AU207" s="502"/>
      <c r="AV207" s="95">
        <f t="shared" ca="1" si="185"/>
        <v>0</v>
      </c>
      <c r="AW207" s="469">
        <f t="shared" ca="1" si="178"/>
        <v>0</v>
      </c>
      <c r="AX207" s="290"/>
      <c r="AY207" s="18"/>
      <c r="AZ207" s="3"/>
      <c r="BA207" s="315"/>
      <c r="BB207" s="3"/>
      <c r="BC207" s="3"/>
      <c r="BD207" s="3"/>
      <c r="BE207" s="3"/>
      <c r="BF207" s="18"/>
      <c r="BG207" s="3"/>
      <c r="BH207" s="315"/>
      <c r="BI207" s="3"/>
      <c r="BJ207" s="3"/>
      <c r="BK207" s="3"/>
      <c r="BL207" s="3"/>
      <c r="BM207" s="18"/>
      <c r="BN207" s="3"/>
      <c r="BO207" s="315"/>
      <c r="BP207" s="3"/>
      <c r="BQ207" s="3"/>
      <c r="BR207" s="3"/>
      <c r="BS207" s="3"/>
      <c r="BT207" s="18"/>
      <c r="BU207" s="3"/>
      <c r="BV207" s="315"/>
      <c r="BW207" s="3"/>
      <c r="BX207" s="3"/>
      <c r="BY207" s="3"/>
      <c r="BZ207" s="3"/>
    </row>
    <row r="208" spans="1:78" ht="15.6" outlineLevel="1">
      <c r="A208" s="7"/>
      <c r="B208" s="370"/>
      <c r="C208" s="355"/>
      <c r="D208" s="356"/>
      <c r="E208" s="342"/>
      <c r="F208" s="290"/>
      <c r="G208" s="357">
        <v>0</v>
      </c>
      <c r="H208" s="358">
        <v>0</v>
      </c>
      <c r="I208" s="358">
        <v>0</v>
      </c>
      <c r="J208" s="359">
        <f t="shared" si="179"/>
        <v>0</v>
      </c>
      <c r="K208" s="290"/>
      <c r="L208" s="349"/>
      <c r="M208" s="7"/>
      <c r="N208" s="12"/>
      <c r="O208" s="12"/>
      <c r="P208" s="12"/>
      <c r="Q208" s="361"/>
      <c r="R208" s="362"/>
      <c r="S208" s="363">
        <f t="shared" si="190"/>
        <v>0</v>
      </c>
      <c r="T208" s="364">
        <f t="shared" ref="T208" si="207">IF(ISBLANK($P208),0,IF(Approach="Team-Based",$Q208*$R208*$S208*HoursPerDayTeamBased,$J208))</f>
        <v>0</v>
      </c>
      <c r="U208" s="365">
        <v>0</v>
      </c>
      <c r="V208" s="91">
        <f>ROUNDUP(IFERROR(INDEX(CostRateTbl[Cost Rate],MATCH(_xlfn.CONCAT(N208,O208,P208,"NA"),CostRateTbl[KeyCostRate],0)),0)*BillingCurrencyTRM*(1+U208),2)</f>
        <v>0</v>
      </c>
      <c r="W208" s="92">
        <f t="shared" si="171"/>
        <v>0</v>
      </c>
      <c r="X208" s="366" t="e" cm="1">
        <f t="array" ref="X208">_xlfn.LET(
    _xlpm.valor, INDEX(CostRate!H:H, MATCH(1, (CostRate!A:A=N208)*1, 0)),
    _xlpm.posicion, MATCH(_xlpm.valor, FilterSL!$F$1:$Z$1, 0),
    _xlpm.direccionCompleta, ADDRESS(1, _xlpm.posicion + 5, 4),
    _xlpm.letraColumna, SUBSTITUTE(_xlpm.direccionCompleta, "1", ""),
    _xlpm.letraColumna
)</f>
        <v>#N/A</v>
      </c>
      <c r="Y208" s="366" t="e" cm="1">
        <f t="array" ref="Y208">_xlfn.LET(
    _xlpm.valor, INDEX(CostRate!I:I, MATCH(1, (CostRate!A:A=N208)*(CostRate!B:B=O208), 0)),
    _xlpm.posicion, MATCH(_xlpm.valor, FilterJP!$E$1:$FZ$1, 0),
    _xlpm.direccionCompleta, ADDRESS(1, _xlpm.posicion + 4, 4),
    _xlpm.letraColumna, SUBSTITUTE(_xlpm.direccionCompleta, "1", ""),
    _xlpm.letraColumna
)</f>
        <v>#N/A</v>
      </c>
      <c r="Z208" s="7"/>
      <c r="AA208" s="367"/>
      <c r="AB208" s="7"/>
      <c r="AC208" s="93">
        <f t="shared" si="172"/>
        <v>0</v>
      </c>
      <c r="AD208" s="94">
        <f t="shared" si="181"/>
        <v>0</v>
      </c>
      <c r="AE208" s="109">
        <f t="shared" si="182"/>
        <v>0</v>
      </c>
      <c r="AF208" s="7"/>
      <c r="AG208" s="369">
        <f t="shared" si="173"/>
        <v>0</v>
      </c>
      <c r="AH208" s="368">
        <f t="shared" si="174"/>
        <v>0</v>
      </c>
      <c r="AI208" s="7"/>
      <c r="AJ208" s="369" cm="1">
        <f t="array" ref="AJ208">IFERROR(INDEX(WHT!$C$7:$W$18,MATCH(
_xlfn.SWITCH(N208,"xDC Medellin","Colombia","xDC Belo Horizonte","Brazil","xDC Guadalajara","Mexico","xDC Gurugram","India","xDC Leon","Spain","xDC San Jose","Costa Rica","xDC Warsaw","Poland",N208),
WHT!$B$7:$B$18,0),MATCH(CustomerCountry,WHT!$C$5:$W$5,0)),0)</f>
        <v>0</v>
      </c>
      <c r="AK208" s="368">
        <f t="shared" si="175"/>
        <v>0</v>
      </c>
      <c r="AL208" s="7"/>
      <c r="AM208" s="95">
        <f t="shared" si="183"/>
        <v>0</v>
      </c>
      <c r="AN208" s="95">
        <f t="shared" ca="1" si="176"/>
        <v>0</v>
      </c>
      <c r="AO208" s="95">
        <f t="shared" ca="1" si="184"/>
        <v>0</v>
      </c>
      <c r="AP208" s="90"/>
      <c r="AQ208" s="18"/>
      <c r="AR208" s="290"/>
      <c r="AS208" s="467" t="s">
        <v>133</v>
      </c>
      <c r="AT208" s="501">
        <f t="shared" ca="1" si="177"/>
        <v>0</v>
      </c>
      <c r="AU208" s="502"/>
      <c r="AV208" s="95">
        <f t="shared" ca="1" si="185"/>
        <v>0</v>
      </c>
      <c r="AW208" s="469">
        <f t="shared" ca="1" si="178"/>
        <v>0</v>
      </c>
      <c r="AX208" s="290"/>
      <c r="AY208" s="18"/>
      <c r="AZ208" s="3"/>
      <c r="BA208" s="315"/>
      <c r="BB208" s="3"/>
      <c r="BC208" s="3"/>
      <c r="BD208" s="3"/>
      <c r="BE208" s="3"/>
      <c r="BF208" s="18"/>
      <c r="BG208" s="3"/>
      <c r="BH208" s="315"/>
      <c r="BI208" s="3"/>
      <c r="BJ208" s="3"/>
      <c r="BK208" s="3"/>
      <c r="BL208" s="3"/>
      <c r="BM208" s="18"/>
      <c r="BN208" s="3"/>
      <c r="BO208" s="315"/>
      <c r="BP208" s="3"/>
      <c r="BQ208" s="3"/>
      <c r="BR208" s="3"/>
      <c r="BS208" s="3"/>
      <c r="BT208" s="18"/>
      <c r="BU208" s="3"/>
      <c r="BV208" s="315"/>
      <c r="BW208" s="3"/>
      <c r="BX208" s="3"/>
      <c r="BY208" s="3"/>
      <c r="BZ208" s="3"/>
    </row>
    <row r="209" spans="1:82" ht="15.6" outlineLevel="1">
      <c r="A209" s="7"/>
      <c r="B209" s="370"/>
      <c r="C209" s="355"/>
      <c r="D209" s="356"/>
      <c r="E209" s="342"/>
      <c r="F209" s="290"/>
      <c r="G209" s="357">
        <v>0</v>
      </c>
      <c r="H209" s="358">
        <v>0</v>
      </c>
      <c r="I209" s="358">
        <v>0</v>
      </c>
      <c r="J209" s="359">
        <f t="shared" si="179"/>
        <v>0</v>
      </c>
      <c r="K209" s="290"/>
      <c r="L209" s="349"/>
      <c r="M209" s="7"/>
      <c r="N209" s="12"/>
      <c r="O209" s="12"/>
      <c r="P209" s="12"/>
      <c r="Q209" s="361"/>
      <c r="R209" s="362"/>
      <c r="S209" s="363">
        <f t="shared" si="190"/>
        <v>0</v>
      </c>
      <c r="T209" s="364">
        <f t="shared" ref="T209" si="208">IF(ISBLANK($P209),0,IF(Approach="Team-Based",$Q209*$R209*$S209*HoursPerDayTeamBased,$J209))</f>
        <v>0</v>
      </c>
      <c r="U209" s="365">
        <v>0</v>
      </c>
      <c r="V209" s="91">
        <f>ROUNDUP(IFERROR(INDEX(CostRateTbl[Cost Rate],MATCH(_xlfn.CONCAT(N209,O209,P209,"NA"),CostRateTbl[KeyCostRate],0)),0)*BillingCurrencyTRM*(1+U209),2)</f>
        <v>0</v>
      </c>
      <c r="W209" s="92">
        <f t="shared" si="171"/>
        <v>0</v>
      </c>
      <c r="X209" s="366" t="e" cm="1">
        <f t="array" ref="X209">_xlfn.LET(
    _xlpm.valor, INDEX(CostRate!H:H, MATCH(1, (CostRate!A:A=N209)*1, 0)),
    _xlpm.posicion, MATCH(_xlpm.valor, FilterSL!$F$1:$Z$1, 0),
    _xlpm.direccionCompleta, ADDRESS(1, _xlpm.posicion + 5, 4),
    _xlpm.letraColumna, SUBSTITUTE(_xlpm.direccionCompleta, "1", ""),
    _xlpm.letraColumna
)</f>
        <v>#N/A</v>
      </c>
      <c r="Y209" s="366" t="e" cm="1">
        <f t="array" ref="Y209">_xlfn.LET(
    _xlpm.valor, INDEX(CostRate!I:I, MATCH(1, (CostRate!A:A=N209)*(CostRate!B:B=O209), 0)),
    _xlpm.posicion, MATCH(_xlpm.valor, FilterJP!$E$1:$FZ$1, 0),
    _xlpm.direccionCompleta, ADDRESS(1, _xlpm.posicion + 4, 4),
    _xlpm.letraColumna, SUBSTITUTE(_xlpm.direccionCompleta, "1", ""),
    _xlpm.letraColumna
)</f>
        <v>#N/A</v>
      </c>
      <c r="Z209" s="7"/>
      <c r="AA209" s="367"/>
      <c r="AB209" s="7"/>
      <c r="AC209" s="93">
        <f t="shared" si="172"/>
        <v>0</v>
      </c>
      <c r="AD209" s="94">
        <f t="shared" si="181"/>
        <v>0</v>
      </c>
      <c r="AE209" s="109">
        <f t="shared" si="182"/>
        <v>0</v>
      </c>
      <c r="AF209" s="7"/>
      <c r="AG209" s="369">
        <f t="shared" si="173"/>
        <v>0</v>
      </c>
      <c r="AH209" s="368">
        <f t="shared" si="174"/>
        <v>0</v>
      </c>
      <c r="AI209" s="7"/>
      <c r="AJ209" s="369" cm="1">
        <f t="array" ref="AJ209">IFERROR(INDEX(WHT!$C$7:$W$18,MATCH(
_xlfn.SWITCH(N209,"xDC Medellin","Colombia","xDC Belo Horizonte","Brazil","xDC Guadalajara","Mexico","xDC Gurugram","India","xDC Leon","Spain","xDC San Jose","Costa Rica","xDC Warsaw","Poland",N209),
WHT!$B$7:$B$18,0),MATCH(CustomerCountry,WHT!$C$5:$W$5,0)),0)</f>
        <v>0</v>
      </c>
      <c r="AK209" s="368">
        <f t="shared" si="175"/>
        <v>0</v>
      </c>
      <c r="AL209" s="7"/>
      <c r="AM209" s="95">
        <f t="shared" si="183"/>
        <v>0</v>
      </c>
      <c r="AN209" s="95">
        <f t="shared" ca="1" si="176"/>
        <v>0</v>
      </c>
      <c r="AO209" s="95">
        <f t="shared" ca="1" si="184"/>
        <v>0</v>
      </c>
      <c r="AP209" s="90"/>
      <c r="AQ209" s="18"/>
      <c r="AR209" s="290"/>
      <c r="AS209" s="467" t="s">
        <v>133</v>
      </c>
      <c r="AT209" s="501">
        <f t="shared" ca="1" si="177"/>
        <v>0</v>
      </c>
      <c r="AU209" s="502"/>
      <c r="AV209" s="95">
        <f t="shared" ca="1" si="185"/>
        <v>0</v>
      </c>
      <c r="AW209" s="469">
        <f t="shared" ca="1" si="178"/>
        <v>0</v>
      </c>
      <c r="AX209" s="290"/>
      <c r="AY209" s="18"/>
      <c r="AZ209" s="3"/>
      <c r="BA209" s="315"/>
      <c r="BB209" s="3"/>
      <c r="BC209" s="3"/>
      <c r="BD209" s="3"/>
      <c r="BE209" s="3"/>
      <c r="BF209" s="18"/>
      <c r="BG209" s="3"/>
      <c r="BH209" s="315"/>
      <c r="BI209" s="3"/>
      <c r="BJ209" s="3"/>
      <c r="BK209" s="3"/>
      <c r="BL209" s="3"/>
      <c r="BM209" s="18"/>
      <c r="BN209" s="3"/>
      <c r="BO209" s="315"/>
      <c r="BP209" s="3"/>
      <c r="BQ209" s="3"/>
      <c r="BR209" s="3"/>
      <c r="BS209" s="3"/>
      <c r="BT209" s="18"/>
      <c r="BU209" s="3"/>
      <c r="BV209" s="315"/>
      <c r="BW209" s="3"/>
      <c r="BX209" s="3"/>
      <c r="BY209" s="3"/>
      <c r="BZ209" s="3"/>
    </row>
    <row r="210" spans="1:82" ht="15.6" outlineLevel="1">
      <c r="A210" s="7"/>
      <c r="B210" s="370"/>
      <c r="C210" s="355"/>
      <c r="D210" s="356"/>
      <c r="E210" s="342"/>
      <c r="F210" s="290"/>
      <c r="G210" s="357">
        <v>0</v>
      </c>
      <c r="H210" s="358">
        <v>0</v>
      </c>
      <c r="I210" s="358">
        <v>0</v>
      </c>
      <c r="J210" s="359">
        <f t="shared" si="179"/>
        <v>0</v>
      </c>
      <c r="K210" s="290"/>
      <c r="L210" s="349"/>
      <c r="M210" s="7"/>
      <c r="N210" s="12"/>
      <c r="O210" s="12"/>
      <c r="P210" s="12"/>
      <c r="Q210" s="361"/>
      <c r="R210" s="362"/>
      <c r="S210" s="363">
        <f t="shared" si="190"/>
        <v>0</v>
      </c>
      <c r="T210" s="364">
        <f t="shared" ref="T210" si="209">IF(ISBLANK($P210),0,IF(Approach="Team-Based",$Q210*$R210*$S210*HoursPerDayTeamBased,$J210))</f>
        <v>0</v>
      </c>
      <c r="U210" s="365">
        <v>0</v>
      </c>
      <c r="V210" s="91">
        <f>ROUNDUP(IFERROR(INDEX(CostRateTbl[Cost Rate],MATCH(_xlfn.CONCAT(N210,O210,P210,"NA"),CostRateTbl[KeyCostRate],0)),0)*BillingCurrencyTRM*(1+U210),2)</f>
        <v>0</v>
      </c>
      <c r="W210" s="92">
        <f t="shared" si="171"/>
        <v>0</v>
      </c>
      <c r="X210" s="366" t="e" cm="1">
        <f t="array" ref="X210">_xlfn.LET(
    _xlpm.valor, INDEX(CostRate!H:H, MATCH(1, (CostRate!A:A=N210)*1, 0)),
    _xlpm.posicion, MATCH(_xlpm.valor, FilterSL!$F$1:$Z$1, 0),
    _xlpm.direccionCompleta, ADDRESS(1, _xlpm.posicion + 5, 4),
    _xlpm.letraColumna, SUBSTITUTE(_xlpm.direccionCompleta, "1", ""),
    _xlpm.letraColumna
)</f>
        <v>#N/A</v>
      </c>
      <c r="Y210" s="366" t="e" cm="1">
        <f t="array" ref="Y210">_xlfn.LET(
    _xlpm.valor, INDEX(CostRate!I:I, MATCH(1, (CostRate!A:A=N210)*(CostRate!B:B=O210), 0)),
    _xlpm.posicion, MATCH(_xlpm.valor, FilterJP!$E$1:$FZ$1, 0),
    _xlpm.direccionCompleta, ADDRESS(1, _xlpm.posicion + 4, 4),
    _xlpm.letraColumna, SUBSTITUTE(_xlpm.direccionCompleta, "1", ""),
    _xlpm.letraColumna
)</f>
        <v>#N/A</v>
      </c>
      <c r="Z210" s="7"/>
      <c r="AA210" s="367"/>
      <c r="AB210" s="7"/>
      <c r="AC210" s="93">
        <f t="shared" si="172"/>
        <v>0</v>
      </c>
      <c r="AD210" s="94">
        <f t="shared" si="181"/>
        <v>0</v>
      </c>
      <c r="AE210" s="109">
        <f t="shared" si="182"/>
        <v>0</v>
      </c>
      <c r="AF210" s="7"/>
      <c r="AG210" s="369">
        <f t="shared" si="173"/>
        <v>0</v>
      </c>
      <c r="AH210" s="368">
        <f t="shared" si="174"/>
        <v>0</v>
      </c>
      <c r="AI210" s="7"/>
      <c r="AJ210" s="369" cm="1">
        <f t="array" ref="AJ210">IFERROR(INDEX(WHT!$C$7:$W$18,MATCH(
_xlfn.SWITCH(N210,"xDC Medellin","Colombia","xDC Belo Horizonte","Brazil","xDC Guadalajara","Mexico","xDC Gurugram","India","xDC Leon","Spain","xDC San Jose","Costa Rica","xDC Warsaw","Poland",N210),
WHT!$B$7:$B$18,0),MATCH(CustomerCountry,WHT!$C$5:$W$5,0)),0)</f>
        <v>0</v>
      </c>
      <c r="AK210" s="368">
        <f t="shared" si="175"/>
        <v>0</v>
      </c>
      <c r="AL210" s="7"/>
      <c r="AM210" s="95">
        <f t="shared" si="183"/>
        <v>0</v>
      </c>
      <c r="AN210" s="95">
        <f t="shared" ca="1" si="176"/>
        <v>0</v>
      </c>
      <c r="AO210" s="95">
        <f t="shared" ca="1" si="184"/>
        <v>0</v>
      </c>
      <c r="AP210" s="90"/>
      <c r="AQ210" s="18"/>
      <c r="AR210" s="290"/>
      <c r="AS210" s="467" t="s">
        <v>133</v>
      </c>
      <c r="AT210" s="501">
        <f t="shared" ca="1" si="177"/>
        <v>0</v>
      </c>
      <c r="AU210" s="502"/>
      <c r="AV210" s="95">
        <f t="shared" ca="1" si="185"/>
        <v>0</v>
      </c>
      <c r="AW210" s="469">
        <f t="shared" ca="1" si="178"/>
        <v>0</v>
      </c>
      <c r="AX210" s="290"/>
      <c r="AY210" s="18"/>
      <c r="AZ210" s="3"/>
      <c r="BA210" s="315"/>
      <c r="BB210" s="3"/>
      <c r="BC210" s="3"/>
      <c r="BD210" s="3"/>
      <c r="BE210" s="3"/>
      <c r="BF210" s="18"/>
      <c r="BG210" s="3"/>
      <c r="BH210" s="315"/>
      <c r="BI210" s="3"/>
      <c r="BJ210" s="3"/>
      <c r="BK210" s="3"/>
      <c r="BL210" s="3"/>
      <c r="BM210" s="18"/>
      <c r="BN210" s="3"/>
      <c r="BO210" s="315"/>
      <c r="BP210" s="3"/>
      <c r="BQ210" s="3"/>
      <c r="BR210" s="3"/>
      <c r="BS210" s="3"/>
      <c r="BT210" s="18"/>
      <c r="BU210" s="3"/>
      <c r="BV210" s="315"/>
      <c r="BW210" s="3"/>
      <c r="BX210" s="3"/>
      <c r="BY210" s="3"/>
      <c r="BZ210" s="3"/>
    </row>
    <row r="211" spans="1:82" ht="15.6" outlineLevel="1">
      <c r="A211" s="7"/>
      <c r="B211" s="370"/>
      <c r="C211" s="355"/>
      <c r="D211" s="356"/>
      <c r="E211" s="342"/>
      <c r="F211" s="290"/>
      <c r="G211" s="357">
        <v>0</v>
      </c>
      <c r="H211" s="358">
        <v>0</v>
      </c>
      <c r="I211" s="358">
        <v>0</v>
      </c>
      <c r="J211" s="359">
        <f t="shared" si="179"/>
        <v>0</v>
      </c>
      <c r="K211" s="290"/>
      <c r="L211" s="349"/>
      <c r="M211" s="7"/>
      <c r="N211" s="12"/>
      <c r="O211" s="12"/>
      <c r="P211" s="12"/>
      <c r="Q211" s="361"/>
      <c r="R211" s="362"/>
      <c r="S211" s="363">
        <f t="shared" si="190"/>
        <v>0</v>
      </c>
      <c r="T211" s="364">
        <f t="shared" ref="T211" si="210">IF(ISBLANK($P211),0,IF(Approach="Team-Based",$Q211*$R211*$S211*HoursPerDayTeamBased,$J211))</f>
        <v>0</v>
      </c>
      <c r="U211" s="365">
        <v>0</v>
      </c>
      <c r="V211" s="91">
        <f>ROUNDUP(IFERROR(INDEX(CostRateTbl[Cost Rate],MATCH(_xlfn.CONCAT(N211,O211,P211,"NA"),CostRateTbl[KeyCostRate],0)),0)*BillingCurrencyTRM*(1+U211),2)</f>
        <v>0</v>
      </c>
      <c r="W211" s="92">
        <f t="shared" si="171"/>
        <v>0</v>
      </c>
      <c r="X211" s="366" t="e" cm="1">
        <f t="array" ref="X211">_xlfn.LET(
    _xlpm.valor, INDEX(CostRate!H:H, MATCH(1, (CostRate!A:A=N211)*1, 0)),
    _xlpm.posicion, MATCH(_xlpm.valor, FilterSL!$F$1:$Z$1, 0),
    _xlpm.direccionCompleta, ADDRESS(1, _xlpm.posicion + 5, 4),
    _xlpm.letraColumna, SUBSTITUTE(_xlpm.direccionCompleta, "1", ""),
    _xlpm.letraColumna
)</f>
        <v>#N/A</v>
      </c>
      <c r="Y211" s="366" t="e" cm="1">
        <f t="array" ref="Y211">_xlfn.LET(
    _xlpm.valor, INDEX(CostRate!I:I, MATCH(1, (CostRate!A:A=N211)*(CostRate!B:B=O211), 0)),
    _xlpm.posicion, MATCH(_xlpm.valor, FilterJP!$E$1:$FZ$1, 0),
    _xlpm.direccionCompleta, ADDRESS(1, _xlpm.posicion + 4, 4),
    _xlpm.letraColumna, SUBSTITUTE(_xlpm.direccionCompleta, "1", ""),
    _xlpm.letraColumna
)</f>
        <v>#N/A</v>
      </c>
      <c r="Z211" s="7"/>
      <c r="AA211" s="367"/>
      <c r="AB211" s="7"/>
      <c r="AC211" s="93">
        <f t="shared" si="172"/>
        <v>0</v>
      </c>
      <c r="AD211" s="94">
        <f t="shared" si="181"/>
        <v>0</v>
      </c>
      <c r="AE211" s="109">
        <f t="shared" si="182"/>
        <v>0</v>
      </c>
      <c r="AF211" s="7"/>
      <c r="AG211" s="369">
        <f t="shared" si="173"/>
        <v>0</v>
      </c>
      <c r="AH211" s="368">
        <f t="shared" si="174"/>
        <v>0</v>
      </c>
      <c r="AI211" s="7"/>
      <c r="AJ211" s="369" cm="1">
        <f t="array" ref="AJ211">IFERROR(INDEX(WHT!$C$7:$W$18,MATCH(
_xlfn.SWITCH(N211,"xDC Medellin","Colombia","xDC Belo Horizonte","Brazil","xDC Guadalajara","Mexico","xDC Gurugram","India","xDC Leon","Spain","xDC San Jose","Costa Rica","xDC Warsaw","Poland",N211),
WHT!$B$7:$B$18,0),MATCH(CustomerCountry,WHT!$C$5:$W$5,0)),0)</f>
        <v>0</v>
      </c>
      <c r="AK211" s="368">
        <f t="shared" si="175"/>
        <v>0</v>
      </c>
      <c r="AL211" s="7"/>
      <c r="AM211" s="95">
        <f t="shared" si="183"/>
        <v>0</v>
      </c>
      <c r="AN211" s="95">
        <f t="shared" ca="1" si="176"/>
        <v>0</v>
      </c>
      <c r="AO211" s="95">
        <f t="shared" ca="1" si="184"/>
        <v>0</v>
      </c>
      <c r="AP211" s="90"/>
      <c r="AQ211" s="18"/>
      <c r="AR211" s="290"/>
      <c r="AS211" s="467" t="s">
        <v>133</v>
      </c>
      <c r="AT211" s="501">
        <f t="shared" ca="1" si="177"/>
        <v>0</v>
      </c>
      <c r="AU211" s="502"/>
      <c r="AV211" s="95">
        <f t="shared" ca="1" si="185"/>
        <v>0</v>
      </c>
      <c r="AW211" s="469">
        <f t="shared" ca="1" si="178"/>
        <v>0</v>
      </c>
      <c r="AX211" s="290"/>
      <c r="AY211" s="18"/>
      <c r="AZ211" s="3"/>
      <c r="BA211" s="315"/>
      <c r="BB211" s="3"/>
      <c r="BC211" s="3"/>
      <c r="BD211" s="3"/>
      <c r="BE211" s="3"/>
      <c r="BF211" s="18"/>
      <c r="BG211" s="3"/>
      <c r="BH211" s="315"/>
      <c r="BI211" s="3"/>
      <c r="BJ211" s="3"/>
      <c r="BK211" s="3"/>
      <c r="BL211" s="3"/>
      <c r="BM211" s="18"/>
      <c r="BN211" s="3"/>
      <c r="BO211" s="315"/>
      <c r="BP211" s="3"/>
      <c r="BQ211" s="3"/>
      <c r="BR211" s="3"/>
      <c r="BS211" s="3"/>
      <c r="BT211" s="18"/>
      <c r="BU211" s="3"/>
      <c r="BV211" s="315"/>
      <c r="BW211" s="3"/>
      <c r="BX211" s="3"/>
      <c r="BY211" s="3"/>
      <c r="BZ211" s="3"/>
    </row>
    <row r="212" spans="1:82" ht="15.6" outlineLevel="1">
      <c r="A212" s="7"/>
      <c r="B212" s="370"/>
      <c r="C212" s="355"/>
      <c r="D212" s="356"/>
      <c r="E212" s="342"/>
      <c r="F212" s="290"/>
      <c r="G212" s="357">
        <v>0</v>
      </c>
      <c r="H212" s="358">
        <v>0</v>
      </c>
      <c r="I212" s="358">
        <v>0</v>
      </c>
      <c r="J212" s="359">
        <f t="shared" si="179"/>
        <v>0</v>
      </c>
      <c r="K212" s="290"/>
      <c r="L212" s="349"/>
      <c r="M212" s="7"/>
      <c r="N212" s="12"/>
      <c r="O212" s="12"/>
      <c r="P212" s="12"/>
      <c r="Q212" s="361"/>
      <c r="R212" s="362"/>
      <c r="S212" s="363">
        <f t="shared" si="190"/>
        <v>0</v>
      </c>
      <c r="T212" s="364">
        <f t="shared" ref="T212" si="211">IF(ISBLANK($P212),0,IF(Approach="Team-Based",$Q212*$R212*$S212*HoursPerDayTeamBased,$J212))</f>
        <v>0</v>
      </c>
      <c r="U212" s="365">
        <v>0</v>
      </c>
      <c r="V212" s="91">
        <f>ROUNDUP(IFERROR(INDEX(CostRateTbl[Cost Rate],MATCH(_xlfn.CONCAT(N212,O212,P212,"NA"),CostRateTbl[KeyCostRate],0)),0)*BillingCurrencyTRM*(1+U212),2)</f>
        <v>0</v>
      </c>
      <c r="W212" s="92">
        <f t="shared" si="171"/>
        <v>0</v>
      </c>
      <c r="X212" s="366" t="e" cm="1">
        <f t="array" ref="X212">_xlfn.LET(
    _xlpm.valor, INDEX(CostRate!H:H, MATCH(1, (CostRate!A:A=N212)*1, 0)),
    _xlpm.posicion, MATCH(_xlpm.valor, FilterSL!$F$1:$Z$1, 0),
    _xlpm.direccionCompleta, ADDRESS(1, _xlpm.posicion + 5, 4),
    _xlpm.letraColumna, SUBSTITUTE(_xlpm.direccionCompleta, "1", ""),
    _xlpm.letraColumna
)</f>
        <v>#N/A</v>
      </c>
      <c r="Y212" s="366" t="e" cm="1">
        <f t="array" ref="Y212">_xlfn.LET(
    _xlpm.valor, INDEX(CostRate!I:I, MATCH(1, (CostRate!A:A=N212)*(CostRate!B:B=O212), 0)),
    _xlpm.posicion, MATCH(_xlpm.valor, FilterJP!$E$1:$FZ$1, 0),
    _xlpm.direccionCompleta, ADDRESS(1, _xlpm.posicion + 4, 4),
    _xlpm.letraColumna, SUBSTITUTE(_xlpm.direccionCompleta, "1", ""),
    _xlpm.letraColumna
)</f>
        <v>#N/A</v>
      </c>
      <c r="Z212" s="7"/>
      <c r="AA212" s="367"/>
      <c r="AB212" s="7"/>
      <c r="AC212" s="93">
        <f t="shared" si="172"/>
        <v>0</v>
      </c>
      <c r="AD212" s="94">
        <f t="shared" si="181"/>
        <v>0</v>
      </c>
      <c r="AE212" s="109">
        <f t="shared" si="182"/>
        <v>0</v>
      </c>
      <c r="AF212" s="7"/>
      <c r="AG212" s="369">
        <f t="shared" si="173"/>
        <v>0</v>
      </c>
      <c r="AH212" s="368">
        <f t="shared" si="174"/>
        <v>0</v>
      </c>
      <c r="AI212" s="7"/>
      <c r="AJ212" s="369" cm="1">
        <f t="array" ref="AJ212">IFERROR(INDEX(WHT!$C$7:$W$18,MATCH(
_xlfn.SWITCH(N212,"xDC Medellin","Colombia","xDC Belo Horizonte","Brazil","xDC Guadalajara","Mexico","xDC Gurugram","India","xDC Leon","Spain","xDC San Jose","Costa Rica","xDC Warsaw","Poland",N212),
WHT!$B$7:$B$18,0),MATCH(CustomerCountry,WHT!$C$5:$W$5,0)),0)</f>
        <v>0</v>
      </c>
      <c r="AK212" s="368">
        <f t="shared" si="175"/>
        <v>0</v>
      </c>
      <c r="AL212" s="7"/>
      <c r="AM212" s="95">
        <f t="shared" si="183"/>
        <v>0</v>
      </c>
      <c r="AN212" s="95">
        <f t="shared" ca="1" si="176"/>
        <v>0</v>
      </c>
      <c r="AO212" s="95">
        <f t="shared" ca="1" si="184"/>
        <v>0</v>
      </c>
      <c r="AP212" s="90"/>
      <c r="AQ212" s="18"/>
      <c r="AR212" s="290"/>
      <c r="AS212" s="467" t="s">
        <v>133</v>
      </c>
      <c r="AT212" s="501">
        <f t="shared" ca="1" si="177"/>
        <v>0</v>
      </c>
      <c r="AU212" s="502"/>
      <c r="AV212" s="95">
        <f t="shared" ca="1" si="185"/>
        <v>0</v>
      </c>
      <c r="AW212" s="469">
        <f t="shared" ca="1" si="178"/>
        <v>0</v>
      </c>
      <c r="AX212" s="290"/>
      <c r="AY212" s="18"/>
      <c r="AZ212" s="3"/>
      <c r="BA212" s="315"/>
      <c r="BB212" s="3"/>
      <c r="BC212" s="3"/>
      <c r="BD212" s="3"/>
      <c r="BE212" s="3"/>
      <c r="BF212" s="18"/>
      <c r="BG212" s="3"/>
      <c r="BH212" s="315"/>
      <c r="BI212" s="3"/>
      <c r="BJ212" s="3"/>
      <c r="BK212" s="3"/>
      <c r="BL212" s="3"/>
      <c r="BM212" s="18"/>
      <c r="BN212" s="3"/>
      <c r="BO212" s="315"/>
      <c r="BP212" s="3"/>
      <c r="BQ212" s="3"/>
      <c r="BR212" s="3"/>
      <c r="BS212" s="3"/>
      <c r="BT212" s="18"/>
      <c r="BU212" s="3"/>
      <c r="BV212" s="315"/>
      <c r="BW212" s="3"/>
      <c r="BX212" s="3"/>
      <c r="BY212" s="3"/>
      <c r="BZ212" s="3"/>
    </row>
    <row r="213" spans="1:82" ht="15.6" outlineLevel="1">
      <c r="A213" s="7"/>
      <c r="B213" s="370"/>
      <c r="C213" s="355"/>
      <c r="D213" s="356"/>
      <c r="E213" s="342"/>
      <c r="F213" s="290"/>
      <c r="G213" s="357">
        <v>0</v>
      </c>
      <c r="H213" s="358">
        <v>0</v>
      </c>
      <c r="I213" s="358">
        <v>0</v>
      </c>
      <c r="J213" s="359">
        <f t="shared" si="179"/>
        <v>0</v>
      </c>
      <c r="K213" s="290"/>
      <c r="L213" s="349"/>
      <c r="M213" s="7"/>
      <c r="N213" s="12"/>
      <c r="O213" s="12"/>
      <c r="P213" s="12"/>
      <c r="Q213" s="361"/>
      <c r="R213" s="362"/>
      <c r="S213" s="363">
        <f t="shared" si="190"/>
        <v>0</v>
      </c>
      <c r="T213" s="364">
        <f t="shared" ref="T213" si="212">IF(ISBLANK($P213),0,IF(Approach="Team-Based",$Q213*$R213*$S213*HoursPerDayTeamBased,$J213))</f>
        <v>0</v>
      </c>
      <c r="U213" s="365">
        <v>0</v>
      </c>
      <c r="V213" s="91">
        <f>ROUNDUP(IFERROR(INDEX(CostRateTbl[Cost Rate],MATCH(_xlfn.CONCAT(N213,O213,P213,"NA"),CostRateTbl[KeyCostRate],0)),0)*BillingCurrencyTRM*(1+U213),2)</f>
        <v>0</v>
      </c>
      <c r="W213" s="92">
        <f t="shared" si="171"/>
        <v>0</v>
      </c>
      <c r="X213" s="366" t="e" cm="1">
        <f t="array" ref="X213">_xlfn.LET(
    _xlpm.valor, INDEX(CostRate!H:H, MATCH(1, (CostRate!A:A=N213)*1, 0)),
    _xlpm.posicion, MATCH(_xlpm.valor, FilterSL!$F$1:$Z$1, 0),
    _xlpm.direccionCompleta, ADDRESS(1, _xlpm.posicion + 5, 4),
    _xlpm.letraColumna, SUBSTITUTE(_xlpm.direccionCompleta, "1", ""),
    _xlpm.letraColumna
)</f>
        <v>#N/A</v>
      </c>
      <c r="Y213" s="366" t="e" cm="1">
        <f t="array" ref="Y213">_xlfn.LET(
    _xlpm.valor, INDEX(CostRate!I:I, MATCH(1, (CostRate!A:A=N213)*(CostRate!B:B=O213), 0)),
    _xlpm.posicion, MATCH(_xlpm.valor, FilterJP!$E$1:$FZ$1, 0),
    _xlpm.direccionCompleta, ADDRESS(1, _xlpm.posicion + 4, 4),
    _xlpm.letraColumna, SUBSTITUTE(_xlpm.direccionCompleta, "1", ""),
    _xlpm.letraColumna
)</f>
        <v>#N/A</v>
      </c>
      <c r="Z213" s="7"/>
      <c r="AA213" s="367"/>
      <c r="AB213" s="7"/>
      <c r="AC213" s="93">
        <f t="shared" si="172"/>
        <v>0</v>
      </c>
      <c r="AD213" s="94">
        <f t="shared" si="181"/>
        <v>0</v>
      </c>
      <c r="AE213" s="109">
        <f t="shared" si="182"/>
        <v>0</v>
      </c>
      <c r="AF213" s="7"/>
      <c r="AG213" s="369">
        <f t="shared" si="173"/>
        <v>0</v>
      </c>
      <c r="AH213" s="368">
        <f t="shared" si="174"/>
        <v>0</v>
      </c>
      <c r="AI213" s="7"/>
      <c r="AJ213" s="369" cm="1">
        <f t="array" ref="AJ213">IFERROR(INDEX(WHT!$C$7:$W$18,MATCH(
_xlfn.SWITCH(N213,"xDC Medellin","Colombia","xDC Belo Horizonte","Brazil","xDC Guadalajara","Mexico","xDC Gurugram","India","xDC Leon","Spain","xDC San Jose","Costa Rica","xDC Warsaw","Poland",N213),
WHT!$B$7:$B$18,0),MATCH(CustomerCountry,WHT!$C$5:$W$5,0)),0)</f>
        <v>0</v>
      </c>
      <c r="AK213" s="368">
        <f t="shared" si="175"/>
        <v>0</v>
      </c>
      <c r="AL213" s="7"/>
      <c r="AM213" s="95">
        <f t="shared" si="183"/>
        <v>0</v>
      </c>
      <c r="AN213" s="95">
        <f t="shared" ca="1" si="176"/>
        <v>0</v>
      </c>
      <c r="AO213" s="95">
        <f t="shared" ca="1" si="184"/>
        <v>0</v>
      </c>
      <c r="AP213" s="90"/>
      <c r="AQ213" s="18"/>
      <c r="AR213" s="290"/>
      <c r="AS213" s="467" t="s">
        <v>133</v>
      </c>
      <c r="AT213" s="501">
        <f t="shared" ca="1" si="177"/>
        <v>0</v>
      </c>
      <c r="AU213" s="502"/>
      <c r="AV213" s="95">
        <f t="shared" ca="1" si="185"/>
        <v>0</v>
      </c>
      <c r="AW213" s="469">
        <f t="shared" ca="1" si="178"/>
        <v>0</v>
      </c>
      <c r="AX213" s="290"/>
      <c r="AY213" s="18"/>
      <c r="AZ213" s="3"/>
      <c r="BA213" s="315"/>
      <c r="BB213" s="3"/>
      <c r="BC213" s="3"/>
      <c r="BD213" s="3"/>
      <c r="BE213" s="3"/>
      <c r="BF213" s="18"/>
      <c r="BG213" s="3"/>
      <c r="BH213" s="315"/>
      <c r="BI213" s="3"/>
      <c r="BJ213" s="3"/>
      <c r="BK213" s="3"/>
      <c r="BL213" s="3"/>
      <c r="BM213" s="18"/>
      <c r="BN213" s="3"/>
      <c r="BO213" s="315"/>
      <c r="BP213" s="3"/>
      <c r="BQ213" s="3"/>
      <c r="BR213" s="3"/>
      <c r="BS213" s="3"/>
      <c r="BT213" s="18"/>
      <c r="BU213" s="3"/>
      <c r="BV213" s="315"/>
      <c r="BW213" s="3"/>
      <c r="BX213" s="3"/>
      <c r="BY213" s="3"/>
      <c r="BZ213" s="3"/>
    </row>
    <row r="214" spans="1:82" ht="15.6" outlineLevel="1">
      <c r="A214" s="7"/>
      <c r="B214" s="370"/>
      <c r="C214" s="355"/>
      <c r="D214" s="356"/>
      <c r="E214" s="342"/>
      <c r="F214" s="290"/>
      <c r="G214" s="373">
        <v>0</v>
      </c>
      <c r="H214" s="374">
        <v>0</v>
      </c>
      <c r="I214" s="374">
        <v>0</v>
      </c>
      <c r="J214" s="375">
        <f t="shared" si="179"/>
        <v>0</v>
      </c>
      <c r="K214" s="290"/>
      <c r="L214" s="349"/>
      <c r="M214" s="7"/>
      <c r="N214" s="12"/>
      <c r="O214" s="12"/>
      <c r="P214" s="12"/>
      <c r="Q214" s="361"/>
      <c r="R214" s="362"/>
      <c r="S214" s="363">
        <f t="shared" si="190"/>
        <v>0</v>
      </c>
      <c r="T214" s="364">
        <f t="shared" ref="T214" si="213">IF(ISBLANK($P214),0,IF(Approach="Team-Based",$Q214*$R214*$S214*HoursPerDayTeamBased,$J214))</f>
        <v>0</v>
      </c>
      <c r="U214" s="365">
        <v>0</v>
      </c>
      <c r="V214" s="91">
        <f>ROUNDUP(IFERROR(INDEX(CostRateTbl[Cost Rate],MATCH(_xlfn.CONCAT(N214,O214,P214,"NA"),CostRateTbl[KeyCostRate],0)),0)*BillingCurrencyTRM*(1+U214),2)</f>
        <v>0</v>
      </c>
      <c r="W214" s="92">
        <f t="shared" si="171"/>
        <v>0</v>
      </c>
      <c r="X214" s="366" t="e" cm="1">
        <f t="array" ref="X214">_xlfn.LET(
    _xlpm.valor, INDEX(CostRate!H:H, MATCH(1, (CostRate!A:A=N214)*1, 0)),
    _xlpm.posicion, MATCH(_xlpm.valor, FilterSL!$F$1:$Z$1, 0),
    _xlpm.direccionCompleta, ADDRESS(1, _xlpm.posicion + 5, 4),
    _xlpm.letraColumna, SUBSTITUTE(_xlpm.direccionCompleta, "1", ""),
    _xlpm.letraColumna
)</f>
        <v>#N/A</v>
      </c>
      <c r="Y214" s="366" t="e" cm="1">
        <f t="array" ref="Y214">_xlfn.LET(
    _xlpm.valor, INDEX(CostRate!I:I, MATCH(1, (CostRate!A:A=N214)*(CostRate!B:B=O214), 0)),
    _xlpm.posicion, MATCH(_xlpm.valor, FilterJP!$E$1:$FZ$1, 0),
    _xlpm.direccionCompleta, ADDRESS(1, _xlpm.posicion + 4, 4),
    _xlpm.letraColumna, SUBSTITUTE(_xlpm.direccionCompleta, "1", ""),
    _xlpm.letraColumna
)</f>
        <v>#N/A</v>
      </c>
      <c r="Z214" s="7"/>
      <c r="AA214" s="367"/>
      <c r="AB214" s="7"/>
      <c r="AC214" s="93">
        <f t="shared" si="172"/>
        <v>0</v>
      </c>
      <c r="AD214" s="94">
        <f t="shared" si="181"/>
        <v>0</v>
      </c>
      <c r="AE214" s="109">
        <f t="shared" si="182"/>
        <v>0</v>
      </c>
      <c r="AF214" s="7"/>
      <c r="AG214" s="369">
        <f t="shared" si="173"/>
        <v>0</v>
      </c>
      <c r="AH214" s="368">
        <f t="shared" si="174"/>
        <v>0</v>
      </c>
      <c r="AI214" s="7"/>
      <c r="AJ214" s="369" cm="1">
        <f t="array" ref="AJ214">IFERROR(INDEX(WHT!$C$7:$W$18,MATCH(
_xlfn.SWITCH(N214,"xDC Medellin","Colombia","xDC Belo Horizonte","Brazil","xDC Guadalajara","Mexico","xDC Gurugram","India","xDC Leon","Spain","xDC San Jose","Costa Rica","xDC Warsaw","Poland",N214),
WHT!$B$7:$B$18,0),MATCH(CustomerCountry,WHT!$C$5:$W$5,0)),0)</f>
        <v>0</v>
      </c>
      <c r="AK214" s="368">
        <f t="shared" si="175"/>
        <v>0</v>
      </c>
      <c r="AL214" s="7"/>
      <c r="AM214" s="95">
        <f t="shared" si="183"/>
        <v>0</v>
      </c>
      <c r="AN214" s="95">
        <f t="shared" ca="1" si="176"/>
        <v>0</v>
      </c>
      <c r="AO214" s="95">
        <f t="shared" ca="1" si="184"/>
        <v>0</v>
      </c>
      <c r="AP214" s="90"/>
      <c r="AQ214" s="18"/>
      <c r="AR214" s="290"/>
      <c r="AS214" s="467" t="s">
        <v>133</v>
      </c>
      <c r="AT214" s="501">
        <f t="shared" ca="1" si="177"/>
        <v>0</v>
      </c>
      <c r="AU214" s="502"/>
      <c r="AV214" s="95">
        <f t="shared" ca="1" si="185"/>
        <v>0</v>
      </c>
      <c r="AW214" s="469">
        <f t="shared" ca="1" si="178"/>
        <v>0</v>
      </c>
      <c r="AX214" s="290"/>
      <c r="AY214" s="18"/>
      <c r="AZ214" s="3"/>
      <c r="BA214" s="315"/>
      <c r="BB214" s="3"/>
      <c r="BC214" s="3"/>
      <c r="BD214" s="3"/>
      <c r="BE214" s="3"/>
      <c r="BF214" s="18"/>
      <c r="BG214" s="3"/>
      <c r="BH214" s="315"/>
      <c r="BI214" s="3"/>
      <c r="BJ214" s="3"/>
      <c r="BK214" s="3"/>
      <c r="BL214" s="3"/>
      <c r="BM214" s="18"/>
      <c r="BN214" s="3"/>
      <c r="BO214" s="315"/>
      <c r="BP214" s="3"/>
      <c r="BQ214" s="3"/>
      <c r="BR214" s="3"/>
      <c r="BS214" s="3"/>
      <c r="BT214" s="18"/>
      <c r="BU214" s="3"/>
      <c r="BV214" s="315"/>
      <c r="BW214" s="3"/>
      <c r="BX214" s="3"/>
      <c r="BY214" s="3"/>
      <c r="BZ214" s="3"/>
    </row>
    <row r="215" spans="1:82" ht="15.6" outlineLevel="1">
      <c r="A215" s="7"/>
      <c r="B215" s="372"/>
      <c r="C215" s="355"/>
      <c r="D215" s="356"/>
      <c r="E215" s="342"/>
      <c r="F215" s="290"/>
      <c r="G215" s="373">
        <v>0</v>
      </c>
      <c r="H215" s="374">
        <v>0</v>
      </c>
      <c r="I215" s="374">
        <v>0</v>
      </c>
      <c r="J215" s="375">
        <f t="shared" si="179"/>
        <v>0</v>
      </c>
      <c r="K215" s="290"/>
      <c r="L215" s="349"/>
      <c r="M215" s="7"/>
      <c r="N215" s="12"/>
      <c r="O215" s="12"/>
      <c r="P215" s="12"/>
      <c r="Q215" s="361"/>
      <c r="R215" s="362"/>
      <c r="S215" s="363">
        <f t="shared" si="190"/>
        <v>0</v>
      </c>
      <c r="T215" s="364">
        <f t="shared" ref="T215" si="214">IF(ISBLANK($P215),0,IF(Approach="Team-Based",$Q215*$R215*$S215*HoursPerDayTeamBased,$J215))</f>
        <v>0</v>
      </c>
      <c r="U215" s="365">
        <v>0</v>
      </c>
      <c r="V215" s="91">
        <f>ROUNDUP(IFERROR(INDEX(CostRateTbl[Cost Rate],MATCH(_xlfn.CONCAT(N215,O215,P215,"NA"),CostRateTbl[KeyCostRate],0)),0)*BillingCurrencyTRM*(1+U215),2)</f>
        <v>0</v>
      </c>
      <c r="W215" s="92">
        <f t="shared" si="171"/>
        <v>0</v>
      </c>
      <c r="X215" s="366" t="e" cm="1">
        <f t="array" ref="X215">_xlfn.LET(
    _xlpm.valor, INDEX(CostRate!H:H, MATCH(1, (CostRate!A:A=N215)*1, 0)),
    _xlpm.posicion, MATCH(_xlpm.valor, FilterSL!$F$1:$Z$1, 0),
    _xlpm.direccionCompleta, ADDRESS(1, _xlpm.posicion + 5, 4),
    _xlpm.letraColumna, SUBSTITUTE(_xlpm.direccionCompleta, "1", ""),
    _xlpm.letraColumna
)</f>
        <v>#N/A</v>
      </c>
      <c r="Y215" s="366" t="e" cm="1">
        <f t="array" ref="Y215">_xlfn.LET(
    _xlpm.valor, INDEX(CostRate!I:I, MATCH(1, (CostRate!A:A=N215)*(CostRate!B:B=O215), 0)),
    _xlpm.posicion, MATCH(_xlpm.valor, FilterJP!$E$1:$FZ$1, 0),
    _xlpm.direccionCompleta, ADDRESS(1, _xlpm.posicion + 4, 4),
    _xlpm.letraColumna, SUBSTITUTE(_xlpm.direccionCompleta, "1", ""),
    _xlpm.letraColumna
)</f>
        <v>#N/A</v>
      </c>
      <c r="Z215" s="7"/>
      <c r="AA215" s="367"/>
      <c r="AB215" s="7"/>
      <c r="AC215" s="93">
        <f t="shared" si="172"/>
        <v>0</v>
      </c>
      <c r="AD215" s="94">
        <f t="shared" si="181"/>
        <v>0</v>
      </c>
      <c r="AE215" s="109">
        <f t="shared" si="182"/>
        <v>0</v>
      </c>
      <c r="AF215" s="7"/>
      <c r="AG215" s="369">
        <f t="shared" si="173"/>
        <v>0</v>
      </c>
      <c r="AH215" s="368">
        <f t="shared" si="174"/>
        <v>0</v>
      </c>
      <c r="AI215" s="7"/>
      <c r="AJ215" s="369" cm="1">
        <f t="array" ref="AJ215">IFERROR(INDEX(WHT!$C$7:$W$18,MATCH(
_xlfn.SWITCH(N215,"xDC Medellin","Colombia","xDC Belo Horizonte","Brazil","xDC Guadalajara","Mexico","xDC Gurugram","India","xDC Leon","Spain","xDC San Jose","Costa Rica","xDC Warsaw","Poland",N215),
WHT!$B$7:$B$18,0),MATCH(CustomerCountry,WHT!$C$5:$W$5,0)),0)</f>
        <v>0</v>
      </c>
      <c r="AK215" s="368">
        <f t="shared" si="175"/>
        <v>0</v>
      </c>
      <c r="AL215" s="7"/>
      <c r="AM215" s="95">
        <f t="shared" si="183"/>
        <v>0</v>
      </c>
      <c r="AN215" s="95">
        <f t="shared" ca="1" si="176"/>
        <v>0</v>
      </c>
      <c r="AO215" s="95">
        <f t="shared" ca="1" si="184"/>
        <v>0</v>
      </c>
      <c r="AP215" s="90"/>
      <c r="AQ215" s="18"/>
      <c r="AR215" s="290"/>
      <c r="AS215" s="467" t="s">
        <v>133</v>
      </c>
      <c r="AT215" s="501">
        <f ca="1">IF(AS215="x",AM215+((SUM($AN$175:$AN$180)+SUMIF($AS$186:$AS$215,"&lt;&gt;x",$AM$186:$AM$215))*IFERROR(AM215/SUMIF($AS$186:$AS$215,"x",$AM$186:$AM$215),0)),0)</f>
        <v>0</v>
      </c>
      <c r="AU215" s="502"/>
      <c r="AV215" s="95">
        <f t="shared" ca="1" si="185"/>
        <v>0</v>
      </c>
      <c r="AW215" s="469">
        <f t="shared" ca="1" si="178"/>
        <v>0</v>
      </c>
      <c r="AX215" s="290"/>
      <c r="AY215" s="18"/>
      <c r="AZ215" s="3"/>
      <c r="BA215" s="315"/>
      <c r="BB215" s="3"/>
      <c r="BC215" s="3"/>
      <c r="BD215" s="3"/>
      <c r="BE215" s="3"/>
      <c r="BF215" s="18"/>
      <c r="BG215" s="3"/>
      <c r="BH215" s="315"/>
      <c r="BI215" s="3"/>
      <c r="BJ215" s="3"/>
      <c r="BK215" s="3"/>
      <c r="BL215" s="3"/>
      <c r="BM215" s="18"/>
      <c r="BN215" s="3"/>
      <c r="BO215" s="315"/>
      <c r="BP215" s="3"/>
      <c r="BQ215" s="3"/>
      <c r="BR215" s="3"/>
      <c r="BS215" s="3"/>
      <c r="BT215" s="18"/>
      <c r="BU215" s="3"/>
      <c r="BV215" s="315"/>
      <c r="BW215" s="3"/>
      <c r="BX215" s="3"/>
      <c r="BY215" s="3"/>
      <c r="BZ215" s="3"/>
    </row>
    <row r="216" spans="1:82" ht="15.6" outlineLevel="1">
      <c r="A216" s="7"/>
      <c r="B216" s="376"/>
      <c r="C216" s="376"/>
      <c r="D216" s="376"/>
      <c r="E216" s="342"/>
      <c r="F216" s="290"/>
      <c r="G216" s="290"/>
      <c r="H216" s="290"/>
      <c r="I216" s="290"/>
      <c r="J216" s="290"/>
      <c r="K216" s="290"/>
      <c r="L216" s="18"/>
      <c r="M216" s="7"/>
      <c r="N216" s="7"/>
      <c r="O216" s="7"/>
      <c r="P216" s="7"/>
      <c r="Q216" s="7"/>
      <c r="R216" s="7"/>
      <c r="S216" s="294"/>
      <c r="T216" s="294"/>
      <c r="U216" s="294"/>
      <c r="V216" s="294"/>
      <c r="W216" s="294"/>
      <c r="X216" s="7"/>
      <c r="Y216" s="7"/>
      <c r="Z216" s="294"/>
      <c r="AA216" s="377"/>
      <c r="AB216" s="294"/>
      <c r="AC216" s="294"/>
      <c r="AD216" s="294"/>
      <c r="AE216" s="294"/>
      <c r="AF216" s="7"/>
      <c r="AG216" s="294"/>
      <c r="AH216" s="294"/>
      <c r="AI216" s="7"/>
      <c r="AJ216" s="294"/>
      <c r="AK216" s="294"/>
      <c r="AL216" s="7"/>
      <c r="AM216" s="294"/>
      <c r="AN216" s="294"/>
      <c r="AO216" s="294"/>
      <c r="AP216" s="294"/>
      <c r="AQ216" s="18"/>
      <c r="AR216" s="378"/>
      <c r="AS216" s="378"/>
      <c r="AT216" s="378"/>
      <c r="AU216" s="81"/>
      <c r="AV216" s="378"/>
      <c r="AW216" s="7"/>
      <c r="AX216" s="378"/>
      <c r="AY216" s="18"/>
      <c r="AZ216" s="3"/>
      <c r="BA216" s="315"/>
      <c r="BB216" s="3"/>
      <c r="BC216" s="3"/>
      <c r="BD216" s="3"/>
      <c r="BE216" s="3"/>
      <c r="BF216" s="18"/>
      <c r="BG216" s="3"/>
      <c r="BH216" s="315"/>
      <c r="BI216" s="3"/>
      <c r="BJ216" s="3"/>
      <c r="BK216" s="3"/>
      <c r="BL216" s="3"/>
      <c r="BM216" s="18"/>
      <c r="BN216" s="3"/>
      <c r="BO216" s="315"/>
      <c r="BP216" s="3"/>
      <c r="BQ216" s="3"/>
      <c r="BR216" s="3"/>
      <c r="BS216" s="3"/>
      <c r="BT216" s="18"/>
      <c r="BU216" s="3"/>
      <c r="BV216" s="315"/>
      <c r="BW216" s="3"/>
      <c r="BX216" s="3"/>
      <c r="BY216" s="3"/>
      <c r="BZ216" s="3"/>
    </row>
    <row r="217" spans="1:82" s="389" customFormat="1">
      <c r="A217" s="390"/>
      <c r="B217" s="390"/>
      <c r="C217" s="390"/>
      <c r="D217" s="390"/>
      <c r="E217" s="390"/>
      <c r="F217" s="390"/>
      <c r="G217" s="390"/>
      <c r="H217" s="390"/>
      <c r="I217" s="390"/>
      <c r="J217" s="390"/>
      <c r="K217" s="390"/>
      <c r="L217" s="390"/>
      <c r="M217" s="392"/>
      <c r="N217" s="392"/>
      <c r="O217" s="392"/>
      <c r="P217" s="392"/>
      <c r="Q217" s="392"/>
      <c r="R217" s="392"/>
      <c r="S217" s="392"/>
      <c r="T217" s="392"/>
      <c r="U217" s="392"/>
      <c r="V217" s="392"/>
      <c r="W217" s="392"/>
      <c r="X217" s="392"/>
      <c r="Y217" s="392"/>
      <c r="Z217" s="392"/>
      <c r="AA217" s="320"/>
      <c r="AB217" s="321"/>
      <c r="AC217" s="322"/>
      <c r="AD217" s="322"/>
      <c r="AE217" s="322"/>
      <c r="AF217" s="322"/>
      <c r="AG217" s="322"/>
      <c r="AH217" s="322"/>
      <c r="AI217" s="322"/>
      <c r="AJ217" s="323"/>
      <c r="AK217" s="322"/>
      <c r="AL217" s="322"/>
      <c r="AM217" s="322"/>
      <c r="AN217" s="323"/>
      <c r="AO217" s="323"/>
      <c r="AP217" s="323"/>
      <c r="AR217" s="390"/>
      <c r="AS217" s="390"/>
      <c r="AT217" s="390"/>
      <c r="AU217" s="390"/>
      <c r="AV217" s="390"/>
      <c r="AW217" s="390"/>
      <c r="AX217" s="390"/>
      <c r="AZ217" s="390"/>
      <c r="BA217" s="390"/>
      <c r="BB217" s="390"/>
      <c r="BC217" s="390"/>
      <c r="BD217" s="390"/>
      <c r="BE217" s="390"/>
      <c r="BF217" s="390"/>
      <c r="BG217" s="390"/>
      <c r="BH217" s="390"/>
      <c r="BI217" s="390"/>
      <c r="BJ217" s="390"/>
      <c r="BK217" s="390"/>
      <c r="BL217" s="390"/>
      <c r="BM217" s="390"/>
      <c r="BN217" s="390"/>
      <c r="BO217" s="390"/>
      <c r="BP217" s="390"/>
      <c r="BQ217" s="390"/>
      <c r="BR217" s="390"/>
      <c r="BS217" s="390"/>
      <c r="BT217" s="390"/>
      <c r="BU217" s="390"/>
      <c r="BV217" s="390"/>
      <c r="BW217" s="390"/>
      <c r="BX217" s="390"/>
      <c r="BY217" s="390"/>
      <c r="BZ217" s="390"/>
      <c r="CA217" s="390"/>
      <c r="CB217" s="390"/>
      <c r="CC217" s="390"/>
      <c r="CD217" s="390"/>
    </row>
    <row r="218" spans="1:82" s="325" customFormat="1" ht="15.6">
      <c r="A218" s="480"/>
      <c r="B218" s="507">
        <f>CMSResumen!G6</f>
        <v>0</v>
      </c>
      <c r="C218" s="507"/>
      <c r="D218" s="324"/>
      <c r="E218" s="342"/>
      <c r="F218" s="290"/>
      <c r="G218" s="79"/>
      <c r="H218" s="326"/>
      <c r="I218" s="326"/>
      <c r="J218" s="80"/>
      <c r="K218" s="290"/>
      <c r="L218" s="342"/>
      <c r="M218" s="2"/>
      <c r="N218" s="7"/>
      <c r="O218" s="7"/>
      <c r="P218" s="77"/>
      <c r="Q218" s="77"/>
      <c r="R218" s="77"/>
      <c r="S218" s="77"/>
      <c r="T218" s="77"/>
      <c r="U218" s="77"/>
      <c r="V218" s="77"/>
      <c r="W218" s="77"/>
      <c r="X218" s="77"/>
      <c r="Y218" s="77"/>
      <c r="Z218" s="2"/>
      <c r="AA218" s="304"/>
      <c r="AB218" s="7"/>
      <c r="AC218" s="13"/>
      <c r="AD218" s="13"/>
      <c r="AE218" s="13"/>
      <c r="AF218" s="13"/>
      <c r="AG218" s="13"/>
      <c r="AH218" s="13"/>
      <c r="AI218" s="13"/>
      <c r="AJ218" s="70"/>
      <c r="AK218" s="70"/>
      <c r="AL218" s="13"/>
      <c r="AM218" s="13"/>
      <c r="AN218" s="70"/>
      <c r="AO218" s="70"/>
      <c r="AP218" s="7"/>
      <c r="AQ218" s="342"/>
      <c r="AR218" s="290"/>
      <c r="AS218" s="290"/>
      <c r="AT218" s="290"/>
      <c r="AU218" s="290"/>
      <c r="AV218" s="290"/>
      <c r="AW218" s="290"/>
      <c r="AX218" s="290"/>
      <c r="AY218" s="342"/>
      <c r="AZ218" s="3"/>
      <c r="BA218" s="315"/>
      <c r="BB218" s="3"/>
      <c r="BC218" s="3"/>
      <c r="BD218" s="3"/>
      <c r="BE218" s="3"/>
      <c r="BF218" s="342"/>
      <c r="BG218" s="3"/>
      <c r="BH218" s="315"/>
      <c r="BI218" s="3"/>
      <c r="BJ218" s="3"/>
      <c r="BK218" s="3"/>
      <c r="BL218" s="3"/>
      <c r="BM218" s="342"/>
      <c r="BN218" s="3"/>
      <c r="BO218" s="315"/>
      <c r="BP218" s="3"/>
      <c r="BQ218" s="3"/>
      <c r="BR218" s="3"/>
      <c r="BS218" s="3"/>
      <c r="BT218" s="342"/>
      <c r="BU218" s="3"/>
      <c r="BV218" s="315"/>
      <c r="BW218" s="3"/>
      <c r="BX218" s="3"/>
      <c r="BY218" s="3"/>
      <c r="BZ218" s="3"/>
      <c r="CA218" s="342"/>
      <c r="CB218" s="342"/>
      <c r="CC218" s="342"/>
      <c r="CD218" s="342"/>
    </row>
    <row r="219" spans="1:82" s="325" customFormat="1" ht="15.6">
      <c r="A219" s="480"/>
      <c r="B219" s="507"/>
      <c r="C219" s="507"/>
      <c r="D219" s="324"/>
      <c r="E219" s="342"/>
      <c r="F219" s="290"/>
      <c r="G219" s="79"/>
      <c r="H219" s="326"/>
      <c r="I219" s="326"/>
      <c r="J219" s="80"/>
      <c r="K219" s="290"/>
      <c r="L219" s="342"/>
      <c r="M219" s="2"/>
      <c r="N219" s="13" t="s">
        <v>78</v>
      </c>
      <c r="O219" s="395" t="s">
        <v>79</v>
      </c>
      <c r="P219" s="395" t="s">
        <v>80</v>
      </c>
      <c r="Q219" s="77"/>
      <c r="R219" s="77"/>
      <c r="S219" s="77"/>
      <c r="T219" s="77"/>
      <c r="U219" s="13" t="s">
        <v>81</v>
      </c>
      <c r="V219" s="428" t="str">
        <f>_xlfn.CONCAT("DELIVERY COST (",BillingCountryCurrency,")")</f>
        <v>DELIVERY COST (COP)</v>
      </c>
      <c r="W219" s="428" t="str">
        <f>_xlfn.CONCAT("DELIVERY COST (",IF(ISBLANK(BusinessCurrency),"N/A",BusinessCurrency),")")</f>
        <v>DELIVERY COST (USD)</v>
      </c>
      <c r="X219" s="77"/>
      <c r="Y219" s="77"/>
      <c r="Z219" s="2"/>
      <c r="AA219" s="304"/>
      <c r="AB219" s="7"/>
      <c r="AC219" s="13" t="s">
        <v>82</v>
      </c>
      <c r="AD219" s="428" t="str">
        <f>_xlfn.CONCAT("PRICING (",BillingCountryCurrency,")")</f>
        <v>PRICING (COP)</v>
      </c>
      <c r="AE219" s="428" t="str">
        <f>_xlfn.CONCAT("PRICING (",IF(ISBLANK(BusinessCurrency),"N/A",BusinessCurrency),")")</f>
        <v>PRICING (USD)</v>
      </c>
      <c r="AF219" s="70" t="s">
        <v>14</v>
      </c>
      <c r="AG219" s="428" t="str">
        <f>_xlfn.CONCAT("Intercompany (",BillingCountryCurrency,")")</f>
        <v>Intercompany (COP)</v>
      </c>
      <c r="AH219" s="428" t="str">
        <f>_xlfn.CONCAT("Intercompany (",IF(ISBLANK(BusinessCurrency),"N/A",BusinessCurrency),")")</f>
        <v>Intercompany (USD)</v>
      </c>
      <c r="AI219" s="70" t="s">
        <v>14</v>
      </c>
      <c r="AJ219" s="428" t="str">
        <f>_xlfn.CONCAT("WHT (",BillingCountryCurrency,")")</f>
        <v>WHT (COP)</v>
      </c>
      <c r="AK219" s="428" t="str">
        <f>_xlfn.CONCAT("WHT (",IF(ISBLANK(BusinessCurrency),"N/A",BusinessCurrency),")")</f>
        <v>WHT (USD)</v>
      </c>
      <c r="AL219" s="70"/>
      <c r="AM219" s="70" t="s">
        <v>15</v>
      </c>
      <c r="AN219" s="428" t="str">
        <f>_xlfn.CONCAT("SUBTOTAL PRICE (",BillingCountryCurrency,")")</f>
        <v>SUBTOTAL PRICE (COP)</v>
      </c>
      <c r="AO219" s="428" t="str">
        <f>_xlfn.CONCAT("SUBTOTAL PRICE (",IF(ISBLANK(BusinessCurrency),"N/A",BusinessCurrency),")")</f>
        <v>SUBTOTAL PRICE (USD)</v>
      </c>
      <c r="AP219" s="7"/>
      <c r="AQ219" s="342"/>
      <c r="AR219" s="290"/>
      <c r="AS219" s="13" t="s">
        <v>83</v>
      </c>
      <c r="AT219" s="290"/>
      <c r="AU219" s="100"/>
      <c r="AV219" s="417"/>
      <c r="AW219" s="417"/>
      <c r="AX219" s="290"/>
      <c r="AY219" s="342"/>
      <c r="AZ219" s="3"/>
      <c r="BA219" s="315"/>
      <c r="BB219" s="3"/>
      <c r="BC219" s="3"/>
      <c r="BD219" s="3"/>
      <c r="BE219" s="3"/>
      <c r="BF219" s="342"/>
      <c r="BG219" s="3"/>
      <c r="BH219" s="315"/>
      <c r="BI219" s="3"/>
      <c r="BJ219" s="3"/>
      <c r="BK219" s="3"/>
      <c r="BL219" s="3"/>
      <c r="BM219" s="342"/>
      <c r="BN219" s="3"/>
      <c r="BO219" s="315"/>
      <c r="BP219" s="3"/>
      <c r="BQ219" s="3"/>
      <c r="BR219" s="3"/>
      <c r="BS219" s="3"/>
      <c r="BT219" s="342"/>
      <c r="BU219" s="3"/>
      <c r="BV219" s="315"/>
      <c r="BW219" s="3"/>
      <c r="BX219" s="3"/>
      <c r="BY219" s="3"/>
      <c r="BZ219" s="3"/>
      <c r="CA219" s="342"/>
      <c r="CB219" s="342"/>
      <c r="CC219" s="342"/>
      <c r="CD219" s="342"/>
    </row>
    <row r="220" spans="1:82" s="325" customFormat="1" ht="15.6">
      <c r="A220" s="480"/>
      <c r="B220" s="507"/>
      <c r="C220" s="507"/>
      <c r="D220" s="324"/>
      <c r="E220" s="342"/>
      <c r="F220" s="290"/>
      <c r="G220" s="79"/>
      <c r="H220" s="326"/>
      <c r="I220" s="326"/>
      <c r="J220" s="80"/>
      <c r="K220" s="290"/>
      <c r="L220" s="342"/>
      <c r="M220" s="2"/>
      <c r="N220" s="79" t="s">
        <v>84</v>
      </c>
      <c r="O220" s="103">
        <f ca="1">SUMIF($P234:$P263,"&lt;&gt;*Project Management*",$T234:$T263)</f>
        <v>26.227637999999999</v>
      </c>
      <c r="P220" s="396">
        <f ca="1">IFERROR(O220/O223,0)</f>
        <v>0.82224389153830135</v>
      </c>
      <c r="Q220" s="82"/>
      <c r="R220" s="77"/>
      <c r="S220" s="77"/>
      <c r="T220" s="77"/>
      <c r="U220" s="4" t="s">
        <v>24</v>
      </c>
      <c r="V220" s="328">
        <f ca="1">SUMIF(P234:P263,"&lt;&gt;*Project Management*",W234:W263)</f>
        <v>1053221.9513319002</v>
      </c>
      <c r="W220" s="425">
        <f t="shared" ref="W220:W229" ca="1" si="215">IFERROR(V220/BusinessCurrencyTRM,"N/A")</f>
        <v>270.05691059792315</v>
      </c>
      <c r="X220" s="7"/>
      <c r="Y220" s="7" t="s">
        <v>85</v>
      </c>
      <c r="Z220" s="2"/>
      <c r="AA220" s="304"/>
      <c r="AB220" s="7"/>
      <c r="AC220" s="4" t="s">
        <v>24</v>
      </c>
      <c r="AD220" s="329">
        <f ca="1">SUMIF(P234:P263,"&lt;&gt;*Project Management*",AD234:AD263)</f>
        <v>1504602.8058096</v>
      </c>
      <c r="AE220" s="425">
        <f t="shared" ref="AE220:AE229" ca="1" si="216">IFERROR(AD220/BusinessCurrencyTRM,"N/A")</f>
        <v>385.79559123323077</v>
      </c>
      <c r="AF220" s="330"/>
      <c r="AG220" s="328">
        <f ca="1">SUMIF(P234:P263,"&lt;&gt;*Project Management*",AH234:AH263)</f>
        <v>0</v>
      </c>
      <c r="AH220" s="449">
        <f t="shared" ref="AH220:AH229" ca="1" si="217">IFERROR(AG220/BusinessCurrencyTRM,"N/A")</f>
        <v>0</v>
      </c>
      <c r="AI220" s="330"/>
      <c r="AJ220" s="328">
        <f ca="1">SUMIF(P234:P263,"&lt;&gt;*Project Management*",AK234:AK263)</f>
        <v>0</v>
      </c>
      <c r="AK220" s="425">
        <f t="shared" ref="AK220:AK229" ca="1" si="218">IFERROR(AJ220/BusinessCurrencyTRM,"N/A")</f>
        <v>0</v>
      </c>
      <c r="AL220" s="330"/>
      <c r="AM220" s="330"/>
      <c r="AN220" s="329">
        <f ca="1">SUM(AD220,AG220,AJ220)</f>
        <v>1504602.8058096</v>
      </c>
      <c r="AO220" s="425">
        <f t="shared" ref="AO220:AO229" ca="1" si="219">IFERROR(AN220/BusinessCurrencyTRM,"N/A")</f>
        <v>385.79559123323077</v>
      </c>
      <c r="AP220" s="7"/>
      <c r="AQ220" s="342"/>
      <c r="AR220" s="290"/>
      <c r="AS220" s="402" t="s">
        <v>86</v>
      </c>
      <c r="AT220" s="290"/>
      <c r="AU220" s="81"/>
      <c r="AV220" s="508">
        <f>CMSResumen!H21</f>
        <v>0.3</v>
      </c>
      <c r="AW220" s="508"/>
      <c r="AX220" s="290"/>
      <c r="AY220" s="342"/>
      <c r="AZ220" s="3"/>
      <c r="BA220" s="315"/>
      <c r="BB220" s="3"/>
      <c r="BC220" s="3"/>
      <c r="BD220" s="3"/>
      <c r="BE220" s="3"/>
      <c r="BF220" s="342"/>
      <c r="BG220" s="3"/>
      <c r="BH220" s="315"/>
      <c r="BI220" s="3"/>
      <c r="BJ220" s="3"/>
      <c r="BK220" s="3"/>
      <c r="BL220" s="3"/>
      <c r="BM220" s="342"/>
      <c r="BN220" s="3"/>
      <c r="BO220" s="315"/>
      <c r="BP220" s="3"/>
      <c r="BQ220" s="3"/>
      <c r="BR220" s="3"/>
      <c r="BS220" s="3"/>
      <c r="BT220" s="342"/>
      <c r="BU220" s="3"/>
      <c r="BV220" s="315"/>
      <c r="BW220" s="3"/>
      <c r="BX220" s="3"/>
      <c r="BY220" s="3"/>
      <c r="BZ220" s="3"/>
      <c r="CA220" s="342"/>
      <c r="CB220" s="342"/>
      <c r="CC220" s="342"/>
      <c r="CD220" s="342"/>
    </row>
    <row r="221" spans="1:82" s="325" customFormat="1" ht="16.149999999999999" thickBot="1">
      <c r="A221" s="480"/>
      <c r="B221" s="507"/>
      <c r="C221" s="507"/>
      <c r="D221" s="324"/>
      <c r="E221" s="342"/>
      <c r="F221" s="290"/>
      <c r="G221" s="79"/>
      <c r="H221" s="326"/>
      <c r="I221" s="326"/>
      <c r="J221" s="80"/>
      <c r="K221" s="290"/>
      <c r="L221" s="342"/>
      <c r="M221" s="2"/>
      <c r="N221" s="79" t="s">
        <v>87</v>
      </c>
      <c r="O221" s="103">
        <f ca="1">SUMIF($P234:$P263,"=*Project Management*",$T234:T263)</f>
        <v>5.67</v>
      </c>
      <c r="P221" s="396">
        <f ca="1">IFERROR(O221/O223,0)</f>
        <v>0.17775610846169862</v>
      </c>
      <c r="Q221" s="82"/>
      <c r="R221" s="77"/>
      <c r="S221" s="77"/>
      <c r="T221" s="77"/>
      <c r="U221" s="4" t="s">
        <v>30</v>
      </c>
      <c r="V221" s="328">
        <f ca="1">SUMIF(P234:P263,"=*Project Management*",W234:W263)</f>
        <v>0</v>
      </c>
      <c r="W221" s="425">
        <f t="shared" ca="1" si="215"/>
        <v>0</v>
      </c>
      <c r="X221" s="7"/>
      <c r="Y221" s="7" t="s">
        <v>88</v>
      </c>
      <c r="Z221" s="2"/>
      <c r="AA221" s="304"/>
      <c r="AB221" s="7"/>
      <c r="AC221" s="4" t="s">
        <v>30</v>
      </c>
      <c r="AD221" s="329">
        <f ca="1">SUMIF(P234:P263,"=*Project Management*",AD234:AD263)</f>
        <v>0</v>
      </c>
      <c r="AE221" s="425">
        <f t="shared" ca="1" si="216"/>
        <v>0</v>
      </c>
      <c r="AF221" s="330"/>
      <c r="AG221" s="328">
        <f ca="1">SUMIF(P234:P263,"=*Project Management*",AH234:AH263)</f>
        <v>0</v>
      </c>
      <c r="AH221" s="447">
        <f t="shared" ca="1" si="217"/>
        <v>0</v>
      </c>
      <c r="AI221" s="330"/>
      <c r="AJ221" s="448">
        <f ca="1">SUMIF(P234:P263,"=*Project Management*",AK234:AK263)</f>
        <v>0</v>
      </c>
      <c r="AK221" s="425">
        <f t="shared" ca="1" si="218"/>
        <v>0</v>
      </c>
      <c r="AL221" s="330"/>
      <c r="AM221" s="330"/>
      <c r="AN221" s="329">
        <f t="shared" ref="AN221:AN229" ca="1" si="220">SUM(AD221,AG221,AJ221)</f>
        <v>0</v>
      </c>
      <c r="AO221" s="425">
        <f t="shared" ca="1" si="219"/>
        <v>0</v>
      </c>
      <c r="AP221" s="7"/>
      <c r="AQ221" s="342"/>
      <c r="AR221" s="290"/>
      <c r="AS221" s="402" t="s">
        <v>89</v>
      </c>
      <c r="AT221" s="290"/>
      <c r="AU221" s="81"/>
      <c r="AV221" s="509">
        <f ca="1">IFERROR(1-AV223/AV224,0)</f>
        <v>0.30000000846390806</v>
      </c>
      <c r="AW221" s="509"/>
      <c r="AX221" s="290"/>
      <c r="AY221" s="342"/>
      <c r="AZ221" s="3"/>
      <c r="BA221" s="315"/>
      <c r="BB221" s="3"/>
      <c r="BC221" s="3"/>
      <c r="BD221" s="3"/>
      <c r="BE221" s="3"/>
      <c r="BF221" s="342"/>
      <c r="BG221" s="3"/>
      <c r="BH221" s="315"/>
      <c r="BI221" s="3"/>
      <c r="BJ221" s="3"/>
      <c r="BK221" s="3"/>
      <c r="BL221" s="3"/>
      <c r="BM221" s="342"/>
      <c r="BN221" s="3"/>
      <c r="BO221" s="315"/>
      <c r="BP221" s="3"/>
      <c r="BQ221" s="3"/>
      <c r="BR221" s="3"/>
      <c r="BS221" s="3"/>
      <c r="BT221" s="342"/>
      <c r="BU221" s="3"/>
      <c r="BV221" s="315"/>
      <c r="BW221" s="3"/>
      <c r="BX221" s="3"/>
      <c r="BY221" s="3"/>
      <c r="BZ221" s="3"/>
      <c r="CA221" s="342"/>
      <c r="CB221" s="342"/>
      <c r="CC221" s="342"/>
      <c r="CD221" s="342"/>
    </row>
    <row r="222" spans="1:82" s="325" customFormat="1" ht="16.899999999999999" thickTop="1" thickBot="1">
      <c r="A222" s="480"/>
      <c r="B222" s="507"/>
      <c r="C222" s="507"/>
      <c r="D222" s="324"/>
      <c r="E222" s="342"/>
      <c r="F222" s="290"/>
      <c r="G222" s="79"/>
      <c r="H222" s="326"/>
      <c r="I222" s="326"/>
      <c r="J222" s="80"/>
      <c r="K222" s="290"/>
      <c r="L222" s="342"/>
      <c r="M222" s="2"/>
      <c r="N222" s="79" t="s">
        <v>90</v>
      </c>
      <c r="O222" s="103">
        <f ca="1">IF(Approach="Team-Based",SUM(O220:O221)*$O225,$J232-$G232)</f>
        <v>0</v>
      </c>
      <c r="P222" s="396">
        <f ca="1">IFERROR(O222/O223,0)</f>
        <v>0</v>
      </c>
      <c r="Q222" s="77"/>
      <c r="R222" s="77"/>
      <c r="S222" s="77"/>
      <c r="T222" s="77"/>
      <c r="U222" s="13" t="s">
        <v>35</v>
      </c>
      <c r="V222" s="84">
        <f ca="1">SUM(V220:V221)</f>
        <v>1053221.9513319002</v>
      </c>
      <c r="W222" s="426">
        <f t="shared" ca="1" si="215"/>
        <v>270.05691059792315</v>
      </c>
      <c r="X222" s="77"/>
      <c r="Y222" s="77"/>
      <c r="Z222" s="2"/>
      <c r="AA222" s="304"/>
      <c r="AB222" s="7"/>
      <c r="AC222" s="13" t="s">
        <v>35</v>
      </c>
      <c r="AD222" s="84">
        <f ca="1">SUM(AD220:AD221)</f>
        <v>1504602.8058096</v>
      </c>
      <c r="AE222" s="426">
        <f t="shared" ca="1" si="216"/>
        <v>385.79559123323077</v>
      </c>
      <c r="AF222" s="330"/>
      <c r="AG222" s="84">
        <f ca="1">SUM(AG220:AG221)</f>
        <v>0</v>
      </c>
      <c r="AH222" s="450">
        <f t="shared" ca="1" si="217"/>
        <v>0</v>
      </c>
      <c r="AI222" s="330"/>
      <c r="AJ222" s="84">
        <f ca="1">SUM(AJ220:AJ221)</f>
        <v>0</v>
      </c>
      <c r="AK222" s="426">
        <f t="shared" ca="1" si="218"/>
        <v>0</v>
      </c>
      <c r="AL222" s="330"/>
      <c r="AM222" s="330"/>
      <c r="AN222" s="84">
        <f t="shared" ca="1" si="220"/>
        <v>1504602.8058096</v>
      </c>
      <c r="AO222" s="426">
        <f t="shared" ca="1" si="219"/>
        <v>385.79559123323077</v>
      </c>
      <c r="AP222" s="7"/>
      <c r="AQ222" s="342"/>
      <c r="AR222" s="290"/>
      <c r="AS222" s="81"/>
      <c r="AT222" s="81"/>
      <c r="AU222" s="81"/>
      <c r="AV222" s="417" t="str">
        <f>BillingCountryCurrency</f>
        <v>COP</v>
      </c>
      <c r="AW222" s="417" t="str">
        <f>IF(ISBLANK(BusinessCurrency),"N/A",BusinessCurrency)</f>
        <v>USD</v>
      </c>
      <c r="AX222" s="290"/>
      <c r="AY222" s="342"/>
      <c r="AZ222" s="3"/>
      <c r="BA222" s="315"/>
      <c r="BB222" s="3"/>
      <c r="BC222" s="3"/>
      <c r="BD222" s="3"/>
      <c r="BE222" s="3"/>
      <c r="BF222" s="342"/>
      <c r="BG222" s="3"/>
      <c r="BH222" s="315"/>
      <c r="BI222" s="3"/>
      <c r="BJ222" s="3"/>
      <c r="BK222" s="3"/>
      <c r="BL222" s="3"/>
      <c r="BM222" s="342"/>
      <c r="BN222" s="3"/>
      <c r="BO222" s="315"/>
      <c r="BP222" s="3"/>
      <c r="BQ222" s="3"/>
      <c r="BR222" s="3"/>
      <c r="BS222" s="3"/>
      <c r="BT222" s="342"/>
      <c r="BU222" s="3"/>
      <c r="BV222" s="315"/>
      <c r="BW222" s="3"/>
      <c r="BX222" s="3"/>
      <c r="BY222" s="3"/>
      <c r="BZ222" s="3"/>
      <c r="CA222" s="342"/>
      <c r="CB222" s="342"/>
      <c r="CC222" s="342"/>
      <c r="CD222" s="342"/>
    </row>
    <row r="223" spans="1:82" s="325" customFormat="1" ht="16.149999999999999" thickTop="1">
      <c r="A223" s="480"/>
      <c r="B223" s="507"/>
      <c r="C223" s="507"/>
      <c r="D223" s="324"/>
      <c r="E223" s="342"/>
      <c r="F223" s="290"/>
      <c r="G223" s="79"/>
      <c r="H223" s="326"/>
      <c r="I223" s="326"/>
      <c r="J223" s="80"/>
      <c r="K223" s="290"/>
      <c r="L223" s="342"/>
      <c r="M223" s="2"/>
      <c r="N223" s="83" t="s">
        <v>91</v>
      </c>
      <c r="O223" s="102">
        <f ca="1">SUM(O220:O222)</f>
        <v>31.897638000000001</v>
      </c>
      <c r="P223" s="397">
        <f ca="1">SUM(P220:P222)</f>
        <v>1</v>
      </c>
      <c r="Q223" s="77"/>
      <c r="R223" s="77"/>
      <c r="S223" s="77"/>
      <c r="T223" s="77"/>
      <c r="U223" s="4" t="s">
        <v>47</v>
      </c>
      <c r="V223" s="328">
        <f ca="1">ROUNDUP(V222*O225,2)</f>
        <v>0</v>
      </c>
      <c r="W223" s="425">
        <f t="shared" ca="1" si="215"/>
        <v>0</v>
      </c>
      <c r="X223" s="7"/>
      <c r="Y223" s="7" t="s">
        <v>92</v>
      </c>
      <c r="Z223" s="2"/>
      <c r="AA223" s="304"/>
      <c r="AB223" s="7"/>
      <c r="AC223" s="4" t="s">
        <v>47</v>
      </c>
      <c r="AD223" s="328">
        <f ca="1">ROUNDUP(V223/(1-$AV$220),2)</f>
        <v>0</v>
      </c>
      <c r="AE223" s="425">
        <f t="shared" ca="1" si="216"/>
        <v>0</v>
      </c>
      <c r="AF223" s="330"/>
      <c r="AG223" s="328">
        <f ca="1">IFERROR(V223*MAX(AG234:AG263),0)</f>
        <v>0</v>
      </c>
      <c r="AH223" s="449">
        <f t="shared" ca="1" si="217"/>
        <v>0</v>
      </c>
      <c r="AI223" s="330"/>
      <c r="AJ223" s="328">
        <f ca="1">IFERROR(SUM(V223,AG223)*MAX(AJ234:AJ263),0)</f>
        <v>0</v>
      </c>
      <c r="AK223" s="425">
        <f t="shared" ca="1" si="218"/>
        <v>0</v>
      </c>
      <c r="AL223" s="330"/>
      <c r="AM223" s="330"/>
      <c r="AN223" s="329">
        <f t="shared" ca="1" si="220"/>
        <v>0</v>
      </c>
      <c r="AO223" s="425">
        <f t="shared" ca="1" si="219"/>
        <v>0</v>
      </c>
      <c r="AP223" s="7"/>
      <c r="AQ223" s="342"/>
      <c r="AR223" s="290"/>
      <c r="AS223" s="402" t="s">
        <v>93</v>
      </c>
      <c r="AT223" s="290"/>
      <c r="AU223" s="81"/>
      <c r="AV223" s="298">
        <f ca="1">SUM(V229,AG229,AJ229)</f>
        <v>1053221.9513319002</v>
      </c>
      <c r="AW223" s="418">
        <f ca="1">IFERROR(AV223/BusinessCurrencyTRM,"N/A")</f>
        <v>270.05691059792315</v>
      </c>
      <c r="AX223" s="290"/>
      <c r="AY223" s="342"/>
      <c r="AZ223" s="3"/>
      <c r="BA223" s="315"/>
      <c r="BB223" s="3"/>
      <c r="BC223" s="3"/>
      <c r="BD223" s="3"/>
      <c r="BE223" s="3"/>
      <c r="BF223" s="342"/>
      <c r="BG223" s="3"/>
      <c r="BH223" s="315"/>
      <c r="BI223" s="3"/>
      <c r="BJ223" s="3"/>
      <c r="BK223" s="3"/>
      <c r="BL223" s="3"/>
      <c r="BM223" s="342"/>
      <c r="BN223" s="3"/>
      <c r="BO223" s="315"/>
      <c r="BP223" s="3"/>
      <c r="BQ223" s="3"/>
      <c r="BR223" s="3"/>
      <c r="BS223" s="3"/>
      <c r="BT223" s="342"/>
      <c r="BU223" s="3"/>
      <c r="BV223" s="315"/>
      <c r="BW223" s="3"/>
      <c r="BX223" s="3"/>
      <c r="BY223" s="3"/>
      <c r="BZ223" s="3"/>
      <c r="CA223" s="342"/>
      <c r="CB223" s="342"/>
      <c r="CC223" s="342"/>
      <c r="CD223" s="342"/>
    </row>
    <row r="224" spans="1:82" s="325" customFormat="1" ht="15.6">
      <c r="A224" s="480"/>
      <c r="B224" s="507"/>
      <c r="C224" s="507"/>
      <c r="D224" s="324"/>
      <c r="E224" s="342"/>
      <c r="F224" s="290"/>
      <c r="G224" s="79"/>
      <c r="H224" s="326"/>
      <c r="I224" s="326"/>
      <c r="J224" s="80"/>
      <c r="K224" s="290"/>
      <c r="L224" s="342"/>
      <c r="M224" s="2"/>
      <c r="N224" s="2"/>
      <c r="O224" s="2"/>
      <c r="P224" s="32"/>
      <c r="Q224" s="77"/>
      <c r="R224" s="77"/>
      <c r="S224" s="77"/>
      <c r="T224" s="77"/>
      <c r="U224" s="4" t="s">
        <v>50</v>
      </c>
      <c r="V224" s="328">
        <f>IFERROR(SUMIF(PayRise!A:A,B218,PayRise!J:J),0)</f>
        <v>0</v>
      </c>
      <c r="W224" s="425">
        <f t="shared" si="215"/>
        <v>0</v>
      </c>
      <c r="X224" s="7"/>
      <c r="Y224" s="7" t="s">
        <v>94</v>
      </c>
      <c r="Z224" s="2"/>
      <c r="AA224" s="304"/>
      <c r="AB224" s="7"/>
      <c r="AC224" s="4" t="s">
        <v>50</v>
      </c>
      <c r="AD224" s="328">
        <f>IFERROR(SUMIF(PayRise!A:A,B218,PayRise!K:K),0)</f>
        <v>0</v>
      </c>
      <c r="AE224" s="425">
        <f t="shared" si="216"/>
        <v>0</v>
      </c>
      <c r="AF224" s="330"/>
      <c r="AG224" s="328">
        <f>IFERROR(SUMIF(PayRise!A:A,B218,PayRise!L:L),0)</f>
        <v>0</v>
      </c>
      <c r="AH224" s="445">
        <f t="shared" si="217"/>
        <v>0</v>
      </c>
      <c r="AI224" s="330"/>
      <c r="AJ224" s="446">
        <f>IFERROR(SUMIF(PayRise!A:A,B218,PayRise!M:M),0)</f>
        <v>0</v>
      </c>
      <c r="AK224" s="425">
        <f t="shared" si="218"/>
        <v>0</v>
      </c>
      <c r="AL224" s="330"/>
      <c r="AM224" s="330"/>
      <c r="AN224" s="329">
        <f t="shared" si="220"/>
        <v>0</v>
      </c>
      <c r="AO224" s="425">
        <f t="shared" si="219"/>
        <v>0</v>
      </c>
      <c r="AP224" s="7"/>
      <c r="AQ224" s="342"/>
      <c r="AR224" s="290"/>
      <c r="AS224" s="402" t="s">
        <v>95</v>
      </c>
      <c r="AT224" s="290"/>
      <c r="AU224" s="100"/>
      <c r="AV224" s="298">
        <f ca="1">AN229</f>
        <v>1504602.8058096</v>
      </c>
      <c r="AW224" s="418">
        <f ca="1">IFERROR(AV224/BusinessCurrencyTRM,"N/A")</f>
        <v>385.79559123323077</v>
      </c>
      <c r="AX224" s="290"/>
      <c r="AY224" s="342"/>
      <c r="AZ224" s="3"/>
      <c r="BA224" s="315"/>
      <c r="BB224" s="3"/>
      <c r="BC224" s="3"/>
      <c r="BD224" s="3"/>
      <c r="BE224" s="3"/>
      <c r="BF224" s="342"/>
      <c r="BG224" s="3"/>
      <c r="BH224" s="315"/>
      <c r="BI224" s="3"/>
      <c r="BJ224" s="3"/>
      <c r="BK224" s="3"/>
      <c r="BL224" s="3"/>
      <c r="BM224" s="342"/>
      <c r="BN224" s="3"/>
      <c r="BO224" s="315"/>
      <c r="BP224" s="3"/>
      <c r="BQ224" s="3"/>
      <c r="BR224" s="3"/>
      <c r="BS224" s="3"/>
      <c r="BT224" s="342"/>
      <c r="BU224" s="3"/>
      <c r="BV224" s="315"/>
      <c r="BW224" s="3"/>
      <c r="BX224" s="3"/>
      <c r="BY224" s="3"/>
      <c r="BZ224" s="3"/>
      <c r="CA224" s="342"/>
      <c r="CB224" s="342"/>
      <c r="CC224" s="342"/>
      <c r="CD224" s="342"/>
    </row>
    <row r="225" spans="1:79" s="325" customFormat="1" ht="15.6">
      <c r="A225" s="480"/>
      <c r="B225" s="507"/>
      <c r="C225" s="507"/>
      <c r="D225" s="324"/>
      <c r="E225" s="342"/>
      <c r="F225" s="290"/>
      <c r="G225" s="79"/>
      <c r="H225" s="326"/>
      <c r="I225" s="326"/>
      <c r="J225" s="80"/>
      <c r="K225" s="290"/>
      <c r="L225" s="342"/>
      <c r="M225" s="2"/>
      <c r="N225" s="13" t="str">
        <f>IF(Approach="By Hours", "N/A for ByHours", "% Risks")</f>
        <v>% Risks</v>
      </c>
      <c r="O225" s="331">
        <v>0</v>
      </c>
      <c r="P225" s="32"/>
      <c r="Q225" s="77"/>
      <c r="R225" s="77"/>
      <c r="S225" s="309"/>
      <c r="T225" s="309"/>
      <c r="U225" s="4" t="s">
        <v>55</v>
      </c>
      <c r="V225" s="328">
        <f>IFERROR(SUMIFS(OtherCosts!Q:Q,OtherCosts!A:A,B218,OtherCosts!B:B,"Hardware/Software"),0)</f>
        <v>0</v>
      </c>
      <c r="W225" s="425">
        <f t="shared" si="215"/>
        <v>0</v>
      </c>
      <c r="X225" s="7"/>
      <c r="Y225" s="7" t="s">
        <v>96</v>
      </c>
      <c r="Z225" s="2"/>
      <c r="AA225" s="304"/>
      <c r="AB225" s="7"/>
      <c r="AC225" s="4" t="s">
        <v>55</v>
      </c>
      <c r="AD225" s="328">
        <f>IFERROR(SUMIFS(OtherCosts!R:R,OtherCosts!A:A,B218,OtherCosts!B:B,"Hardware/Software"),0)</f>
        <v>0</v>
      </c>
      <c r="AE225" s="425">
        <f t="shared" si="216"/>
        <v>0</v>
      </c>
      <c r="AF225" s="330"/>
      <c r="AG225" s="328">
        <f>IFERROR(SUMIFS(OtherCosts!S:S,OtherCosts!A:A,B218,OtherCosts!B:B,"Hardware/Software"),0)</f>
        <v>0</v>
      </c>
      <c r="AH225" s="445">
        <f t="shared" si="217"/>
        <v>0</v>
      </c>
      <c r="AI225" s="330"/>
      <c r="AJ225" s="446">
        <f>IFERROR(SUMIFS(OtherCosts!T:T,OtherCosts!A:A,B218,OtherCosts!B:B,"Hardware/Software"),0)</f>
        <v>0</v>
      </c>
      <c r="AK225" s="425">
        <f t="shared" si="218"/>
        <v>0</v>
      </c>
      <c r="AL225" s="330"/>
      <c r="AM225" s="330"/>
      <c r="AN225" s="329">
        <f t="shared" si="220"/>
        <v>0</v>
      </c>
      <c r="AO225" s="425">
        <f t="shared" si="219"/>
        <v>0</v>
      </c>
      <c r="AP225" s="7"/>
      <c r="AQ225" s="342"/>
      <c r="AR225" s="290"/>
      <c r="AS225" s="402" t="s">
        <v>97</v>
      </c>
      <c r="AT225" s="290"/>
      <c r="AU225" s="100"/>
      <c r="AV225" s="298">
        <f ca="1">IFERROR(IF(O226&lt;1,AN229,AN229/O226),0)</f>
        <v>1504602.8058096</v>
      </c>
      <c r="AW225" s="418">
        <f ca="1">IFERROR(AV225/BusinessCurrencyTRM,"N/A")</f>
        <v>385.79559123323077</v>
      </c>
      <c r="AX225" s="290"/>
      <c r="AY225" s="342"/>
      <c r="AZ225" s="3"/>
      <c r="BA225" s="315"/>
      <c r="BB225" s="3"/>
      <c r="BC225" s="3"/>
      <c r="BD225" s="3"/>
      <c r="BE225" s="3"/>
      <c r="BF225" s="342"/>
      <c r="BG225" s="3"/>
      <c r="BH225" s="315"/>
      <c r="BI225" s="3"/>
      <c r="BJ225" s="3"/>
      <c r="BK225" s="3"/>
      <c r="BL225" s="3"/>
      <c r="BM225" s="342"/>
      <c r="BN225" s="3"/>
      <c r="BO225" s="315"/>
      <c r="BP225" s="3"/>
      <c r="BQ225" s="3"/>
      <c r="BR225" s="3"/>
      <c r="BS225" s="3"/>
      <c r="BT225" s="342"/>
      <c r="BU225" s="3"/>
      <c r="BV225" s="315"/>
      <c r="BW225" s="3"/>
      <c r="BX225" s="3"/>
      <c r="BY225" s="3"/>
      <c r="BZ225" s="3"/>
      <c r="CA225" s="342"/>
    </row>
    <row r="226" spans="1:79" s="325" customFormat="1" ht="15.6">
      <c r="A226" s="480"/>
      <c r="B226" s="507"/>
      <c r="C226" s="507"/>
      <c r="D226" s="324"/>
      <c r="E226" s="342"/>
      <c r="F226" s="290"/>
      <c r="G226" s="79"/>
      <c r="H226" s="326"/>
      <c r="I226" s="326"/>
      <c r="J226" s="80"/>
      <c r="K226" s="290"/>
      <c r="L226" s="342"/>
      <c r="M226" s="2"/>
      <c r="N226" s="13" t="str">
        <f>IF(Approach="By Hours", "N/A for ByHours", "Duration (Months) *")</f>
        <v>Duration (Months) *</v>
      </c>
      <c r="O226" s="332">
        <v>0</v>
      </c>
      <c r="P226" s="32"/>
      <c r="Q226" s="77"/>
      <c r="R226" s="77"/>
      <c r="S226" s="309"/>
      <c r="T226" s="309"/>
      <c r="U226" s="4" t="s">
        <v>58</v>
      </c>
      <c r="V226" s="328">
        <f>IFERROR(SUMIFS(OtherCosts!Q:Q,OtherCosts!A:A,B218,OtherCosts!B:B,"Vendor"),0)</f>
        <v>0</v>
      </c>
      <c r="W226" s="425">
        <f t="shared" si="215"/>
        <v>0</v>
      </c>
      <c r="X226" s="7"/>
      <c r="Y226" s="7" t="s">
        <v>98</v>
      </c>
      <c r="Z226" s="2"/>
      <c r="AA226" s="304"/>
      <c r="AB226" s="7"/>
      <c r="AC226" s="4" t="s">
        <v>58</v>
      </c>
      <c r="AD226" s="328">
        <f>IFERROR(SUMIFS(OtherCosts!R:R,OtherCosts!A:A,B218,OtherCosts!B:B,"Vendor"),0)</f>
        <v>0</v>
      </c>
      <c r="AE226" s="425">
        <f t="shared" si="216"/>
        <v>0</v>
      </c>
      <c r="AF226" s="330"/>
      <c r="AG226" s="328">
        <f>IFERROR(SUMIFS(OtherCosts!S:S,OtherCosts!A:A,B218,OtherCosts!B:B,"Vendor"),0)</f>
        <v>0</v>
      </c>
      <c r="AH226" s="445">
        <f t="shared" si="217"/>
        <v>0</v>
      </c>
      <c r="AI226" s="330"/>
      <c r="AJ226" s="446">
        <f>IFERROR(SUMIFS(OtherCosts!T:T,OtherCosts!A:A,B218,OtherCosts!B:B,"Vendor"),0)</f>
        <v>0</v>
      </c>
      <c r="AK226" s="425">
        <f t="shared" si="218"/>
        <v>0</v>
      </c>
      <c r="AL226" s="330"/>
      <c r="AM226" s="330"/>
      <c r="AN226" s="329">
        <f t="shared" si="220"/>
        <v>0</v>
      </c>
      <c r="AO226" s="425">
        <f t="shared" si="219"/>
        <v>0</v>
      </c>
      <c r="AP226" s="7"/>
      <c r="AQ226" s="342"/>
      <c r="AR226" s="290"/>
      <c r="AS226" s="402" t="s">
        <v>99</v>
      </c>
      <c r="AT226" s="290"/>
      <c r="AU226" s="100"/>
      <c r="AV226" s="298">
        <f ca="1">IFERROR(AN229/T232,0)</f>
        <v>47166.232157040751</v>
      </c>
      <c r="AW226" s="418">
        <f ca="1">IFERROR(AV226/BusinessCurrencyTRM,"N/A")</f>
        <v>12.093905681292501</v>
      </c>
      <c r="AX226" s="290"/>
      <c r="AY226" s="342"/>
      <c r="AZ226" s="3"/>
      <c r="BA226" s="315"/>
      <c r="BB226" s="3"/>
      <c r="BC226" s="3"/>
      <c r="BD226" s="3"/>
      <c r="BE226" s="3"/>
      <c r="BF226" s="342"/>
      <c r="BG226" s="3"/>
      <c r="BH226" s="315"/>
      <c r="BI226" s="3"/>
      <c r="BJ226" s="3"/>
      <c r="BK226" s="3"/>
      <c r="BL226" s="3"/>
      <c r="BM226" s="342"/>
      <c r="BN226" s="3"/>
      <c r="BO226" s="315"/>
      <c r="BP226" s="3"/>
      <c r="BQ226" s="3"/>
      <c r="BR226" s="3"/>
      <c r="BS226" s="3"/>
      <c r="BT226" s="342"/>
      <c r="BU226" s="3"/>
      <c r="BV226" s="315"/>
      <c r="BW226" s="3"/>
      <c r="BX226" s="3"/>
      <c r="BY226" s="3"/>
      <c r="BZ226" s="3"/>
      <c r="CA226" s="342"/>
    </row>
    <row r="227" spans="1:79" s="325" customFormat="1" ht="15.6">
      <c r="A227" s="480"/>
      <c r="B227" s="507"/>
      <c r="C227" s="507"/>
      <c r="D227" s="324"/>
      <c r="E227" s="342"/>
      <c r="F227" s="290"/>
      <c r="G227" s="79"/>
      <c r="H227" s="326"/>
      <c r="I227" s="326"/>
      <c r="J227" s="80"/>
      <c r="K227" s="290"/>
      <c r="L227" s="342"/>
      <c r="M227" s="2"/>
      <c r="N227" s="83"/>
      <c r="O227" s="333"/>
      <c r="P227" s="32"/>
      <c r="Q227" s="77"/>
      <c r="R227" s="77"/>
      <c r="S227" s="309"/>
      <c r="T227" s="309"/>
      <c r="U227" s="4" t="s">
        <v>61</v>
      </c>
      <c r="V227" s="328">
        <f>IFERROR(SUMIFS(OtherCosts!Q:Q,OtherCosts!A:A,B218,OtherCosts!B:B,"Insurance"),0)</f>
        <v>0</v>
      </c>
      <c r="W227" s="425">
        <f t="shared" si="215"/>
        <v>0</v>
      </c>
      <c r="X227" s="7"/>
      <c r="Y227" s="7" t="s">
        <v>100</v>
      </c>
      <c r="Z227" s="2"/>
      <c r="AA227" s="304"/>
      <c r="AB227" s="7"/>
      <c r="AC227" s="4" t="s">
        <v>61</v>
      </c>
      <c r="AD227" s="328">
        <f>IFERROR(SUMIFS(OtherCosts!R:R,OtherCosts!A:A,B218,OtherCosts!B:B,"Insurance"),0)</f>
        <v>0</v>
      </c>
      <c r="AE227" s="425">
        <f t="shared" si="216"/>
        <v>0</v>
      </c>
      <c r="AF227" s="330"/>
      <c r="AG227" s="328">
        <f>IFERROR(SUMIFS(OtherCosts!S:S,OtherCosts!A:A,B218,OtherCosts!B:B,"Insurance"),0)</f>
        <v>0</v>
      </c>
      <c r="AH227" s="445">
        <f t="shared" si="217"/>
        <v>0</v>
      </c>
      <c r="AI227" s="330"/>
      <c r="AJ227" s="446">
        <f>IFERROR(SUMIFS(OtherCosts!T:T,OtherCosts!A:A,B218,OtherCosts!B:B,"Insurance"),0)</f>
        <v>0</v>
      </c>
      <c r="AK227" s="425">
        <f t="shared" si="218"/>
        <v>0</v>
      </c>
      <c r="AL227" s="330"/>
      <c r="AM227" s="330"/>
      <c r="AN227" s="329">
        <f t="shared" si="220"/>
        <v>0</v>
      </c>
      <c r="AO227" s="425">
        <f t="shared" si="219"/>
        <v>0</v>
      </c>
      <c r="AP227" s="7"/>
      <c r="AQ227" s="342"/>
      <c r="AR227" s="290"/>
      <c r="AS227" s="290"/>
      <c r="AT227" s="81"/>
      <c r="AU227" s="81"/>
      <c r="AV227" s="81"/>
      <c r="AW227" s="81"/>
      <c r="AX227" s="290"/>
      <c r="AY227" s="342"/>
      <c r="AZ227" s="3"/>
      <c r="BA227" s="315"/>
      <c r="BB227" s="3"/>
      <c r="BC227" s="3"/>
      <c r="BD227" s="3"/>
      <c r="BE227" s="3"/>
      <c r="BF227" s="342"/>
      <c r="BG227" s="3"/>
      <c r="BH227" s="315"/>
      <c r="BI227" s="3"/>
      <c r="BJ227" s="3"/>
      <c r="BK227" s="3"/>
      <c r="BL227" s="3"/>
      <c r="BM227" s="342"/>
      <c r="BN227" s="3"/>
      <c r="BO227" s="315"/>
      <c r="BP227" s="3"/>
      <c r="BQ227" s="3"/>
      <c r="BR227" s="3"/>
      <c r="BS227" s="3"/>
      <c r="BT227" s="342"/>
      <c r="BU227" s="3"/>
      <c r="BV227" s="315"/>
      <c r="BW227" s="3"/>
      <c r="BX227" s="3"/>
      <c r="BY227" s="3"/>
      <c r="BZ227" s="3"/>
      <c r="CA227" s="342"/>
    </row>
    <row r="228" spans="1:79" s="325" customFormat="1" ht="16.149999999999999" thickBot="1">
      <c r="A228" s="480"/>
      <c r="B228" s="507"/>
      <c r="C228" s="507"/>
      <c r="D228" s="324"/>
      <c r="E228" s="342"/>
      <c r="F228" s="290"/>
      <c r="G228" s="79"/>
      <c r="H228" s="326"/>
      <c r="I228" s="326"/>
      <c r="J228" s="80"/>
      <c r="K228" s="290"/>
      <c r="L228" s="342"/>
      <c r="M228" s="7"/>
      <c r="N228" s="83"/>
      <c r="O228" s="333"/>
      <c r="P228" s="32"/>
      <c r="Q228" s="77"/>
      <c r="R228" s="77"/>
      <c r="S228" s="309"/>
      <c r="T228" s="309"/>
      <c r="U228" s="4" t="s">
        <v>64</v>
      </c>
      <c r="V228" s="328">
        <f>IFERROR(SUMIFS(OtherCosts!Q:Q,OtherCosts!A:A,B218,OtherCosts!B:B,"Other"),0)</f>
        <v>0</v>
      </c>
      <c r="W228" s="425">
        <f t="shared" si="215"/>
        <v>0</v>
      </c>
      <c r="X228" s="7"/>
      <c r="Y228" s="7" t="s">
        <v>101</v>
      </c>
      <c r="Z228" s="82"/>
      <c r="AA228" s="334"/>
      <c r="AB228" s="13"/>
      <c r="AC228" s="4" t="s">
        <v>64</v>
      </c>
      <c r="AD228" s="328">
        <f>IFERROR(SUMIFS(OtherCosts!R:R,OtherCosts!A:A,B218,OtherCosts!B:B,"Other"),0)</f>
        <v>0</v>
      </c>
      <c r="AE228" s="425">
        <f t="shared" si="216"/>
        <v>0</v>
      </c>
      <c r="AF228" s="83"/>
      <c r="AG228" s="328">
        <f>IFERROR(SUMIFS(OtherCosts!S:S,OtherCosts!A:A,B218,OtherCosts!B:B,"Other"),0)</f>
        <v>0</v>
      </c>
      <c r="AH228" s="447">
        <f t="shared" si="217"/>
        <v>0</v>
      </c>
      <c r="AI228" s="83"/>
      <c r="AJ228" s="448">
        <f>IFERROR(SUMIFS(OtherCosts!T:T,OtherCosts!A:A,B218,OtherCosts!B:B,"Other"),0)</f>
        <v>0</v>
      </c>
      <c r="AK228" s="425">
        <f t="shared" si="218"/>
        <v>0</v>
      </c>
      <c r="AL228" s="83"/>
      <c r="AM228" s="83"/>
      <c r="AN228" s="329">
        <f t="shared" si="220"/>
        <v>0</v>
      </c>
      <c r="AO228" s="425">
        <f t="shared" si="219"/>
        <v>0</v>
      </c>
      <c r="AP228" s="85"/>
      <c r="AQ228" s="342"/>
      <c r="AR228" s="290"/>
      <c r="AS228" s="290"/>
      <c r="AT228" s="13"/>
      <c r="AU228" s="81"/>
      <c r="AV228" s="81"/>
      <c r="AW228" s="81"/>
      <c r="AX228" s="290"/>
      <c r="AY228" s="342"/>
      <c r="AZ228" s="3"/>
      <c r="BA228" s="315"/>
      <c r="BB228" s="3"/>
      <c r="BC228" s="3"/>
      <c r="BD228" s="3"/>
      <c r="BE228" s="3"/>
      <c r="BF228" s="342"/>
      <c r="BG228" s="3"/>
      <c r="BH228" s="315"/>
      <c r="BI228" s="3"/>
      <c r="BJ228" s="3"/>
      <c r="BK228" s="3"/>
      <c r="BL228" s="3"/>
      <c r="BM228" s="342"/>
      <c r="BN228" s="3"/>
      <c r="BO228" s="315"/>
      <c r="BP228" s="3"/>
      <c r="BQ228" s="3"/>
      <c r="BR228" s="3"/>
      <c r="BS228" s="3"/>
      <c r="BT228" s="342"/>
      <c r="BU228" s="3"/>
      <c r="BV228" s="315"/>
      <c r="BW228" s="3"/>
      <c r="BX228" s="3"/>
      <c r="BY228" s="3"/>
      <c r="BZ228" s="3"/>
      <c r="CA228" s="342"/>
    </row>
    <row r="229" spans="1:79" s="325" customFormat="1" ht="16.149999999999999" thickTop="1">
      <c r="A229" s="480"/>
      <c r="B229" s="507"/>
      <c r="C229" s="507"/>
      <c r="D229" s="324"/>
      <c r="E229" s="342"/>
      <c r="F229" s="290"/>
      <c r="G229" s="79"/>
      <c r="H229" s="326"/>
      <c r="I229" s="326"/>
      <c r="J229" s="80"/>
      <c r="K229" s="290"/>
      <c r="L229" s="342"/>
      <c r="M229" s="7"/>
      <c r="N229" s="83"/>
      <c r="O229" s="333"/>
      <c r="P229" s="32"/>
      <c r="Q229" s="77"/>
      <c r="R229" s="77"/>
      <c r="S229" s="309"/>
      <c r="T229" s="309"/>
      <c r="U229" s="3" t="s">
        <v>35</v>
      </c>
      <c r="V229" s="86">
        <f ca="1">SUM(V222:V228)</f>
        <v>1053221.9513319002</v>
      </c>
      <c r="W229" s="427">
        <f t="shared" ca="1" si="215"/>
        <v>270.05691059792315</v>
      </c>
      <c r="X229" s="335"/>
      <c r="Y229" s="335"/>
      <c r="Z229" s="82"/>
      <c r="AA229" s="334"/>
      <c r="AB229" s="13"/>
      <c r="AC229" s="3" t="s">
        <v>35</v>
      </c>
      <c r="AD229" s="86">
        <f ca="1">SUM(AD222:AD228)</f>
        <v>1504602.8058096</v>
      </c>
      <c r="AE229" s="427">
        <f t="shared" ca="1" si="216"/>
        <v>385.79559123323077</v>
      </c>
      <c r="AF229" s="83"/>
      <c r="AG229" s="86">
        <f ca="1">SUM(AG222:AG228)</f>
        <v>0</v>
      </c>
      <c r="AH229" s="444">
        <f t="shared" ca="1" si="217"/>
        <v>0</v>
      </c>
      <c r="AI229" s="83"/>
      <c r="AJ229" s="86">
        <f ca="1">SUM(AJ222:AJ228)</f>
        <v>0</v>
      </c>
      <c r="AK229" s="427">
        <f t="shared" ca="1" si="218"/>
        <v>0</v>
      </c>
      <c r="AL229" s="83"/>
      <c r="AM229" s="83"/>
      <c r="AN229" s="86">
        <f t="shared" ca="1" si="220"/>
        <v>1504602.8058096</v>
      </c>
      <c r="AO229" s="427">
        <f t="shared" ca="1" si="219"/>
        <v>385.79559123323077</v>
      </c>
      <c r="AP229" s="85"/>
      <c r="AQ229" s="342"/>
      <c r="AR229" s="290"/>
      <c r="AS229" s="290"/>
      <c r="AT229" s="13"/>
      <c r="AU229" s="81"/>
      <c r="AV229" s="81"/>
      <c r="AW229" s="81"/>
      <c r="AX229" s="290"/>
      <c r="AY229" s="342"/>
      <c r="AZ229" s="3"/>
      <c r="BA229" s="315"/>
      <c r="BB229" s="3"/>
      <c r="BC229" s="3"/>
      <c r="BD229" s="3"/>
      <c r="BE229" s="3"/>
      <c r="BF229" s="342"/>
      <c r="BG229" s="3"/>
      <c r="BH229" s="315"/>
      <c r="BI229" s="3"/>
      <c r="BJ229" s="3"/>
      <c r="BK229" s="3"/>
      <c r="BL229" s="3"/>
      <c r="BM229" s="342"/>
      <c r="BN229" s="3"/>
      <c r="BO229" s="315"/>
      <c r="BP229" s="3"/>
      <c r="BQ229" s="3"/>
      <c r="BR229" s="3"/>
      <c r="BS229" s="3"/>
      <c r="BT229" s="342"/>
      <c r="BU229" s="3"/>
      <c r="BV229" s="315"/>
      <c r="BW229" s="3"/>
      <c r="BX229" s="3"/>
      <c r="BY229" s="3"/>
      <c r="BZ229" s="3"/>
      <c r="CA229" s="342"/>
    </row>
    <row r="230" spans="1:79" s="325" customFormat="1" ht="15.6">
      <c r="A230" s="480"/>
      <c r="B230" s="507"/>
      <c r="C230" s="507"/>
      <c r="D230" s="324"/>
      <c r="E230" s="342"/>
      <c r="F230" s="290"/>
      <c r="G230" s="336"/>
      <c r="H230" s="336"/>
      <c r="I230" s="336"/>
      <c r="J230" s="336"/>
      <c r="K230" s="290"/>
      <c r="L230" s="342"/>
      <c r="M230" s="7"/>
      <c r="N230" s="83"/>
      <c r="O230" s="333"/>
      <c r="P230" s="77"/>
      <c r="Q230" s="77"/>
      <c r="R230" s="77"/>
      <c r="S230" s="77"/>
      <c r="T230" s="77"/>
      <c r="U230" s="3"/>
      <c r="V230" s="77"/>
      <c r="W230" s="77"/>
      <c r="X230" s="77"/>
      <c r="Y230" s="77"/>
      <c r="Z230" s="82"/>
      <c r="AA230" s="334"/>
      <c r="AB230" s="13"/>
      <c r="AC230" s="13"/>
      <c r="AD230" s="13"/>
      <c r="AE230" s="13"/>
      <c r="AF230" s="13"/>
      <c r="AG230" s="13"/>
      <c r="AH230" s="13"/>
      <c r="AI230" s="13"/>
      <c r="AJ230" s="13"/>
      <c r="AK230" s="13"/>
      <c r="AL230" s="13"/>
      <c r="AM230" s="13"/>
      <c r="AN230" s="327"/>
      <c r="AO230" s="327"/>
      <c r="AP230" s="85"/>
      <c r="AQ230" s="342"/>
      <c r="AR230" s="290"/>
      <c r="AS230" s="81"/>
      <c r="AT230" s="81"/>
      <c r="AU230" s="81"/>
      <c r="AV230" s="81"/>
      <c r="AW230" s="81"/>
      <c r="AX230" s="290"/>
      <c r="AY230" s="342"/>
      <c r="AZ230" s="3"/>
      <c r="BA230" s="315"/>
      <c r="BB230" s="3"/>
      <c r="BC230" s="3"/>
      <c r="BD230" s="3"/>
      <c r="BE230" s="3"/>
      <c r="BF230" s="342"/>
      <c r="BG230" s="3"/>
      <c r="BH230" s="315"/>
      <c r="BI230" s="3"/>
      <c r="BJ230" s="3"/>
      <c r="BK230" s="3"/>
      <c r="BL230" s="3"/>
      <c r="BM230" s="342"/>
      <c r="BN230" s="3"/>
      <c r="BO230" s="315"/>
      <c r="BP230" s="3"/>
      <c r="BQ230" s="3"/>
      <c r="BR230" s="3"/>
      <c r="BS230" s="3"/>
      <c r="BT230" s="342"/>
      <c r="BU230" s="3"/>
      <c r="BV230" s="315"/>
      <c r="BW230" s="3"/>
      <c r="BX230" s="3"/>
      <c r="BY230" s="3"/>
      <c r="BZ230" s="3"/>
      <c r="CA230" s="342"/>
    </row>
    <row r="231" spans="1:79" s="304" customFormat="1" outlineLevel="1">
      <c r="B231" s="320"/>
      <c r="C231" s="320"/>
      <c r="D231" s="391"/>
      <c r="F231" s="391"/>
      <c r="G231" s="391"/>
      <c r="H231" s="391"/>
      <c r="I231" s="391"/>
      <c r="J231" s="391"/>
      <c r="K231" s="391"/>
      <c r="N231" s="337"/>
      <c r="O231" s="337"/>
      <c r="S231" s="337"/>
      <c r="T231" s="320"/>
      <c r="U231" s="320"/>
      <c r="V231" s="320"/>
      <c r="W231" s="393"/>
      <c r="Z231" s="338"/>
      <c r="AO231" s="338"/>
      <c r="AP231" s="340"/>
      <c r="AR231" s="391"/>
      <c r="AS231" s="391"/>
      <c r="AT231" s="391"/>
      <c r="AU231" s="391"/>
      <c r="AV231" s="391"/>
      <c r="AW231" s="391"/>
      <c r="AX231" s="391"/>
      <c r="AZ231"/>
      <c r="BA231"/>
      <c r="BB231"/>
      <c r="BC231"/>
      <c r="BD231"/>
      <c r="BE231"/>
      <c r="BG231"/>
      <c r="BH231"/>
      <c r="BI231"/>
      <c r="BJ231"/>
      <c r="BK231"/>
      <c r="BL231"/>
      <c r="BN231"/>
      <c r="BO231"/>
      <c r="BP231"/>
      <c r="BQ231"/>
      <c r="BR231"/>
      <c r="BS231"/>
      <c r="BU231"/>
      <c r="BV231"/>
      <c r="BW231"/>
      <c r="BX231"/>
      <c r="BY231"/>
      <c r="BZ231"/>
    </row>
    <row r="232" spans="1:79" s="325" customFormat="1" ht="15.6" outlineLevel="1">
      <c r="A232" s="480"/>
      <c r="B232" s="341"/>
      <c r="C232" s="341"/>
      <c r="D232" s="290"/>
      <c r="E232" s="342"/>
      <c r="F232" s="290"/>
      <c r="G232" s="343">
        <f>ROUNDUP(SUM(G234:G263),2)</f>
        <v>0</v>
      </c>
      <c r="H232" s="344"/>
      <c r="I232" s="344"/>
      <c r="J232" s="345">
        <f>ROUNDUP(SUM(J234:J263),2)</f>
        <v>0</v>
      </c>
      <c r="K232" s="290"/>
      <c r="L232" s="342"/>
      <c r="M232" s="7"/>
      <c r="N232" s="7"/>
      <c r="O232" s="7"/>
      <c r="P232" s="7"/>
      <c r="Q232" s="7"/>
      <c r="R232" s="7"/>
      <c r="S232" s="7"/>
      <c r="T232" s="398">
        <f ca="1">ROUNDUP(SUM(T234:T263),2)</f>
        <v>31.900000000000002</v>
      </c>
      <c r="U232" s="7"/>
      <c r="V232" s="7"/>
      <c r="W232" s="87">
        <f ca="1">SUM(W234:W261)</f>
        <v>1053221.9513319002</v>
      </c>
      <c r="X232" s="7"/>
      <c r="Y232" s="7" t="s">
        <v>102</v>
      </c>
      <c r="Z232" s="7"/>
      <c r="AA232" s="304"/>
      <c r="AB232" s="7"/>
      <c r="AC232" s="7"/>
      <c r="AD232" s="87">
        <f ca="1">SUM(AD234:AD263)</f>
        <v>1504602.8058096</v>
      </c>
      <c r="AE232" s="432">
        <f ca="1">IFERROR(1-($W232/$AD232),0)</f>
        <v>0.30000000846390806</v>
      </c>
      <c r="AF232" s="7"/>
      <c r="AG232" s="7"/>
      <c r="AH232" s="88">
        <f ca="1">SUM(AH234:AH263)</f>
        <v>0</v>
      </c>
      <c r="AI232" s="7"/>
      <c r="AJ232" s="7"/>
      <c r="AK232" s="88">
        <f ca="1">ROUNDUP(SUM(AK234:AK263),2)</f>
        <v>0</v>
      </c>
      <c r="AL232" s="7"/>
      <c r="AM232" s="88">
        <f ca="1">SUM(AM234:AM263)</f>
        <v>1504602.8058096</v>
      </c>
      <c r="AN232" s="88">
        <f ca="1">SUM(AN234:AN263)</f>
        <v>1504602.8058096</v>
      </c>
      <c r="AO232" s="417" t="str">
        <f>BillingCountryCurrency</f>
        <v>COP</v>
      </c>
      <c r="AP232" s="7"/>
      <c r="AQ232" s="18"/>
      <c r="AR232" s="290"/>
      <c r="AS232" s="290"/>
      <c r="AT232" s="503">
        <f ca="1">SUM(AT234:AU263)</f>
        <v>1504602.8058096</v>
      </c>
      <c r="AU232" s="504"/>
      <c r="AV232" s="417" t="str">
        <f>BillingCountryCurrency</f>
        <v>COP</v>
      </c>
      <c r="AW232" s="417" t="str">
        <f>IF(ISBLANK(BusinessCurrency),"N/A",BusinessCurrency)</f>
        <v>USD</v>
      </c>
      <c r="AX232" s="290"/>
      <c r="AY232" s="18"/>
      <c r="AZ232" s="3"/>
      <c r="BA232" s="315"/>
      <c r="BB232" s="3"/>
      <c r="BC232" s="3"/>
      <c r="BD232" s="3"/>
      <c r="BE232" s="3"/>
      <c r="BF232" s="18"/>
      <c r="BG232" s="3"/>
      <c r="BH232" s="315"/>
      <c r="BI232" s="3"/>
      <c r="BJ232" s="3"/>
      <c r="BK232" s="3"/>
      <c r="BL232" s="3"/>
      <c r="BM232" s="18"/>
      <c r="BN232" s="3"/>
      <c r="BO232" s="315"/>
      <c r="BP232" s="3"/>
      <c r="BQ232" s="3"/>
      <c r="BR232" s="3"/>
      <c r="BS232" s="3"/>
      <c r="BT232" s="18"/>
      <c r="BU232" s="3"/>
      <c r="BV232" s="315"/>
      <c r="BW232" s="3"/>
      <c r="BX232" s="3"/>
      <c r="BY232" s="3"/>
      <c r="BZ232" s="3"/>
      <c r="CA232" s="342"/>
    </row>
    <row r="233" spans="1:79" ht="15.6" outlineLevel="1">
      <c r="A233" s="7"/>
      <c r="B233" s="346"/>
      <c r="C233" s="346"/>
      <c r="D233" s="346"/>
      <c r="E233" s="342"/>
      <c r="F233" s="290"/>
      <c r="G233" s="347" t="s">
        <v>79</v>
      </c>
      <c r="H233" s="347" t="s">
        <v>103</v>
      </c>
      <c r="I233" s="347" t="s">
        <v>104</v>
      </c>
      <c r="J233" s="348" t="s">
        <v>91</v>
      </c>
      <c r="K233" s="290"/>
      <c r="L233" s="349"/>
      <c r="M233" s="7"/>
      <c r="N233" s="16" t="s">
        <v>105</v>
      </c>
      <c r="O233" s="16" t="s">
        <v>106</v>
      </c>
      <c r="P233" s="16" t="s">
        <v>107</v>
      </c>
      <c r="Q233" s="16" t="s">
        <v>108</v>
      </c>
      <c r="R233" s="16" t="s">
        <v>109</v>
      </c>
      <c r="S233" s="16" t="s">
        <v>110</v>
      </c>
      <c r="T233" s="16" t="s">
        <v>111</v>
      </c>
      <c r="U233" s="16" t="s">
        <v>112</v>
      </c>
      <c r="V233" s="350" t="s">
        <v>113</v>
      </c>
      <c r="W233" s="16" t="s">
        <v>114</v>
      </c>
      <c r="X233" s="16" t="s">
        <v>115</v>
      </c>
      <c r="Y233" s="16" t="s">
        <v>116</v>
      </c>
      <c r="Z233" s="6"/>
      <c r="AA233" s="304"/>
      <c r="AB233" s="7"/>
      <c r="AC233" s="351" t="s">
        <v>117</v>
      </c>
      <c r="AD233" s="352" t="s">
        <v>118</v>
      </c>
      <c r="AE233" s="89" t="s">
        <v>119</v>
      </c>
      <c r="AF233" s="7"/>
      <c r="AG233" s="89" t="s">
        <v>120</v>
      </c>
      <c r="AH233" s="353" t="s">
        <v>121</v>
      </c>
      <c r="AI233" s="7"/>
      <c r="AJ233" s="89" t="s">
        <v>122</v>
      </c>
      <c r="AK233" s="353" t="s">
        <v>123</v>
      </c>
      <c r="AL233" s="7"/>
      <c r="AM233" s="16" t="s">
        <v>118</v>
      </c>
      <c r="AN233" s="16" t="s">
        <v>124</v>
      </c>
      <c r="AO233" s="8" t="s">
        <v>125</v>
      </c>
      <c r="AP233" s="7"/>
      <c r="AQ233" s="18"/>
      <c r="AR233" s="290"/>
      <c r="AS233" s="8" t="s">
        <v>126</v>
      </c>
      <c r="AT233" s="505" t="s">
        <v>124</v>
      </c>
      <c r="AU233" s="506"/>
      <c r="AV233" s="8" t="s">
        <v>127</v>
      </c>
      <c r="AW233" s="8" t="s">
        <v>127</v>
      </c>
      <c r="AX233" s="290"/>
      <c r="AY233" s="18"/>
      <c r="AZ233" s="3"/>
      <c r="BA233" s="315"/>
      <c r="BB233" s="3"/>
      <c r="BC233" s="3"/>
      <c r="BD233" s="3"/>
      <c r="BE233" s="3"/>
      <c r="BF233" s="18"/>
      <c r="BG233" s="3"/>
      <c r="BH233" s="315"/>
      <c r="BI233" s="3"/>
      <c r="BJ233" s="3"/>
      <c r="BK233" s="3"/>
      <c r="BL233" s="3"/>
      <c r="BM233" s="18"/>
      <c r="BN233" s="3"/>
      <c r="BO233" s="315"/>
      <c r="BP233" s="3"/>
      <c r="BQ233" s="3"/>
      <c r="BR233" s="3"/>
      <c r="BS233" s="3"/>
      <c r="BT233" s="18"/>
      <c r="BU233" s="3"/>
      <c r="BV233" s="315"/>
      <c r="BW233" s="3"/>
      <c r="BX233" s="3"/>
      <c r="BY233" s="3"/>
      <c r="BZ233" s="3"/>
    </row>
    <row r="234" spans="1:79" ht="28.9" outlineLevel="1">
      <c r="A234" s="7"/>
      <c r="B234" s="354" t="s">
        <v>128</v>
      </c>
      <c r="C234" s="355" t="s">
        <v>176</v>
      </c>
      <c r="D234" s="356"/>
      <c r="E234" s="342"/>
      <c r="F234" s="290"/>
      <c r="G234" s="357">
        <v>0</v>
      </c>
      <c r="H234" s="358">
        <v>0</v>
      </c>
      <c r="I234" s="358">
        <v>0</v>
      </c>
      <c r="J234" s="359">
        <f>IFERROR(G234/(1-(H234+I234)),0)</f>
        <v>0</v>
      </c>
      <c r="K234" s="360"/>
      <c r="L234" s="349"/>
      <c r="M234" s="7"/>
      <c r="N234" s="12" t="s">
        <v>130</v>
      </c>
      <c r="O234" s="12" t="s">
        <v>177</v>
      </c>
      <c r="P234" s="12" t="s">
        <v>178</v>
      </c>
      <c r="Q234" s="468">
        <v>1</v>
      </c>
      <c r="R234" s="362" cm="1">
        <f t="array" aca="1" ref="R234" ca="1">$R$42*(1+(INDIRECT("CMSResumen!L"&amp;(MAX(IF(INDIRECT("CMSResumen!B1:B"&amp;ROW()-10)=B218,ROW(INDIRECT("CMSResumen!B1:B"&amp;ROW()-10)),0)+17)))))</f>
        <v>3.5000000000000003E-2</v>
      </c>
      <c r="S234" s="363">
        <v>20</v>
      </c>
      <c r="T234" s="364">
        <f t="shared" ref="T234" ca="1" si="221">IF(ISBLANK($P234),0,IF(Approach="Team-Based",$Q234*$R234*$S234*HoursPerDayTeamBased,$J234))</f>
        <v>5.67</v>
      </c>
      <c r="U234" s="365">
        <v>0</v>
      </c>
      <c r="V234" s="91">
        <f>ROUNDUP(IFERROR(INDEX(CostRateTbl[Cost Rate],MATCH(_xlfn.CONCAT(N234,O234,P234,"NA"),CostRateTbl[KeyCostRate],0)),0)*BillingCurrencyTRM*(1+U234),2)</f>
        <v>0</v>
      </c>
      <c r="W234" s="92">
        <f t="shared" ref="W234:W263" ca="1" si="222">T234*V234</f>
        <v>0</v>
      </c>
      <c r="X234" s="366" t="str" cm="1">
        <f t="array" ref="X234">_xlfn.LET(
    _xlpm.valor, INDEX(CostRate!H:H, MATCH(1, (CostRate!A:A=N234)*1, 0)),
    _xlpm.posicion, MATCH(_xlpm.valor, FilterSL!$F$1:$Z$1, 0),
    _xlpm.direccionCompleta, ADDRESS(1, _xlpm.posicion + 5, 4),
    _xlpm.letraColumna, SUBSTITUTE(_xlpm.direccionCompleta, "1", ""),
    _xlpm.letraColumna
)</f>
        <v>R</v>
      </c>
      <c r="Y234" s="366" t="str" cm="1">
        <f t="array" ref="Y234">_xlfn.LET(
    _xlpm.valor, INDEX(CostRate!I:I, MATCH(1, (CostRate!A:A=N234)*(CostRate!B:B=O234), 0)),
    _xlpm.posicion, MATCH(_xlpm.valor, FilterJP!$E$1:$FZ$1, 0),
    _xlpm.direccionCompleta, ADDRESS(1, _xlpm.posicion + 4, 4),
    _xlpm.letraColumna, SUBSTITUTE(_xlpm.direccionCompleta, "1", ""),
    _xlpm.letraColumna
)</f>
        <v>BO</v>
      </c>
      <c r="Z234" s="7"/>
      <c r="AA234" s="367"/>
      <c r="AB234" s="7"/>
      <c r="AC234" s="93">
        <f t="shared" ref="AC234:AC263" si="223">ROUNDUP($V234/(1-$AV$220),2)</f>
        <v>0</v>
      </c>
      <c r="AD234" s="94">
        <f ca="1">$T234*$AC234</f>
        <v>0</v>
      </c>
      <c r="AE234" s="109">
        <f ca="1">IFERROR(1-($W234/$AD234),0)</f>
        <v>0</v>
      </c>
      <c r="AF234" s="7"/>
      <c r="AG234" s="369">
        <f t="shared" ref="AG234:AG263" si="224">IFERROR(IF(OR(ISBLANK(N234),N234=CustomerCountry,COUNTIF($N234,"*xDC*")),0,10%),0)</f>
        <v>0</v>
      </c>
      <c r="AH234" s="368">
        <f t="shared" ref="AH234:AH263" ca="1" si="225">W234*AG234</f>
        <v>0</v>
      </c>
      <c r="AI234" s="7"/>
      <c r="AJ234" s="369" cm="1">
        <f t="array" ref="AJ234">IFERROR(INDEX(WHT!$C$7:$W$18,MATCH(
_xlfn.SWITCH(N234,"xDC Medellin","Colombia","xDC Belo Horizonte","Brazil","xDC Guadalajara","Mexico","xDC Gurugram","India","xDC Leon","Spain","xDC San Jose","Costa Rica","xDC Warsaw","Poland",N234),
WHT!$B$7:$B$18,0),MATCH(CustomerCountry,WHT!$C$5:$W$5,0)),0)</f>
        <v>0</v>
      </c>
      <c r="AK234" s="368">
        <f t="shared" ref="AK234:AK263" ca="1" si="226">(W234+AH234)*AJ234</f>
        <v>0</v>
      </c>
      <c r="AL234" s="7"/>
      <c r="AM234" s="95">
        <f ca="1">SUM($AD234,$AH234,$AK234)</f>
        <v>0</v>
      </c>
      <c r="AN234" s="95">
        <f t="shared" ref="AN234:AN263" ca="1" si="227">AM234+IFERROR(SUM($AN$223:$AN$228)*AM234/$AM$232,0)</f>
        <v>0</v>
      </c>
      <c r="AO234" s="95">
        <f ca="1">IFERROR($AN234/$T234,0)</f>
        <v>0</v>
      </c>
      <c r="AP234" s="7"/>
      <c r="AQ234" s="18"/>
      <c r="AR234" s="290"/>
      <c r="AS234" s="467" t="s">
        <v>133</v>
      </c>
      <c r="AT234" s="501">
        <f t="shared" ref="AT234:AT262" ca="1" si="228">IF(AS234="x",AM234+((SUM($AN$223:$AN$228)+SUMIF($AS$234:$AS$263,"&lt;&gt;x",$AM$234:$AM$263))*IFERROR(AM234/SUMIF($AS$234:$AS$263,"x",$AM$234:$AM$263),0)),0)</f>
        <v>0</v>
      </c>
      <c r="AU234" s="502"/>
      <c r="AV234" s="95">
        <f ca="1">IFERROR(AT234/T234,0)</f>
        <v>0</v>
      </c>
      <c r="AW234" s="469">
        <f t="shared" ref="AW234:AW263" ca="1" si="229">IFERROR(AV234/BusinessCurrencyTRM,"N/A")</f>
        <v>0</v>
      </c>
      <c r="AX234" s="290"/>
      <c r="AY234" s="18"/>
      <c r="AZ234" s="3"/>
      <c r="BA234" s="315"/>
      <c r="BB234" s="3"/>
      <c r="BC234" s="3"/>
      <c r="BD234" s="3"/>
      <c r="BE234" s="3"/>
      <c r="BF234" s="18"/>
      <c r="BG234" s="3"/>
      <c r="BH234" s="315"/>
      <c r="BI234" s="3"/>
      <c r="BJ234" s="3"/>
      <c r="BK234" s="3"/>
      <c r="BL234" s="3"/>
      <c r="BM234" s="18"/>
      <c r="BN234" s="3"/>
      <c r="BO234" s="315"/>
      <c r="BP234" s="3"/>
      <c r="BQ234" s="3"/>
      <c r="BR234" s="3"/>
      <c r="BS234" s="3"/>
      <c r="BT234" s="18"/>
      <c r="BU234" s="3"/>
      <c r="BV234" s="315"/>
      <c r="BW234" s="3"/>
      <c r="BX234" s="3"/>
      <c r="BY234" s="3"/>
      <c r="BZ234" s="3"/>
    </row>
    <row r="235" spans="1:79" ht="15.6" outlineLevel="1">
      <c r="A235" s="7"/>
      <c r="B235" s="370"/>
      <c r="C235" s="355" t="s">
        <v>179</v>
      </c>
      <c r="D235" s="356"/>
      <c r="E235" s="342"/>
      <c r="F235" s="290"/>
      <c r="G235" s="357">
        <v>0</v>
      </c>
      <c r="H235" s="358">
        <v>0</v>
      </c>
      <c r="I235" s="358">
        <v>0</v>
      </c>
      <c r="J235" s="359">
        <f t="shared" ref="J235:J263" si="230">IFERROR(G235/(1-(H235+I235)),0)</f>
        <v>0</v>
      </c>
      <c r="K235" s="290"/>
      <c r="L235" s="349"/>
      <c r="M235" s="7"/>
      <c r="N235" s="12" t="s">
        <v>130</v>
      </c>
      <c r="O235" s="12" t="s">
        <v>177</v>
      </c>
      <c r="P235" s="12" t="s">
        <v>180</v>
      </c>
      <c r="Q235" s="468">
        <v>1</v>
      </c>
      <c r="R235" s="362" cm="1">
        <f t="array" aca="1" ref="R235" ca="1">$R$43*(1+(INDIRECT("CMSResumen!L"&amp;(MAX(IF(INDIRECT("CMSResumen!B1:B"&amp;ROW()-10)=B217,ROW(INDIRECT("CMSResumen!B1:B"&amp;ROW()-10)),0)+18)))))</f>
        <v>7.8E-2</v>
      </c>
      <c r="S235" s="363">
        <v>20</v>
      </c>
      <c r="T235" s="364">
        <f t="shared" ref="T235" ca="1" si="231">IF(ISBLANK($P235),0,IF(Approach="Team-Based",$Q235*$R235*$S235*HoursPerDayTeamBased,$J235))</f>
        <v>12.635999999999999</v>
      </c>
      <c r="U235" s="365">
        <v>0</v>
      </c>
      <c r="V235" s="91">
        <f>ROUNDUP(IFERROR(INDEX(CostRateTbl[Cost Rate],MATCH(_xlfn.CONCAT(N235,O235,P235,"NA"),CostRateTbl[KeyCostRate],0)),0)*BillingCurrencyTRM*(1+U235),2)</f>
        <v>0</v>
      </c>
      <c r="W235" s="92">
        <f t="shared" ca="1" si="222"/>
        <v>0</v>
      </c>
      <c r="X235" s="366" t="str" cm="1">
        <f t="array" ref="X235">_xlfn.LET(
    _xlpm.valor, INDEX(CostRate!H:H, MATCH(1, (CostRate!A:A=N235)*1, 0)),
    _xlpm.posicion, MATCH(_xlpm.valor, FilterSL!$F$1:$Z$1, 0),
    _xlpm.direccionCompleta, ADDRESS(1, _xlpm.posicion + 5, 4),
    _xlpm.letraColumna, SUBSTITUTE(_xlpm.direccionCompleta, "1", ""),
    _xlpm.letraColumna
)</f>
        <v>R</v>
      </c>
      <c r="Y235" s="366" t="str" cm="1">
        <f t="array" ref="Y235">_xlfn.LET(
    _xlpm.valor, INDEX(CostRate!I:I, MATCH(1, (CostRate!A:A=N235)*(CostRate!B:B=O235), 0)),
    _xlpm.posicion, MATCH(_xlpm.valor, FilterJP!$E$1:$FZ$1, 0),
    _xlpm.direccionCompleta, ADDRESS(1, _xlpm.posicion + 4, 4),
    _xlpm.letraColumna, SUBSTITUTE(_xlpm.direccionCompleta, "1", ""),
    _xlpm.letraColumna
)</f>
        <v>BO</v>
      </c>
      <c r="Z235" s="7"/>
      <c r="AA235" s="367"/>
      <c r="AB235" s="7"/>
      <c r="AC235" s="93">
        <f t="shared" si="223"/>
        <v>0</v>
      </c>
      <c r="AD235" s="94">
        <f t="shared" ref="AD235:AD263" ca="1" si="232">$T235*$AC235</f>
        <v>0</v>
      </c>
      <c r="AE235" s="109">
        <f t="shared" ref="AE235:AE263" ca="1" si="233">IFERROR(1-($W235/$AD235),0)</f>
        <v>0</v>
      </c>
      <c r="AF235" s="7"/>
      <c r="AG235" s="369">
        <f t="shared" si="224"/>
        <v>0</v>
      </c>
      <c r="AH235" s="368">
        <f t="shared" ca="1" si="225"/>
        <v>0</v>
      </c>
      <c r="AI235" s="7"/>
      <c r="AJ235" s="369" cm="1">
        <f t="array" ref="AJ235">IFERROR(INDEX(WHT!$C$7:$W$18,MATCH(
_xlfn.SWITCH(N235,"xDC Medellin","Colombia","xDC Belo Horizonte","Brazil","xDC Guadalajara","Mexico","xDC Gurugram","India","xDC Leon","Spain","xDC San Jose","Costa Rica","xDC Warsaw","Poland",N235),
WHT!$B$7:$B$18,0),MATCH(CustomerCountry,WHT!$C$5:$W$5,0)),0)</f>
        <v>0</v>
      </c>
      <c r="AK235" s="368">
        <f t="shared" ca="1" si="226"/>
        <v>0</v>
      </c>
      <c r="AL235" s="7"/>
      <c r="AM235" s="95">
        <f t="shared" ref="AM235:AM263" ca="1" si="234">SUM($AD235,$AH235,$AK235)</f>
        <v>0</v>
      </c>
      <c r="AN235" s="95">
        <f t="shared" ca="1" si="227"/>
        <v>0</v>
      </c>
      <c r="AO235" s="95">
        <f t="shared" ref="AO235:AO263" ca="1" si="235">IFERROR($AN235/$T235,0)</f>
        <v>0</v>
      </c>
      <c r="AP235" s="90"/>
      <c r="AQ235" s="18"/>
      <c r="AR235" s="290"/>
      <c r="AS235" s="467" t="s">
        <v>133</v>
      </c>
      <c r="AT235" s="501">
        <f t="shared" ca="1" si="228"/>
        <v>0</v>
      </c>
      <c r="AU235" s="502"/>
      <c r="AV235" s="95">
        <f t="shared" ref="AV235:AV263" ca="1" si="236">IFERROR(AT235/T235,0)</f>
        <v>0</v>
      </c>
      <c r="AW235" s="469">
        <f t="shared" ca="1" si="229"/>
        <v>0</v>
      </c>
      <c r="AX235" s="290"/>
      <c r="AY235" s="18"/>
      <c r="AZ235" s="3"/>
      <c r="BA235" s="315"/>
      <c r="BB235" s="3"/>
      <c r="BC235" s="3"/>
      <c r="BD235" s="3"/>
      <c r="BE235" s="3"/>
      <c r="BF235" s="18"/>
      <c r="BG235" s="3"/>
      <c r="BH235" s="315"/>
      <c r="BI235" s="3"/>
      <c r="BJ235" s="3"/>
      <c r="BK235" s="3"/>
      <c r="BL235" s="3"/>
      <c r="BM235" s="18"/>
      <c r="BN235" s="3"/>
      <c r="BO235" s="315"/>
      <c r="BP235" s="3"/>
      <c r="BQ235" s="3"/>
      <c r="BR235" s="3"/>
      <c r="BS235" s="3"/>
      <c r="BT235" s="18"/>
      <c r="BU235" s="3"/>
      <c r="BV235" s="315"/>
      <c r="BW235" s="3"/>
      <c r="BX235" s="3"/>
      <c r="BY235" s="3"/>
      <c r="BZ235" s="3"/>
      <c r="CA235" s="371"/>
    </row>
    <row r="236" spans="1:79" ht="15.6" outlineLevel="1">
      <c r="A236" s="7"/>
      <c r="B236" s="370"/>
      <c r="C236" s="355" t="s">
        <v>181</v>
      </c>
      <c r="D236" s="356"/>
      <c r="E236" s="342"/>
      <c r="F236" s="290"/>
      <c r="G236" s="357">
        <v>0</v>
      </c>
      <c r="H236" s="358">
        <v>0</v>
      </c>
      <c r="I236" s="358">
        <v>0</v>
      </c>
      <c r="J236" s="359">
        <f t="shared" si="230"/>
        <v>0</v>
      </c>
      <c r="K236" s="290"/>
      <c r="L236" s="349"/>
      <c r="M236" s="7"/>
      <c r="N236" s="12" t="s">
        <v>130</v>
      </c>
      <c r="O236" s="12" t="s">
        <v>169</v>
      </c>
      <c r="P236" s="12" t="s">
        <v>182</v>
      </c>
      <c r="Q236" s="468">
        <v>1</v>
      </c>
      <c r="R236" s="362" cm="1">
        <f t="array" aca="1" ref="R236" ca="1">$R$44*(1+(INDIRECT("CMSResumen!L"&amp;(MAX(IF(INDIRECT("CMSResumen!B1:B"&amp;ROW()-10)=B217,ROW(INDIRECT("CMSResumen!B1:B"&amp;ROW()-10)),0)+19)))))</f>
        <v>3.5000000000000003E-2</v>
      </c>
      <c r="S236" s="363">
        <v>20</v>
      </c>
      <c r="T236" s="364">
        <f t="shared" ref="T236" ca="1" si="237">IF(ISBLANK($P236),0,IF(Approach="Team-Based",$Q236*$R236*$S236*HoursPerDayTeamBased,$J236))</f>
        <v>5.67</v>
      </c>
      <c r="U236" s="365">
        <v>0</v>
      </c>
      <c r="V236" s="91">
        <f>ROUNDUP(IFERROR(INDEX(CostRateTbl[Cost Rate],MATCH(_xlfn.CONCAT(N236,O236,P236,"NA"),CostRateTbl[KeyCostRate],0)),0)*BillingCurrencyTRM*(1+U236),2)</f>
        <v>133425.46000000002</v>
      </c>
      <c r="W236" s="92">
        <f t="shared" ca="1" si="222"/>
        <v>756522.35820000013</v>
      </c>
      <c r="X236" s="366" t="str" cm="1">
        <f t="array" ref="X236">_xlfn.LET(
    _xlpm.valor, INDEX(CostRate!H:H, MATCH(1, (CostRate!A:A=N236)*1, 0)),
    _xlpm.posicion, MATCH(_xlpm.valor, FilterSL!$F$1:$Z$1, 0),
    _xlpm.direccionCompleta, ADDRESS(1, _xlpm.posicion + 5, 4),
    _xlpm.letraColumna, SUBSTITUTE(_xlpm.direccionCompleta, "1", ""),
    _xlpm.letraColumna
)</f>
        <v>R</v>
      </c>
      <c r="Y236" s="366" t="str" cm="1">
        <f t="array" ref="Y236">_xlfn.LET(
    _xlpm.valor, INDEX(CostRate!I:I, MATCH(1, (CostRate!A:A=N236)*(CostRate!B:B=O236), 0)),
    _xlpm.posicion, MATCH(_xlpm.valor, FilterJP!$E$1:$FZ$1, 0),
    _xlpm.direccionCompleta, ADDRESS(1, _xlpm.posicion + 4, 4),
    _xlpm.letraColumna, SUBSTITUTE(_xlpm.direccionCompleta, "1", ""),
    _xlpm.letraColumna
)</f>
        <v>BI</v>
      </c>
      <c r="Z236" s="7"/>
      <c r="AA236" s="367"/>
      <c r="AB236" s="7"/>
      <c r="AC236" s="93">
        <f t="shared" si="223"/>
        <v>190607.8</v>
      </c>
      <c r="AD236" s="94">
        <f t="shared" ca="1" si="232"/>
        <v>1080746.226</v>
      </c>
      <c r="AE236" s="109">
        <f t="shared" ca="1" si="233"/>
        <v>0.29999999999999993</v>
      </c>
      <c r="AF236" s="7"/>
      <c r="AG236" s="369">
        <f t="shared" si="224"/>
        <v>0</v>
      </c>
      <c r="AH236" s="368">
        <f t="shared" ca="1" si="225"/>
        <v>0</v>
      </c>
      <c r="AI236" s="7"/>
      <c r="AJ236" s="369" cm="1">
        <f t="array" ref="AJ236">IFERROR(INDEX(WHT!$C$7:$W$18,MATCH(
_xlfn.SWITCH(N236,"xDC Medellin","Colombia","xDC Belo Horizonte","Brazil","xDC Guadalajara","Mexico","xDC Gurugram","India","xDC Leon","Spain","xDC San Jose","Costa Rica","xDC Warsaw","Poland",N236),
WHT!$B$7:$B$18,0),MATCH(CustomerCountry,WHT!$C$5:$W$5,0)),0)</f>
        <v>0</v>
      </c>
      <c r="AK236" s="368">
        <f t="shared" ca="1" si="226"/>
        <v>0</v>
      </c>
      <c r="AL236" s="7"/>
      <c r="AM236" s="95">
        <f t="shared" ca="1" si="234"/>
        <v>1080746.226</v>
      </c>
      <c r="AN236" s="95">
        <f t="shared" ca="1" si="227"/>
        <v>1080746.226</v>
      </c>
      <c r="AO236" s="95">
        <f t="shared" ca="1" si="235"/>
        <v>190607.80000000002</v>
      </c>
      <c r="AP236" s="90"/>
      <c r="AQ236" s="18"/>
      <c r="AR236" s="290"/>
      <c r="AS236" s="467" t="s">
        <v>133</v>
      </c>
      <c r="AT236" s="501">
        <f t="shared" ca="1" si="228"/>
        <v>1080746.226</v>
      </c>
      <c r="AU236" s="502"/>
      <c r="AV236" s="95">
        <f t="shared" ca="1" si="236"/>
        <v>190607.80000000002</v>
      </c>
      <c r="AW236" s="469">
        <f t="shared" ca="1" si="229"/>
        <v>48.873794871794878</v>
      </c>
      <c r="AX236" s="290"/>
      <c r="AY236" s="18"/>
      <c r="AZ236" s="3"/>
      <c r="BA236" s="315"/>
      <c r="BB236" s="3"/>
      <c r="BC236" s="3"/>
      <c r="BD236" s="3"/>
      <c r="BE236" s="3"/>
      <c r="BF236" s="18"/>
      <c r="BG236" s="3"/>
      <c r="BH236" s="315"/>
      <c r="BI236" s="3"/>
      <c r="BJ236" s="3"/>
      <c r="BK236" s="3"/>
      <c r="BL236" s="3"/>
      <c r="BM236" s="18"/>
      <c r="BN236" s="3"/>
      <c r="BO236" s="315"/>
      <c r="BP236" s="3"/>
      <c r="BQ236" s="3"/>
      <c r="BR236" s="3"/>
      <c r="BS236" s="3"/>
      <c r="BT236" s="18"/>
      <c r="BU236" s="3"/>
      <c r="BV236" s="315"/>
      <c r="BW236" s="3"/>
      <c r="BX236" s="3"/>
      <c r="BY236" s="3"/>
      <c r="BZ236" s="3"/>
    </row>
    <row r="237" spans="1:79" ht="15.6" outlineLevel="1">
      <c r="A237" s="7"/>
      <c r="B237" s="370"/>
      <c r="C237" s="355" t="s">
        <v>183</v>
      </c>
      <c r="D237" s="356"/>
      <c r="E237" s="342"/>
      <c r="F237" s="290"/>
      <c r="G237" s="357">
        <v>0</v>
      </c>
      <c r="H237" s="358">
        <v>0</v>
      </c>
      <c r="I237" s="358">
        <v>0</v>
      </c>
      <c r="J237" s="359">
        <f t="shared" si="230"/>
        <v>0</v>
      </c>
      <c r="K237" s="290"/>
      <c r="L237" s="349"/>
      <c r="M237" s="7"/>
      <c r="N237" s="12" t="s">
        <v>130</v>
      </c>
      <c r="O237" s="12" t="s">
        <v>177</v>
      </c>
      <c r="P237" s="12" t="s">
        <v>184</v>
      </c>
      <c r="Q237" s="468">
        <v>1</v>
      </c>
      <c r="R237" s="362" cm="1">
        <f t="array" aca="1" ref="R237" ca="1">$R$45*(1+(INDIRECT("CMSResumen!L"&amp;(MAX(IF(INDIRECT("CMSResumen!B1:B"&amp;ROW()-10)=B217,ROW(INDIRECT("CMSResumen!B1:B"&amp;ROW()-10)),0)+20)))))</f>
        <v>3.5000000000000003E-2</v>
      </c>
      <c r="S237" s="363">
        <v>20</v>
      </c>
      <c r="T237" s="364">
        <f t="shared" ref="T237" ca="1" si="238">IF(ISBLANK($P237),0,IF(Approach="Team-Based",$Q237*$R237*$S237*HoursPerDayTeamBased,$J237))</f>
        <v>5.67</v>
      </c>
      <c r="U237" s="365">
        <v>0</v>
      </c>
      <c r="V237" s="91">
        <f>ROUNDUP(IFERROR(INDEX(CostRateTbl[Cost Rate],MATCH(_xlfn.CONCAT(N237,O237,P237,"NA"),CostRateTbl[KeyCostRate],0)),0)*BillingCurrencyTRM*(1+U237),2)</f>
        <v>46596.590000000004</v>
      </c>
      <c r="W237" s="92">
        <f t="shared" ca="1" si="222"/>
        <v>264202.66529999999</v>
      </c>
      <c r="X237" s="366" t="str" cm="1">
        <f t="array" ref="X237">_xlfn.LET(
    _xlpm.valor, INDEX(CostRate!H:H, MATCH(1, (CostRate!A:A=N237)*1, 0)),
    _xlpm.posicion, MATCH(_xlpm.valor, FilterSL!$F$1:$Z$1, 0),
    _xlpm.direccionCompleta, ADDRESS(1, _xlpm.posicion + 5, 4),
    _xlpm.letraColumna, SUBSTITUTE(_xlpm.direccionCompleta, "1", ""),
    _xlpm.letraColumna
)</f>
        <v>R</v>
      </c>
      <c r="Y237" s="366" t="str" cm="1">
        <f t="array" ref="Y237">_xlfn.LET(
    _xlpm.valor, INDEX(CostRate!I:I, MATCH(1, (CostRate!A:A=N237)*(CostRate!B:B=O237), 0)),
    _xlpm.posicion, MATCH(_xlpm.valor, FilterJP!$E$1:$FZ$1, 0),
    _xlpm.direccionCompleta, ADDRESS(1, _xlpm.posicion + 4, 4),
    _xlpm.letraColumna, SUBSTITUTE(_xlpm.direccionCompleta, "1", ""),
    _xlpm.letraColumna
)</f>
        <v>BO</v>
      </c>
      <c r="Z237" s="7"/>
      <c r="AA237" s="367"/>
      <c r="AB237" s="7"/>
      <c r="AC237" s="93">
        <f t="shared" si="223"/>
        <v>66566.559999999998</v>
      </c>
      <c r="AD237" s="94">
        <f t="shared" ca="1" si="232"/>
        <v>377432.39519999997</v>
      </c>
      <c r="AE237" s="109">
        <f t="shared" ca="1" si="233"/>
        <v>0.30000003004511566</v>
      </c>
      <c r="AF237" s="7"/>
      <c r="AG237" s="369">
        <f t="shared" si="224"/>
        <v>0</v>
      </c>
      <c r="AH237" s="368">
        <f t="shared" ca="1" si="225"/>
        <v>0</v>
      </c>
      <c r="AI237" s="7"/>
      <c r="AJ237" s="369" cm="1">
        <f t="array" ref="AJ237">IFERROR(INDEX(WHT!$C$7:$W$18,MATCH(
_xlfn.SWITCH(N237,"xDC Medellin","Colombia","xDC Belo Horizonte","Brazil","xDC Guadalajara","Mexico","xDC Gurugram","India","xDC Leon","Spain","xDC San Jose","Costa Rica","xDC Warsaw","Poland",N237),
WHT!$B$7:$B$18,0),MATCH(CustomerCountry,WHT!$C$5:$W$5,0)),0)</f>
        <v>0</v>
      </c>
      <c r="AK237" s="368">
        <f t="shared" ca="1" si="226"/>
        <v>0</v>
      </c>
      <c r="AL237" s="7"/>
      <c r="AM237" s="95">
        <f t="shared" ca="1" si="234"/>
        <v>377432.39519999997</v>
      </c>
      <c r="AN237" s="95">
        <f t="shared" ca="1" si="227"/>
        <v>377432.39519999997</v>
      </c>
      <c r="AO237" s="95">
        <f t="shared" ca="1" si="235"/>
        <v>66566.559999999998</v>
      </c>
      <c r="AP237" s="90"/>
      <c r="AQ237" s="18"/>
      <c r="AR237" s="290"/>
      <c r="AS237" s="467" t="s">
        <v>133</v>
      </c>
      <c r="AT237" s="501">
        <f t="shared" ca="1" si="228"/>
        <v>377432.39519999997</v>
      </c>
      <c r="AU237" s="502"/>
      <c r="AV237" s="95">
        <f t="shared" ca="1" si="236"/>
        <v>66566.559999999998</v>
      </c>
      <c r="AW237" s="469">
        <f t="shared" ca="1" si="229"/>
        <v>17.068348717948716</v>
      </c>
      <c r="AX237" s="290"/>
      <c r="AY237" s="18"/>
      <c r="AZ237" s="3"/>
      <c r="BA237" s="315"/>
      <c r="BB237" s="3"/>
      <c r="BC237" s="3"/>
      <c r="BD237" s="3"/>
      <c r="BE237" s="3"/>
      <c r="BF237" s="18"/>
      <c r="BG237" s="3"/>
      <c r="BH237" s="315"/>
      <c r="BI237" s="3"/>
      <c r="BJ237" s="3"/>
      <c r="BK237" s="3"/>
      <c r="BL237" s="3"/>
      <c r="BM237" s="18"/>
      <c r="BN237" s="3"/>
      <c r="BO237" s="315"/>
      <c r="BP237" s="3"/>
      <c r="BQ237" s="3"/>
      <c r="BR237" s="3"/>
      <c r="BS237" s="3"/>
      <c r="BT237" s="18"/>
      <c r="BU237" s="3"/>
      <c r="BV237" s="315"/>
      <c r="BW237" s="3"/>
      <c r="BX237" s="3"/>
      <c r="BY237" s="3"/>
      <c r="BZ237" s="3"/>
    </row>
    <row r="238" spans="1:79" ht="15.6" outlineLevel="1">
      <c r="A238" s="7"/>
      <c r="B238" s="370"/>
      <c r="C238" s="355" t="s">
        <v>185</v>
      </c>
      <c r="D238" s="356"/>
      <c r="E238" s="342"/>
      <c r="F238" s="290"/>
      <c r="G238" s="357">
        <v>0</v>
      </c>
      <c r="H238" s="358">
        <v>0</v>
      </c>
      <c r="I238" s="358">
        <v>0</v>
      </c>
      <c r="J238" s="359">
        <f t="shared" si="230"/>
        <v>0</v>
      </c>
      <c r="K238" s="290"/>
      <c r="L238" s="349"/>
      <c r="M238" s="7"/>
      <c r="N238" s="12" t="s">
        <v>130</v>
      </c>
      <c r="O238" s="12" t="s">
        <v>177</v>
      </c>
      <c r="P238" s="12" t="s">
        <v>180</v>
      </c>
      <c r="Q238" s="468">
        <v>1.23</v>
      </c>
      <c r="R238" s="362" cm="1">
        <f t="array" aca="1" ref="R238" ca="1">$R$43*(1+(INDIRECT("CMSResumen!L"&amp;(MAX(IF(INDIRECT("CMSResumen!B1:B"&amp;ROW()-10)=B217,ROW(INDIRECT("CMSResumen!B1:B"&amp;ROW()-10)),0)+18)))))</f>
        <v>7.8E-2</v>
      </c>
      <c r="S238" s="363">
        <f>20*10%</f>
        <v>2</v>
      </c>
      <c r="T238" s="364">
        <f t="shared" ref="T238" ca="1" si="239">IF(ISBLANK($P238),0,IF(Approach="Team-Based",$Q238*$R238*$S238*HoursPerDayTeamBased,$J238))</f>
        <v>1.5542279999999999</v>
      </c>
      <c r="U238" s="365">
        <v>0</v>
      </c>
      <c r="V238" s="91">
        <f>ROUNDUP(IFERROR(INDEX(CostRateTbl[Cost Rate],MATCH(_xlfn.CONCAT(N238,O238,P238,"NA"),CostRateTbl[KeyCostRate],0)),0)*BillingCurrencyTRM*(1+U238),2)</f>
        <v>0</v>
      </c>
      <c r="W238" s="92">
        <f t="shared" ca="1" si="222"/>
        <v>0</v>
      </c>
      <c r="X238" s="366" t="str" cm="1">
        <f t="array" ref="X238">_xlfn.LET(
    _xlpm.valor, INDEX(CostRate!H:H, MATCH(1, (CostRate!A:A=N238)*1, 0)),
    _xlpm.posicion, MATCH(_xlpm.valor, FilterSL!$F$1:$Z$1, 0),
    _xlpm.direccionCompleta, ADDRESS(1, _xlpm.posicion + 5, 4),
    _xlpm.letraColumna, SUBSTITUTE(_xlpm.direccionCompleta, "1", ""),
    _xlpm.letraColumna
)</f>
        <v>R</v>
      </c>
      <c r="Y238" s="366" t="str" cm="1">
        <f t="array" ref="Y238">_xlfn.LET(
    _xlpm.valor, INDEX(CostRate!I:I, MATCH(1, (CostRate!A:A=N238)*(CostRate!B:B=O238), 0)),
    _xlpm.posicion, MATCH(_xlpm.valor, FilterJP!$E$1:$FZ$1, 0),
    _xlpm.direccionCompleta, ADDRESS(1, _xlpm.posicion + 4, 4),
    _xlpm.letraColumna, SUBSTITUTE(_xlpm.direccionCompleta, "1", ""),
    _xlpm.letraColumna
)</f>
        <v>BO</v>
      </c>
      <c r="Z238" s="7"/>
      <c r="AA238" s="367"/>
      <c r="AB238" s="7"/>
      <c r="AC238" s="93">
        <f t="shared" si="223"/>
        <v>0</v>
      </c>
      <c r="AD238" s="94">
        <f t="shared" ca="1" si="232"/>
        <v>0</v>
      </c>
      <c r="AE238" s="109">
        <f t="shared" ca="1" si="233"/>
        <v>0</v>
      </c>
      <c r="AF238" s="7"/>
      <c r="AG238" s="369">
        <f t="shared" si="224"/>
        <v>0</v>
      </c>
      <c r="AH238" s="368">
        <f t="shared" ca="1" si="225"/>
        <v>0</v>
      </c>
      <c r="AI238" s="7"/>
      <c r="AJ238" s="369" cm="1">
        <f t="array" ref="AJ238">IFERROR(INDEX(WHT!$C$7:$W$18,MATCH(
_xlfn.SWITCH(N238,"xDC Medellin","Colombia","xDC Belo Horizonte","Brazil","xDC Guadalajara","Mexico","xDC Gurugram","India","xDC Leon","Spain","xDC San Jose","Costa Rica","xDC Warsaw","Poland",N238),
WHT!$B$7:$B$18,0),MATCH(CustomerCountry,WHT!$C$5:$W$5,0)),0)</f>
        <v>0</v>
      </c>
      <c r="AK238" s="368">
        <f t="shared" ca="1" si="226"/>
        <v>0</v>
      </c>
      <c r="AL238" s="7"/>
      <c r="AM238" s="95">
        <f t="shared" ca="1" si="234"/>
        <v>0</v>
      </c>
      <c r="AN238" s="95">
        <f t="shared" ca="1" si="227"/>
        <v>0</v>
      </c>
      <c r="AO238" s="95">
        <f t="shared" ca="1" si="235"/>
        <v>0</v>
      </c>
      <c r="AP238" s="90"/>
      <c r="AQ238" s="18"/>
      <c r="AR238" s="290"/>
      <c r="AS238" s="467" t="s">
        <v>133</v>
      </c>
      <c r="AT238" s="501">
        <f t="shared" ca="1" si="228"/>
        <v>0</v>
      </c>
      <c r="AU238" s="502"/>
      <c r="AV238" s="95">
        <f t="shared" ca="1" si="236"/>
        <v>0</v>
      </c>
      <c r="AW238" s="469">
        <f t="shared" ca="1" si="229"/>
        <v>0</v>
      </c>
      <c r="AX238" s="290"/>
      <c r="AY238" s="18"/>
      <c r="AZ238" s="3"/>
      <c r="BA238" s="315"/>
      <c r="BB238" s="3"/>
      <c r="BC238" s="3"/>
      <c r="BD238" s="3"/>
      <c r="BE238" s="3"/>
      <c r="BF238" s="18"/>
      <c r="BG238" s="3"/>
      <c r="BH238" s="315"/>
      <c r="BI238" s="3"/>
      <c r="BJ238" s="3"/>
      <c r="BK238" s="3"/>
      <c r="BL238" s="3"/>
      <c r="BM238" s="18"/>
      <c r="BN238" s="3"/>
      <c r="BO238" s="315"/>
      <c r="BP238" s="3"/>
      <c r="BQ238" s="3"/>
      <c r="BR238" s="3"/>
      <c r="BS238" s="3"/>
      <c r="BT238" s="18"/>
      <c r="BU238" s="3"/>
      <c r="BV238" s="315"/>
      <c r="BW238" s="3"/>
      <c r="BX238" s="3"/>
      <c r="BY238" s="3"/>
      <c r="BZ238" s="3"/>
    </row>
    <row r="239" spans="1:79" ht="15.6" outlineLevel="1">
      <c r="A239" s="7"/>
      <c r="B239" s="370"/>
      <c r="C239" s="355" t="s">
        <v>186</v>
      </c>
      <c r="D239" s="356"/>
      <c r="E239" s="342"/>
      <c r="F239" s="290"/>
      <c r="G239" s="357">
        <v>0</v>
      </c>
      <c r="H239" s="358">
        <v>0</v>
      </c>
      <c r="I239" s="358">
        <v>0</v>
      </c>
      <c r="J239" s="359">
        <f t="shared" si="230"/>
        <v>0</v>
      </c>
      <c r="K239" s="290"/>
      <c r="L239" s="349"/>
      <c r="M239" s="7"/>
      <c r="N239" s="12" t="s">
        <v>130</v>
      </c>
      <c r="O239" s="12" t="s">
        <v>177</v>
      </c>
      <c r="P239" s="12" t="s">
        <v>184</v>
      </c>
      <c r="Q239" s="468">
        <v>1.23</v>
      </c>
      <c r="R239" s="362" cm="1">
        <f t="array" aca="1" ref="R239" ca="1">$R$45*(1+(INDIRECT("CMSResumen!L"&amp;(MAX(IF(INDIRECT("CMSResumen!B1:B"&amp;ROW()-10)=B217,ROW(INDIRECT("CMSResumen!B1:B"&amp;ROW()-10)),0)+20)))))</f>
        <v>3.5000000000000003E-2</v>
      </c>
      <c r="S239" s="363">
        <f>20*10%</f>
        <v>2</v>
      </c>
      <c r="T239" s="364">
        <f t="shared" ref="T239" ca="1" si="240">IF(ISBLANK($P239),0,IF(Approach="Team-Based",$Q239*$R239*$S239*HoursPerDayTeamBased,$J239))</f>
        <v>0.69741000000000009</v>
      </c>
      <c r="U239" s="365">
        <v>0</v>
      </c>
      <c r="V239" s="91">
        <f>ROUNDUP(IFERROR(INDEX(CostRateTbl[Cost Rate],MATCH(_xlfn.CONCAT(N239,O239,P239,"NA"),CostRateTbl[KeyCostRate],0)),0)*BillingCurrencyTRM*(1+U239),2)</f>
        <v>46596.590000000004</v>
      </c>
      <c r="W239" s="92">
        <f t="shared" ca="1" si="222"/>
        <v>32496.927831900008</v>
      </c>
      <c r="X239" s="366" t="str" cm="1">
        <f t="array" ref="X239">_xlfn.LET(
    _xlpm.valor, INDEX(CostRate!H:H, MATCH(1, (CostRate!A:A=N239)*1, 0)),
    _xlpm.posicion, MATCH(_xlpm.valor, FilterSL!$F$1:$Z$1, 0),
    _xlpm.direccionCompleta, ADDRESS(1, _xlpm.posicion + 5, 4),
    _xlpm.letraColumna, SUBSTITUTE(_xlpm.direccionCompleta, "1", ""),
    _xlpm.letraColumna
)</f>
        <v>R</v>
      </c>
      <c r="Y239" s="366" t="str" cm="1">
        <f t="array" ref="Y239">_xlfn.LET(
    _xlpm.valor, INDEX(CostRate!I:I, MATCH(1, (CostRate!A:A=N239)*(CostRate!B:B=O239), 0)),
    _xlpm.posicion, MATCH(_xlpm.valor, FilterJP!$E$1:$FZ$1, 0),
    _xlpm.direccionCompleta, ADDRESS(1, _xlpm.posicion + 4, 4),
    _xlpm.letraColumna, SUBSTITUTE(_xlpm.direccionCompleta, "1", ""),
    _xlpm.letraColumna
)</f>
        <v>BO</v>
      </c>
      <c r="Z239" s="7"/>
      <c r="AA239" s="367"/>
      <c r="AB239" s="7"/>
      <c r="AC239" s="93">
        <f t="shared" si="223"/>
        <v>66566.559999999998</v>
      </c>
      <c r="AD239" s="94">
        <f t="shared" ca="1" si="232"/>
        <v>46424.184609600001</v>
      </c>
      <c r="AE239" s="109">
        <f t="shared" ca="1" si="233"/>
        <v>0.30000003004511555</v>
      </c>
      <c r="AF239" s="7"/>
      <c r="AG239" s="369">
        <f t="shared" si="224"/>
        <v>0</v>
      </c>
      <c r="AH239" s="368">
        <f t="shared" ca="1" si="225"/>
        <v>0</v>
      </c>
      <c r="AI239" s="7"/>
      <c r="AJ239" s="369" cm="1">
        <f t="array" ref="AJ239">IFERROR(INDEX(WHT!$C$7:$W$18,MATCH(
_xlfn.SWITCH(N239,"xDC Medellin","Colombia","xDC Belo Horizonte","Brazil","xDC Guadalajara","Mexico","xDC Gurugram","India","xDC Leon","Spain","xDC San Jose","Costa Rica","xDC Warsaw","Poland",N239),
WHT!$B$7:$B$18,0),MATCH(CustomerCountry,WHT!$C$5:$W$5,0)),0)</f>
        <v>0</v>
      </c>
      <c r="AK239" s="368">
        <f t="shared" ca="1" si="226"/>
        <v>0</v>
      </c>
      <c r="AL239" s="7"/>
      <c r="AM239" s="95">
        <f t="shared" ca="1" si="234"/>
        <v>46424.184609600001</v>
      </c>
      <c r="AN239" s="95">
        <f t="shared" ca="1" si="227"/>
        <v>46424.184609600001</v>
      </c>
      <c r="AO239" s="95">
        <f t="shared" ca="1" si="235"/>
        <v>66566.559999999998</v>
      </c>
      <c r="AP239" s="90"/>
      <c r="AQ239" s="18"/>
      <c r="AR239" s="290"/>
      <c r="AS239" s="467" t="s">
        <v>133</v>
      </c>
      <c r="AT239" s="501">
        <f t="shared" ca="1" si="228"/>
        <v>46424.184609600001</v>
      </c>
      <c r="AU239" s="502"/>
      <c r="AV239" s="95">
        <f t="shared" ca="1" si="236"/>
        <v>66566.559999999998</v>
      </c>
      <c r="AW239" s="469">
        <f t="shared" ca="1" si="229"/>
        <v>17.068348717948716</v>
      </c>
      <c r="AX239" s="290"/>
      <c r="AY239" s="18"/>
      <c r="AZ239" s="3"/>
      <c r="BA239" s="315"/>
      <c r="BB239" s="3"/>
      <c r="BC239" s="3"/>
      <c r="BD239" s="3"/>
      <c r="BE239" s="3"/>
      <c r="BF239" s="18"/>
      <c r="BG239" s="3"/>
      <c r="BH239" s="315"/>
      <c r="BI239" s="3"/>
      <c r="BJ239" s="3"/>
      <c r="BK239" s="3"/>
      <c r="BL239" s="3"/>
      <c r="BM239" s="18"/>
      <c r="BN239" s="3"/>
      <c r="BO239" s="315"/>
      <c r="BP239" s="3"/>
      <c r="BQ239" s="3"/>
      <c r="BR239" s="3"/>
      <c r="BS239" s="3"/>
      <c r="BT239" s="18"/>
      <c r="BU239" s="3"/>
      <c r="BV239" s="315"/>
      <c r="BW239" s="3"/>
      <c r="BX239" s="3"/>
      <c r="BY239" s="3"/>
      <c r="BZ239" s="3"/>
    </row>
    <row r="240" spans="1:79" ht="28.9" outlineLevel="1">
      <c r="A240" s="7"/>
      <c r="B240" s="370"/>
      <c r="C240" s="355" t="s">
        <v>187</v>
      </c>
      <c r="D240" s="356"/>
      <c r="E240" s="342"/>
      <c r="F240" s="290"/>
      <c r="G240" s="357">
        <v>0</v>
      </c>
      <c r="H240" s="358">
        <v>0</v>
      </c>
      <c r="I240" s="358">
        <v>0</v>
      </c>
      <c r="J240" s="359">
        <f t="shared" si="230"/>
        <v>0</v>
      </c>
      <c r="K240" s="290"/>
      <c r="L240" s="349"/>
      <c r="M240" s="7"/>
      <c r="N240" s="12"/>
      <c r="O240" s="12"/>
      <c r="P240" s="12"/>
      <c r="Q240" s="361"/>
      <c r="R240" s="362"/>
      <c r="S240" s="363">
        <f t="shared" ref="S240:S263" si="241">IF(ISBLANK(P240),0,$O$226*20)</f>
        <v>0</v>
      </c>
      <c r="T240" s="364">
        <f t="shared" ref="T240" si="242">IF(ISBLANK($P240),0,IF(Approach="Team-Based",$Q240*$R240*$S240*HoursPerDayTeamBased,$J240))</f>
        <v>0</v>
      </c>
      <c r="U240" s="365">
        <v>0</v>
      </c>
      <c r="V240" s="91">
        <f>ROUNDUP(IFERROR(INDEX(CostRateTbl[Cost Rate],MATCH(_xlfn.CONCAT(N240,O240,P240,"NA"),CostRateTbl[KeyCostRate],0)),0)*BillingCurrencyTRM*(1+U240),2)</f>
        <v>0</v>
      </c>
      <c r="W240" s="92">
        <f t="shared" si="222"/>
        <v>0</v>
      </c>
      <c r="X240" s="366" t="e" cm="1">
        <f t="array" ref="X240">_xlfn.LET(
    _xlpm.valor, INDEX(CostRate!H:H, MATCH(1, (CostRate!A:A=N240)*1, 0)),
    _xlpm.posicion, MATCH(_xlpm.valor, FilterSL!$F$1:$Z$1, 0),
    _xlpm.direccionCompleta, ADDRESS(1, _xlpm.posicion + 5, 4),
    _xlpm.letraColumna, SUBSTITUTE(_xlpm.direccionCompleta, "1", ""),
    _xlpm.letraColumna
)</f>
        <v>#N/A</v>
      </c>
      <c r="Y240" s="366" t="e" cm="1">
        <f t="array" ref="Y240">_xlfn.LET(
    _xlpm.valor, INDEX(CostRate!I:I, MATCH(1, (CostRate!A:A=N240)*(CostRate!B:B=O240), 0)),
    _xlpm.posicion, MATCH(_xlpm.valor, FilterJP!$E$1:$FZ$1, 0),
    _xlpm.direccionCompleta, ADDRESS(1, _xlpm.posicion + 4, 4),
    _xlpm.letraColumna, SUBSTITUTE(_xlpm.direccionCompleta, "1", ""),
    _xlpm.letraColumna
)</f>
        <v>#N/A</v>
      </c>
      <c r="Z240" s="7"/>
      <c r="AA240" s="367"/>
      <c r="AB240" s="7"/>
      <c r="AC240" s="93">
        <f t="shared" si="223"/>
        <v>0</v>
      </c>
      <c r="AD240" s="94">
        <f t="shared" si="232"/>
        <v>0</v>
      </c>
      <c r="AE240" s="109">
        <f t="shared" si="233"/>
        <v>0</v>
      </c>
      <c r="AF240" s="7"/>
      <c r="AG240" s="369">
        <f t="shared" si="224"/>
        <v>0</v>
      </c>
      <c r="AH240" s="368">
        <f t="shared" si="225"/>
        <v>0</v>
      </c>
      <c r="AI240" s="7"/>
      <c r="AJ240" s="369" cm="1">
        <f t="array" ref="AJ240">IFERROR(INDEX(WHT!$C$7:$W$18,MATCH(
_xlfn.SWITCH(N240,"xDC Medellin","Colombia","xDC Belo Horizonte","Brazil","xDC Guadalajara","Mexico","xDC Gurugram","India","xDC Leon","Spain","xDC San Jose","Costa Rica","xDC Warsaw","Poland",N240),
WHT!$B$7:$B$18,0),MATCH(CustomerCountry,WHT!$C$5:$W$5,0)),0)</f>
        <v>0</v>
      </c>
      <c r="AK240" s="368">
        <f t="shared" si="226"/>
        <v>0</v>
      </c>
      <c r="AL240" s="7"/>
      <c r="AM240" s="95">
        <f t="shared" si="234"/>
        <v>0</v>
      </c>
      <c r="AN240" s="95">
        <f t="shared" ca="1" si="227"/>
        <v>0</v>
      </c>
      <c r="AO240" s="95">
        <f t="shared" ca="1" si="235"/>
        <v>0</v>
      </c>
      <c r="AP240" s="90"/>
      <c r="AQ240" s="18"/>
      <c r="AR240" s="290"/>
      <c r="AS240" s="467" t="s">
        <v>133</v>
      </c>
      <c r="AT240" s="501">
        <f t="shared" ca="1" si="228"/>
        <v>0</v>
      </c>
      <c r="AU240" s="502"/>
      <c r="AV240" s="95">
        <f t="shared" ca="1" si="236"/>
        <v>0</v>
      </c>
      <c r="AW240" s="469">
        <f t="shared" ca="1" si="229"/>
        <v>0</v>
      </c>
      <c r="AX240" s="290"/>
      <c r="AY240" s="18"/>
      <c r="AZ240" s="3"/>
      <c r="BA240" s="315"/>
      <c r="BB240" s="3"/>
      <c r="BC240" s="3"/>
      <c r="BD240" s="3"/>
      <c r="BE240" s="3"/>
      <c r="BF240" s="18"/>
      <c r="BG240" s="3"/>
      <c r="BH240" s="315"/>
      <c r="BI240" s="3"/>
      <c r="BJ240" s="3"/>
      <c r="BK240" s="3"/>
      <c r="BL240" s="3"/>
      <c r="BM240" s="18"/>
      <c r="BN240" s="3"/>
      <c r="BO240" s="315"/>
      <c r="BP240" s="3"/>
      <c r="BQ240" s="3"/>
      <c r="BR240" s="3"/>
      <c r="BS240" s="3"/>
      <c r="BT240" s="18"/>
      <c r="BU240" s="3"/>
      <c r="BV240" s="315"/>
      <c r="BW240" s="3"/>
      <c r="BX240" s="3"/>
      <c r="BY240" s="3"/>
      <c r="BZ240" s="3"/>
    </row>
    <row r="241" spans="1:78" ht="15.6" outlineLevel="1">
      <c r="A241" s="7"/>
      <c r="B241" s="370"/>
      <c r="C241" s="355"/>
      <c r="D241" s="356"/>
      <c r="E241" s="342"/>
      <c r="F241" s="290"/>
      <c r="G241" s="357">
        <v>0</v>
      </c>
      <c r="H241" s="358">
        <v>0</v>
      </c>
      <c r="I241" s="358">
        <v>0</v>
      </c>
      <c r="J241" s="359">
        <f t="shared" si="230"/>
        <v>0</v>
      </c>
      <c r="K241" s="290"/>
      <c r="L241" s="349"/>
      <c r="M241" s="7"/>
      <c r="N241" s="12"/>
      <c r="O241" s="12"/>
      <c r="P241" s="12"/>
      <c r="Q241" s="361"/>
      <c r="R241" s="362"/>
      <c r="S241" s="363">
        <f t="shared" si="241"/>
        <v>0</v>
      </c>
      <c r="T241" s="364">
        <f t="shared" ref="T241" si="243">IF(ISBLANK($P241),0,IF(Approach="Team-Based",$Q241*$R241*$S241*HoursPerDayTeamBased,$J241))</f>
        <v>0</v>
      </c>
      <c r="U241" s="365">
        <v>0</v>
      </c>
      <c r="V241" s="91">
        <f>ROUNDUP(IFERROR(INDEX(CostRateTbl[Cost Rate],MATCH(_xlfn.CONCAT(N241,O241,P241,"NA"),CostRateTbl[KeyCostRate],0)),0)*BillingCurrencyTRM*(1+U241),2)</f>
        <v>0</v>
      </c>
      <c r="W241" s="92">
        <f t="shared" si="222"/>
        <v>0</v>
      </c>
      <c r="X241" s="366" t="e" cm="1">
        <f t="array" ref="X241">_xlfn.LET(
    _xlpm.valor, INDEX(CostRate!H:H, MATCH(1, (CostRate!A:A=N241)*1, 0)),
    _xlpm.posicion, MATCH(_xlpm.valor, FilterSL!$F$1:$Z$1, 0),
    _xlpm.direccionCompleta, ADDRESS(1, _xlpm.posicion + 5, 4),
    _xlpm.letraColumna, SUBSTITUTE(_xlpm.direccionCompleta, "1", ""),
    _xlpm.letraColumna
)</f>
        <v>#N/A</v>
      </c>
      <c r="Y241" s="366" t="e" cm="1">
        <f t="array" ref="Y241">_xlfn.LET(
    _xlpm.valor, INDEX(CostRate!I:I, MATCH(1, (CostRate!A:A=N241)*(CostRate!B:B=O241), 0)),
    _xlpm.posicion, MATCH(_xlpm.valor, FilterJP!$E$1:$FZ$1, 0),
    _xlpm.direccionCompleta, ADDRESS(1, _xlpm.posicion + 4, 4),
    _xlpm.letraColumna, SUBSTITUTE(_xlpm.direccionCompleta, "1", ""),
    _xlpm.letraColumna
)</f>
        <v>#N/A</v>
      </c>
      <c r="Z241" s="7"/>
      <c r="AA241" s="367"/>
      <c r="AB241" s="7"/>
      <c r="AC241" s="93">
        <f t="shared" si="223"/>
        <v>0</v>
      </c>
      <c r="AD241" s="94">
        <f t="shared" si="232"/>
        <v>0</v>
      </c>
      <c r="AE241" s="109">
        <f t="shared" si="233"/>
        <v>0</v>
      </c>
      <c r="AF241" s="7"/>
      <c r="AG241" s="369">
        <f t="shared" si="224"/>
        <v>0</v>
      </c>
      <c r="AH241" s="368">
        <f t="shared" si="225"/>
        <v>0</v>
      </c>
      <c r="AI241" s="7"/>
      <c r="AJ241" s="369" cm="1">
        <f t="array" ref="AJ241">IFERROR(INDEX(WHT!$C$7:$W$18,MATCH(
_xlfn.SWITCH(N241,"xDC Medellin","Colombia","xDC Belo Horizonte","Brazil","xDC Guadalajara","Mexico","xDC Gurugram","India","xDC Leon","Spain","xDC San Jose","Costa Rica","xDC Warsaw","Poland",N241),
WHT!$B$7:$B$18,0),MATCH(CustomerCountry,WHT!$C$5:$W$5,0)),0)</f>
        <v>0</v>
      </c>
      <c r="AK241" s="368">
        <f t="shared" si="226"/>
        <v>0</v>
      </c>
      <c r="AL241" s="7"/>
      <c r="AM241" s="95">
        <f t="shared" si="234"/>
        <v>0</v>
      </c>
      <c r="AN241" s="95">
        <f t="shared" ca="1" si="227"/>
        <v>0</v>
      </c>
      <c r="AO241" s="95">
        <f t="shared" ca="1" si="235"/>
        <v>0</v>
      </c>
      <c r="AP241" s="90"/>
      <c r="AQ241" s="18"/>
      <c r="AR241" s="290"/>
      <c r="AS241" s="467" t="s">
        <v>133</v>
      </c>
      <c r="AT241" s="501">
        <f t="shared" ca="1" si="228"/>
        <v>0</v>
      </c>
      <c r="AU241" s="502"/>
      <c r="AV241" s="95">
        <f t="shared" ca="1" si="236"/>
        <v>0</v>
      </c>
      <c r="AW241" s="469">
        <f t="shared" ca="1" si="229"/>
        <v>0</v>
      </c>
      <c r="AX241" s="290"/>
      <c r="AY241" s="18"/>
      <c r="AZ241" s="3"/>
      <c r="BA241" s="315"/>
      <c r="BB241" s="3"/>
      <c r="BC241" s="3"/>
      <c r="BD241" s="3"/>
      <c r="BE241" s="3"/>
      <c r="BF241" s="18"/>
      <c r="BG241" s="3"/>
      <c r="BH241" s="315"/>
      <c r="BI241" s="3"/>
      <c r="BJ241" s="3"/>
      <c r="BK241" s="3"/>
      <c r="BL241" s="3"/>
      <c r="BM241" s="18"/>
      <c r="BN241" s="3"/>
      <c r="BO241" s="315"/>
      <c r="BP241" s="3"/>
      <c r="BQ241" s="3"/>
      <c r="BR241" s="3"/>
      <c r="BS241" s="3"/>
      <c r="BT241" s="18"/>
      <c r="BU241" s="3"/>
      <c r="BV241" s="315"/>
      <c r="BW241" s="3"/>
      <c r="BX241" s="3"/>
      <c r="BY241" s="3"/>
      <c r="BZ241" s="3"/>
    </row>
    <row r="242" spans="1:78" ht="15.6" outlineLevel="1">
      <c r="A242" s="7"/>
      <c r="B242" s="370"/>
      <c r="C242" s="355"/>
      <c r="D242" s="356"/>
      <c r="E242" s="342"/>
      <c r="F242" s="290"/>
      <c r="G242" s="357">
        <v>0</v>
      </c>
      <c r="H242" s="358">
        <v>0</v>
      </c>
      <c r="I242" s="358">
        <v>0</v>
      </c>
      <c r="J242" s="359">
        <f t="shared" si="230"/>
        <v>0</v>
      </c>
      <c r="K242" s="290"/>
      <c r="L242" s="349"/>
      <c r="M242" s="7"/>
      <c r="N242" s="12"/>
      <c r="O242" s="12"/>
      <c r="P242" s="12"/>
      <c r="Q242" s="361"/>
      <c r="R242" s="362"/>
      <c r="S242" s="363">
        <f t="shared" si="241"/>
        <v>0</v>
      </c>
      <c r="T242" s="364">
        <f t="shared" ref="T242" si="244">IF(ISBLANK($P242),0,IF(Approach="Team-Based",$Q242*$R242*$S242*HoursPerDayTeamBased,$J242))</f>
        <v>0</v>
      </c>
      <c r="U242" s="365">
        <v>0</v>
      </c>
      <c r="V242" s="91">
        <f>ROUNDUP(IFERROR(INDEX(CostRateTbl[Cost Rate],MATCH(_xlfn.CONCAT(N242,O242,P242,"NA"),CostRateTbl[KeyCostRate],0)),0)*BillingCurrencyTRM*(1+U242),2)</f>
        <v>0</v>
      </c>
      <c r="W242" s="92">
        <f t="shared" si="222"/>
        <v>0</v>
      </c>
      <c r="X242" s="366" t="e" cm="1">
        <f t="array" ref="X242">_xlfn.LET(
    _xlpm.valor, INDEX(CostRate!H:H, MATCH(1, (CostRate!A:A=N242)*1, 0)),
    _xlpm.posicion, MATCH(_xlpm.valor, FilterSL!$F$1:$Z$1, 0),
    _xlpm.direccionCompleta, ADDRESS(1, _xlpm.posicion + 5, 4),
    _xlpm.letraColumna, SUBSTITUTE(_xlpm.direccionCompleta, "1", ""),
    _xlpm.letraColumna
)</f>
        <v>#N/A</v>
      </c>
      <c r="Y242" s="366" t="e" cm="1">
        <f t="array" ref="Y242">_xlfn.LET(
    _xlpm.valor, INDEX(CostRate!I:I, MATCH(1, (CostRate!A:A=N242)*(CostRate!B:B=O242), 0)),
    _xlpm.posicion, MATCH(_xlpm.valor, FilterJP!$E$1:$FZ$1, 0),
    _xlpm.direccionCompleta, ADDRESS(1, _xlpm.posicion + 4, 4),
    _xlpm.letraColumna, SUBSTITUTE(_xlpm.direccionCompleta, "1", ""),
    _xlpm.letraColumna
)</f>
        <v>#N/A</v>
      </c>
      <c r="Z242" s="7"/>
      <c r="AA242" s="367"/>
      <c r="AB242" s="7"/>
      <c r="AC242" s="93">
        <f t="shared" si="223"/>
        <v>0</v>
      </c>
      <c r="AD242" s="94">
        <f t="shared" si="232"/>
        <v>0</v>
      </c>
      <c r="AE242" s="109">
        <f t="shared" si="233"/>
        <v>0</v>
      </c>
      <c r="AF242" s="7"/>
      <c r="AG242" s="369">
        <f t="shared" si="224"/>
        <v>0</v>
      </c>
      <c r="AH242" s="368">
        <f t="shared" si="225"/>
        <v>0</v>
      </c>
      <c r="AI242" s="7"/>
      <c r="AJ242" s="369" cm="1">
        <f t="array" ref="AJ242">IFERROR(INDEX(WHT!$C$7:$W$18,MATCH(
_xlfn.SWITCH(N242,"xDC Medellin","Colombia","xDC Belo Horizonte","Brazil","xDC Guadalajara","Mexico","xDC Gurugram","India","xDC Leon","Spain","xDC San Jose","Costa Rica","xDC Warsaw","Poland",N242),
WHT!$B$7:$B$18,0),MATCH(CustomerCountry,WHT!$C$5:$W$5,0)),0)</f>
        <v>0</v>
      </c>
      <c r="AK242" s="368">
        <f t="shared" si="226"/>
        <v>0</v>
      </c>
      <c r="AL242" s="7"/>
      <c r="AM242" s="95">
        <f t="shared" si="234"/>
        <v>0</v>
      </c>
      <c r="AN242" s="95">
        <f t="shared" ca="1" si="227"/>
        <v>0</v>
      </c>
      <c r="AO242" s="95">
        <f t="shared" ca="1" si="235"/>
        <v>0</v>
      </c>
      <c r="AP242" s="90"/>
      <c r="AQ242" s="18"/>
      <c r="AR242" s="290"/>
      <c r="AS242" s="467" t="s">
        <v>133</v>
      </c>
      <c r="AT242" s="501">
        <f t="shared" ca="1" si="228"/>
        <v>0</v>
      </c>
      <c r="AU242" s="502"/>
      <c r="AV242" s="95">
        <f t="shared" ca="1" si="236"/>
        <v>0</v>
      </c>
      <c r="AW242" s="469">
        <f t="shared" ca="1" si="229"/>
        <v>0</v>
      </c>
      <c r="AX242" s="290"/>
      <c r="AY242" s="18"/>
      <c r="AZ242" s="3"/>
      <c r="BA242" s="315"/>
      <c r="BB242" s="3"/>
      <c r="BC242" s="3"/>
      <c r="BD242" s="3"/>
      <c r="BE242" s="3"/>
      <c r="BF242" s="18"/>
      <c r="BG242" s="3"/>
      <c r="BH242" s="315"/>
      <c r="BI242" s="3"/>
      <c r="BJ242" s="3"/>
      <c r="BK242" s="3"/>
      <c r="BL242" s="3"/>
      <c r="BM242" s="18"/>
      <c r="BN242" s="3"/>
      <c r="BO242" s="315"/>
      <c r="BP242" s="3"/>
      <c r="BQ242" s="3"/>
      <c r="BR242" s="3"/>
      <c r="BS242" s="3"/>
      <c r="BT242" s="18"/>
      <c r="BU242" s="3"/>
      <c r="BV242" s="315"/>
      <c r="BW242" s="3"/>
      <c r="BX242" s="3"/>
      <c r="BY242" s="3"/>
      <c r="BZ242" s="3"/>
    </row>
    <row r="243" spans="1:78" ht="15.6" outlineLevel="1">
      <c r="A243" s="7"/>
      <c r="B243" s="370"/>
      <c r="C243" s="355"/>
      <c r="D243" s="356"/>
      <c r="E243" s="342"/>
      <c r="F243" s="290"/>
      <c r="G243" s="357">
        <v>0</v>
      </c>
      <c r="H243" s="358">
        <v>0</v>
      </c>
      <c r="I243" s="358">
        <v>0</v>
      </c>
      <c r="J243" s="359">
        <f t="shared" si="230"/>
        <v>0</v>
      </c>
      <c r="K243" s="290"/>
      <c r="L243" s="349"/>
      <c r="M243" s="7"/>
      <c r="N243" s="12"/>
      <c r="O243" s="12"/>
      <c r="P243" s="12"/>
      <c r="Q243" s="361"/>
      <c r="R243" s="362"/>
      <c r="S243" s="363">
        <f t="shared" si="241"/>
        <v>0</v>
      </c>
      <c r="T243" s="364">
        <f t="shared" ref="T243" si="245">IF(ISBLANK($P243),0,IF(Approach="Team-Based",$Q243*$R243*$S243*HoursPerDayTeamBased,$J243))</f>
        <v>0</v>
      </c>
      <c r="U243" s="365">
        <v>0</v>
      </c>
      <c r="V243" s="91">
        <f>ROUNDUP(IFERROR(INDEX(CostRateTbl[Cost Rate],MATCH(_xlfn.CONCAT(N243,O243,P243,"NA"),CostRateTbl[KeyCostRate],0)),0)*BillingCurrencyTRM*(1+U243),2)</f>
        <v>0</v>
      </c>
      <c r="W243" s="92">
        <f t="shared" si="222"/>
        <v>0</v>
      </c>
      <c r="X243" s="366" t="e" cm="1">
        <f t="array" ref="X243">_xlfn.LET(
    _xlpm.valor, INDEX(CostRate!H:H, MATCH(1, (CostRate!A:A=N243)*1, 0)),
    _xlpm.posicion, MATCH(_xlpm.valor, FilterSL!$F$1:$Z$1, 0),
    _xlpm.direccionCompleta, ADDRESS(1, _xlpm.posicion + 5, 4),
    _xlpm.letraColumna, SUBSTITUTE(_xlpm.direccionCompleta, "1", ""),
    _xlpm.letraColumna
)</f>
        <v>#N/A</v>
      </c>
      <c r="Y243" s="366" t="e" cm="1">
        <f t="array" ref="Y243">_xlfn.LET(
    _xlpm.valor, INDEX(CostRate!I:I, MATCH(1, (CostRate!A:A=N243)*(CostRate!B:B=O243), 0)),
    _xlpm.posicion, MATCH(_xlpm.valor, FilterJP!$E$1:$FZ$1, 0),
    _xlpm.direccionCompleta, ADDRESS(1, _xlpm.posicion + 4, 4),
    _xlpm.letraColumna, SUBSTITUTE(_xlpm.direccionCompleta, "1", ""),
    _xlpm.letraColumna
)</f>
        <v>#N/A</v>
      </c>
      <c r="Z243" s="7"/>
      <c r="AA243" s="367"/>
      <c r="AB243" s="7"/>
      <c r="AC243" s="93">
        <f t="shared" si="223"/>
        <v>0</v>
      </c>
      <c r="AD243" s="94">
        <f t="shared" si="232"/>
        <v>0</v>
      </c>
      <c r="AE243" s="109">
        <f t="shared" si="233"/>
        <v>0</v>
      </c>
      <c r="AF243" s="7"/>
      <c r="AG243" s="369">
        <f t="shared" si="224"/>
        <v>0</v>
      </c>
      <c r="AH243" s="368">
        <f t="shared" si="225"/>
        <v>0</v>
      </c>
      <c r="AI243" s="7"/>
      <c r="AJ243" s="369" cm="1">
        <f t="array" ref="AJ243">IFERROR(INDEX(WHT!$C$7:$W$18,MATCH(
_xlfn.SWITCH(N243,"xDC Medellin","Colombia","xDC Belo Horizonte","Brazil","xDC Guadalajara","Mexico","xDC Gurugram","India","xDC Leon","Spain","xDC San Jose","Costa Rica","xDC Warsaw","Poland",N243),
WHT!$B$7:$B$18,0),MATCH(CustomerCountry,WHT!$C$5:$W$5,0)),0)</f>
        <v>0</v>
      </c>
      <c r="AK243" s="368">
        <f t="shared" si="226"/>
        <v>0</v>
      </c>
      <c r="AL243" s="7"/>
      <c r="AM243" s="95">
        <f t="shared" si="234"/>
        <v>0</v>
      </c>
      <c r="AN243" s="95">
        <f t="shared" ca="1" si="227"/>
        <v>0</v>
      </c>
      <c r="AO243" s="95">
        <f t="shared" ca="1" si="235"/>
        <v>0</v>
      </c>
      <c r="AP243" s="90"/>
      <c r="AQ243" s="18"/>
      <c r="AR243" s="290"/>
      <c r="AS243" s="467" t="s">
        <v>133</v>
      </c>
      <c r="AT243" s="501">
        <f t="shared" ca="1" si="228"/>
        <v>0</v>
      </c>
      <c r="AU243" s="502"/>
      <c r="AV243" s="95">
        <f t="shared" ca="1" si="236"/>
        <v>0</v>
      </c>
      <c r="AW243" s="469">
        <f t="shared" ca="1" si="229"/>
        <v>0</v>
      </c>
      <c r="AX243" s="290"/>
      <c r="AY243" s="18"/>
      <c r="AZ243" s="3"/>
      <c r="BA243" s="315"/>
      <c r="BB243" s="3"/>
      <c r="BC243" s="3"/>
      <c r="BD243" s="3"/>
      <c r="BE243" s="3"/>
      <c r="BF243" s="18"/>
      <c r="BG243" s="3"/>
      <c r="BH243" s="315"/>
      <c r="BI243" s="3"/>
      <c r="BJ243" s="3"/>
      <c r="BK243" s="3"/>
      <c r="BL243" s="3"/>
      <c r="BM243" s="18"/>
      <c r="BN243" s="3"/>
      <c r="BO243" s="315"/>
      <c r="BP243" s="3"/>
      <c r="BQ243" s="3"/>
      <c r="BR243" s="3"/>
      <c r="BS243" s="3"/>
      <c r="BT243" s="18"/>
      <c r="BU243" s="3"/>
      <c r="BV243" s="315"/>
      <c r="BW243" s="3"/>
      <c r="BX243" s="3"/>
      <c r="BY243" s="3"/>
      <c r="BZ243" s="3"/>
    </row>
    <row r="244" spans="1:78" ht="15.6" outlineLevel="1">
      <c r="A244" s="7"/>
      <c r="B244" s="370"/>
      <c r="C244" s="355"/>
      <c r="D244" s="356"/>
      <c r="E244" s="342"/>
      <c r="F244" s="290"/>
      <c r="G244" s="357">
        <v>0</v>
      </c>
      <c r="H244" s="358">
        <v>0</v>
      </c>
      <c r="I244" s="358">
        <v>0</v>
      </c>
      <c r="J244" s="359">
        <f t="shared" si="230"/>
        <v>0</v>
      </c>
      <c r="K244" s="290"/>
      <c r="L244" s="349"/>
      <c r="M244" s="7"/>
      <c r="N244" s="12"/>
      <c r="O244" s="12"/>
      <c r="P244" s="12"/>
      <c r="Q244" s="361"/>
      <c r="R244" s="362"/>
      <c r="S244" s="363">
        <f t="shared" si="241"/>
        <v>0</v>
      </c>
      <c r="T244" s="364">
        <f t="shared" ref="T244" si="246">IF(ISBLANK($P244),0,IF(Approach="Team-Based",$Q244*$R244*$S244*HoursPerDayTeamBased,$J244))</f>
        <v>0</v>
      </c>
      <c r="U244" s="365">
        <v>0</v>
      </c>
      <c r="V244" s="91">
        <f>ROUNDUP(IFERROR(INDEX(CostRateTbl[Cost Rate],MATCH(_xlfn.CONCAT(N244,O244,P244,"NA"),CostRateTbl[KeyCostRate],0)),0)*BillingCurrencyTRM*(1+U244),2)</f>
        <v>0</v>
      </c>
      <c r="W244" s="92">
        <f t="shared" si="222"/>
        <v>0</v>
      </c>
      <c r="X244" s="366" t="e" cm="1">
        <f t="array" ref="X244">_xlfn.LET(
    _xlpm.valor, INDEX(CostRate!H:H, MATCH(1, (CostRate!A:A=N244)*1, 0)),
    _xlpm.posicion, MATCH(_xlpm.valor, FilterSL!$F$1:$Z$1, 0),
    _xlpm.direccionCompleta, ADDRESS(1, _xlpm.posicion + 5, 4),
    _xlpm.letraColumna, SUBSTITUTE(_xlpm.direccionCompleta, "1", ""),
    _xlpm.letraColumna
)</f>
        <v>#N/A</v>
      </c>
      <c r="Y244" s="366" t="e" cm="1">
        <f t="array" ref="Y244">_xlfn.LET(
    _xlpm.valor, INDEX(CostRate!I:I, MATCH(1, (CostRate!A:A=N244)*(CostRate!B:B=O244), 0)),
    _xlpm.posicion, MATCH(_xlpm.valor, FilterJP!$E$1:$FZ$1, 0),
    _xlpm.direccionCompleta, ADDRESS(1, _xlpm.posicion + 4, 4),
    _xlpm.letraColumna, SUBSTITUTE(_xlpm.direccionCompleta, "1", ""),
    _xlpm.letraColumna
)</f>
        <v>#N/A</v>
      </c>
      <c r="Z244" s="7"/>
      <c r="AA244" s="367"/>
      <c r="AB244" s="7"/>
      <c r="AC244" s="93">
        <f t="shared" si="223"/>
        <v>0</v>
      </c>
      <c r="AD244" s="94">
        <f t="shared" si="232"/>
        <v>0</v>
      </c>
      <c r="AE244" s="109">
        <f t="shared" si="233"/>
        <v>0</v>
      </c>
      <c r="AF244" s="7"/>
      <c r="AG244" s="369">
        <f t="shared" si="224"/>
        <v>0</v>
      </c>
      <c r="AH244" s="368">
        <f t="shared" si="225"/>
        <v>0</v>
      </c>
      <c r="AI244" s="7"/>
      <c r="AJ244" s="369" cm="1">
        <f t="array" ref="AJ244">IFERROR(INDEX(WHT!$C$7:$W$18,MATCH(
_xlfn.SWITCH(N244,"xDC Medellin","Colombia","xDC Belo Horizonte","Brazil","xDC Guadalajara","Mexico","xDC Gurugram","India","xDC Leon","Spain","xDC San Jose","Costa Rica","xDC Warsaw","Poland",N244),
WHT!$B$7:$B$18,0),MATCH(CustomerCountry,WHT!$C$5:$W$5,0)),0)</f>
        <v>0</v>
      </c>
      <c r="AK244" s="368">
        <f t="shared" si="226"/>
        <v>0</v>
      </c>
      <c r="AL244" s="7"/>
      <c r="AM244" s="95">
        <f t="shared" si="234"/>
        <v>0</v>
      </c>
      <c r="AN244" s="95">
        <f t="shared" ca="1" si="227"/>
        <v>0</v>
      </c>
      <c r="AO244" s="95">
        <f t="shared" ca="1" si="235"/>
        <v>0</v>
      </c>
      <c r="AP244" s="90"/>
      <c r="AQ244" s="18"/>
      <c r="AR244" s="290"/>
      <c r="AS244" s="467" t="s">
        <v>133</v>
      </c>
      <c r="AT244" s="501">
        <f t="shared" ca="1" si="228"/>
        <v>0</v>
      </c>
      <c r="AU244" s="502"/>
      <c r="AV244" s="95">
        <f t="shared" ca="1" si="236"/>
        <v>0</v>
      </c>
      <c r="AW244" s="469">
        <f t="shared" ca="1" si="229"/>
        <v>0</v>
      </c>
      <c r="AX244" s="290"/>
      <c r="AY244" s="18"/>
      <c r="AZ244" s="3"/>
      <c r="BA244" s="315"/>
      <c r="BB244" s="3"/>
      <c r="BC244" s="3"/>
      <c r="BD244" s="3"/>
      <c r="BE244" s="3"/>
      <c r="BF244" s="18"/>
      <c r="BG244" s="3"/>
      <c r="BH244" s="315"/>
      <c r="BI244" s="3"/>
      <c r="BJ244" s="3"/>
      <c r="BK244" s="3"/>
      <c r="BL244" s="3"/>
      <c r="BM244" s="18"/>
      <c r="BN244" s="3"/>
      <c r="BO244" s="315"/>
      <c r="BP244" s="3"/>
      <c r="BQ244" s="3"/>
      <c r="BR244" s="3"/>
      <c r="BS244" s="3"/>
      <c r="BT244" s="18"/>
      <c r="BU244" s="3"/>
      <c r="BV244" s="315"/>
      <c r="BW244" s="3"/>
      <c r="BX244" s="3"/>
      <c r="BY244" s="3"/>
      <c r="BZ244" s="3"/>
    </row>
    <row r="245" spans="1:78" ht="15.6" outlineLevel="1">
      <c r="A245" s="7"/>
      <c r="B245" s="370"/>
      <c r="C245" s="355"/>
      <c r="D245" s="356"/>
      <c r="E245" s="342"/>
      <c r="F245" s="290"/>
      <c r="G245" s="357">
        <v>0</v>
      </c>
      <c r="H245" s="358">
        <v>0</v>
      </c>
      <c r="I245" s="358">
        <v>0</v>
      </c>
      <c r="J245" s="359">
        <f t="shared" si="230"/>
        <v>0</v>
      </c>
      <c r="K245" s="290"/>
      <c r="L245" s="349"/>
      <c r="M245" s="7"/>
      <c r="N245" s="12"/>
      <c r="O245" s="12"/>
      <c r="P245" s="12"/>
      <c r="Q245" s="361"/>
      <c r="R245" s="362"/>
      <c r="S245" s="363">
        <f t="shared" si="241"/>
        <v>0</v>
      </c>
      <c r="T245" s="364">
        <f t="shared" ref="T245" si="247">IF(ISBLANK($P245),0,IF(Approach="Team-Based",$Q245*$R245*$S245*HoursPerDayTeamBased,$J245))</f>
        <v>0</v>
      </c>
      <c r="U245" s="365">
        <v>0</v>
      </c>
      <c r="V245" s="91">
        <f>ROUNDUP(IFERROR(INDEX(CostRateTbl[Cost Rate],MATCH(_xlfn.CONCAT(N245,O245,P245,"NA"),CostRateTbl[KeyCostRate],0)),0)*BillingCurrencyTRM*(1+U245),2)</f>
        <v>0</v>
      </c>
      <c r="W245" s="92">
        <f t="shared" si="222"/>
        <v>0</v>
      </c>
      <c r="X245" s="366" t="e" cm="1">
        <f t="array" ref="X245">_xlfn.LET(
    _xlpm.valor, INDEX(CostRate!H:H, MATCH(1, (CostRate!A:A=N245)*1, 0)),
    _xlpm.posicion, MATCH(_xlpm.valor, FilterSL!$F$1:$Z$1, 0),
    _xlpm.direccionCompleta, ADDRESS(1, _xlpm.posicion + 5, 4),
    _xlpm.letraColumna, SUBSTITUTE(_xlpm.direccionCompleta, "1", ""),
    _xlpm.letraColumna
)</f>
        <v>#N/A</v>
      </c>
      <c r="Y245" s="366" t="e" cm="1">
        <f t="array" ref="Y245">_xlfn.LET(
    _xlpm.valor, INDEX(CostRate!I:I, MATCH(1, (CostRate!A:A=N245)*(CostRate!B:B=O245), 0)),
    _xlpm.posicion, MATCH(_xlpm.valor, FilterJP!$E$1:$FZ$1, 0),
    _xlpm.direccionCompleta, ADDRESS(1, _xlpm.posicion + 4, 4),
    _xlpm.letraColumna, SUBSTITUTE(_xlpm.direccionCompleta, "1", ""),
    _xlpm.letraColumna
)</f>
        <v>#N/A</v>
      </c>
      <c r="Z245" s="7"/>
      <c r="AA245" s="367"/>
      <c r="AB245" s="7"/>
      <c r="AC245" s="93">
        <f t="shared" si="223"/>
        <v>0</v>
      </c>
      <c r="AD245" s="94">
        <f t="shared" si="232"/>
        <v>0</v>
      </c>
      <c r="AE245" s="109">
        <f t="shared" si="233"/>
        <v>0</v>
      </c>
      <c r="AF245" s="7"/>
      <c r="AG245" s="369">
        <f t="shared" si="224"/>
        <v>0</v>
      </c>
      <c r="AH245" s="368">
        <f t="shared" si="225"/>
        <v>0</v>
      </c>
      <c r="AI245" s="7"/>
      <c r="AJ245" s="369" cm="1">
        <f t="array" ref="AJ245">IFERROR(INDEX(WHT!$C$7:$W$18,MATCH(
_xlfn.SWITCH(N245,"xDC Medellin","Colombia","xDC Belo Horizonte","Brazil","xDC Guadalajara","Mexico","xDC Gurugram","India","xDC Leon","Spain","xDC San Jose","Costa Rica","xDC Warsaw","Poland",N245),
WHT!$B$7:$B$18,0),MATCH(CustomerCountry,WHT!$C$5:$W$5,0)),0)</f>
        <v>0</v>
      </c>
      <c r="AK245" s="368">
        <f t="shared" si="226"/>
        <v>0</v>
      </c>
      <c r="AL245" s="7"/>
      <c r="AM245" s="95">
        <f t="shared" si="234"/>
        <v>0</v>
      </c>
      <c r="AN245" s="95">
        <f t="shared" ca="1" si="227"/>
        <v>0</v>
      </c>
      <c r="AO245" s="95">
        <f t="shared" ca="1" si="235"/>
        <v>0</v>
      </c>
      <c r="AP245" s="90"/>
      <c r="AQ245" s="18"/>
      <c r="AR245" s="290"/>
      <c r="AS245" s="467" t="s">
        <v>133</v>
      </c>
      <c r="AT245" s="501">
        <f t="shared" ca="1" si="228"/>
        <v>0</v>
      </c>
      <c r="AU245" s="502"/>
      <c r="AV245" s="95">
        <f t="shared" ca="1" si="236"/>
        <v>0</v>
      </c>
      <c r="AW245" s="469">
        <f t="shared" ca="1" si="229"/>
        <v>0</v>
      </c>
      <c r="AX245" s="290"/>
      <c r="AY245" s="18"/>
      <c r="AZ245" s="3"/>
      <c r="BA245" s="315"/>
      <c r="BB245" s="3"/>
      <c r="BC245" s="3"/>
      <c r="BD245" s="3"/>
      <c r="BE245" s="3"/>
      <c r="BF245" s="18"/>
      <c r="BG245" s="3"/>
      <c r="BH245" s="315"/>
      <c r="BI245" s="3"/>
      <c r="BJ245" s="3"/>
      <c r="BK245" s="3"/>
      <c r="BL245" s="3"/>
      <c r="BM245" s="18"/>
      <c r="BN245" s="3"/>
      <c r="BO245" s="315"/>
      <c r="BP245" s="3"/>
      <c r="BQ245" s="3"/>
      <c r="BR245" s="3"/>
      <c r="BS245" s="3"/>
      <c r="BT245" s="18"/>
      <c r="BU245" s="3"/>
      <c r="BV245" s="315"/>
      <c r="BW245" s="3"/>
      <c r="BX245" s="3"/>
      <c r="BY245" s="3"/>
      <c r="BZ245" s="3"/>
    </row>
    <row r="246" spans="1:78" ht="15.6" outlineLevel="1">
      <c r="A246" s="7"/>
      <c r="B246" s="370"/>
      <c r="C246" s="355"/>
      <c r="D246" s="356"/>
      <c r="E246" s="342"/>
      <c r="F246" s="290"/>
      <c r="G246" s="357">
        <v>0</v>
      </c>
      <c r="H246" s="358">
        <v>0</v>
      </c>
      <c r="I246" s="358">
        <v>0</v>
      </c>
      <c r="J246" s="359">
        <f t="shared" si="230"/>
        <v>0</v>
      </c>
      <c r="K246" s="290"/>
      <c r="L246" s="349"/>
      <c r="M246" s="7"/>
      <c r="N246" s="12"/>
      <c r="O246" s="12"/>
      <c r="P246" s="12"/>
      <c r="Q246" s="361"/>
      <c r="R246" s="362"/>
      <c r="S246" s="363">
        <f t="shared" si="241"/>
        <v>0</v>
      </c>
      <c r="T246" s="364">
        <f t="shared" ref="T246" si="248">IF(ISBLANK($P246),0,IF(Approach="Team-Based",$Q246*$R246*$S246*HoursPerDayTeamBased,$J246))</f>
        <v>0</v>
      </c>
      <c r="U246" s="365">
        <v>0</v>
      </c>
      <c r="V246" s="91">
        <f>ROUNDUP(IFERROR(INDEX(CostRateTbl[Cost Rate],MATCH(_xlfn.CONCAT(N246,O246,P246,"NA"),CostRateTbl[KeyCostRate],0)),0)*BillingCurrencyTRM*(1+U246),2)</f>
        <v>0</v>
      </c>
      <c r="W246" s="92">
        <f t="shared" si="222"/>
        <v>0</v>
      </c>
      <c r="X246" s="366" t="e" cm="1">
        <f t="array" ref="X246">_xlfn.LET(
    _xlpm.valor, INDEX(CostRate!H:H, MATCH(1, (CostRate!A:A=N246)*1, 0)),
    _xlpm.posicion, MATCH(_xlpm.valor, FilterSL!$F$1:$Z$1, 0),
    _xlpm.direccionCompleta, ADDRESS(1, _xlpm.posicion + 5, 4),
    _xlpm.letraColumna, SUBSTITUTE(_xlpm.direccionCompleta, "1", ""),
    _xlpm.letraColumna
)</f>
        <v>#N/A</v>
      </c>
      <c r="Y246" s="366" t="e" cm="1">
        <f t="array" ref="Y246">_xlfn.LET(
    _xlpm.valor, INDEX(CostRate!I:I, MATCH(1, (CostRate!A:A=N246)*(CostRate!B:B=O246), 0)),
    _xlpm.posicion, MATCH(_xlpm.valor, FilterJP!$E$1:$FZ$1, 0),
    _xlpm.direccionCompleta, ADDRESS(1, _xlpm.posicion + 4, 4),
    _xlpm.letraColumna, SUBSTITUTE(_xlpm.direccionCompleta, "1", ""),
    _xlpm.letraColumna
)</f>
        <v>#N/A</v>
      </c>
      <c r="Z246" s="7"/>
      <c r="AA246" s="367"/>
      <c r="AB246" s="7"/>
      <c r="AC246" s="93">
        <f t="shared" si="223"/>
        <v>0</v>
      </c>
      <c r="AD246" s="94">
        <f t="shared" si="232"/>
        <v>0</v>
      </c>
      <c r="AE246" s="109">
        <f t="shared" si="233"/>
        <v>0</v>
      </c>
      <c r="AF246" s="7"/>
      <c r="AG246" s="369">
        <f t="shared" si="224"/>
        <v>0</v>
      </c>
      <c r="AH246" s="368">
        <f t="shared" si="225"/>
        <v>0</v>
      </c>
      <c r="AI246" s="7"/>
      <c r="AJ246" s="369" cm="1">
        <f t="array" ref="AJ246">IFERROR(INDEX(WHT!$C$7:$W$18,MATCH(
_xlfn.SWITCH(N246,"xDC Medellin","Colombia","xDC Belo Horizonte","Brazil","xDC Guadalajara","Mexico","xDC Gurugram","India","xDC Leon","Spain","xDC San Jose","Costa Rica","xDC Warsaw","Poland",N246),
WHT!$B$7:$B$18,0),MATCH(CustomerCountry,WHT!$C$5:$W$5,0)),0)</f>
        <v>0</v>
      </c>
      <c r="AK246" s="368">
        <f t="shared" si="226"/>
        <v>0</v>
      </c>
      <c r="AL246" s="7"/>
      <c r="AM246" s="95">
        <f t="shared" si="234"/>
        <v>0</v>
      </c>
      <c r="AN246" s="95">
        <f t="shared" ca="1" si="227"/>
        <v>0</v>
      </c>
      <c r="AO246" s="95">
        <f t="shared" ca="1" si="235"/>
        <v>0</v>
      </c>
      <c r="AP246" s="90"/>
      <c r="AQ246" s="18"/>
      <c r="AR246" s="290"/>
      <c r="AS246" s="467" t="s">
        <v>133</v>
      </c>
      <c r="AT246" s="501">
        <f t="shared" ca="1" si="228"/>
        <v>0</v>
      </c>
      <c r="AU246" s="502"/>
      <c r="AV246" s="95">
        <f t="shared" ca="1" si="236"/>
        <v>0</v>
      </c>
      <c r="AW246" s="469">
        <f t="shared" ca="1" si="229"/>
        <v>0</v>
      </c>
      <c r="AX246" s="290"/>
      <c r="AY246" s="18"/>
      <c r="AZ246" s="3"/>
      <c r="BA246" s="315"/>
      <c r="BB246" s="3"/>
      <c r="BC246" s="3"/>
      <c r="BD246" s="3"/>
      <c r="BE246" s="3"/>
      <c r="BF246" s="18"/>
      <c r="BG246" s="3"/>
      <c r="BH246" s="315"/>
      <c r="BI246" s="3"/>
      <c r="BJ246" s="3"/>
      <c r="BK246" s="3"/>
      <c r="BL246" s="3"/>
      <c r="BM246" s="18"/>
      <c r="BN246" s="3"/>
      <c r="BO246" s="315"/>
      <c r="BP246" s="3"/>
      <c r="BQ246" s="3"/>
      <c r="BR246" s="3"/>
      <c r="BS246" s="3"/>
      <c r="BT246" s="18"/>
      <c r="BU246" s="3"/>
      <c r="BV246" s="315"/>
      <c r="BW246" s="3"/>
      <c r="BX246" s="3"/>
      <c r="BY246" s="3"/>
      <c r="BZ246" s="3"/>
    </row>
    <row r="247" spans="1:78" ht="15.6" outlineLevel="1">
      <c r="A247" s="7"/>
      <c r="B247" s="370"/>
      <c r="C247" s="355"/>
      <c r="D247" s="356"/>
      <c r="E247" s="342"/>
      <c r="F247" s="290"/>
      <c r="G247" s="357">
        <v>0</v>
      </c>
      <c r="H247" s="358">
        <v>0</v>
      </c>
      <c r="I247" s="358">
        <v>0</v>
      </c>
      <c r="J247" s="359">
        <f t="shared" si="230"/>
        <v>0</v>
      </c>
      <c r="K247" s="290"/>
      <c r="L247" s="349"/>
      <c r="M247" s="7"/>
      <c r="N247" s="12"/>
      <c r="O247" s="12"/>
      <c r="P247" s="12"/>
      <c r="Q247" s="361"/>
      <c r="R247" s="362"/>
      <c r="S247" s="363">
        <f t="shared" si="241"/>
        <v>0</v>
      </c>
      <c r="T247" s="364">
        <f t="shared" ref="T247" si="249">IF(ISBLANK($P247),0,IF(Approach="Team-Based",$Q247*$R247*$S247*HoursPerDayTeamBased,$J247))</f>
        <v>0</v>
      </c>
      <c r="U247" s="365">
        <v>0</v>
      </c>
      <c r="V247" s="91">
        <f>ROUNDUP(IFERROR(INDEX(CostRateTbl[Cost Rate],MATCH(_xlfn.CONCAT(N247,O247,P247,"NA"),CostRateTbl[KeyCostRate],0)),0)*BillingCurrencyTRM*(1+U247),2)</f>
        <v>0</v>
      </c>
      <c r="W247" s="92">
        <f t="shared" si="222"/>
        <v>0</v>
      </c>
      <c r="X247" s="366" t="e" cm="1">
        <f t="array" ref="X247">_xlfn.LET(
    _xlpm.valor, INDEX(CostRate!H:H, MATCH(1, (CostRate!A:A=N247)*1, 0)),
    _xlpm.posicion, MATCH(_xlpm.valor, FilterSL!$F$1:$Z$1, 0),
    _xlpm.direccionCompleta, ADDRESS(1, _xlpm.posicion + 5, 4),
    _xlpm.letraColumna, SUBSTITUTE(_xlpm.direccionCompleta, "1", ""),
    _xlpm.letraColumna
)</f>
        <v>#N/A</v>
      </c>
      <c r="Y247" s="366" t="e" cm="1">
        <f t="array" ref="Y247">_xlfn.LET(
    _xlpm.valor, INDEX(CostRate!I:I, MATCH(1, (CostRate!A:A=N247)*(CostRate!B:B=O247), 0)),
    _xlpm.posicion, MATCH(_xlpm.valor, FilterJP!$E$1:$FZ$1, 0),
    _xlpm.direccionCompleta, ADDRESS(1, _xlpm.posicion + 4, 4),
    _xlpm.letraColumna, SUBSTITUTE(_xlpm.direccionCompleta, "1", ""),
    _xlpm.letraColumna
)</f>
        <v>#N/A</v>
      </c>
      <c r="Z247" s="7"/>
      <c r="AA247" s="367"/>
      <c r="AB247" s="7"/>
      <c r="AC247" s="93">
        <f t="shared" si="223"/>
        <v>0</v>
      </c>
      <c r="AD247" s="94">
        <f t="shared" si="232"/>
        <v>0</v>
      </c>
      <c r="AE247" s="109">
        <f t="shared" si="233"/>
        <v>0</v>
      </c>
      <c r="AF247" s="7"/>
      <c r="AG247" s="369">
        <f t="shared" si="224"/>
        <v>0</v>
      </c>
      <c r="AH247" s="368">
        <f t="shared" si="225"/>
        <v>0</v>
      </c>
      <c r="AI247" s="7"/>
      <c r="AJ247" s="369" cm="1">
        <f t="array" ref="AJ247">IFERROR(INDEX(WHT!$C$7:$W$18,MATCH(
_xlfn.SWITCH(N247,"xDC Medellin","Colombia","xDC Belo Horizonte","Brazil","xDC Guadalajara","Mexico","xDC Gurugram","India","xDC Leon","Spain","xDC San Jose","Costa Rica","xDC Warsaw","Poland",N247),
WHT!$B$7:$B$18,0),MATCH(CustomerCountry,WHT!$C$5:$W$5,0)),0)</f>
        <v>0</v>
      </c>
      <c r="AK247" s="368">
        <f t="shared" si="226"/>
        <v>0</v>
      </c>
      <c r="AL247" s="7"/>
      <c r="AM247" s="95">
        <f t="shared" si="234"/>
        <v>0</v>
      </c>
      <c r="AN247" s="95">
        <f t="shared" ca="1" si="227"/>
        <v>0</v>
      </c>
      <c r="AO247" s="95">
        <f t="shared" ca="1" si="235"/>
        <v>0</v>
      </c>
      <c r="AP247" s="90"/>
      <c r="AQ247" s="18"/>
      <c r="AR247" s="290"/>
      <c r="AS247" s="467" t="s">
        <v>133</v>
      </c>
      <c r="AT247" s="501">
        <f t="shared" ca="1" si="228"/>
        <v>0</v>
      </c>
      <c r="AU247" s="502"/>
      <c r="AV247" s="95">
        <f t="shared" ca="1" si="236"/>
        <v>0</v>
      </c>
      <c r="AW247" s="469">
        <f t="shared" ca="1" si="229"/>
        <v>0</v>
      </c>
      <c r="AX247" s="290"/>
      <c r="AY247" s="18"/>
      <c r="AZ247" s="3"/>
      <c r="BA247" s="315"/>
      <c r="BB247" s="3"/>
      <c r="BC247" s="3"/>
      <c r="BD247" s="3"/>
      <c r="BE247" s="3"/>
      <c r="BF247" s="18"/>
      <c r="BG247" s="3"/>
      <c r="BH247" s="315"/>
      <c r="BI247" s="3"/>
      <c r="BJ247" s="3"/>
      <c r="BK247" s="3"/>
      <c r="BL247" s="3"/>
      <c r="BM247" s="18"/>
      <c r="BN247" s="3"/>
      <c r="BO247" s="315"/>
      <c r="BP247" s="3"/>
      <c r="BQ247" s="3"/>
      <c r="BR247" s="3"/>
      <c r="BS247" s="3"/>
      <c r="BT247" s="18"/>
      <c r="BU247" s="3"/>
      <c r="BV247" s="315"/>
      <c r="BW247" s="3"/>
      <c r="BX247" s="3"/>
      <c r="BY247" s="3"/>
      <c r="BZ247" s="3"/>
    </row>
    <row r="248" spans="1:78" ht="15.6" outlineLevel="1">
      <c r="A248" s="7"/>
      <c r="B248" s="370"/>
      <c r="C248" s="355"/>
      <c r="D248" s="356"/>
      <c r="E248" s="342"/>
      <c r="F248" s="290"/>
      <c r="G248" s="357">
        <v>0</v>
      </c>
      <c r="H248" s="358">
        <v>0</v>
      </c>
      <c r="I248" s="358">
        <v>0</v>
      </c>
      <c r="J248" s="359">
        <f t="shared" si="230"/>
        <v>0</v>
      </c>
      <c r="K248" s="290"/>
      <c r="L248" s="349"/>
      <c r="M248" s="7"/>
      <c r="N248" s="12"/>
      <c r="O248" s="12"/>
      <c r="P248" s="12"/>
      <c r="Q248" s="361"/>
      <c r="R248" s="362"/>
      <c r="S248" s="363">
        <f t="shared" si="241"/>
        <v>0</v>
      </c>
      <c r="T248" s="364">
        <f t="shared" ref="T248" si="250">IF(ISBLANK($P248),0,IF(Approach="Team-Based",$Q248*$R248*$S248*HoursPerDayTeamBased,$J248))</f>
        <v>0</v>
      </c>
      <c r="U248" s="365">
        <v>0</v>
      </c>
      <c r="V248" s="91">
        <f>ROUNDUP(IFERROR(INDEX(CostRateTbl[Cost Rate],MATCH(_xlfn.CONCAT(N248,O248,P248,"NA"),CostRateTbl[KeyCostRate],0)),0)*BillingCurrencyTRM*(1+U248),2)</f>
        <v>0</v>
      </c>
      <c r="W248" s="92">
        <f t="shared" si="222"/>
        <v>0</v>
      </c>
      <c r="X248" s="366" t="e" cm="1">
        <f t="array" ref="X248">_xlfn.LET(
    _xlpm.valor, INDEX(CostRate!H:H, MATCH(1, (CostRate!A:A=N248)*1, 0)),
    _xlpm.posicion, MATCH(_xlpm.valor, FilterSL!$F$1:$Z$1, 0),
    _xlpm.direccionCompleta, ADDRESS(1, _xlpm.posicion + 5, 4),
    _xlpm.letraColumna, SUBSTITUTE(_xlpm.direccionCompleta, "1", ""),
    _xlpm.letraColumna
)</f>
        <v>#N/A</v>
      </c>
      <c r="Y248" s="366" t="e" cm="1">
        <f t="array" ref="Y248">_xlfn.LET(
    _xlpm.valor, INDEX(CostRate!I:I, MATCH(1, (CostRate!A:A=N248)*(CostRate!B:B=O248), 0)),
    _xlpm.posicion, MATCH(_xlpm.valor, FilterJP!$E$1:$FZ$1, 0),
    _xlpm.direccionCompleta, ADDRESS(1, _xlpm.posicion + 4, 4),
    _xlpm.letraColumna, SUBSTITUTE(_xlpm.direccionCompleta, "1", ""),
    _xlpm.letraColumna
)</f>
        <v>#N/A</v>
      </c>
      <c r="Z248" s="7"/>
      <c r="AA248" s="367"/>
      <c r="AB248" s="7"/>
      <c r="AC248" s="93">
        <f t="shared" si="223"/>
        <v>0</v>
      </c>
      <c r="AD248" s="94">
        <f t="shared" si="232"/>
        <v>0</v>
      </c>
      <c r="AE248" s="109">
        <f t="shared" si="233"/>
        <v>0</v>
      </c>
      <c r="AF248" s="7"/>
      <c r="AG248" s="369">
        <f t="shared" si="224"/>
        <v>0</v>
      </c>
      <c r="AH248" s="368">
        <f t="shared" si="225"/>
        <v>0</v>
      </c>
      <c r="AI248" s="7"/>
      <c r="AJ248" s="369" cm="1">
        <f t="array" ref="AJ248">IFERROR(INDEX(WHT!$C$7:$W$18,MATCH(
_xlfn.SWITCH(N248,"xDC Medellin","Colombia","xDC Belo Horizonte","Brazil","xDC Guadalajara","Mexico","xDC Gurugram","India","xDC Leon","Spain","xDC San Jose","Costa Rica","xDC Warsaw","Poland",N248),
WHT!$B$7:$B$18,0),MATCH(CustomerCountry,WHT!$C$5:$W$5,0)),0)</f>
        <v>0</v>
      </c>
      <c r="AK248" s="368">
        <f t="shared" si="226"/>
        <v>0</v>
      </c>
      <c r="AL248" s="7"/>
      <c r="AM248" s="95">
        <f t="shared" si="234"/>
        <v>0</v>
      </c>
      <c r="AN248" s="95">
        <f t="shared" ca="1" si="227"/>
        <v>0</v>
      </c>
      <c r="AO248" s="95">
        <f t="shared" ca="1" si="235"/>
        <v>0</v>
      </c>
      <c r="AP248" s="90"/>
      <c r="AQ248" s="18"/>
      <c r="AR248" s="290"/>
      <c r="AS248" s="467" t="s">
        <v>133</v>
      </c>
      <c r="AT248" s="501">
        <f t="shared" ca="1" si="228"/>
        <v>0</v>
      </c>
      <c r="AU248" s="502"/>
      <c r="AV248" s="95">
        <f t="shared" ca="1" si="236"/>
        <v>0</v>
      </c>
      <c r="AW248" s="469">
        <f t="shared" ca="1" si="229"/>
        <v>0</v>
      </c>
      <c r="AX248" s="290"/>
      <c r="AY248" s="18"/>
      <c r="AZ248" s="3"/>
      <c r="BA248" s="315"/>
      <c r="BB248" s="3"/>
      <c r="BC248" s="3"/>
      <c r="BD248" s="3"/>
      <c r="BE248" s="3"/>
      <c r="BF248" s="18"/>
      <c r="BG248" s="3"/>
      <c r="BH248" s="315"/>
      <c r="BI248" s="3"/>
      <c r="BJ248" s="3"/>
      <c r="BK248" s="3"/>
      <c r="BL248" s="3"/>
      <c r="BM248" s="18"/>
      <c r="BN248" s="3"/>
      <c r="BO248" s="315"/>
      <c r="BP248" s="3"/>
      <c r="BQ248" s="3"/>
      <c r="BR248" s="3"/>
      <c r="BS248" s="3"/>
      <c r="BT248" s="18"/>
      <c r="BU248" s="3"/>
      <c r="BV248" s="315"/>
      <c r="BW248" s="3"/>
      <c r="BX248" s="3"/>
      <c r="BY248" s="3"/>
      <c r="BZ248" s="3"/>
    </row>
    <row r="249" spans="1:78" ht="15.6" outlineLevel="1">
      <c r="A249" s="7"/>
      <c r="B249" s="370"/>
      <c r="C249" s="355"/>
      <c r="D249" s="356"/>
      <c r="E249" s="342"/>
      <c r="F249" s="290"/>
      <c r="G249" s="357">
        <v>0</v>
      </c>
      <c r="H249" s="358">
        <v>0</v>
      </c>
      <c r="I249" s="358">
        <v>0</v>
      </c>
      <c r="J249" s="359">
        <f t="shared" si="230"/>
        <v>0</v>
      </c>
      <c r="K249" s="290"/>
      <c r="L249" s="349"/>
      <c r="M249" s="7"/>
      <c r="N249" s="12"/>
      <c r="O249" s="12"/>
      <c r="P249" s="12"/>
      <c r="Q249" s="361"/>
      <c r="R249" s="362"/>
      <c r="S249" s="363">
        <f t="shared" si="241"/>
        <v>0</v>
      </c>
      <c r="T249" s="364">
        <f t="shared" ref="T249" si="251">IF(ISBLANK($P249),0,IF(Approach="Team-Based",$Q249*$R249*$S249*HoursPerDayTeamBased,$J249))</f>
        <v>0</v>
      </c>
      <c r="U249" s="365">
        <v>0</v>
      </c>
      <c r="V249" s="91">
        <f>ROUNDUP(IFERROR(INDEX(CostRateTbl[Cost Rate],MATCH(_xlfn.CONCAT(N249,O249,P249,"NA"),CostRateTbl[KeyCostRate],0)),0)*BillingCurrencyTRM*(1+U249),2)</f>
        <v>0</v>
      </c>
      <c r="W249" s="92">
        <f t="shared" si="222"/>
        <v>0</v>
      </c>
      <c r="X249" s="366" t="e" cm="1">
        <f t="array" ref="X249">_xlfn.LET(
    _xlpm.valor, INDEX(CostRate!H:H, MATCH(1, (CostRate!A:A=N249)*1, 0)),
    _xlpm.posicion, MATCH(_xlpm.valor, FilterSL!$F$1:$Z$1, 0),
    _xlpm.direccionCompleta, ADDRESS(1, _xlpm.posicion + 5, 4),
    _xlpm.letraColumna, SUBSTITUTE(_xlpm.direccionCompleta, "1", ""),
    _xlpm.letraColumna
)</f>
        <v>#N/A</v>
      </c>
      <c r="Y249" s="366" t="e" cm="1">
        <f t="array" ref="Y249">_xlfn.LET(
    _xlpm.valor, INDEX(CostRate!I:I, MATCH(1, (CostRate!A:A=N249)*(CostRate!B:B=O249), 0)),
    _xlpm.posicion, MATCH(_xlpm.valor, FilterJP!$E$1:$FZ$1, 0),
    _xlpm.direccionCompleta, ADDRESS(1, _xlpm.posicion + 4, 4),
    _xlpm.letraColumna, SUBSTITUTE(_xlpm.direccionCompleta, "1", ""),
    _xlpm.letraColumna
)</f>
        <v>#N/A</v>
      </c>
      <c r="Z249" s="7"/>
      <c r="AA249" s="367"/>
      <c r="AB249" s="7"/>
      <c r="AC249" s="93">
        <f t="shared" si="223"/>
        <v>0</v>
      </c>
      <c r="AD249" s="94">
        <f t="shared" si="232"/>
        <v>0</v>
      </c>
      <c r="AE249" s="109">
        <f t="shared" si="233"/>
        <v>0</v>
      </c>
      <c r="AF249" s="7"/>
      <c r="AG249" s="369">
        <f t="shared" si="224"/>
        <v>0</v>
      </c>
      <c r="AH249" s="368">
        <f t="shared" si="225"/>
        <v>0</v>
      </c>
      <c r="AI249" s="7"/>
      <c r="AJ249" s="369" cm="1">
        <f t="array" ref="AJ249">IFERROR(INDEX(WHT!$C$7:$W$18,MATCH(
_xlfn.SWITCH(N249,"xDC Medellin","Colombia","xDC Belo Horizonte","Brazil","xDC Guadalajara","Mexico","xDC Gurugram","India","xDC Leon","Spain","xDC San Jose","Costa Rica","xDC Warsaw","Poland",N249),
WHT!$B$7:$B$18,0),MATCH(CustomerCountry,WHT!$C$5:$W$5,0)),0)</f>
        <v>0</v>
      </c>
      <c r="AK249" s="368">
        <f t="shared" si="226"/>
        <v>0</v>
      </c>
      <c r="AL249" s="7"/>
      <c r="AM249" s="95">
        <f t="shared" si="234"/>
        <v>0</v>
      </c>
      <c r="AN249" s="95">
        <f t="shared" ca="1" si="227"/>
        <v>0</v>
      </c>
      <c r="AO249" s="95">
        <f t="shared" ca="1" si="235"/>
        <v>0</v>
      </c>
      <c r="AP249" s="90"/>
      <c r="AQ249" s="18"/>
      <c r="AR249" s="290"/>
      <c r="AS249" s="467" t="s">
        <v>133</v>
      </c>
      <c r="AT249" s="501">
        <f t="shared" ca="1" si="228"/>
        <v>0</v>
      </c>
      <c r="AU249" s="502"/>
      <c r="AV249" s="95">
        <f t="shared" ca="1" si="236"/>
        <v>0</v>
      </c>
      <c r="AW249" s="469">
        <f t="shared" ca="1" si="229"/>
        <v>0</v>
      </c>
      <c r="AX249" s="290"/>
      <c r="AY249" s="18"/>
      <c r="AZ249" s="3"/>
      <c r="BA249" s="315"/>
      <c r="BB249" s="3"/>
      <c r="BC249" s="3"/>
      <c r="BD249" s="3"/>
      <c r="BE249" s="3"/>
      <c r="BF249" s="18"/>
      <c r="BG249" s="3"/>
      <c r="BH249" s="315"/>
      <c r="BI249" s="3"/>
      <c r="BJ249" s="3"/>
      <c r="BK249" s="3"/>
      <c r="BL249" s="3"/>
      <c r="BM249" s="18"/>
      <c r="BN249" s="3"/>
      <c r="BO249" s="315"/>
      <c r="BP249" s="3"/>
      <c r="BQ249" s="3"/>
      <c r="BR249" s="3"/>
      <c r="BS249" s="3"/>
      <c r="BT249" s="18"/>
      <c r="BU249" s="3"/>
      <c r="BV249" s="315"/>
      <c r="BW249" s="3"/>
      <c r="BX249" s="3"/>
      <c r="BY249" s="3"/>
      <c r="BZ249" s="3"/>
    </row>
    <row r="250" spans="1:78" ht="15.6" outlineLevel="1">
      <c r="A250" s="7"/>
      <c r="B250" s="370"/>
      <c r="C250" s="355"/>
      <c r="D250" s="356"/>
      <c r="E250" s="342"/>
      <c r="F250" s="290"/>
      <c r="G250" s="357">
        <v>0</v>
      </c>
      <c r="H250" s="358">
        <v>0</v>
      </c>
      <c r="I250" s="358">
        <v>0</v>
      </c>
      <c r="J250" s="359">
        <f t="shared" si="230"/>
        <v>0</v>
      </c>
      <c r="K250" s="290"/>
      <c r="L250" s="349"/>
      <c r="M250" s="7"/>
      <c r="N250" s="12"/>
      <c r="O250" s="12"/>
      <c r="P250" s="12"/>
      <c r="Q250" s="361"/>
      <c r="R250" s="362"/>
      <c r="S250" s="363">
        <f t="shared" si="241"/>
        <v>0</v>
      </c>
      <c r="T250" s="364">
        <f t="shared" ref="T250" si="252">IF(ISBLANK($P250),0,IF(Approach="Team-Based",$Q250*$R250*$S250*HoursPerDayTeamBased,$J250))</f>
        <v>0</v>
      </c>
      <c r="U250" s="365">
        <v>0</v>
      </c>
      <c r="V250" s="91">
        <f>ROUNDUP(IFERROR(INDEX(CostRateTbl[Cost Rate],MATCH(_xlfn.CONCAT(N250,O250,P250,"NA"),CostRateTbl[KeyCostRate],0)),0)*BillingCurrencyTRM*(1+U250),2)</f>
        <v>0</v>
      </c>
      <c r="W250" s="92">
        <f t="shared" si="222"/>
        <v>0</v>
      </c>
      <c r="X250" s="366" t="e" cm="1">
        <f t="array" ref="X250">_xlfn.LET(
    _xlpm.valor, INDEX(CostRate!H:H, MATCH(1, (CostRate!A:A=N250)*1, 0)),
    _xlpm.posicion, MATCH(_xlpm.valor, FilterSL!$F$1:$Z$1, 0),
    _xlpm.direccionCompleta, ADDRESS(1, _xlpm.posicion + 5, 4),
    _xlpm.letraColumna, SUBSTITUTE(_xlpm.direccionCompleta, "1", ""),
    _xlpm.letraColumna
)</f>
        <v>#N/A</v>
      </c>
      <c r="Y250" s="366" t="e" cm="1">
        <f t="array" ref="Y250">_xlfn.LET(
    _xlpm.valor, INDEX(CostRate!I:I, MATCH(1, (CostRate!A:A=N250)*(CostRate!B:B=O250), 0)),
    _xlpm.posicion, MATCH(_xlpm.valor, FilterJP!$E$1:$FZ$1, 0),
    _xlpm.direccionCompleta, ADDRESS(1, _xlpm.posicion + 4, 4),
    _xlpm.letraColumna, SUBSTITUTE(_xlpm.direccionCompleta, "1", ""),
    _xlpm.letraColumna
)</f>
        <v>#N/A</v>
      </c>
      <c r="Z250" s="7"/>
      <c r="AA250" s="367"/>
      <c r="AB250" s="7"/>
      <c r="AC250" s="93">
        <f t="shared" si="223"/>
        <v>0</v>
      </c>
      <c r="AD250" s="94">
        <f t="shared" si="232"/>
        <v>0</v>
      </c>
      <c r="AE250" s="109">
        <f t="shared" si="233"/>
        <v>0</v>
      </c>
      <c r="AF250" s="7"/>
      <c r="AG250" s="369">
        <f t="shared" si="224"/>
        <v>0</v>
      </c>
      <c r="AH250" s="368">
        <f t="shared" si="225"/>
        <v>0</v>
      </c>
      <c r="AI250" s="7"/>
      <c r="AJ250" s="369" cm="1">
        <f t="array" ref="AJ250">IFERROR(INDEX(WHT!$C$7:$W$18,MATCH(
_xlfn.SWITCH(N250,"xDC Medellin","Colombia","xDC Belo Horizonte","Brazil","xDC Guadalajara","Mexico","xDC Gurugram","India","xDC Leon","Spain","xDC San Jose","Costa Rica","xDC Warsaw","Poland",N250),
WHT!$B$7:$B$18,0),MATCH(CustomerCountry,WHT!$C$5:$W$5,0)),0)</f>
        <v>0</v>
      </c>
      <c r="AK250" s="368">
        <f t="shared" si="226"/>
        <v>0</v>
      </c>
      <c r="AL250" s="7"/>
      <c r="AM250" s="95">
        <f t="shared" si="234"/>
        <v>0</v>
      </c>
      <c r="AN250" s="95">
        <f t="shared" ca="1" si="227"/>
        <v>0</v>
      </c>
      <c r="AO250" s="95">
        <f t="shared" ca="1" si="235"/>
        <v>0</v>
      </c>
      <c r="AP250" s="90"/>
      <c r="AQ250" s="18"/>
      <c r="AR250" s="290"/>
      <c r="AS250" s="467" t="s">
        <v>133</v>
      </c>
      <c r="AT250" s="501">
        <f t="shared" ca="1" si="228"/>
        <v>0</v>
      </c>
      <c r="AU250" s="502"/>
      <c r="AV250" s="95">
        <f t="shared" ca="1" si="236"/>
        <v>0</v>
      </c>
      <c r="AW250" s="469">
        <f t="shared" ca="1" si="229"/>
        <v>0</v>
      </c>
      <c r="AX250" s="290"/>
      <c r="AY250" s="18"/>
      <c r="AZ250" s="3"/>
      <c r="BA250" s="315"/>
      <c r="BB250" s="3"/>
      <c r="BC250" s="3"/>
      <c r="BD250" s="3"/>
      <c r="BE250" s="3"/>
      <c r="BF250" s="18"/>
      <c r="BG250" s="3"/>
      <c r="BH250" s="315"/>
      <c r="BI250" s="3"/>
      <c r="BJ250" s="3"/>
      <c r="BK250" s="3"/>
      <c r="BL250" s="3"/>
      <c r="BM250" s="18"/>
      <c r="BN250" s="3"/>
      <c r="BO250" s="315"/>
      <c r="BP250" s="3"/>
      <c r="BQ250" s="3"/>
      <c r="BR250" s="3"/>
      <c r="BS250" s="3"/>
      <c r="BT250" s="18"/>
      <c r="BU250" s="3"/>
      <c r="BV250" s="315"/>
      <c r="BW250" s="3"/>
      <c r="BX250" s="3"/>
      <c r="BY250" s="3"/>
      <c r="BZ250" s="3"/>
    </row>
    <row r="251" spans="1:78" ht="15.6" outlineLevel="1">
      <c r="A251" s="7"/>
      <c r="B251" s="370"/>
      <c r="C251" s="355"/>
      <c r="D251" s="356"/>
      <c r="E251" s="342"/>
      <c r="F251" s="290"/>
      <c r="G251" s="357">
        <v>0</v>
      </c>
      <c r="H251" s="358">
        <v>0</v>
      </c>
      <c r="I251" s="358">
        <v>0</v>
      </c>
      <c r="J251" s="359">
        <f t="shared" si="230"/>
        <v>0</v>
      </c>
      <c r="K251" s="290"/>
      <c r="L251" s="349"/>
      <c r="M251" s="7"/>
      <c r="N251" s="12"/>
      <c r="O251" s="12"/>
      <c r="P251" s="12"/>
      <c r="Q251" s="361"/>
      <c r="R251" s="362"/>
      <c r="S251" s="363">
        <f t="shared" si="241"/>
        <v>0</v>
      </c>
      <c r="T251" s="364">
        <f t="shared" ref="T251" si="253">IF(ISBLANK($P251),0,IF(Approach="Team-Based",$Q251*$R251*$S251*HoursPerDayTeamBased,$J251))</f>
        <v>0</v>
      </c>
      <c r="U251" s="365">
        <v>0</v>
      </c>
      <c r="V251" s="91">
        <f>ROUNDUP(IFERROR(INDEX(CostRateTbl[Cost Rate],MATCH(_xlfn.CONCAT(N251,O251,P251,"NA"),CostRateTbl[KeyCostRate],0)),0)*BillingCurrencyTRM*(1+U251),2)</f>
        <v>0</v>
      </c>
      <c r="W251" s="92">
        <f t="shared" si="222"/>
        <v>0</v>
      </c>
      <c r="X251" s="366" t="e" cm="1">
        <f t="array" ref="X251">_xlfn.LET(
    _xlpm.valor, INDEX(CostRate!H:H, MATCH(1, (CostRate!A:A=N251)*1, 0)),
    _xlpm.posicion, MATCH(_xlpm.valor, FilterSL!$F$1:$Z$1, 0),
    _xlpm.direccionCompleta, ADDRESS(1, _xlpm.posicion + 5, 4),
    _xlpm.letraColumna, SUBSTITUTE(_xlpm.direccionCompleta, "1", ""),
    _xlpm.letraColumna
)</f>
        <v>#N/A</v>
      </c>
      <c r="Y251" s="366" t="e" cm="1">
        <f t="array" ref="Y251">_xlfn.LET(
    _xlpm.valor, INDEX(CostRate!I:I, MATCH(1, (CostRate!A:A=N251)*(CostRate!B:B=O251), 0)),
    _xlpm.posicion, MATCH(_xlpm.valor, FilterJP!$E$1:$FZ$1, 0),
    _xlpm.direccionCompleta, ADDRESS(1, _xlpm.posicion + 4, 4),
    _xlpm.letraColumna, SUBSTITUTE(_xlpm.direccionCompleta, "1", ""),
    _xlpm.letraColumna
)</f>
        <v>#N/A</v>
      </c>
      <c r="Z251" s="7"/>
      <c r="AA251" s="367"/>
      <c r="AB251" s="7"/>
      <c r="AC251" s="93">
        <f t="shared" si="223"/>
        <v>0</v>
      </c>
      <c r="AD251" s="94">
        <f t="shared" si="232"/>
        <v>0</v>
      </c>
      <c r="AE251" s="109">
        <f t="shared" si="233"/>
        <v>0</v>
      </c>
      <c r="AF251" s="7"/>
      <c r="AG251" s="369">
        <f t="shared" si="224"/>
        <v>0</v>
      </c>
      <c r="AH251" s="368">
        <f t="shared" si="225"/>
        <v>0</v>
      </c>
      <c r="AI251" s="7"/>
      <c r="AJ251" s="369" cm="1">
        <f t="array" ref="AJ251">IFERROR(INDEX(WHT!$C$7:$W$18,MATCH(
_xlfn.SWITCH(N251,"xDC Medellin","Colombia","xDC Belo Horizonte","Brazil","xDC Guadalajara","Mexico","xDC Gurugram","India","xDC Leon","Spain","xDC San Jose","Costa Rica","xDC Warsaw","Poland",N251),
WHT!$B$7:$B$18,0),MATCH(CustomerCountry,WHT!$C$5:$W$5,0)),0)</f>
        <v>0</v>
      </c>
      <c r="AK251" s="368">
        <f t="shared" si="226"/>
        <v>0</v>
      </c>
      <c r="AL251" s="7"/>
      <c r="AM251" s="95">
        <f t="shared" si="234"/>
        <v>0</v>
      </c>
      <c r="AN251" s="95">
        <f t="shared" ca="1" si="227"/>
        <v>0</v>
      </c>
      <c r="AO251" s="95">
        <f t="shared" ca="1" si="235"/>
        <v>0</v>
      </c>
      <c r="AP251" s="90"/>
      <c r="AQ251" s="18"/>
      <c r="AR251" s="290"/>
      <c r="AS251" s="467" t="s">
        <v>133</v>
      </c>
      <c r="AT251" s="501">
        <f t="shared" ca="1" si="228"/>
        <v>0</v>
      </c>
      <c r="AU251" s="502"/>
      <c r="AV251" s="95">
        <f t="shared" ca="1" si="236"/>
        <v>0</v>
      </c>
      <c r="AW251" s="469">
        <f t="shared" ca="1" si="229"/>
        <v>0</v>
      </c>
      <c r="AX251" s="290"/>
      <c r="AY251" s="18"/>
      <c r="AZ251" s="3"/>
      <c r="BA251" s="315"/>
      <c r="BB251" s="3"/>
      <c r="BC251" s="3"/>
      <c r="BD251" s="3"/>
      <c r="BE251" s="3"/>
      <c r="BF251" s="18"/>
      <c r="BG251" s="3"/>
      <c r="BH251" s="315"/>
      <c r="BI251" s="3"/>
      <c r="BJ251" s="3"/>
      <c r="BK251" s="3"/>
      <c r="BL251" s="3"/>
      <c r="BM251" s="18"/>
      <c r="BN251" s="3"/>
      <c r="BO251" s="315"/>
      <c r="BP251" s="3"/>
      <c r="BQ251" s="3"/>
      <c r="BR251" s="3"/>
      <c r="BS251" s="3"/>
      <c r="BT251" s="18"/>
      <c r="BU251" s="3"/>
      <c r="BV251" s="315"/>
      <c r="BW251" s="3"/>
      <c r="BX251" s="3"/>
      <c r="BY251" s="3"/>
      <c r="BZ251" s="3"/>
    </row>
    <row r="252" spans="1:78" ht="15.6" outlineLevel="1">
      <c r="A252" s="7"/>
      <c r="B252" s="370"/>
      <c r="C252" s="355"/>
      <c r="D252" s="356"/>
      <c r="E252" s="342"/>
      <c r="F252" s="290"/>
      <c r="G252" s="357">
        <v>0</v>
      </c>
      <c r="H252" s="358">
        <v>0</v>
      </c>
      <c r="I252" s="358">
        <v>0</v>
      </c>
      <c r="J252" s="359">
        <f t="shared" si="230"/>
        <v>0</v>
      </c>
      <c r="K252" s="290"/>
      <c r="L252" s="349"/>
      <c r="M252" s="7"/>
      <c r="N252" s="12"/>
      <c r="O252" s="12"/>
      <c r="P252" s="12"/>
      <c r="Q252" s="361"/>
      <c r="R252" s="362"/>
      <c r="S252" s="363">
        <f t="shared" si="241"/>
        <v>0</v>
      </c>
      <c r="T252" s="364">
        <f t="shared" ref="T252" si="254">IF(ISBLANK($P252),0,IF(Approach="Team-Based",$Q252*$R252*$S252*HoursPerDayTeamBased,$J252))</f>
        <v>0</v>
      </c>
      <c r="U252" s="365">
        <v>0</v>
      </c>
      <c r="V252" s="91">
        <f>ROUNDUP(IFERROR(INDEX(CostRateTbl[Cost Rate],MATCH(_xlfn.CONCAT(N252,O252,P252,"NA"),CostRateTbl[KeyCostRate],0)),0)*BillingCurrencyTRM*(1+U252),2)</f>
        <v>0</v>
      </c>
      <c r="W252" s="92">
        <f t="shared" si="222"/>
        <v>0</v>
      </c>
      <c r="X252" s="366" t="e" cm="1">
        <f t="array" ref="X252">_xlfn.LET(
    _xlpm.valor, INDEX(CostRate!H:H, MATCH(1, (CostRate!A:A=N252)*1, 0)),
    _xlpm.posicion, MATCH(_xlpm.valor, FilterSL!$F$1:$Z$1, 0),
    _xlpm.direccionCompleta, ADDRESS(1, _xlpm.posicion + 5, 4),
    _xlpm.letraColumna, SUBSTITUTE(_xlpm.direccionCompleta, "1", ""),
    _xlpm.letraColumna
)</f>
        <v>#N/A</v>
      </c>
      <c r="Y252" s="366" t="e" cm="1">
        <f t="array" ref="Y252">_xlfn.LET(
    _xlpm.valor, INDEX(CostRate!I:I, MATCH(1, (CostRate!A:A=N252)*(CostRate!B:B=O252), 0)),
    _xlpm.posicion, MATCH(_xlpm.valor, FilterJP!$E$1:$FZ$1, 0),
    _xlpm.direccionCompleta, ADDRESS(1, _xlpm.posicion + 4, 4),
    _xlpm.letraColumna, SUBSTITUTE(_xlpm.direccionCompleta, "1", ""),
    _xlpm.letraColumna
)</f>
        <v>#N/A</v>
      </c>
      <c r="Z252" s="7"/>
      <c r="AA252" s="367"/>
      <c r="AB252" s="7"/>
      <c r="AC252" s="93">
        <f t="shared" si="223"/>
        <v>0</v>
      </c>
      <c r="AD252" s="94">
        <f t="shared" si="232"/>
        <v>0</v>
      </c>
      <c r="AE252" s="109">
        <f t="shared" si="233"/>
        <v>0</v>
      </c>
      <c r="AF252" s="7"/>
      <c r="AG252" s="369">
        <f t="shared" si="224"/>
        <v>0</v>
      </c>
      <c r="AH252" s="368">
        <f t="shared" si="225"/>
        <v>0</v>
      </c>
      <c r="AI252" s="7"/>
      <c r="AJ252" s="369" cm="1">
        <f t="array" ref="AJ252">IFERROR(INDEX(WHT!$C$7:$W$18,MATCH(
_xlfn.SWITCH(N252,"xDC Medellin","Colombia","xDC Belo Horizonte","Brazil","xDC Guadalajara","Mexico","xDC Gurugram","India","xDC Leon","Spain","xDC San Jose","Costa Rica","xDC Warsaw","Poland",N252),
WHT!$B$7:$B$18,0),MATCH(CustomerCountry,WHT!$C$5:$W$5,0)),0)</f>
        <v>0</v>
      </c>
      <c r="AK252" s="368">
        <f t="shared" si="226"/>
        <v>0</v>
      </c>
      <c r="AL252" s="7"/>
      <c r="AM252" s="95">
        <f t="shared" si="234"/>
        <v>0</v>
      </c>
      <c r="AN252" s="95">
        <f t="shared" ca="1" si="227"/>
        <v>0</v>
      </c>
      <c r="AO252" s="95">
        <f t="shared" ca="1" si="235"/>
        <v>0</v>
      </c>
      <c r="AP252" s="90"/>
      <c r="AQ252" s="18"/>
      <c r="AR252" s="290"/>
      <c r="AS252" s="467" t="s">
        <v>133</v>
      </c>
      <c r="AT252" s="501">
        <f t="shared" ca="1" si="228"/>
        <v>0</v>
      </c>
      <c r="AU252" s="502"/>
      <c r="AV252" s="95">
        <f t="shared" ca="1" si="236"/>
        <v>0</v>
      </c>
      <c r="AW252" s="469">
        <f t="shared" ca="1" si="229"/>
        <v>0</v>
      </c>
      <c r="AX252" s="290"/>
      <c r="AY252" s="18"/>
      <c r="AZ252" s="3"/>
      <c r="BA252" s="315"/>
      <c r="BB252" s="3"/>
      <c r="BC252" s="3"/>
      <c r="BD252" s="3"/>
      <c r="BE252" s="3"/>
      <c r="BF252" s="18"/>
      <c r="BG252" s="3"/>
      <c r="BH252" s="315"/>
      <c r="BI252" s="3"/>
      <c r="BJ252" s="3"/>
      <c r="BK252" s="3"/>
      <c r="BL252" s="3"/>
      <c r="BM252" s="18"/>
      <c r="BN252" s="3"/>
      <c r="BO252" s="315"/>
      <c r="BP252" s="3"/>
      <c r="BQ252" s="3"/>
      <c r="BR252" s="3"/>
      <c r="BS252" s="3"/>
      <c r="BT252" s="18"/>
      <c r="BU252" s="3"/>
      <c r="BV252" s="315"/>
      <c r="BW252" s="3"/>
      <c r="BX252" s="3"/>
      <c r="BY252" s="3"/>
      <c r="BZ252" s="3"/>
    </row>
    <row r="253" spans="1:78" ht="15.6" outlineLevel="1">
      <c r="A253" s="7"/>
      <c r="B253" s="370"/>
      <c r="C253" s="355"/>
      <c r="D253" s="356"/>
      <c r="E253" s="342"/>
      <c r="F253" s="290"/>
      <c r="G253" s="357">
        <v>0</v>
      </c>
      <c r="H253" s="358">
        <v>0</v>
      </c>
      <c r="I253" s="358">
        <v>0</v>
      </c>
      <c r="J253" s="359">
        <f t="shared" si="230"/>
        <v>0</v>
      </c>
      <c r="K253" s="290"/>
      <c r="L253" s="349"/>
      <c r="M253" s="7"/>
      <c r="N253" s="12"/>
      <c r="O253" s="12"/>
      <c r="P253" s="12"/>
      <c r="Q253" s="361"/>
      <c r="R253" s="362"/>
      <c r="S253" s="363">
        <f t="shared" si="241"/>
        <v>0</v>
      </c>
      <c r="T253" s="364">
        <f t="shared" ref="T253" si="255">IF(ISBLANK($P253),0,IF(Approach="Team-Based",$Q253*$R253*$S253*HoursPerDayTeamBased,$J253))</f>
        <v>0</v>
      </c>
      <c r="U253" s="365">
        <v>0</v>
      </c>
      <c r="V253" s="91">
        <f>ROUNDUP(IFERROR(INDEX(CostRateTbl[Cost Rate],MATCH(_xlfn.CONCAT(N253,O253,P253,"NA"),CostRateTbl[KeyCostRate],0)),0)*BillingCurrencyTRM*(1+U253),2)</f>
        <v>0</v>
      </c>
      <c r="W253" s="92">
        <f t="shared" si="222"/>
        <v>0</v>
      </c>
      <c r="X253" s="366" t="e" cm="1">
        <f t="array" ref="X253">_xlfn.LET(
    _xlpm.valor, INDEX(CostRate!H:H, MATCH(1, (CostRate!A:A=N253)*1, 0)),
    _xlpm.posicion, MATCH(_xlpm.valor, FilterSL!$F$1:$Z$1, 0),
    _xlpm.direccionCompleta, ADDRESS(1, _xlpm.posicion + 5, 4),
    _xlpm.letraColumna, SUBSTITUTE(_xlpm.direccionCompleta, "1", ""),
    _xlpm.letraColumna
)</f>
        <v>#N/A</v>
      </c>
      <c r="Y253" s="366" t="e" cm="1">
        <f t="array" ref="Y253">_xlfn.LET(
    _xlpm.valor, INDEX(CostRate!I:I, MATCH(1, (CostRate!A:A=N253)*(CostRate!B:B=O253), 0)),
    _xlpm.posicion, MATCH(_xlpm.valor, FilterJP!$E$1:$FZ$1, 0),
    _xlpm.direccionCompleta, ADDRESS(1, _xlpm.posicion + 4, 4),
    _xlpm.letraColumna, SUBSTITUTE(_xlpm.direccionCompleta, "1", ""),
    _xlpm.letraColumna
)</f>
        <v>#N/A</v>
      </c>
      <c r="Z253" s="7"/>
      <c r="AA253" s="367"/>
      <c r="AB253" s="7"/>
      <c r="AC253" s="93">
        <f t="shared" si="223"/>
        <v>0</v>
      </c>
      <c r="AD253" s="94">
        <f t="shared" si="232"/>
        <v>0</v>
      </c>
      <c r="AE253" s="109">
        <f t="shared" si="233"/>
        <v>0</v>
      </c>
      <c r="AF253" s="7"/>
      <c r="AG253" s="369">
        <f t="shared" si="224"/>
        <v>0</v>
      </c>
      <c r="AH253" s="368">
        <f t="shared" si="225"/>
        <v>0</v>
      </c>
      <c r="AI253" s="7"/>
      <c r="AJ253" s="369" cm="1">
        <f t="array" ref="AJ253">IFERROR(INDEX(WHT!$C$7:$W$18,MATCH(
_xlfn.SWITCH(N253,"xDC Medellin","Colombia","xDC Belo Horizonte","Brazil","xDC Guadalajara","Mexico","xDC Gurugram","India","xDC Leon","Spain","xDC San Jose","Costa Rica","xDC Warsaw","Poland",N253),
WHT!$B$7:$B$18,0),MATCH(CustomerCountry,WHT!$C$5:$W$5,0)),0)</f>
        <v>0</v>
      </c>
      <c r="AK253" s="368">
        <f t="shared" si="226"/>
        <v>0</v>
      </c>
      <c r="AL253" s="7"/>
      <c r="AM253" s="95">
        <f t="shared" si="234"/>
        <v>0</v>
      </c>
      <c r="AN253" s="95">
        <f t="shared" ca="1" si="227"/>
        <v>0</v>
      </c>
      <c r="AO253" s="95">
        <f t="shared" ca="1" si="235"/>
        <v>0</v>
      </c>
      <c r="AP253" s="90"/>
      <c r="AQ253" s="18"/>
      <c r="AR253" s="290"/>
      <c r="AS253" s="467" t="s">
        <v>133</v>
      </c>
      <c r="AT253" s="501">
        <f t="shared" ca="1" si="228"/>
        <v>0</v>
      </c>
      <c r="AU253" s="502"/>
      <c r="AV253" s="95">
        <f t="shared" ca="1" si="236"/>
        <v>0</v>
      </c>
      <c r="AW253" s="469">
        <f t="shared" ca="1" si="229"/>
        <v>0</v>
      </c>
      <c r="AX253" s="290"/>
      <c r="AY253" s="18"/>
      <c r="AZ253" s="3"/>
      <c r="BA253" s="315"/>
      <c r="BB253" s="3"/>
      <c r="BC253" s="3"/>
      <c r="BD253" s="3"/>
      <c r="BE253" s="3"/>
      <c r="BF253" s="18"/>
      <c r="BG253" s="3"/>
      <c r="BH253" s="315"/>
      <c r="BI253" s="3"/>
      <c r="BJ253" s="3"/>
      <c r="BK253" s="3"/>
      <c r="BL253" s="3"/>
      <c r="BM253" s="18"/>
      <c r="BN253" s="3"/>
      <c r="BO253" s="315"/>
      <c r="BP253" s="3"/>
      <c r="BQ253" s="3"/>
      <c r="BR253" s="3"/>
      <c r="BS253" s="3"/>
      <c r="BT253" s="18"/>
      <c r="BU253" s="3"/>
      <c r="BV253" s="315"/>
      <c r="BW253" s="3"/>
      <c r="BX253" s="3"/>
      <c r="BY253" s="3"/>
      <c r="BZ253" s="3"/>
    </row>
    <row r="254" spans="1:78" ht="15.6" outlineLevel="1">
      <c r="A254" s="7"/>
      <c r="B254" s="370"/>
      <c r="C254" s="355"/>
      <c r="D254" s="356"/>
      <c r="E254" s="342"/>
      <c r="F254" s="290"/>
      <c r="G254" s="357">
        <v>0</v>
      </c>
      <c r="H254" s="358">
        <v>0</v>
      </c>
      <c r="I254" s="358">
        <v>0</v>
      </c>
      <c r="J254" s="359">
        <f t="shared" si="230"/>
        <v>0</v>
      </c>
      <c r="K254" s="290"/>
      <c r="L254" s="349"/>
      <c r="M254" s="7"/>
      <c r="N254" s="12"/>
      <c r="O254" s="12"/>
      <c r="P254" s="12"/>
      <c r="Q254" s="361"/>
      <c r="R254" s="362"/>
      <c r="S254" s="363">
        <f t="shared" si="241"/>
        <v>0</v>
      </c>
      <c r="T254" s="364">
        <f t="shared" ref="T254" si="256">IF(ISBLANK($P254),0,IF(Approach="Team-Based",$Q254*$R254*$S254*HoursPerDayTeamBased,$J254))</f>
        <v>0</v>
      </c>
      <c r="U254" s="365">
        <v>0</v>
      </c>
      <c r="V254" s="91">
        <f>ROUNDUP(IFERROR(INDEX(CostRateTbl[Cost Rate],MATCH(_xlfn.CONCAT(N254,O254,P254,"NA"),CostRateTbl[KeyCostRate],0)),0)*BillingCurrencyTRM*(1+U254),2)</f>
        <v>0</v>
      </c>
      <c r="W254" s="92">
        <f t="shared" si="222"/>
        <v>0</v>
      </c>
      <c r="X254" s="366" t="e" cm="1">
        <f t="array" ref="X254">_xlfn.LET(
    _xlpm.valor, INDEX(CostRate!H:H, MATCH(1, (CostRate!A:A=N254)*1, 0)),
    _xlpm.posicion, MATCH(_xlpm.valor, FilterSL!$F$1:$Z$1, 0),
    _xlpm.direccionCompleta, ADDRESS(1, _xlpm.posicion + 5, 4),
    _xlpm.letraColumna, SUBSTITUTE(_xlpm.direccionCompleta, "1", ""),
    _xlpm.letraColumna
)</f>
        <v>#N/A</v>
      </c>
      <c r="Y254" s="366" t="e" cm="1">
        <f t="array" ref="Y254">_xlfn.LET(
    _xlpm.valor, INDEX(CostRate!I:I, MATCH(1, (CostRate!A:A=N254)*(CostRate!B:B=O254), 0)),
    _xlpm.posicion, MATCH(_xlpm.valor, FilterJP!$E$1:$FZ$1, 0),
    _xlpm.direccionCompleta, ADDRESS(1, _xlpm.posicion + 4, 4),
    _xlpm.letraColumna, SUBSTITUTE(_xlpm.direccionCompleta, "1", ""),
    _xlpm.letraColumna
)</f>
        <v>#N/A</v>
      </c>
      <c r="Z254" s="7"/>
      <c r="AA254" s="367"/>
      <c r="AB254" s="7"/>
      <c r="AC254" s="93">
        <f t="shared" si="223"/>
        <v>0</v>
      </c>
      <c r="AD254" s="94">
        <f t="shared" si="232"/>
        <v>0</v>
      </c>
      <c r="AE254" s="109">
        <f t="shared" si="233"/>
        <v>0</v>
      </c>
      <c r="AF254" s="7"/>
      <c r="AG254" s="369">
        <f t="shared" si="224"/>
        <v>0</v>
      </c>
      <c r="AH254" s="368">
        <f t="shared" si="225"/>
        <v>0</v>
      </c>
      <c r="AI254" s="7"/>
      <c r="AJ254" s="369" cm="1">
        <f t="array" ref="AJ254">IFERROR(INDEX(WHT!$C$7:$W$18,MATCH(
_xlfn.SWITCH(N254,"xDC Medellin","Colombia","xDC Belo Horizonte","Brazil","xDC Guadalajara","Mexico","xDC Gurugram","India","xDC Leon","Spain","xDC San Jose","Costa Rica","xDC Warsaw","Poland",N254),
WHT!$B$7:$B$18,0),MATCH(CustomerCountry,WHT!$C$5:$W$5,0)),0)</f>
        <v>0</v>
      </c>
      <c r="AK254" s="368">
        <f t="shared" si="226"/>
        <v>0</v>
      </c>
      <c r="AL254" s="7"/>
      <c r="AM254" s="95">
        <f t="shared" si="234"/>
        <v>0</v>
      </c>
      <c r="AN254" s="95">
        <f t="shared" ca="1" si="227"/>
        <v>0</v>
      </c>
      <c r="AO254" s="95">
        <f t="shared" ca="1" si="235"/>
        <v>0</v>
      </c>
      <c r="AP254" s="90"/>
      <c r="AQ254" s="18"/>
      <c r="AR254" s="290"/>
      <c r="AS254" s="467" t="s">
        <v>133</v>
      </c>
      <c r="AT254" s="501">
        <f t="shared" ca="1" si="228"/>
        <v>0</v>
      </c>
      <c r="AU254" s="502"/>
      <c r="AV254" s="95">
        <f t="shared" ca="1" si="236"/>
        <v>0</v>
      </c>
      <c r="AW254" s="469">
        <f t="shared" ca="1" si="229"/>
        <v>0</v>
      </c>
      <c r="AX254" s="290"/>
      <c r="AY254" s="18"/>
      <c r="AZ254" s="3"/>
      <c r="BA254" s="315"/>
      <c r="BB254" s="3"/>
      <c r="BC254" s="3"/>
      <c r="BD254" s="3"/>
      <c r="BE254" s="3"/>
      <c r="BF254" s="18"/>
      <c r="BG254" s="3"/>
      <c r="BH254" s="315"/>
      <c r="BI254" s="3"/>
      <c r="BJ254" s="3"/>
      <c r="BK254" s="3"/>
      <c r="BL254" s="3"/>
      <c r="BM254" s="18"/>
      <c r="BN254" s="3"/>
      <c r="BO254" s="315"/>
      <c r="BP254" s="3"/>
      <c r="BQ254" s="3"/>
      <c r="BR254" s="3"/>
      <c r="BS254" s="3"/>
      <c r="BT254" s="18"/>
      <c r="BU254" s="3"/>
      <c r="BV254" s="315"/>
      <c r="BW254" s="3"/>
      <c r="BX254" s="3"/>
      <c r="BY254" s="3"/>
      <c r="BZ254" s="3"/>
    </row>
    <row r="255" spans="1:78" ht="15.6" outlineLevel="1">
      <c r="A255" s="7"/>
      <c r="B255" s="370"/>
      <c r="C255" s="355"/>
      <c r="D255" s="356"/>
      <c r="E255" s="342"/>
      <c r="F255" s="290"/>
      <c r="G255" s="357">
        <v>0</v>
      </c>
      <c r="H255" s="358">
        <v>0</v>
      </c>
      <c r="I255" s="358">
        <v>0</v>
      </c>
      <c r="J255" s="359">
        <f t="shared" si="230"/>
        <v>0</v>
      </c>
      <c r="K255" s="290"/>
      <c r="L255" s="349"/>
      <c r="M255" s="7"/>
      <c r="N255" s="12"/>
      <c r="O255" s="12"/>
      <c r="P255" s="12"/>
      <c r="Q255" s="361"/>
      <c r="R255" s="362"/>
      <c r="S255" s="363">
        <f t="shared" si="241"/>
        <v>0</v>
      </c>
      <c r="T255" s="364">
        <f t="shared" ref="T255" si="257">IF(ISBLANK($P255),0,IF(Approach="Team-Based",$Q255*$R255*$S255*HoursPerDayTeamBased,$J255))</f>
        <v>0</v>
      </c>
      <c r="U255" s="365">
        <v>0</v>
      </c>
      <c r="V255" s="91">
        <f>ROUNDUP(IFERROR(INDEX(CostRateTbl[Cost Rate],MATCH(_xlfn.CONCAT(N255,O255,P255,"NA"),CostRateTbl[KeyCostRate],0)),0)*BillingCurrencyTRM*(1+U255),2)</f>
        <v>0</v>
      </c>
      <c r="W255" s="92">
        <f t="shared" si="222"/>
        <v>0</v>
      </c>
      <c r="X255" s="366" t="e" cm="1">
        <f t="array" ref="X255">_xlfn.LET(
    _xlpm.valor, INDEX(CostRate!H:H, MATCH(1, (CostRate!A:A=N255)*1, 0)),
    _xlpm.posicion, MATCH(_xlpm.valor, FilterSL!$F$1:$Z$1, 0),
    _xlpm.direccionCompleta, ADDRESS(1, _xlpm.posicion + 5, 4),
    _xlpm.letraColumna, SUBSTITUTE(_xlpm.direccionCompleta, "1", ""),
    _xlpm.letraColumna
)</f>
        <v>#N/A</v>
      </c>
      <c r="Y255" s="366" t="e" cm="1">
        <f t="array" ref="Y255">_xlfn.LET(
    _xlpm.valor, INDEX(CostRate!I:I, MATCH(1, (CostRate!A:A=N255)*(CostRate!B:B=O255), 0)),
    _xlpm.posicion, MATCH(_xlpm.valor, FilterJP!$E$1:$FZ$1, 0),
    _xlpm.direccionCompleta, ADDRESS(1, _xlpm.posicion + 4, 4),
    _xlpm.letraColumna, SUBSTITUTE(_xlpm.direccionCompleta, "1", ""),
    _xlpm.letraColumna
)</f>
        <v>#N/A</v>
      </c>
      <c r="Z255" s="7"/>
      <c r="AA255" s="367"/>
      <c r="AB255" s="7"/>
      <c r="AC255" s="93">
        <f t="shared" si="223"/>
        <v>0</v>
      </c>
      <c r="AD255" s="94">
        <f t="shared" si="232"/>
        <v>0</v>
      </c>
      <c r="AE255" s="109">
        <f t="shared" si="233"/>
        <v>0</v>
      </c>
      <c r="AF255" s="7"/>
      <c r="AG255" s="369">
        <f t="shared" si="224"/>
        <v>0</v>
      </c>
      <c r="AH255" s="368">
        <f t="shared" si="225"/>
        <v>0</v>
      </c>
      <c r="AI255" s="7"/>
      <c r="AJ255" s="369" cm="1">
        <f t="array" ref="AJ255">IFERROR(INDEX(WHT!$C$7:$W$18,MATCH(
_xlfn.SWITCH(N255,"xDC Medellin","Colombia","xDC Belo Horizonte","Brazil","xDC Guadalajara","Mexico","xDC Gurugram","India","xDC Leon","Spain","xDC San Jose","Costa Rica","xDC Warsaw","Poland",N255),
WHT!$B$7:$B$18,0),MATCH(CustomerCountry,WHT!$C$5:$W$5,0)),0)</f>
        <v>0</v>
      </c>
      <c r="AK255" s="368">
        <f t="shared" si="226"/>
        <v>0</v>
      </c>
      <c r="AL255" s="7"/>
      <c r="AM255" s="95">
        <f t="shared" si="234"/>
        <v>0</v>
      </c>
      <c r="AN255" s="95">
        <f t="shared" ca="1" si="227"/>
        <v>0</v>
      </c>
      <c r="AO255" s="95">
        <f t="shared" ca="1" si="235"/>
        <v>0</v>
      </c>
      <c r="AP255" s="90"/>
      <c r="AQ255" s="18"/>
      <c r="AR255" s="290"/>
      <c r="AS255" s="467" t="s">
        <v>133</v>
      </c>
      <c r="AT255" s="501">
        <f t="shared" ca="1" si="228"/>
        <v>0</v>
      </c>
      <c r="AU255" s="502"/>
      <c r="AV255" s="95">
        <f t="shared" ca="1" si="236"/>
        <v>0</v>
      </c>
      <c r="AW255" s="469">
        <f t="shared" ca="1" si="229"/>
        <v>0</v>
      </c>
      <c r="AX255" s="290"/>
      <c r="AY255" s="18"/>
      <c r="AZ255" s="3"/>
      <c r="BA255" s="315"/>
      <c r="BB255" s="3"/>
      <c r="BC255" s="3"/>
      <c r="BD255" s="3"/>
      <c r="BE255" s="3"/>
      <c r="BF255" s="18"/>
      <c r="BG255" s="3"/>
      <c r="BH255" s="315"/>
      <c r="BI255" s="3"/>
      <c r="BJ255" s="3"/>
      <c r="BK255" s="3"/>
      <c r="BL255" s="3"/>
      <c r="BM255" s="18"/>
      <c r="BN255" s="3"/>
      <c r="BO255" s="315"/>
      <c r="BP255" s="3"/>
      <c r="BQ255" s="3"/>
      <c r="BR255" s="3"/>
      <c r="BS255" s="3"/>
      <c r="BT255" s="18"/>
      <c r="BU255" s="3"/>
      <c r="BV255" s="315"/>
      <c r="BW255" s="3"/>
      <c r="BX255" s="3"/>
      <c r="BY255" s="3"/>
      <c r="BZ255" s="3"/>
    </row>
    <row r="256" spans="1:78" ht="15.6" outlineLevel="1">
      <c r="A256" s="7"/>
      <c r="B256" s="370"/>
      <c r="C256" s="355"/>
      <c r="D256" s="356"/>
      <c r="E256" s="342"/>
      <c r="F256" s="290"/>
      <c r="G256" s="357">
        <v>0</v>
      </c>
      <c r="H256" s="358">
        <v>0</v>
      </c>
      <c r="I256" s="358">
        <v>0</v>
      </c>
      <c r="J256" s="359">
        <f t="shared" si="230"/>
        <v>0</v>
      </c>
      <c r="K256" s="290"/>
      <c r="L256" s="349"/>
      <c r="M256" s="7"/>
      <c r="N256" s="12"/>
      <c r="O256" s="12"/>
      <c r="P256" s="12"/>
      <c r="Q256" s="361"/>
      <c r="R256" s="362"/>
      <c r="S256" s="363">
        <f t="shared" si="241"/>
        <v>0</v>
      </c>
      <c r="T256" s="364">
        <f t="shared" ref="T256" si="258">IF(ISBLANK($P256),0,IF(Approach="Team-Based",$Q256*$R256*$S256*HoursPerDayTeamBased,$J256))</f>
        <v>0</v>
      </c>
      <c r="U256" s="365">
        <v>0</v>
      </c>
      <c r="V256" s="91">
        <f>ROUNDUP(IFERROR(INDEX(CostRateTbl[Cost Rate],MATCH(_xlfn.CONCAT(N256,O256,P256,"NA"),CostRateTbl[KeyCostRate],0)),0)*BillingCurrencyTRM*(1+U256),2)</f>
        <v>0</v>
      </c>
      <c r="W256" s="92">
        <f t="shared" si="222"/>
        <v>0</v>
      </c>
      <c r="X256" s="366" t="e" cm="1">
        <f t="array" ref="X256">_xlfn.LET(
    _xlpm.valor, INDEX(CostRate!H:H, MATCH(1, (CostRate!A:A=N256)*1, 0)),
    _xlpm.posicion, MATCH(_xlpm.valor, FilterSL!$F$1:$Z$1, 0),
    _xlpm.direccionCompleta, ADDRESS(1, _xlpm.posicion + 5, 4),
    _xlpm.letraColumna, SUBSTITUTE(_xlpm.direccionCompleta, "1", ""),
    _xlpm.letraColumna
)</f>
        <v>#N/A</v>
      </c>
      <c r="Y256" s="366" t="e" cm="1">
        <f t="array" ref="Y256">_xlfn.LET(
    _xlpm.valor, INDEX(CostRate!I:I, MATCH(1, (CostRate!A:A=N256)*(CostRate!B:B=O256), 0)),
    _xlpm.posicion, MATCH(_xlpm.valor, FilterJP!$E$1:$FZ$1, 0),
    _xlpm.direccionCompleta, ADDRESS(1, _xlpm.posicion + 4, 4),
    _xlpm.letraColumna, SUBSTITUTE(_xlpm.direccionCompleta, "1", ""),
    _xlpm.letraColumna
)</f>
        <v>#N/A</v>
      </c>
      <c r="Z256" s="7"/>
      <c r="AA256" s="367"/>
      <c r="AB256" s="7"/>
      <c r="AC256" s="93">
        <f t="shared" si="223"/>
        <v>0</v>
      </c>
      <c r="AD256" s="94">
        <f t="shared" si="232"/>
        <v>0</v>
      </c>
      <c r="AE256" s="109">
        <f t="shared" si="233"/>
        <v>0</v>
      </c>
      <c r="AF256" s="7"/>
      <c r="AG256" s="369">
        <f t="shared" si="224"/>
        <v>0</v>
      </c>
      <c r="AH256" s="368">
        <f t="shared" si="225"/>
        <v>0</v>
      </c>
      <c r="AI256" s="7"/>
      <c r="AJ256" s="369" cm="1">
        <f t="array" ref="AJ256">IFERROR(INDEX(WHT!$C$7:$W$18,MATCH(
_xlfn.SWITCH(N256,"xDC Medellin","Colombia","xDC Belo Horizonte","Brazil","xDC Guadalajara","Mexico","xDC Gurugram","India","xDC Leon","Spain","xDC San Jose","Costa Rica","xDC Warsaw","Poland",N256),
WHT!$B$7:$B$18,0),MATCH(CustomerCountry,WHT!$C$5:$W$5,0)),0)</f>
        <v>0</v>
      </c>
      <c r="AK256" s="368">
        <f t="shared" si="226"/>
        <v>0</v>
      </c>
      <c r="AL256" s="7"/>
      <c r="AM256" s="95">
        <f t="shared" si="234"/>
        <v>0</v>
      </c>
      <c r="AN256" s="95">
        <f t="shared" ca="1" si="227"/>
        <v>0</v>
      </c>
      <c r="AO256" s="95">
        <f t="shared" ca="1" si="235"/>
        <v>0</v>
      </c>
      <c r="AP256" s="90"/>
      <c r="AQ256" s="18"/>
      <c r="AR256" s="290"/>
      <c r="AS256" s="467" t="s">
        <v>133</v>
      </c>
      <c r="AT256" s="501">
        <f t="shared" ca="1" si="228"/>
        <v>0</v>
      </c>
      <c r="AU256" s="502"/>
      <c r="AV256" s="95">
        <f t="shared" ca="1" si="236"/>
        <v>0</v>
      </c>
      <c r="AW256" s="469">
        <f t="shared" ca="1" si="229"/>
        <v>0</v>
      </c>
      <c r="AX256" s="290"/>
      <c r="AY256" s="18"/>
      <c r="AZ256" s="3"/>
      <c r="BA256" s="315"/>
      <c r="BB256" s="3"/>
      <c r="BC256" s="3"/>
      <c r="BD256" s="3"/>
      <c r="BE256" s="3"/>
      <c r="BF256" s="18"/>
      <c r="BG256" s="3"/>
      <c r="BH256" s="315"/>
      <c r="BI256" s="3"/>
      <c r="BJ256" s="3"/>
      <c r="BK256" s="3"/>
      <c r="BL256" s="3"/>
      <c r="BM256" s="18"/>
      <c r="BN256" s="3"/>
      <c r="BO256" s="315"/>
      <c r="BP256" s="3"/>
      <c r="BQ256" s="3"/>
      <c r="BR256" s="3"/>
      <c r="BS256" s="3"/>
      <c r="BT256" s="18"/>
      <c r="BU256" s="3"/>
      <c r="BV256" s="315"/>
      <c r="BW256" s="3"/>
      <c r="BX256" s="3"/>
      <c r="BY256" s="3"/>
      <c r="BZ256" s="3"/>
    </row>
    <row r="257" spans="1:82" ht="15.6" outlineLevel="1">
      <c r="A257" s="7"/>
      <c r="B257" s="370"/>
      <c r="C257" s="355"/>
      <c r="D257" s="356"/>
      <c r="E257" s="342"/>
      <c r="F257" s="290"/>
      <c r="G257" s="357">
        <v>0</v>
      </c>
      <c r="H257" s="358">
        <v>0</v>
      </c>
      <c r="I257" s="358">
        <v>0</v>
      </c>
      <c r="J257" s="359">
        <f t="shared" si="230"/>
        <v>0</v>
      </c>
      <c r="K257" s="290"/>
      <c r="L257" s="349"/>
      <c r="M257" s="7"/>
      <c r="N257" s="12"/>
      <c r="O257" s="12"/>
      <c r="P257" s="12"/>
      <c r="Q257" s="361"/>
      <c r="R257" s="362"/>
      <c r="S257" s="363">
        <f t="shared" si="241"/>
        <v>0</v>
      </c>
      <c r="T257" s="364">
        <f t="shared" ref="T257" si="259">IF(ISBLANK($P257),0,IF(Approach="Team-Based",$Q257*$R257*$S257*HoursPerDayTeamBased,$J257))</f>
        <v>0</v>
      </c>
      <c r="U257" s="365">
        <v>0</v>
      </c>
      <c r="V257" s="91">
        <f>ROUNDUP(IFERROR(INDEX(CostRateTbl[Cost Rate],MATCH(_xlfn.CONCAT(N257,O257,P257,"NA"),CostRateTbl[KeyCostRate],0)),0)*BillingCurrencyTRM*(1+U257),2)</f>
        <v>0</v>
      </c>
      <c r="W257" s="92">
        <f t="shared" si="222"/>
        <v>0</v>
      </c>
      <c r="X257" s="366" t="e" cm="1">
        <f t="array" ref="X257">_xlfn.LET(
    _xlpm.valor, INDEX(CostRate!H:H, MATCH(1, (CostRate!A:A=N257)*1, 0)),
    _xlpm.posicion, MATCH(_xlpm.valor, FilterSL!$F$1:$Z$1, 0),
    _xlpm.direccionCompleta, ADDRESS(1, _xlpm.posicion + 5, 4),
    _xlpm.letraColumna, SUBSTITUTE(_xlpm.direccionCompleta, "1", ""),
    _xlpm.letraColumna
)</f>
        <v>#N/A</v>
      </c>
      <c r="Y257" s="366" t="e" cm="1">
        <f t="array" ref="Y257">_xlfn.LET(
    _xlpm.valor, INDEX(CostRate!I:I, MATCH(1, (CostRate!A:A=N257)*(CostRate!B:B=O257), 0)),
    _xlpm.posicion, MATCH(_xlpm.valor, FilterJP!$E$1:$FZ$1, 0),
    _xlpm.direccionCompleta, ADDRESS(1, _xlpm.posicion + 4, 4),
    _xlpm.letraColumna, SUBSTITUTE(_xlpm.direccionCompleta, "1", ""),
    _xlpm.letraColumna
)</f>
        <v>#N/A</v>
      </c>
      <c r="Z257" s="7"/>
      <c r="AA257" s="367"/>
      <c r="AB257" s="7"/>
      <c r="AC257" s="93">
        <f t="shared" si="223"/>
        <v>0</v>
      </c>
      <c r="AD257" s="94">
        <f t="shared" si="232"/>
        <v>0</v>
      </c>
      <c r="AE257" s="109">
        <f t="shared" si="233"/>
        <v>0</v>
      </c>
      <c r="AF257" s="7"/>
      <c r="AG257" s="369">
        <f t="shared" si="224"/>
        <v>0</v>
      </c>
      <c r="AH257" s="368">
        <f t="shared" si="225"/>
        <v>0</v>
      </c>
      <c r="AI257" s="7"/>
      <c r="AJ257" s="369" cm="1">
        <f t="array" ref="AJ257">IFERROR(INDEX(WHT!$C$7:$W$18,MATCH(
_xlfn.SWITCH(N257,"xDC Medellin","Colombia","xDC Belo Horizonte","Brazil","xDC Guadalajara","Mexico","xDC Gurugram","India","xDC Leon","Spain","xDC San Jose","Costa Rica","xDC Warsaw","Poland",N257),
WHT!$B$7:$B$18,0),MATCH(CustomerCountry,WHT!$C$5:$W$5,0)),0)</f>
        <v>0</v>
      </c>
      <c r="AK257" s="368">
        <f t="shared" si="226"/>
        <v>0</v>
      </c>
      <c r="AL257" s="7"/>
      <c r="AM257" s="95">
        <f t="shared" si="234"/>
        <v>0</v>
      </c>
      <c r="AN257" s="95">
        <f t="shared" ca="1" si="227"/>
        <v>0</v>
      </c>
      <c r="AO257" s="95">
        <f t="shared" ca="1" si="235"/>
        <v>0</v>
      </c>
      <c r="AP257" s="90"/>
      <c r="AQ257" s="18"/>
      <c r="AR257" s="290"/>
      <c r="AS257" s="467" t="s">
        <v>133</v>
      </c>
      <c r="AT257" s="501">
        <f t="shared" ca="1" si="228"/>
        <v>0</v>
      </c>
      <c r="AU257" s="502"/>
      <c r="AV257" s="95">
        <f t="shared" ca="1" si="236"/>
        <v>0</v>
      </c>
      <c r="AW257" s="469">
        <f t="shared" ca="1" si="229"/>
        <v>0</v>
      </c>
      <c r="AX257" s="290"/>
      <c r="AY257" s="18"/>
      <c r="AZ257" s="3"/>
      <c r="BA257" s="315"/>
      <c r="BB257" s="3"/>
      <c r="BC257" s="3"/>
      <c r="BD257" s="3"/>
      <c r="BE257" s="3"/>
      <c r="BF257" s="18"/>
      <c r="BG257" s="3"/>
      <c r="BH257" s="315"/>
      <c r="BI257" s="3"/>
      <c r="BJ257" s="3"/>
      <c r="BK257" s="3"/>
      <c r="BL257" s="3"/>
      <c r="BM257" s="18"/>
      <c r="BN257" s="3"/>
      <c r="BO257" s="315"/>
      <c r="BP257" s="3"/>
      <c r="BQ257" s="3"/>
      <c r="BR257" s="3"/>
      <c r="BS257" s="3"/>
      <c r="BT257" s="18"/>
      <c r="BU257" s="3"/>
      <c r="BV257" s="315"/>
      <c r="BW257" s="3"/>
      <c r="BX257" s="3"/>
      <c r="BY257" s="3"/>
      <c r="BZ257" s="3"/>
    </row>
    <row r="258" spans="1:82" ht="15.6" outlineLevel="1">
      <c r="A258" s="7"/>
      <c r="B258" s="370"/>
      <c r="C258" s="355"/>
      <c r="D258" s="356"/>
      <c r="E258" s="342"/>
      <c r="F258" s="290"/>
      <c r="G258" s="357">
        <v>0</v>
      </c>
      <c r="H258" s="358">
        <v>0</v>
      </c>
      <c r="I258" s="358">
        <v>0</v>
      </c>
      <c r="J258" s="359">
        <f t="shared" si="230"/>
        <v>0</v>
      </c>
      <c r="K258" s="290"/>
      <c r="L258" s="349"/>
      <c r="M258" s="7"/>
      <c r="N258" s="12"/>
      <c r="O258" s="12"/>
      <c r="P258" s="12"/>
      <c r="Q258" s="361"/>
      <c r="R258" s="362"/>
      <c r="S258" s="363">
        <f t="shared" si="241"/>
        <v>0</v>
      </c>
      <c r="T258" s="364">
        <f t="shared" ref="T258" si="260">IF(ISBLANK($P258),0,IF(Approach="Team-Based",$Q258*$R258*$S258*HoursPerDayTeamBased,$J258))</f>
        <v>0</v>
      </c>
      <c r="U258" s="365">
        <v>0</v>
      </c>
      <c r="V258" s="91">
        <f>ROUNDUP(IFERROR(INDEX(CostRateTbl[Cost Rate],MATCH(_xlfn.CONCAT(N258,O258,P258,"NA"),CostRateTbl[KeyCostRate],0)),0)*BillingCurrencyTRM*(1+U258),2)</f>
        <v>0</v>
      </c>
      <c r="W258" s="92">
        <f t="shared" si="222"/>
        <v>0</v>
      </c>
      <c r="X258" s="366" t="e" cm="1">
        <f t="array" ref="X258">_xlfn.LET(
    _xlpm.valor, INDEX(CostRate!H:H, MATCH(1, (CostRate!A:A=N258)*1, 0)),
    _xlpm.posicion, MATCH(_xlpm.valor, FilterSL!$F$1:$Z$1, 0),
    _xlpm.direccionCompleta, ADDRESS(1, _xlpm.posicion + 5, 4),
    _xlpm.letraColumna, SUBSTITUTE(_xlpm.direccionCompleta, "1", ""),
    _xlpm.letraColumna
)</f>
        <v>#N/A</v>
      </c>
      <c r="Y258" s="366" t="e" cm="1">
        <f t="array" ref="Y258">_xlfn.LET(
    _xlpm.valor, INDEX(CostRate!I:I, MATCH(1, (CostRate!A:A=N258)*(CostRate!B:B=O258), 0)),
    _xlpm.posicion, MATCH(_xlpm.valor, FilterJP!$E$1:$FZ$1, 0),
    _xlpm.direccionCompleta, ADDRESS(1, _xlpm.posicion + 4, 4),
    _xlpm.letraColumna, SUBSTITUTE(_xlpm.direccionCompleta, "1", ""),
    _xlpm.letraColumna
)</f>
        <v>#N/A</v>
      </c>
      <c r="Z258" s="7"/>
      <c r="AA258" s="367"/>
      <c r="AB258" s="7"/>
      <c r="AC258" s="93">
        <f t="shared" si="223"/>
        <v>0</v>
      </c>
      <c r="AD258" s="94">
        <f t="shared" si="232"/>
        <v>0</v>
      </c>
      <c r="AE258" s="109">
        <f t="shared" si="233"/>
        <v>0</v>
      </c>
      <c r="AF258" s="7"/>
      <c r="AG258" s="369">
        <f t="shared" si="224"/>
        <v>0</v>
      </c>
      <c r="AH258" s="368">
        <f t="shared" si="225"/>
        <v>0</v>
      </c>
      <c r="AI258" s="7"/>
      <c r="AJ258" s="369" cm="1">
        <f t="array" ref="AJ258">IFERROR(INDEX(WHT!$C$7:$W$18,MATCH(
_xlfn.SWITCH(N258,"xDC Medellin","Colombia","xDC Belo Horizonte","Brazil","xDC Guadalajara","Mexico","xDC Gurugram","India","xDC Leon","Spain","xDC San Jose","Costa Rica","xDC Warsaw","Poland",N258),
WHT!$B$7:$B$18,0),MATCH(CustomerCountry,WHT!$C$5:$W$5,0)),0)</f>
        <v>0</v>
      </c>
      <c r="AK258" s="368">
        <f t="shared" si="226"/>
        <v>0</v>
      </c>
      <c r="AL258" s="7"/>
      <c r="AM258" s="95">
        <f t="shared" si="234"/>
        <v>0</v>
      </c>
      <c r="AN258" s="95">
        <f t="shared" ca="1" si="227"/>
        <v>0</v>
      </c>
      <c r="AO258" s="95">
        <f t="shared" ca="1" si="235"/>
        <v>0</v>
      </c>
      <c r="AP258" s="90"/>
      <c r="AQ258" s="18"/>
      <c r="AR258" s="290"/>
      <c r="AS258" s="467" t="s">
        <v>133</v>
      </c>
      <c r="AT258" s="501">
        <f t="shared" ca="1" si="228"/>
        <v>0</v>
      </c>
      <c r="AU258" s="502"/>
      <c r="AV258" s="95">
        <f t="shared" ca="1" si="236"/>
        <v>0</v>
      </c>
      <c r="AW258" s="469">
        <f t="shared" ca="1" si="229"/>
        <v>0</v>
      </c>
      <c r="AX258" s="290"/>
      <c r="AY258" s="18"/>
      <c r="AZ258" s="3"/>
      <c r="BA258" s="315"/>
      <c r="BB258" s="3"/>
      <c r="BC258" s="3"/>
      <c r="BD258" s="3"/>
      <c r="BE258" s="3"/>
      <c r="BF258" s="18"/>
      <c r="BG258" s="3"/>
      <c r="BH258" s="315"/>
      <c r="BI258" s="3"/>
      <c r="BJ258" s="3"/>
      <c r="BK258" s="3"/>
      <c r="BL258" s="3"/>
      <c r="BM258" s="18"/>
      <c r="BN258" s="3"/>
      <c r="BO258" s="315"/>
      <c r="BP258" s="3"/>
      <c r="BQ258" s="3"/>
      <c r="BR258" s="3"/>
      <c r="BS258" s="3"/>
      <c r="BT258" s="18"/>
      <c r="BU258" s="3"/>
      <c r="BV258" s="315"/>
      <c r="BW258" s="3"/>
      <c r="BX258" s="3"/>
      <c r="BY258" s="3"/>
      <c r="BZ258" s="3"/>
    </row>
    <row r="259" spans="1:82" ht="15.6" outlineLevel="1">
      <c r="A259" s="7"/>
      <c r="B259" s="370"/>
      <c r="C259" s="355"/>
      <c r="D259" s="356"/>
      <c r="E259" s="342"/>
      <c r="F259" s="290"/>
      <c r="G259" s="357">
        <v>0</v>
      </c>
      <c r="H259" s="358">
        <v>0</v>
      </c>
      <c r="I259" s="358">
        <v>0</v>
      </c>
      <c r="J259" s="359">
        <f t="shared" si="230"/>
        <v>0</v>
      </c>
      <c r="K259" s="290"/>
      <c r="L259" s="349"/>
      <c r="M259" s="7"/>
      <c r="N259" s="12"/>
      <c r="O259" s="12"/>
      <c r="P259" s="12"/>
      <c r="Q259" s="361"/>
      <c r="R259" s="362"/>
      <c r="S259" s="363">
        <f t="shared" si="241"/>
        <v>0</v>
      </c>
      <c r="T259" s="364">
        <f t="shared" ref="T259" si="261">IF(ISBLANK($P259),0,IF(Approach="Team-Based",$Q259*$R259*$S259*HoursPerDayTeamBased,$J259))</f>
        <v>0</v>
      </c>
      <c r="U259" s="365">
        <v>0</v>
      </c>
      <c r="V259" s="91">
        <f>ROUNDUP(IFERROR(INDEX(CostRateTbl[Cost Rate],MATCH(_xlfn.CONCAT(N259,O259,P259,"NA"),CostRateTbl[KeyCostRate],0)),0)*BillingCurrencyTRM*(1+U259),2)</f>
        <v>0</v>
      </c>
      <c r="W259" s="92">
        <f t="shared" si="222"/>
        <v>0</v>
      </c>
      <c r="X259" s="366" t="e" cm="1">
        <f t="array" ref="X259">_xlfn.LET(
    _xlpm.valor, INDEX(CostRate!H:H, MATCH(1, (CostRate!A:A=N259)*1, 0)),
    _xlpm.posicion, MATCH(_xlpm.valor, FilterSL!$F$1:$Z$1, 0),
    _xlpm.direccionCompleta, ADDRESS(1, _xlpm.posicion + 5, 4),
    _xlpm.letraColumna, SUBSTITUTE(_xlpm.direccionCompleta, "1", ""),
    _xlpm.letraColumna
)</f>
        <v>#N/A</v>
      </c>
      <c r="Y259" s="366" t="e" cm="1">
        <f t="array" ref="Y259">_xlfn.LET(
    _xlpm.valor, INDEX(CostRate!I:I, MATCH(1, (CostRate!A:A=N259)*(CostRate!B:B=O259), 0)),
    _xlpm.posicion, MATCH(_xlpm.valor, FilterJP!$E$1:$FZ$1, 0),
    _xlpm.direccionCompleta, ADDRESS(1, _xlpm.posicion + 4, 4),
    _xlpm.letraColumna, SUBSTITUTE(_xlpm.direccionCompleta, "1", ""),
    _xlpm.letraColumna
)</f>
        <v>#N/A</v>
      </c>
      <c r="Z259" s="7"/>
      <c r="AA259" s="367"/>
      <c r="AB259" s="7"/>
      <c r="AC259" s="93">
        <f t="shared" si="223"/>
        <v>0</v>
      </c>
      <c r="AD259" s="94">
        <f t="shared" si="232"/>
        <v>0</v>
      </c>
      <c r="AE259" s="109">
        <f t="shared" si="233"/>
        <v>0</v>
      </c>
      <c r="AF259" s="7"/>
      <c r="AG259" s="369">
        <f t="shared" si="224"/>
        <v>0</v>
      </c>
      <c r="AH259" s="368">
        <f t="shared" si="225"/>
        <v>0</v>
      </c>
      <c r="AI259" s="7"/>
      <c r="AJ259" s="369" cm="1">
        <f t="array" ref="AJ259">IFERROR(INDEX(WHT!$C$7:$W$18,MATCH(
_xlfn.SWITCH(N259,"xDC Medellin","Colombia","xDC Belo Horizonte","Brazil","xDC Guadalajara","Mexico","xDC Gurugram","India","xDC Leon","Spain","xDC San Jose","Costa Rica","xDC Warsaw","Poland",N259),
WHT!$B$7:$B$18,0),MATCH(CustomerCountry,WHT!$C$5:$W$5,0)),0)</f>
        <v>0</v>
      </c>
      <c r="AK259" s="368">
        <f t="shared" si="226"/>
        <v>0</v>
      </c>
      <c r="AL259" s="7"/>
      <c r="AM259" s="95">
        <f t="shared" si="234"/>
        <v>0</v>
      </c>
      <c r="AN259" s="95">
        <f t="shared" ca="1" si="227"/>
        <v>0</v>
      </c>
      <c r="AO259" s="95">
        <f t="shared" ca="1" si="235"/>
        <v>0</v>
      </c>
      <c r="AP259" s="90"/>
      <c r="AQ259" s="18"/>
      <c r="AR259" s="290"/>
      <c r="AS259" s="467" t="s">
        <v>133</v>
      </c>
      <c r="AT259" s="501">
        <f t="shared" ca="1" si="228"/>
        <v>0</v>
      </c>
      <c r="AU259" s="502"/>
      <c r="AV259" s="95">
        <f t="shared" ca="1" si="236"/>
        <v>0</v>
      </c>
      <c r="AW259" s="469">
        <f t="shared" ca="1" si="229"/>
        <v>0</v>
      </c>
      <c r="AX259" s="290"/>
      <c r="AY259" s="18"/>
      <c r="AZ259" s="3"/>
      <c r="BA259" s="315"/>
      <c r="BB259" s="3"/>
      <c r="BC259" s="3"/>
      <c r="BD259" s="3"/>
      <c r="BE259" s="3"/>
      <c r="BF259" s="18"/>
      <c r="BG259" s="3"/>
      <c r="BH259" s="315"/>
      <c r="BI259" s="3"/>
      <c r="BJ259" s="3"/>
      <c r="BK259" s="3"/>
      <c r="BL259" s="3"/>
      <c r="BM259" s="18"/>
      <c r="BN259" s="3"/>
      <c r="BO259" s="315"/>
      <c r="BP259" s="3"/>
      <c r="BQ259" s="3"/>
      <c r="BR259" s="3"/>
      <c r="BS259" s="3"/>
      <c r="BT259" s="18"/>
      <c r="BU259" s="3"/>
      <c r="BV259" s="315"/>
      <c r="BW259" s="3"/>
      <c r="BX259" s="3"/>
      <c r="BY259" s="3"/>
      <c r="BZ259" s="3"/>
    </row>
    <row r="260" spans="1:82" ht="15.6" outlineLevel="1">
      <c r="A260" s="7"/>
      <c r="B260" s="370"/>
      <c r="C260" s="355"/>
      <c r="D260" s="356"/>
      <c r="E260" s="342"/>
      <c r="F260" s="290"/>
      <c r="G260" s="357">
        <v>0</v>
      </c>
      <c r="H260" s="358">
        <v>0</v>
      </c>
      <c r="I260" s="358">
        <v>0</v>
      </c>
      <c r="J260" s="359">
        <f t="shared" si="230"/>
        <v>0</v>
      </c>
      <c r="K260" s="290"/>
      <c r="L260" s="349"/>
      <c r="M260" s="7"/>
      <c r="N260" s="12"/>
      <c r="O260" s="12"/>
      <c r="P260" s="12"/>
      <c r="Q260" s="361"/>
      <c r="R260" s="362"/>
      <c r="S260" s="363">
        <f t="shared" si="241"/>
        <v>0</v>
      </c>
      <c r="T260" s="364">
        <f t="shared" ref="T260" si="262">IF(ISBLANK($P260),0,IF(Approach="Team-Based",$Q260*$R260*$S260*HoursPerDayTeamBased,$J260))</f>
        <v>0</v>
      </c>
      <c r="U260" s="365">
        <v>0</v>
      </c>
      <c r="V260" s="91">
        <f>ROUNDUP(IFERROR(INDEX(CostRateTbl[Cost Rate],MATCH(_xlfn.CONCAT(N260,O260,P260,"NA"),CostRateTbl[KeyCostRate],0)),0)*BillingCurrencyTRM*(1+U260),2)</f>
        <v>0</v>
      </c>
      <c r="W260" s="92">
        <f t="shared" si="222"/>
        <v>0</v>
      </c>
      <c r="X260" s="366" t="e" cm="1">
        <f t="array" ref="X260">_xlfn.LET(
    _xlpm.valor, INDEX(CostRate!H:H, MATCH(1, (CostRate!A:A=N260)*1, 0)),
    _xlpm.posicion, MATCH(_xlpm.valor, FilterSL!$F$1:$Z$1, 0),
    _xlpm.direccionCompleta, ADDRESS(1, _xlpm.posicion + 5, 4),
    _xlpm.letraColumna, SUBSTITUTE(_xlpm.direccionCompleta, "1", ""),
    _xlpm.letraColumna
)</f>
        <v>#N/A</v>
      </c>
      <c r="Y260" s="366" t="e" cm="1">
        <f t="array" ref="Y260">_xlfn.LET(
    _xlpm.valor, INDEX(CostRate!I:I, MATCH(1, (CostRate!A:A=N260)*(CostRate!B:B=O260), 0)),
    _xlpm.posicion, MATCH(_xlpm.valor, FilterJP!$E$1:$FZ$1, 0),
    _xlpm.direccionCompleta, ADDRESS(1, _xlpm.posicion + 4, 4),
    _xlpm.letraColumna, SUBSTITUTE(_xlpm.direccionCompleta, "1", ""),
    _xlpm.letraColumna
)</f>
        <v>#N/A</v>
      </c>
      <c r="Z260" s="7"/>
      <c r="AA260" s="367"/>
      <c r="AB260" s="7"/>
      <c r="AC260" s="93">
        <f t="shared" si="223"/>
        <v>0</v>
      </c>
      <c r="AD260" s="94">
        <f t="shared" si="232"/>
        <v>0</v>
      </c>
      <c r="AE260" s="109">
        <f t="shared" si="233"/>
        <v>0</v>
      </c>
      <c r="AF260" s="7"/>
      <c r="AG260" s="369">
        <f t="shared" si="224"/>
        <v>0</v>
      </c>
      <c r="AH260" s="368">
        <f t="shared" si="225"/>
        <v>0</v>
      </c>
      <c r="AI260" s="7"/>
      <c r="AJ260" s="369" cm="1">
        <f t="array" ref="AJ260">IFERROR(INDEX(WHT!$C$7:$W$18,MATCH(
_xlfn.SWITCH(N260,"xDC Medellin","Colombia","xDC Belo Horizonte","Brazil","xDC Guadalajara","Mexico","xDC Gurugram","India","xDC Leon","Spain","xDC San Jose","Costa Rica","xDC Warsaw","Poland",N260),
WHT!$B$7:$B$18,0),MATCH(CustomerCountry,WHT!$C$5:$W$5,0)),0)</f>
        <v>0</v>
      </c>
      <c r="AK260" s="368">
        <f t="shared" si="226"/>
        <v>0</v>
      </c>
      <c r="AL260" s="7"/>
      <c r="AM260" s="95">
        <f t="shared" si="234"/>
        <v>0</v>
      </c>
      <c r="AN260" s="95">
        <f t="shared" ca="1" si="227"/>
        <v>0</v>
      </c>
      <c r="AO260" s="95">
        <f t="shared" ca="1" si="235"/>
        <v>0</v>
      </c>
      <c r="AP260" s="90"/>
      <c r="AQ260" s="18"/>
      <c r="AR260" s="290"/>
      <c r="AS260" s="467" t="s">
        <v>133</v>
      </c>
      <c r="AT260" s="501">
        <f t="shared" ca="1" si="228"/>
        <v>0</v>
      </c>
      <c r="AU260" s="502"/>
      <c r="AV260" s="95">
        <f t="shared" ca="1" si="236"/>
        <v>0</v>
      </c>
      <c r="AW260" s="469">
        <f t="shared" ca="1" si="229"/>
        <v>0</v>
      </c>
      <c r="AX260" s="290"/>
      <c r="AY260" s="18"/>
      <c r="AZ260" s="3"/>
      <c r="BA260" s="315"/>
      <c r="BB260" s="3"/>
      <c r="BC260" s="3"/>
      <c r="BD260" s="3"/>
      <c r="BE260" s="3"/>
      <c r="BF260" s="18"/>
      <c r="BG260" s="3"/>
      <c r="BH260" s="315"/>
      <c r="BI260" s="3"/>
      <c r="BJ260" s="3"/>
      <c r="BK260" s="3"/>
      <c r="BL260" s="3"/>
      <c r="BM260" s="18"/>
      <c r="BN260" s="3"/>
      <c r="BO260" s="315"/>
      <c r="BP260" s="3"/>
      <c r="BQ260" s="3"/>
      <c r="BR260" s="3"/>
      <c r="BS260" s="3"/>
      <c r="BT260" s="18"/>
      <c r="BU260" s="3"/>
      <c r="BV260" s="315"/>
      <c r="BW260" s="3"/>
      <c r="BX260" s="3"/>
      <c r="BY260" s="3"/>
      <c r="BZ260" s="3"/>
    </row>
    <row r="261" spans="1:82" ht="15.6" outlineLevel="1">
      <c r="A261" s="7"/>
      <c r="B261" s="370"/>
      <c r="C261" s="355"/>
      <c r="D261" s="356"/>
      <c r="E261" s="342"/>
      <c r="F261" s="290"/>
      <c r="G261" s="357">
        <v>0</v>
      </c>
      <c r="H261" s="358">
        <v>0</v>
      </c>
      <c r="I261" s="358">
        <v>0</v>
      </c>
      <c r="J261" s="359">
        <f t="shared" si="230"/>
        <v>0</v>
      </c>
      <c r="K261" s="290"/>
      <c r="L261" s="349"/>
      <c r="M261" s="7"/>
      <c r="N261" s="12"/>
      <c r="O261" s="12"/>
      <c r="P261" s="12"/>
      <c r="Q261" s="361"/>
      <c r="R261" s="362"/>
      <c r="S261" s="363">
        <f t="shared" si="241"/>
        <v>0</v>
      </c>
      <c r="T261" s="364">
        <f t="shared" ref="T261" si="263">IF(ISBLANK($P261),0,IF(Approach="Team-Based",$Q261*$R261*$S261*HoursPerDayTeamBased,$J261))</f>
        <v>0</v>
      </c>
      <c r="U261" s="365">
        <v>0</v>
      </c>
      <c r="V261" s="91">
        <f>ROUNDUP(IFERROR(INDEX(CostRateTbl[Cost Rate],MATCH(_xlfn.CONCAT(N261,O261,P261,"NA"),CostRateTbl[KeyCostRate],0)),0)*BillingCurrencyTRM*(1+U261),2)</f>
        <v>0</v>
      </c>
      <c r="W261" s="92">
        <f t="shared" si="222"/>
        <v>0</v>
      </c>
      <c r="X261" s="366" t="e" cm="1">
        <f t="array" ref="X261">_xlfn.LET(
    _xlpm.valor, INDEX(CostRate!H:H, MATCH(1, (CostRate!A:A=N261)*1, 0)),
    _xlpm.posicion, MATCH(_xlpm.valor, FilterSL!$F$1:$Z$1, 0),
    _xlpm.direccionCompleta, ADDRESS(1, _xlpm.posicion + 5, 4),
    _xlpm.letraColumna, SUBSTITUTE(_xlpm.direccionCompleta, "1", ""),
    _xlpm.letraColumna
)</f>
        <v>#N/A</v>
      </c>
      <c r="Y261" s="366" t="e" cm="1">
        <f t="array" ref="Y261">_xlfn.LET(
    _xlpm.valor, INDEX(CostRate!I:I, MATCH(1, (CostRate!A:A=N261)*(CostRate!B:B=O261), 0)),
    _xlpm.posicion, MATCH(_xlpm.valor, FilterJP!$E$1:$FZ$1, 0),
    _xlpm.direccionCompleta, ADDRESS(1, _xlpm.posicion + 4, 4),
    _xlpm.letraColumna, SUBSTITUTE(_xlpm.direccionCompleta, "1", ""),
    _xlpm.letraColumna
)</f>
        <v>#N/A</v>
      </c>
      <c r="Z261" s="7"/>
      <c r="AA261" s="367"/>
      <c r="AB261" s="7"/>
      <c r="AC261" s="93">
        <f t="shared" si="223"/>
        <v>0</v>
      </c>
      <c r="AD261" s="94">
        <f t="shared" si="232"/>
        <v>0</v>
      </c>
      <c r="AE261" s="109">
        <f t="shared" si="233"/>
        <v>0</v>
      </c>
      <c r="AF261" s="7"/>
      <c r="AG261" s="369">
        <f t="shared" si="224"/>
        <v>0</v>
      </c>
      <c r="AH261" s="368">
        <f t="shared" si="225"/>
        <v>0</v>
      </c>
      <c r="AI261" s="7"/>
      <c r="AJ261" s="369" cm="1">
        <f t="array" ref="AJ261">IFERROR(INDEX(WHT!$C$7:$W$18,MATCH(
_xlfn.SWITCH(N261,"xDC Medellin","Colombia","xDC Belo Horizonte","Brazil","xDC Guadalajara","Mexico","xDC Gurugram","India","xDC Leon","Spain","xDC San Jose","Costa Rica","xDC Warsaw","Poland",N261),
WHT!$B$7:$B$18,0),MATCH(CustomerCountry,WHT!$C$5:$W$5,0)),0)</f>
        <v>0</v>
      </c>
      <c r="AK261" s="368">
        <f t="shared" si="226"/>
        <v>0</v>
      </c>
      <c r="AL261" s="7"/>
      <c r="AM261" s="95">
        <f t="shared" si="234"/>
        <v>0</v>
      </c>
      <c r="AN261" s="95">
        <f t="shared" ca="1" si="227"/>
        <v>0</v>
      </c>
      <c r="AO261" s="95">
        <f t="shared" ca="1" si="235"/>
        <v>0</v>
      </c>
      <c r="AP261" s="90"/>
      <c r="AQ261" s="18"/>
      <c r="AR261" s="290"/>
      <c r="AS261" s="467" t="s">
        <v>133</v>
      </c>
      <c r="AT261" s="501">
        <f t="shared" ca="1" si="228"/>
        <v>0</v>
      </c>
      <c r="AU261" s="502"/>
      <c r="AV261" s="95">
        <f t="shared" ca="1" si="236"/>
        <v>0</v>
      </c>
      <c r="AW261" s="469">
        <f t="shared" ca="1" si="229"/>
        <v>0</v>
      </c>
      <c r="AX261" s="290"/>
      <c r="AY261" s="18"/>
      <c r="AZ261" s="3"/>
      <c r="BA261" s="315"/>
      <c r="BB261" s="3"/>
      <c r="BC261" s="3"/>
      <c r="BD261" s="3"/>
      <c r="BE261" s="3"/>
      <c r="BF261" s="18"/>
      <c r="BG261" s="3"/>
      <c r="BH261" s="315"/>
      <c r="BI261" s="3"/>
      <c r="BJ261" s="3"/>
      <c r="BK261" s="3"/>
      <c r="BL261" s="3"/>
      <c r="BM261" s="18"/>
      <c r="BN261" s="3"/>
      <c r="BO261" s="315"/>
      <c r="BP261" s="3"/>
      <c r="BQ261" s="3"/>
      <c r="BR261" s="3"/>
      <c r="BS261" s="3"/>
      <c r="BT261" s="18"/>
      <c r="BU261" s="3"/>
      <c r="BV261" s="315"/>
      <c r="BW261" s="3"/>
      <c r="BX261" s="3"/>
      <c r="BY261" s="3"/>
      <c r="BZ261" s="3"/>
    </row>
    <row r="262" spans="1:82" ht="15.6" outlineLevel="1">
      <c r="A262" s="7"/>
      <c r="B262" s="370"/>
      <c r="C262" s="355"/>
      <c r="D262" s="356"/>
      <c r="E262" s="342"/>
      <c r="F262" s="290"/>
      <c r="G262" s="373">
        <v>0</v>
      </c>
      <c r="H262" s="374">
        <v>0</v>
      </c>
      <c r="I262" s="374">
        <v>0</v>
      </c>
      <c r="J262" s="375">
        <f t="shared" si="230"/>
        <v>0</v>
      </c>
      <c r="K262" s="290"/>
      <c r="L262" s="349"/>
      <c r="M262" s="7"/>
      <c r="N262" s="12"/>
      <c r="O262" s="12"/>
      <c r="P262" s="12"/>
      <c r="Q262" s="361"/>
      <c r="R262" s="362"/>
      <c r="S262" s="363">
        <f t="shared" si="241"/>
        <v>0</v>
      </c>
      <c r="T262" s="364">
        <f t="shared" ref="T262" si="264">IF(ISBLANK($P262),0,IF(Approach="Team-Based",$Q262*$R262*$S262*HoursPerDayTeamBased,$J262))</f>
        <v>0</v>
      </c>
      <c r="U262" s="365">
        <v>0</v>
      </c>
      <c r="V262" s="91">
        <f>ROUNDUP(IFERROR(INDEX(CostRateTbl[Cost Rate],MATCH(_xlfn.CONCAT(N262,O262,P262,"NA"),CostRateTbl[KeyCostRate],0)),0)*BillingCurrencyTRM*(1+U262),2)</f>
        <v>0</v>
      </c>
      <c r="W262" s="92">
        <f t="shared" si="222"/>
        <v>0</v>
      </c>
      <c r="X262" s="366" t="e" cm="1">
        <f t="array" ref="X262">_xlfn.LET(
    _xlpm.valor, INDEX(CostRate!H:H, MATCH(1, (CostRate!A:A=N262)*1, 0)),
    _xlpm.posicion, MATCH(_xlpm.valor, FilterSL!$F$1:$Z$1, 0),
    _xlpm.direccionCompleta, ADDRESS(1, _xlpm.posicion + 5, 4),
    _xlpm.letraColumna, SUBSTITUTE(_xlpm.direccionCompleta, "1", ""),
    _xlpm.letraColumna
)</f>
        <v>#N/A</v>
      </c>
      <c r="Y262" s="366" t="e" cm="1">
        <f t="array" ref="Y262">_xlfn.LET(
    _xlpm.valor, INDEX(CostRate!I:I, MATCH(1, (CostRate!A:A=N262)*(CostRate!B:B=O262), 0)),
    _xlpm.posicion, MATCH(_xlpm.valor, FilterJP!$E$1:$FZ$1, 0),
    _xlpm.direccionCompleta, ADDRESS(1, _xlpm.posicion + 4, 4),
    _xlpm.letraColumna, SUBSTITUTE(_xlpm.direccionCompleta, "1", ""),
    _xlpm.letraColumna
)</f>
        <v>#N/A</v>
      </c>
      <c r="Z262" s="7"/>
      <c r="AA262" s="367"/>
      <c r="AB262" s="7"/>
      <c r="AC262" s="93">
        <f t="shared" si="223"/>
        <v>0</v>
      </c>
      <c r="AD262" s="94">
        <f t="shared" si="232"/>
        <v>0</v>
      </c>
      <c r="AE262" s="109">
        <f t="shared" si="233"/>
        <v>0</v>
      </c>
      <c r="AF262" s="7"/>
      <c r="AG262" s="369">
        <f t="shared" si="224"/>
        <v>0</v>
      </c>
      <c r="AH262" s="368">
        <f t="shared" si="225"/>
        <v>0</v>
      </c>
      <c r="AI262" s="7"/>
      <c r="AJ262" s="369" cm="1">
        <f t="array" ref="AJ262">IFERROR(INDEX(WHT!$C$7:$W$18,MATCH(
_xlfn.SWITCH(N262,"xDC Medellin","Colombia","xDC Belo Horizonte","Brazil","xDC Guadalajara","Mexico","xDC Gurugram","India","xDC Leon","Spain","xDC San Jose","Costa Rica","xDC Warsaw","Poland",N262),
WHT!$B$7:$B$18,0),MATCH(CustomerCountry,WHT!$C$5:$W$5,0)),0)</f>
        <v>0</v>
      </c>
      <c r="AK262" s="368">
        <f t="shared" si="226"/>
        <v>0</v>
      </c>
      <c r="AL262" s="7"/>
      <c r="AM262" s="95">
        <f t="shared" si="234"/>
        <v>0</v>
      </c>
      <c r="AN262" s="95">
        <f t="shared" ca="1" si="227"/>
        <v>0</v>
      </c>
      <c r="AO262" s="95">
        <f t="shared" ca="1" si="235"/>
        <v>0</v>
      </c>
      <c r="AP262" s="90"/>
      <c r="AQ262" s="18"/>
      <c r="AR262" s="290"/>
      <c r="AS262" s="467" t="s">
        <v>133</v>
      </c>
      <c r="AT262" s="501">
        <f t="shared" ca="1" si="228"/>
        <v>0</v>
      </c>
      <c r="AU262" s="502"/>
      <c r="AV262" s="95">
        <f t="shared" ca="1" si="236"/>
        <v>0</v>
      </c>
      <c r="AW262" s="469">
        <f t="shared" ca="1" si="229"/>
        <v>0</v>
      </c>
      <c r="AX262" s="290"/>
      <c r="AY262" s="18"/>
      <c r="AZ262" s="3"/>
      <c r="BA262" s="315"/>
      <c r="BB262" s="3"/>
      <c r="BC262" s="3"/>
      <c r="BD262" s="3"/>
      <c r="BE262" s="3"/>
      <c r="BF262" s="18"/>
      <c r="BG262" s="3"/>
      <c r="BH262" s="315"/>
      <c r="BI262" s="3"/>
      <c r="BJ262" s="3"/>
      <c r="BK262" s="3"/>
      <c r="BL262" s="3"/>
      <c r="BM262" s="18"/>
      <c r="BN262" s="3"/>
      <c r="BO262" s="315"/>
      <c r="BP262" s="3"/>
      <c r="BQ262" s="3"/>
      <c r="BR262" s="3"/>
      <c r="BS262" s="3"/>
      <c r="BT262" s="18"/>
      <c r="BU262" s="3"/>
      <c r="BV262" s="315"/>
      <c r="BW262" s="3"/>
      <c r="BX262" s="3"/>
      <c r="BY262" s="3"/>
      <c r="BZ262" s="3"/>
    </row>
    <row r="263" spans="1:82" ht="15.6" outlineLevel="1">
      <c r="A263" s="7"/>
      <c r="B263" s="372"/>
      <c r="C263" s="355"/>
      <c r="D263" s="356"/>
      <c r="E263" s="342"/>
      <c r="F263" s="290"/>
      <c r="G263" s="373">
        <v>0</v>
      </c>
      <c r="H263" s="374">
        <v>0</v>
      </c>
      <c r="I263" s="374">
        <v>0</v>
      </c>
      <c r="J263" s="375">
        <f t="shared" si="230"/>
        <v>0</v>
      </c>
      <c r="K263" s="290"/>
      <c r="L263" s="349"/>
      <c r="M263" s="7"/>
      <c r="N263" s="12"/>
      <c r="O263" s="12"/>
      <c r="P263" s="12"/>
      <c r="Q263" s="361"/>
      <c r="R263" s="362"/>
      <c r="S263" s="363">
        <f t="shared" si="241"/>
        <v>0</v>
      </c>
      <c r="T263" s="364">
        <f t="shared" ref="T263" si="265">IF(ISBLANK($P263),0,IF(Approach="Team-Based",$Q263*$R263*$S263*HoursPerDayTeamBased,$J263))</f>
        <v>0</v>
      </c>
      <c r="U263" s="365">
        <v>0</v>
      </c>
      <c r="V263" s="91">
        <f>ROUNDUP(IFERROR(INDEX(CostRateTbl[Cost Rate],MATCH(_xlfn.CONCAT(N263,O263,P263,"NA"),CostRateTbl[KeyCostRate],0)),0)*BillingCurrencyTRM*(1+U263),2)</f>
        <v>0</v>
      </c>
      <c r="W263" s="92">
        <f t="shared" si="222"/>
        <v>0</v>
      </c>
      <c r="X263" s="366" t="e" cm="1">
        <f t="array" ref="X263">_xlfn.LET(
    _xlpm.valor, INDEX(CostRate!H:H, MATCH(1, (CostRate!A:A=N263)*1, 0)),
    _xlpm.posicion, MATCH(_xlpm.valor, FilterSL!$F$1:$Z$1, 0),
    _xlpm.direccionCompleta, ADDRESS(1, _xlpm.posicion + 5, 4),
    _xlpm.letraColumna, SUBSTITUTE(_xlpm.direccionCompleta, "1", ""),
    _xlpm.letraColumna
)</f>
        <v>#N/A</v>
      </c>
      <c r="Y263" s="366" t="e" cm="1">
        <f t="array" ref="Y263">_xlfn.LET(
    _xlpm.valor, INDEX(CostRate!I:I, MATCH(1, (CostRate!A:A=N263)*(CostRate!B:B=O263), 0)),
    _xlpm.posicion, MATCH(_xlpm.valor, FilterJP!$E$1:$FZ$1, 0),
    _xlpm.direccionCompleta, ADDRESS(1, _xlpm.posicion + 4, 4),
    _xlpm.letraColumna, SUBSTITUTE(_xlpm.direccionCompleta, "1", ""),
    _xlpm.letraColumna
)</f>
        <v>#N/A</v>
      </c>
      <c r="Z263" s="7"/>
      <c r="AA263" s="367"/>
      <c r="AB263" s="7"/>
      <c r="AC263" s="93">
        <f t="shared" si="223"/>
        <v>0</v>
      </c>
      <c r="AD263" s="94">
        <f t="shared" si="232"/>
        <v>0</v>
      </c>
      <c r="AE263" s="109">
        <f t="shared" si="233"/>
        <v>0</v>
      </c>
      <c r="AF263" s="7"/>
      <c r="AG263" s="369">
        <f t="shared" si="224"/>
        <v>0</v>
      </c>
      <c r="AH263" s="368">
        <f t="shared" si="225"/>
        <v>0</v>
      </c>
      <c r="AI263" s="7"/>
      <c r="AJ263" s="369" cm="1">
        <f t="array" ref="AJ263">IFERROR(INDEX(WHT!$C$7:$W$18,MATCH(
_xlfn.SWITCH(N263,"xDC Medellin","Colombia","xDC Belo Horizonte","Brazil","xDC Guadalajara","Mexico","xDC Gurugram","India","xDC Leon","Spain","xDC San Jose","Costa Rica","xDC Warsaw","Poland",N263),
WHT!$B$7:$B$18,0),MATCH(CustomerCountry,WHT!$C$5:$W$5,0)),0)</f>
        <v>0</v>
      </c>
      <c r="AK263" s="368">
        <f t="shared" si="226"/>
        <v>0</v>
      </c>
      <c r="AL263" s="7"/>
      <c r="AM263" s="95">
        <f t="shared" si="234"/>
        <v>0</v>
      </c>
      <c r="AN263" s="95">
        <f t="shared" ca="1" si="227"/>
        <v>0</v>
      </c>
      <c r="AO263" s="95">
        <f t="shared" ca="1" si="235"/>
        <v>0</v>
      </c>
      <c r="AP263" s="90"/>
      <c r="AQ263" s="18"/>
      <c r="AR263" s="290"/>
      <c r="AS263" s="467" t="s">
        <v>133</v>
      </c>
      <c r="AT263" s="501">
        <f ca="1">IF(AS263="x",AM263+((SUM($AN$223:$AN$228)+SUMIF($AS$234:$AS$263,"&lt;&gt;x",$AM$234:$AM$263))*IFERROR(AM263/SUMIF($AS$234:$AS$263,"x",$AM$234:$AM$263),0)),0)</f>
        <v>0</v>
      </c>
      <c r="AU263" s="502"/>
      <c r="AV263" s="95">
        <f t="shared" ca="1" si="236"/>
        <v>0</v>
      </c>
      <c r="AW263" s="469">
        <f t="shared" ca="1" si="229"/>
        <v>0</v>
      </c>
      <c r="AX263" s="290"/>
      <c r="AY263" s="18"/>
      <c r="AZ263" s="3"/>
      <c r="BA263" s="315"/>
      <c r="BB263" s="3"/>
      <c r="BC263" s="3"/>
      <c r="BD263" s="3"/>
      <c r="BE263" s="3"/>
      <c r="BF263" s="18"/>
      <c r="BG263" s="3"/>
      <c r="BH263" s="315"/>
      <c r="BI263" s="3"/>
      <c r="BJ263" s="3"/>
      <c r="BK263" s="3"/>
      <c r="BL263" s="3"/>
      <c r="BM263" s="18"/>
      <c r="BN263" s="3"/>
      <c r="BO263" s="315"/>
      <c r="BP263" s="3"/>
      <c r="BQ263" s="3"/>
      <c r="BR263" s="3"/>
      <c r="BS263" s="3"/>
      <c r="BT263" s="18"/>
      <c r="BU263" s="3"/>
      <c r="BV263" s="315"/>
      <c r="BW263" s="3"/>
      <c r="BX263" s="3"/>
      <c r="BY263" s="3"/>
      <c r="BZ263" s="3"/>
    </row>
    <row r="264" spans="1:82" ht="15.6" outlineLevel="1">
      <c r="A264" s="7"/>
      <c r="B264" s="376"/>
      <c r="C264" s="376"/>
      <c r="D264" s="376"/>
      <c r="E264" s="342"/>
      <c r="F264" s="290"/>
      <c r="G264" s="290"/>
      <c r="H264" s="290"/>
      <c r="I264" s="290"/>
      <c r="J264" s="290"/>
      <c r="K264" s="290"/>
      <c r="L264" s="18"/>
      <c r="M264" s="7"/>
      <c r="N264" s="7"/>
      <c r="O264" s="7"/>
      <c r="P264" s="7"/>
      <c r="Q264" s="7"/>
      <c r="R264" s="7"/>
      <c r="S264" s="294"/>
      <c r="T264" s="294"/>
      <c r="U264" s="294"/>
      <c r="V264" s="294"/>
      <c r="W264" s="294"/>
      <c r="X264" s="7"/>
      <c r="Y264" s="7"/>
      <c r="Z264" s="294"/>
      <c r="AA264" s="377"/>
      <c r="AB264" s="294"/>
      <c r="AC264" s="294"/>
      <c r="AD264" s="294"/>
      <c r="AE264" s="294"/>
      <c r="AF264" s="7"/>
      <c r="AG264" s="294"/>
      <c r="AH264" s="294"/>
      <c r="AI264" s="7"/>
      <c r="AJ264" s="294"/>
      <c r="AK264" s="294"/>
      <c r="AL264" s="7"/>
      <c r="AM264" s="294"/>
      <c r="AN264" s="294"/>
      <c r="AO264" s="294"/>
      <c r="AP264" s="294"/>
      <c r="AQ264" s="18"/>
      <c r="AR264" s="378"/>
      <c r="AS264" s="378"/>
      <c r="AT264" s="378"/>
      <c r="AU264" s="81"/>
      <c r="AV264" s="378"/>
      <c r="AW264" s="7"/>
      <c r="AX264" s="378"/>
      <c r="AY264" s="18"/>
      <c r="AZ264" s="3"/>
      <c r="BA264" s="315"/>
      <c r="BB264" s="3"/>
      <c r="BC264" s="3"/>
      <c r="BD264" s="3"/>
      <c r="BE264" s="3"/>
      <c r="BF264" s="18"/>
      <c r="BG264" s="3"/>
      <c r="BH264" s="315"/>
      <c r="BI264" s="3"/>
      <c r="BJ264" s="3"/>
      <c r="BK264" s="3"/>
      <c r="BL264" s="3"/>
      <c r="BM264" s="18"/>
      <c r="BN264" s="3"/>
      <c r="BO264" s="315"/>
      <c r="BP264" s="3"/>
      <c r="BQ264" s="3"/>
      <c r="BR264" s="3"/>
      <c r="BS264" s="3"/>
      <c r="BT264" s="18"/>
      <c r="BU264" s="3"/>
      <c r="BV264" s="315"/>
      <c r="BW264" s="3"/>
      <c r="BX264" s="3"/>
      <c r="BY264" s="3"/>
      <c r="BZ264" s="3"/>
    </row>
    <row r="265" spans="1:82" s="389" customFormat="1">
      <c r="A265" s="390"/>
      <c r="B265" s="390"/>
      <c r="C265" s="390"/>
      <c r="D265" s="390"/>
      <c r="E265" s="390"/>
      <c r="F265" s="390"/>
      <c r="G265" s="390"/>
      <c r="H265" s="390"/>
      <c r="I265" s="390"/>
      <c r="J265" s="390"/>
      <c r="K265" s="390"/>
      <c r="L265" s="390"/>
      <c r="M265" s="392"/>
      <c r="N265" s="392"/>
      <c r="O265" s="392"/>
      <c r="P265" s="392"/>
      <c r="Q265" s="392"/>
      <c r="R265" s="392"/>
      <c r="S265" s="392"/>
      <c r="T265" s="392"/>
      <c r="U265" s="392"/>
      <c r="V265" s="392"/>
      <c r="W265" s="392"/>
      <c r="X265" s="392"/>
      <c r="Y265" s="392"/>
      <c r="Z265" s="392"/>
      <c r="AA265" s="320"/>
      <c r="AB265" s="321"/>
      <c r="AC265" s="322"/>
      <c r="AD265" s="322"/>
      <c r="AE265" s="322"/>
      <c r="AF265" s="322"/>
      <c r="AG265" s="322"/>
      <c r="AH265" s="322"/>
      <c r="AI265" s="322"/>
      <c r="AJ265" s="323"/>
      <c r="AK265" s="322"/>
      <c r="AL265" s="322"/>
      <c r="AM265" s="322"/>
      <c r="AN265" s="323"/>
      <c r="AO265" s="323"/>
      <c r="AP265" s="323"/>
      <c r="AR265" s="390"/>
      <c r="AS265" s="390"/>
      <c r="AT265" s="390"/>
      <c r="AU265" s="390"/>
      <c r="AV265" s="390"/>
      <c r="AW265" s="390"/>
      <c r="AX265" s="390"/>
      <c r="AZ265" s="390"/>
      <c r="BA265" s="390"/>
      <c r="BB265" s="390"/>
      <c r="BC265" s="390"/>
      <c r="BD265" s="390"/>
      <c r="BE265" s="390"/>
      <c r="BF265" s="390"/>
      <c r="BG265" s="390"/>
      <c r="BH265" s="390"/>
      <c r="BI265" s="390"/>
      <c r="BJ265" s="390"/>
      <c r="BK265" s="390"/>
      <c r="BL265" s="390"/>
      <c r="BM265" s="390"/>
      <c r="BN265" s="390"/>
      <c r="BO265" s="390"/>
      <c r="BP265" s="390"/>
      <c r="BQ265" s="390"/>
      <c r="BR265" s="390"/>
      <c r="BS265" s="390"/>
      <c r="BT265" s="390"/>
      <c r="BU265" s="390"/>
      <c r="BV265" s="390"/>
      <c r="BW265" s="390"/>
      <c r="BX265" s="390"/>
      <c r="BY265" s="390"/>
      <c r="BZ265" s="390"/>
      <c r="CA265" s="390"/>
      <c r="CB265" s="390"/>
      <c r="CC265" s="390"/>
      <c r="CD265" s="390"/>
    </row>
    <row r="266" spans="1:82" s="325" customFormat="1" ht="15.6">
      <c r="A266" s="480"/>
      <c r="B266" s="507">
        <f>CMSResumen!G7</f>
        <v>0</v>
      </c>
      <c r="C266" s="507"/>
      <c r="D266" s="324"/>
      <c r="E266" s="342"/>
      <c r="F266" s="290"/>
      <c r="G266" s="79"/>
      <c r="H266" s="326"/>
      <c r="I266" s="326"/>
      <c r="J266" s="80"/>
      <c r="K266" s="290"/>
      <c r="L266" s="342"/>
      <c r="M266" s="2"/>
      <c r="N266" s="7"/>
      <c r="O266" s="7"/>
      <c r="P266" s="77"/>
      <c r="Q266" s="77"/>
      <c r="R266" s="77"/>
      <c r="S266" s="77"/>
      <c r="T266" s="77"/>
      <c r="U266" s="77"/>
      <c r="V266" s="77"/>
      <c r="W266" s="77"/>
      <c r="X266" s="77"/>
      <c r="Y266" s="77"/>
      <c r="Z266" s="2"/>
      <c r="AA266" s="304"/>
      <c r="AB266" s="7"/>
      <c r="AC266" s="13"/>
      <c r="AD266" s="13"/>
      <c r="AE266" s="13"/>
      <c r="AF266" s="13"/>
      <c r="AG266" s="13"/>
      <c r="AH266" s="13"/>
      <c r="AI266" s="13"/>
      <c r="AJ266" s="70"/>
      <c r="AK266" s="70"/>
      <c r="AL266" s="13"/>
      <c r="AM266" s="13"/>
      <c r="AN266" s="70"/>
      <c r="AO266" s="70"/>
      <c r="AP266" s="7"/>
      <c r="AQ266" s="342"/>
      <c r="AR266" s="290"/>
      <c r="AS266" s="290"/>
      <c r="AT266" s="290"/>
      <c r="AU266" s="290"/>
      <c r="AV266" s="290"/>
      <c r="AW266" s="290"/>
      <c r="AX266" s="290"/>
      <c r="AY266" s="342"/>
      <c r="AZ266" s="3"/>
      <c r="BA266" s="315"/>
      <c r="BB266" s="3"/>
      <c r="BC266" s="3"/>
      <c r="BD266" s="3"/>
      <c r="BE266" s="3"/>
      <c r="BF266" s="342"/>
      <c r="BG266" s="3"/>
      <c r="BH266" s="315"/>
      <c r="BI266" s="3"/>
      <c r="BJ266" s="3"/>
      <c r="BK266" s="3"/>
      <c r="BL266" s="3"/>
      <c r="BM266" s="342"/>
      <c r="BN266" s="3"/>
      <c r="BO266" s="315"/>
      <c r="BP266" s="3"/>
      <c r="BQ266" s="3"/>
      <c r="BR266" s="3"/>
      <c r="BS266" s="3"/>
      <c r="BT266" s="342"/>
      <c r="BU266" s="3"/>
      <c r="BV266" s="315"/>
      <c r="BW266" s="3"/>
      <c r="BX266" s="3"/>
      <c r="BY266" s="3"/>
      <c r="BZ266" s="3"/>
      <c r="CA266" s="342"/>
      <c r="CB266" s="342"/>
      <c r="CC266" s="342"/>
      <c r="CD266" s="342"/>
    </row>
    <row r="267" spans="1:82" s="325" customFormat="1" ht="15.6">
      <c r="A267" s="480"/>
      <c r="B267" s="507"/>
      <c r="C267" s="507"/>
      <c r="D267" s="324"/>
      <c r="E267" s="342"/>
      <c r="F267" s="290"/>
      <c r="G267" s="79"/>
      <c r="H267" s="326"/>
      <c r="I267" s="326"/>
      <c r="J267" s="80"/>
      <c r="K267" s="290"/>
      <c r="L267" s="342"/>
      <c r="M267" s="2"/>
      <c r="N267" s="13" t="s">
        <v>78</v>
      </c>
      <c r="O267" s="395" t="s">
        <v>79</v>
      </c>
      <c r="P267" s="395" t="s">
        <v>80</v>
      </c>
      <c r="Q267" s="77"/>
      <c r="R267" s="77"/>
      <c r="S267" s="77"/>
      <c r="T267" s="77"/>
      <c r="U267" s="13" t="s">
        <v>81</v>
      </c>
      <c r="V267" s="428" t="str">
        <f>_xlfn.CONCAT("DELIVERY COST (",BillingCountryCurrency,")")</f>
        <v>DELIVERY COST (COP)</v>
      </c>
      <c r="W267" s="428" t="str">
        <f>_xlfn.CONCAT("DELIVERY COST (",IF(ISBLANK(BusinessCurrency),"N/A",BusinessCurrency),")")</f>
        <v>DELIVERY COST (USD)</v>
      </c>
      <c r="X267" s="77"/>
      <c r="Y267" s="77"/>
      <c r="Z267" s="2"/>
      <c r="AA267" s="304"/>
      <c r="AB267" s="7"/>
      <c r="AC267" s="13" t="s">
        <v>82</v>
      </c>
      <c r="AD267" s="428" t="str">
        <f>_xlfn.CONCAT("PRICING (",BillingCountryCurrency,")")</f>
        <v>PRICING (COP)</v>
      </c>
      <c r="AE267" s="428" t="str">
        <f>_xlfn.CONCAT("PRICING (",IF(ISBLANK(BusinessCurrency),"N/A",BusinessCurrency),")")</f>
        <v>PRICING (USD)</v>
      </c>
      <c r="AF267" s="70" t="s">
        <v>14</v>
      </c>
      <c r="AG267" s="428" t="str">
        <f>_xlfn.CONCAT("Intercompany (",BillingCountryCurrency,")")</f>
        <v>Intercompany (COP)</v>
      </c>
      <c r="AH267" s="428" t="str">
        <f>_xlfn.CONCAT("Intercompany (",IF(ISBLANK(BusinessCurrency),"N/A",BusinessCurrency),")")</f>
        <v>Intercompany (USD)</v>
      </c>
      <c r="AI267" s="70" t="s">
        <v>14</v>
      </c>
      <c r="AJ267" s="428" t="str">
        <f>_xlfn.CONCAT("WHT (",BillingCountryCurrency,")")</f>
        <v>WHT (COP)</v>
      </c>
      <c r="AK267" s="428" t="str">
        <f>_xlfn.CONCAT("WHT (",IF(ISBLANK(BusinessCurrency),"N/A",BusinessCurrency),")")</f>
        <v>WHT (USD)</v>
      </c>
      <c r="AL267" s="70"/>
      <c r="AM267" s="70" t="s">
        <v>15</v>
      </c>
      <c r="AN267" s="428" t="str">
        <f>_xlfn.CONCAT("SUBTOTAL PRICE (",BillingCountryCurrency,")")</f>
        <v>SUBTOTAL PRICE (COP)</v>
      </c>
      <c r="AO267" s="428" t="str">
        <f>_xlfn.CONCAT("SUBTOTAL PRICE (",IF(ISBLANK(BusinessCurrency),"N/A",BusinessCurrency),")")</f>
        <v>SUBTOTAL PRICE (USD)</v>
      </c>
      <c r="AP267" s="7"/>
      <c r="AQ267" s="342"/>
      <c r="AR267" s="290"/>
      <c r="AS267" s="13" t="s">
        <v>83</v>
      </c>
      <c r="AT267" s="290"/>
      <c r="AU267" s="100"/>
      <c r="AV267" s="417"/>
      <c r="AW267" s="417"/>
      <c r="AX267" s="290"/>
      <c r="AY267" s="342"/>
      <c r="AZ267" s="3"/>
      <c r="BA267" s="315"/>
      <c r="BB267" s="3"/>
      <c r="BC267" s="3"/>
      <c r="BD267" s="3"/>
      <c r="BE267" s="3"/>
      <c r="BF267" s="342"/>
      <c r="BG267" s="3"/>
      <c r="BH267" s="315"/>
      <c r="BI267" s="3"/>
      <c r="BJ267" s="3"/>
      <c r="BK267" s="3"/>
      <c r="BL267" s="3"/>
      <c r="BM267" s="342"/>
      <c r="BN267" s="3"/>
      <c r="BO267" s="315"/>
      <c r="BP267" s="3"/>
      <c r="BQ267" s="3"/>
      <c r="BR267" s="3"/>
      <c r="BS267" s="3"/>
      <c r="BT267" s="342"/>
      <c r="BU267" s="3"/>
      <c r="BV267" s="315"/>
      <c r="BW267" s="3"/>
      <c r="BX267" s="3"/>
      <c r="BY267" s="3"/>
      <c r="BZ267" s="3"/>
      <c r="CA267" s="342"/>
      <c r="CB267" s="342"/>
      <c r="CC267" s="342"/>
      <c r="CD267" s="342"/>
    </row>
    <row r="268" spans="1:82" s="325" customFormat="1" ht="15.6">
      <c r="A268" s="480"/>
      <c r="B268" s="507"/>
      <c r="C268" s="507"/>
      <c r="D268" s="324"/>
      <c r="E268" s="342"/>
      <c r="F268" s="290"/>
      <c r="G268" s="79"/>
      <c r="H268" s="326"/>
      <c r="I268" s="326"/>
      <c r="J268" s="80"/>
      <c r="K268" s="290"/>
      <c r="L268" s="342"/>
      <c r="M268" s="2"/>
      <c r="N268" s="79" t="s">
        <v>84</v>
      </c>
      <c r="O268" s="103">
        <f ca="1">SUMIF($P282:$P311,"&lt;&gt;*Project Management*",$T282:$T311)</f>
        <v>26.227637999999999</v>
      </c>
      <c r="P268" s="396">
        <f ca="1">IFERROR(O268/O271,0)</f>
        <v>0.82224389153830135</v>
      </c>
      <c r="Q268" s="82"/>
      <c r="R268" s="77"/>
      <c r="S268" s="77"/>
      <c r="T268" s="77"/>
      <c r="U268" s="4" t="s">
        <v>24</v>
      </c>
      <c r="V268" s="328">
        <f ca="1">SUMIF(P282:P311,"&lt;&gt;*Project Management*",W282:W311)</f>
        <v>1053221.9513319002</v>
      </c>
      <c r="W268" s="425">
        <f t="shared" ref="W268:W277" ca="1" si="266">IFERROR(V268/BusinessCurrencyTRM,"N/A")</f>
        <v>270.05691059792315</v>
      </c>
      <c r="X268" s="7"/>
      <c r="Y268" s="7" t="s">
        <v>85</v>
      </c>
      <c r="Z268" s="2"/>
      <c r="AA268" s="304"/>
      <c r="AB268" s="7"/>
      <c r="AC268" s="4" t="s">
        <v>24</v>
      </c>
      <c r="AD268" s="329">
        <f ca="1">SUMIF(P282:P311,"&lt;&gt;*Project Management*",AD282:AD311)</f>
        <v>1504602.8058096</v>
      </c>
      <c r="AE268" s="425">
        <f t="shared" ref="AE268:AE277" ca="1" si="267">IFERROR(AD268/BusinessCurrencyTRM,"N/A")</f>
        <v>385.79559123323077</v>
      </c>
      <c r="AF268" s="330"/>
      <c r="AG268" s="328">
        <f ca="1">SUMIF(P282:P311,"&lt;&gt;*Project Management*",AH282:AH311)</f>
        <v>0</v>
      </c>
      <c r="AH268" s="449">
        <f t="shared" ref="AH268:AH277" ca="1" si="268">IFERROR(AG268/BusinessCurrencyTRM,"N/A")</f>
        <v>0</v>
      </c>
      <c r="AI268" s="330"/>
      <c r="AJ268" s="328">
        <f ca="1">SUMIF(P282:P311,"&lt;&gt;*Project Management*",AK282:AK311)</f>
        <v>0</v>
      </c>
      <c r="AK268" s="425">
        <f t="shared" ref="AK268:AK277" ca="1" si="269">IFERROR(AJ268/BusinessCurrencyTRM,"N/A")</f>
        <v>0</v>
      </c>
      <c r="AL268" s="330"/>
      <c r="AM268" s="330"/>
      <c r="AN268" s="329">
        <f ca="1">SUM(AD268,AG268,AJ268)</f>
        <v>1504602.8058096</v>
      </c>
      <c r="AO268" s="425">
        <f t="shared" ref="AO268:AO277" ca="1" si="270">IFERROR(AN268/BusinessCurrencyTRM,"N/A")</f>
        <v>385.79559123323077</v>
      </c>
      <c r="AP268" s="7"/>
      <c r="AQ268" s="342"/>
      <c r="AR268" s="290"/>
      <c r="AS268" s="402" t="s">
        <v>86</v>
      </c>
      <c r="AT268" s="290"/>
      <c r="AU268" s="81"/>
      <c r="AV268" s="508">
        <f>CMSResumen!H21</f>
        <v>0.3</v>
      </c>
      <c r="AW268" s="508"/>
      <c r="AX268" s="290"/>
      <c r="AY268" s="342"/>
      <c r="AZ268" s="3"/>
      <c r="BA268" s="315"/>
      <c r="BB268" s="3"/>
      <c r="BC268" s="3"/>
      <c r="BD268" s="3"/>
      <c r="BE268" s="3"/>
      <c r="BF268" s="342"/>
      <c r="BG268" s="3"/>
      <c r="BH268" s="315"/>
      <c r="BI268" s="3"/>
      <c r="BJ268" s="3"/>
      <c r="BK268" s="3"/>
      <c r="BL268" s="3"/>
      <c r="BM268" s="342"/>
      <c r="BN268" s="3"/>
      <c r="BO268" s="315"/>
      <c r="BP268" s="3"/>
      <c r="BQ268" s="3"/>
      <c r="BR268" s="3"/>
      <c r="BS268" s="3"/>
      <c r="BT268" s="342"/>
      <c r="BU268" s="3"/>
      <c r="BV268" s="315"/>
      <c r="BW268" s="3"/>
      <c r="BX268" s="3"/>
      <c r="BY268" s="3"/>
      <c r="BZ268" s="3"/>
      <c r="CA268" s="342"/>
      <c r="CB268" s="342"/>
      <c r="CC268" s="342"/>
      <c r="CD268" s="342"/>
    </row>
    <row r="269" spans="1:82" s="325" customFormat="1" ht="16.149999999999999" thickBot="1">
      <c r="A269" s="480"/>
      <c r="B269" s="507"/>
      <c r="C269" s="507"/>
      <c r="D269" s="324"/>
      <c r="E269" s="342"/>
      <c r="F269" s="290"/>
      <c r="G269" s="79"/>
      <c r="H269" s="326"/>
      <c r="I269" s="326"/>
      <c r="J269" s="80"/>
      <c r="K269" s="290"/>
      <c r="L269" s="342"/>
      <c r="M269" s="2"/>
      <c r="N269" s="79" t="s">
        <v>87</v>
      </c>
      <c r="O269" s="103">
        <f ca="1">SUMIF($P282:$P311,"=*Project Management*",$T282:T311)</f>
        <v>5.67</v>
      </c>
      <c r="P269" s="396">
        <f ca="1">IFERROR(O269/O271,0)</f>
        <v>0.17775610846169862</v>
      </c>
      <c r="Q269" s="82"/>
      <c r="R269" s="77"/>
      <c r="S269" s="77"/>
      <c r="T269" s="77"/>
      <c r="U269" s="4" t="s">
        <v>30</v>
      </c>
      <c r="V269" s="328">
        <f ca="1">SUMIF(P282:P311,"=*Project Management*",W282:W311)</f>
        <v>0</v>
      </c>
      <c r="W269" s="425">
        <f t="shared" ca="1" si="266"/>
        <v>0</v>
      </c>
      <c r="X269" s="7"/>
      <c r="Y269" s="7" t="s">
        <v>88</v>
      </c>
      <c r="Z269" s="2"/>
      <c r="AA269" s="304"/>
      <c r="AB269" s="7"/>
      <c r="AC269" s="4" t="s">
        <v>30</v>
      </c>
      <c r="AD269" s="329">
        <f ca="1">SUMIF(P282:P311,"=*Project Management*",AD282:AD311)</f>
        <v>0</v>
      </c>
      <c r="AE269" s="425">
        <f t="shared" ca="1" si="267"/>
        <v>0</v>
      </c>
      <c r="AF269" s="330"/>
      <c r="AG269" s="328">
        <f ca="1">SUMIF(P282:P311,"=*Project Management*",AH282:AH311)</f>
        <v>0</v>
      </c>
      <c r="AH269" s="447">
        <f t="shared" ca="1" si="268"/>
        <v>0</v>
      </c>
      <c r="AI269" s="330"/>
      <c r="AJ269" s="448">
        <f ca="1">SUMIF(P282:P311,"=*Project Management*",AK282:AK311)</f>
        <v>0</v>
      </c>
      <c r="AK269" s="425">
        <f t="shared" ca="1" si="269"/>
        <v>0</v>
      </c>
      <c r="AL269" s="330"/>
      <c r="AM269" s="330"/>
      <c r="AN269" s="329">
        <f t="shared" ref="AN269:AN277" ca="1" si="271">SUM(AD269,AG269,AJ269)</f>
        <v>0</v>
      </c>
      <c r="AO269" s="425">
        <f t="shared" ca="1" si="270"/>
        <v>0</v>
      </c>
      <c r="AP269" s="7"/>
      <c r="AQ269" s="342"/>
      <c r="AR269" s="290"/>
      <c r="AS269" s="402" t="s">
        <v>89</v>
      </c>
      <c r="AT269" s="290"/>
      <c r="AU269" s="81"/>
      <c r="AV269" s="509">
        <f ca="1">IFERROR(1-AV271/AV272,0)</f>
        <v>0.30000000846390806</v>
      </c>
      <c r="AW269" s="509"/>
      <c r="AX269" s="290"/>
      <c r="AY269" s="342"/>
      <c r="AZ269" s="3"/>
      <c r="BA269" s="315"/>
      <c r="BB269" s="3"/>
      <c r="BC269" s="3"/>
      <c r="BD269" s="3"/>
      <c r="BE269" s="3"/>
      <c r="BF269" s="342"/>
      <c r="BG269" s="3"/>
      <c r="BH269" s="315"/>
      <c r="BI269" s="3"/>
      <c r="BJ269" s="3"/>
      <c r="BK269" s="3"/>
      <c r="BL269" s="3"/>
      <c r="BM269" s="342"/>
      <c r="BN269" s="3"/>
      <c r="BO269" s="315"/>
      <c r="BP269" s="3"/>
      <c r="BQ269" s="3"/>
      <c r="BR269" s="3"/>
      <c r="BS269" s="3"/>
      <c r="BT269" s="342"/>
      <c r="BU269" s="3"/>
      <c r="BV269" s="315"/>
      <c r="BW269" s="3"/>
      <c r="BX269" s="3"/>
      <c r="BY269" s="3"/>
      <c r="BZ269" s="3"/>
      <c r="CA269" s="342"/>
      <c r="CB269" s="342"/>
      <c r="CC269" s="342"/>
      <c r="CD269" s="342"/>
    </row>
    <row r="270" spans="1:82" s="325" customFormat="1" ht="16.899999999999999" thickTop="1" thickBot="1">
      <c r="A270" s="480"/>
      <c r="B270" s="507"/>
      <c r="C270" s="507"/>
      <c r="D270" s="324"/>
      <c r="E270" s="342"/>
      <c r="F270" s="290"/>
      <c r="G270" s="79"/>
      <c r="H270" s="326"/>
      <c r="I270" s="326"/>
      <c r="J270" s="80"/>
      <c r="K270" s="290"/>
      <c r="L270" s="342"/>
      <c r="M270" s="2"/>
      <c r="N270" s="79" t="s">
        <v>90</v>
      </c>
      <c r="O270" s="103">
        <f ca="1">IF(Approach="Team-Based",SUM(O268:O269)*$O273,$J280-$G280)</f>
        <v>0</v>
      </c>
      <c r="P270" s="396">
        <f ca="1">IFERROR(O270/O271,0)</f>
        <v>0</v>
      </c>
      <c r="Q270" s="77"/>
      <c r="R270" s="77"/>
      <c r="S270" s="77"/>
      <c r="T270" s="77"/>
      <c r="U270" s="13" t="s">
        <v>35</v>
      </c>
      <c r="V270" s="84">
        <f ca="1">SUM(V268:V269)</f>
        <v>1053221.9513319002</v>
      </c>
      <c r="W270" s="426">
        <f t="shared" ca="1" si="266"/>
        <v>270.05691059792315</v>
      </c>
      <c r="X270" s="77"/>
      <c r="Y270" s="77"/>
      <c r="Z270" s="2"/>
      <c r="AA270" s="304"/>
      <c r="AB270" s="7"/>
      <c r="AC270" s="13" t="s">
        <v>35</v>
      </c>
      <c r="AD270" s="84">
        <f ca="1">SUM(AD268:AD269)</f>
        <v>1504602.8058096</v>
      </c>
      <c r="AE270" s="426">
        <f t="shared" ca="1" si="267"/>
        <v>385.79559123323077</v>
      </c>
      <c r="AF270" s="330"/>
      <c r="AG270" s="84">
        <f ca="1">SUM(AG268:AG269)</f>
        <v>0</v>
      </c>
      <c r="AH270" s="450">
        <f t="shared" ca="1" si="268"/>
        <v>0</v>
      </c>
      <c r="AI270" s="330"/>
      <c r="AJ270" s="84">
        <f ca="1">SUM(AJ268:AJ269)</f>
        <v>0</v>
      </c>
      <c r="AK270" s="426">
        <f t="shared" ca="1" si="269"/>
        <v>0</v>
      </c>
      <c r="AL270" s="330"/>
      <c r="AM270" s="330"/>
      <c r="AN270" s="84">
        <f t="shared" ca="1" si="271"/>
        <v>1504602.8058096</v>
      </c>
      <c r="AO270" s="426">
        <f t="shared" ca="1" si="270"/>
        <v>385.79559123323077</v>
      </c>
      <c r="AP270" s="7"/>
      <c r="AQ270" s="342"/>
      <c r="AR270" s="290"/>
      <c r="AS270" s="81"/>
      <c r="AT270" s="81"/>
      <c r="AU270" s="81"/>
      <c r="AV270" s="417" t="str">
        <f>BillingCountryCurrency</f>
        <v>COP</v>
      </c>
      <c r="AW270" s="417" t="str">
        <f>IF(ISBLANK(BusinessCurrency),"N/A",BusinessCurrency)</f>
        <v>USD</v>
      </c>
      <c r="AX270" s="290"/>
      <c r="AY270" s="342"/>
      <c r="AZ270" s="3"/>
      <c r="BA270" s="315"/>
      <c r="BB270" s="3"/>
      <c r="BC270" s="3"/>
      <c r="BD270" s="3"/>
      <c r="BE270" s="3"/>
      <c r="BF270" s="342"/>
      <c r="BG270" s="3"/>
      <c r="BH270" s="315"/>
      <c r="BI270" s="3"/>
      <c r="BJ270" s="3"/>
      <c r="BK270" s="3"/>
      <c r="BL270" s="3"/>
      <c r="BM270" s="342"/>
      <c r="BN270" s="3"/>
      <c r="BO270" s="315"/>
      <c r="BP270" s="3"/>
      <c r="BQ270" s="3"/>
      <c r="BR270" s="3"/>
      <c r="BS270" s="3"/>
      <c r="BT270" s="342"/>
      <c r="BU270" s="3"/>
      <c r="BV270" s="315"/>
      <c r="BW270" s="3"/>
      <c r="BX270" s="3"/>
      <c r="BY270" s="3"/>
      <c r="BZ270" s="3"/>
      <c r="CA270" s="342"/>
      <c r="CB270" s="342"/>
      <c r="CC270" s="342"/>
      <c r="CD270" s="342"/>
    </row>
    <row r="271" spans="1:82" s="325" customFormat="1" ht="16.149999999999999" thickTop="1">
      <c r="A271" s="480"/>
      <c r="B271" s="507"/>
      <c r="C271" s="507"/>
      <c r="D271" s="324"/>
      <c r="E271" s="342"/>
      <c r="F271" s="290"/>
      <c r="G271" s="79"/>
      <c r="H271" s="326"/>
      <c r="I271" s="326"/>
      <c r="J271" s="80"/>
      <c r="K271" s="290"/>
      <c r="L271" s="342"/>
      <c r="M271" s="2"/>
      <c r="N271" s="83" t="s">
        <v>91</v>
      </c>
      <c r="O271" s="102">
        <f ca="1">SUM(O268:O270)</f>
        <v>31.897638000000001</v>
      </c>
      <c r="P271" s="397">
        <f ca="1">SUM(P268:P270)</f>
        <v>1</v>
      </c>
      <c r="Q271" s="77"/>
      <c r="R271" s="77"/>
      <c r="S271" s="77"/>
      <c r="T271" s="77"/>
      <c r="U271" s="4" t="s">
        <v>47</v>
      </c>
      <c r="V271" s="328">
        <f ca="1">ROUNDUP(V270*O273,2)</f>
        <v>0</v>
      </c>
      <c r="W271" s="425">
        <f t="shared" ca="1" si="266"/>
        <v>0</v>
      </c>
      <c r="X271" s="7"/>
      <c r="Y271" s="7" t="s">
        <v>92</v>
      </c>
      <c r="Z271" s="2"/>
      <c r="AA271" s="304"/>
      <c r="AB271" s="7"/>
      <c r="AC271" s="4" t="s">
        <v>47</v>
      </c>
      <c r="AD271" s="328">
        <f ca="1">ROUNDUP(V271/(1-$AV$268),2)</f>
        <v>0</v>
      </c>
      <c r="AE271" s="425">
        <f t="shared" ca="1" si="267"/>
        <v>0</v>
      </c>
      <c r="AF271" s="330"/>
      <c r="AG271" s="328">
        <f ca="1">IFERROR(V271*MAX(AG282:AG311),0)</f>
        <v>0</v>
      </c>
      <c r="AH271" s="449">
        <f t="shared" ca="1" si="268"/>
        <v>0</v>
      </c>
      <c r="AI271" s="330"/>
      <c r="AJ271" s="328">
        <f ca="1">IFERROR(SUM(V271,AG271)*MAX(AJ282:AJ311),0)</f>
        <v>0</v>
      </c>
      <c r="AK271" s="425">
        <f t="shared" ca="1" si="269"/>
        <v>0</v>
      </c>
      <c r="AL271" s="330"/>
      <c r="AM271" s="330"/>
      <c r="AN271" s="329">
        <f t="shared" ca="1" si="271"/>
        <v>0</v>
      </c>
      <c r="AO271" s="425">
        <f t="shared" ca="1" si="270"/>
        <v>0</v>
      </c>
      <c r="AP271" s="7"/>
      <c r="AQ271" s="342"/>
      <c r="AR271" s="290"/>
      <c r="AS271" s="402" t="s">
        <v>93</v>
      </c>
      <c r="AT271" s="290"/>
      <c r="AU271" s="81"/>
      <c r="AV271" s="298">
        <f ca="1">SUM(V277,AG277,AJ277)</f>
        <v>1053221.9513319002</v>
      </c>
      <c r="AW271" s="418">
        <f ca="1">IFERROR(AV271/BusinessCurrencyTRM,"N/A")</f>
        <v>270.05691059792315</v>
      </c>
      <c r="AX271" s="290"/>
      <c r="AY271" s="342"/>
      <c r="AZ271" s="3"/>
      <c r="BA271" s="315"/>
      <c r="BB271" s="3"/>
      <c r="BC271" s="3"/>
      <c r="BD271" s="3"/>
      <c r="BE271" s="3"/>
      <c r="BF271" s="342"/>
      <c r="BG271" s="3"/>
      <c r="BH271" s="315"/>
      <c r="BI271" s="3"/>
      <c r="BJ271" s="3"/>
      <c r="BK271" s="3"/>
      <c r="BL271" s="3"/>
      <c r="BM271" s="342"/>
      <c r="BN271" s="3"/>
      <c r="BO271" s="315"/>
      <c r="BP271" s="3"/>
      <c r="BQ271" s="3"/>
      <c r="BR271" s="3"/>
      <c r="BS271" s="3"/>
      <c r="BT271" s="342"/>
      <c r="BU271" s="3"/>
      <c r="BV271" s="315"/>
      <c r="BW271" s="3"/>
      <c r="BX271" s="3"/>
      <c r="BY271" s="3"/>
      <c r="BZ271" s="3"/>
      <c r="CA271" s="342"/>
      <c r="CB271" s="342"/>
      <c r="CC271" s="342"/>
      <c r="CD271" s="342"/>
    </row>
    <row r="272" spans="1:82" s="325" customFormat="1" ht="15.6">
      <c r="A272" s="480"/>
      <c r="B272" s="507"/>
      <c r="C272" s="507"/>
      <c r="D272" s="324"/>
      <c r="E272" s="342"/>
      <c r="F272" s="290"/>
      <c r="G272" s="79"/>
      <c r="H272" s="326"/>
      <c r="I272" s="326"/>
      <c r="J272" s="80"/>
      <c r="K272" s="290"/>
      <c r="L272" s="342"/>
      <c r="M272" s="2"/>
      <c r="N272" s="2"/>
      <c r="O272" s="2"/>
      <c r="P272" s="32"/>
      <c r="Q272" s="77"/>
      <c r="R272" s="77"/>
      <c r="S272" s="77"/>
      <c r="T272" s="77"/>
      <c r="U272" s="4" t="s">
        <v>50</v>
      </c>
      <c r="V272" s="328">
        <f>IFERROR(SUMIF(PayRise!A:A,B266,PayRise!J:J),0)</f>
        <v>0</v>
      </c>
      <c r="W272" s="425">
        <f t="shared" si="266"/>
        <v>0</v>
      </c>
      <c r="X272" s="7"/>
      <c r="Y272" s="7" t="s">
        <v>94</v>
      </c>
      <c r="Z272" s="2"/>
      <c r="AA272" s="304"/>
      <c r="AB272" s="7"/>
      <c r="AC272" s="4" t="s">
        <v>50</v>
      </c>
      <c r="AD272" s="328">
        <f>IFERROR(SUMIF(PayRise!A:A,B266,PayRise!K:K),0)</f>
        <v>0</v>
      </c>
      <c r="AE272" s="425">
        <f t="shared" si="267"/>
        <v>0</v>
      </c>
      <c r="AF272" s="330"/>
      <c r="AG272" s="328">
        <f>IFERROR(SUMIF(PayRise!A:A,B266,PayRise!L:L),0)</f>
        <v>0</v>
      </c>
      <c r="AH272" s="445">
        <f t="shared" si="268"/>
        <v>0</v>
      </c>
      <c r="AI272" s="330"/>
      <c r="AJ272" s="446">
        <f>IFERROR(SUMIF(PayRise!A:A,B266,PayRise!M:M),0)</f>
        <v>0</v>
      </c>
      <c r="AK272" s="425">
        <f t="shared" si="269"/>
        <v>0</v>
      </c>
      <c r="AL272" s="330"/>
      <c r="AM272" s="330"/>
      <c r="AN272" s="329">
        <f t="shared" si="271"/>
        <v>0</v>
      </c>
      <c r="AO272" s="425">
        <f t="shared" si="270"/>
        <v>0</v>
      </c>
      <c r="AP272" s="7"/>
      <c r="AQ272" s="342"/>
      <c r="AR272" s="290"/>
      <c r="AS272" s="402" t="s">
        <v>95</v>
      </c>
      <c r="AT272" s="290"/>
      <c r="AU272" s="100"/>
      <c r="AV272" s="298">
        <f ca="1">AN277</f>
        <v>1504602.8058096</v>
      </c>
      <c r="AW272" s="418">
        <f ca="1">IFERROR(AV272/BusinessCurrencyTRM,"N/A")</f>
        <v>385.79559123323077</v>
      </c>
      <c r="AX272" s="290"/>
      <c r="AY272" s="342"/>
      <c r="AZ272" s="3"/>
      <c r="BA272" s="315"/>
      <c r="BB272" s="3"/>
      <c r="BC272" s="3"/>
      <c r="BD272" s="3"/>
      <c r="BE272" s="3"/>
      <c r="BF272" s="342"/>
      <c r="BG272" s="3"/>
      <c r="BH272" s="315"/>
      <c r="BI272" s="3"/>
      <c r="BJ272" s="3"/>
      <c r="BK272" s="3"/>
      <c r="BL272" s="3"/>
      <c r="BM272" s="342"/>
      <c r="BN272" s="3"/>
      <c r="BO272" s="315"/>
      <c r="BP272" s="3"/>
      <c r="BQ272" s="3"/>
      <c r="BR272" s="3"/>
      <c r="BS272" s="3"/>
      <c r="BT272" s="342"/>
      <c r="BU272" s="3"/>
      <c r="BV272" s="315"/>
      <c r="BW272" s="3"/>
      <c r="BX272" s="3"/>
      <c r="BY272" s="3"/>
      <c r="BZ272" s="3"/>
      <c r="CA272" s="342"/>
      <c r="CB272" s="342"/>
      <c r="CC272" s="342"/>
      <c r="CD272" s="342"/>
    </row>
    <row r="273" spans="1:79" s="325" customFormat="1" ht="15.6">
      <c r="A273" s="480"/>
      <c r="B273" s="507"/>
      <c r="C273" s="507"/>
      <c r="D273" s="324"/>
      <c r="E273" s="342"/>
      <c r="F273" s="290"/>
      <c r="G273" s="79"/>
      <c r="H273" s="326"/>
      <c r="I273" s="326"/>
      <c r="J273" s="80"/>
      <c r="K273" s="290"/>
      <c r="L273" s="342"/>
      <c r="M273" s="2"/>
      <c r="N273" s="13" t="str">
        <f>IF(Approach="By Hours", "N/A for ByHours", "% Risks")</f>
        <v>% Risks</v>
      </c>
      <c r="O273" s="331">
        <v>0</v>
      </c>
      <c r="P273" s="32"/>
      <c r="Q273" s="77"/>
      <c r="R273" s="77"/>
      <c r="S273" s="309"/>
      <c r="T273" s="309"/>
      <c r="U273" s="4" t="s">
        <v>55</v>
      </c>
      <c r="V273" s="328">
        <f>IFERROR(SUMIFS(OtherCosts!Q:Q,OtherCosts!A:A,B266,OtherCosts!B:B,"Hardware/Software"),0)</f>
        <v>0</v>
      </c>
      <c r="W273" s="425">
        <f t="shared" si="266"/>
        <v>0</v>
      </c>
      <c r="X273" s="7"/>
      <c r="Y273" s="7" t="s">
        <v>96</v>
      </c>
      <c r="Z273" s="2"/>
      <c r="AA273" s="304"/>
      <c r="AB273" s="7"/>
      <c r="AC273" s="4" t="s">
        <v>55</v>
      </c>
      <c r="AD273" s="328">
        <f>IFERROR(SUMIFS(OtherCosts!R:R,OtherCosts!A:A,B266,OtherCosts!B:B,"Hardware/Software"),0)</f>
        <v>0</v>
      </c>
      <c r="AE273" s="425">
        <f t="shared" si="267"/>
        <v>0</v>
      </c>
      <c r="AF273" s="330"/>
      <c r="AG273" s="328">
        <f>IFERROR(SUMIFS(OtherCosts!S:S,OtherCosts!A:A,B266,OtherCosts!B:B,"Hardware/Software"),0)</f>
        <v>0</v>
      </c>
      <c r="AH273" s="445">
        <f t="shared" si="268"/>
        <v>0</v>
      </c>
      <c r="AI273" s="330"/>
      <c r="AJ273" s="446">
        <f>IFERROR(SUMIFS(OtherCosts!T:T,OtherCosts!A:A,B266,OtherCosts!B:B,"Hardware/Software"),0)</f>
        <v>0</v>
      </c>
      <c r="AK273" s="425">
        <f t="shared" si="269"/>
        <v>0</v>
      </c>
      <c r="AL273" s="330"/>
      <c r="AM273" s="330"/>
      <c r="AN273" s="329">
        <f t="shared" si="271"/>
        <v>0</v>
      </c>
      <c r="AO273" s="425">
        <f t="shared" si="270"/>
        <v>0</v>
      </c>
      <c r="AP273" s="7"/>
      <c r="AQ273" s="342"/>
      <c r="AR273" s="290"/>
      <c r="AS273" s="402" t="s">
        <v>97</v>
      </c>
      <c r="AT273" s="290"/>
      <c r="AU273" s="100"/>
      <c r="AV273" s="298">
        <f ca="1">IFERROR(IF(O274&lt;1,AN277,AN277/O274),0)</f>
        <v>1504602.8058096</v>
      </c>
      <c r="AW273" s="418">
        <f ca="1">IFERROR(AV273/BusinessCurrencyTRM,"N/A")</f>
        <v>385.79559123323077</v>
      </c>
      <c r="AX273" s="290"/>
      <c r="AY273" s="342"/>
      <c r="AZ273" s="3"/>
      <c r="BA273" s="315"/>
      <c r="BB273" s="3"/>
      <c r="BC273" s="3"/>
      <c r="BD273" s="3"/>
      <c r="BE273" s="3"/>
      <c r="BF273" s="342"/>
      <c r="BG273" s="3"/>
      <c r="BH273" s="315"/>
      <c r="BI273" s="3"/>
      <c r="BJ273" s="3"/>
      <c r="BK273" s="3"/>
      <c r="BL273" s="3"/>
      <c r="BM273" s="342"/>
      <c r="BN273" s="3"/>
      <c r="BO273" s="315"/>
      <c r="BP273" s="3"/>
      <c r="BQ273" s="3"/>
      <c r="BR273" s="3"/>
      <c r="BS273" s="3"/>
      <c r="BT273" s="342"/>
      <c r="BU273" s="3"/>
      <c r="BV273" s="315"/>
      <c r="BW273" s="3"/>
      <c r="BX273" s="3"/>
      <c r="BY273" s="3"/>
      <c r="BZ273" s="3"/>
      <c r="CA273" s="342"/>
    </row>
    <row r="274" spans="1:79" s="325" customFormat="1" ht="15.6">
      <c r="A274" s="480"/>
      <c r="B274" s="507"/>
      <c r="C274" s="507"/>
      <c r="D274" s="324"/>
      <c r="E274" s="342"/>
      <c r="F274" s="290"/>
      <c r="G274" s="79"/>
      <c r="H274" s="326"/>
      <c r="I274" s="326"/>
      <c r="J274" s="80"/>
      <c r="K274" s="290"/>
      <c r="L274" s="342"/>
      <c r="M274" s="2"/>
      <c r="N274" s="13" t="str">
        <f>IF(Approach="By Hours", "N/A for ByHours", "Duration (Months) *")</f>
        <v>Duration (Months) *</v>
      </c>
      <c r="O274" s="332">
        <v>0</v>
      </c>
      <c r="P274" s="32"/>
      <c r="Q274" s="77"/>
      <c r="R274" s="77"/>
      <c r="S274" s="309"/>
      <c r="T274" s="309"/>
      <c r="U274" s="4" t="s">
        <v>58</v>
      </c>
      <c r="V274" s="328">
        <f>IFERROR(SUMIFS(OtherCosts!Q:Q,OtherCosts!A:A,B266,OtherCosts!B:B,"Vendor"),0)</f>
        <v>0</v>
      </c>
      <c r="W274" s="425">
        <f t="shared" si="266"/>
        <v>0</v>
      </c>
      <c r="X274" s="7"/>
      <c r="Y274" s="7" t="s">
        <v>98</v>
      </c>
      <c r="Z274" s="2"/>
      <c r="AA274" s="304"/>
      <c r="AB274" s="7"/>
      <c r="AC274" s="4" t="s">
        <v>58</v>
      </c>
      <c r="AD274" s="328">
        <f>IFERROR(SUMIFS(OtherCosts!R:R,OtherCosts!A:A,B266,OtherCosts!B:B,"Vendor"),0)</f>
        <v>0</v>
      </c>
      <c r="AE274" s="425">
        <f t="shared" si="267"/>
        <v>0</v>
      </c>
      <c r="AF274" s="330"/>
      <c r="AG274" s="328">
        <f>IFERROR(SUMIFS(OtherCosts!S:S,OtherCosts!A:A,B266,OtherCosts!B:B,"Vendor"),0)</f>
        <v>0</v>
      </c>
      <c r="AH274" s="445">
        <f t="shared" si="268"/>
        <v>0</v>
      </c>
      <c r="AI274" s="330"/>
      <c r="AJ274" s="446">
        <f>IFERROR(SUMIFS(OtherCosts!T:T,OtherCosts!A:A,B266,OtherCosts!B:B,"Vendor"),0)</f>
        <v>0</v>
      </c>
      <c r="AK274" s="425">
        <f t="shared" si="269"/>
        <v>0</v>
      </c>
      <c r="AL274" s="330"/>
      <c r="AM274" s="330"/>
      <c r="AN274" s="329">
        <f t="shared" si="271"/>
        <v>0</v>
      </c>
      <c r="AO274" s="425">
        <f t="shared" si="270"/>
        <v>0</v>
      </c>
      <c r="AP274" s="7"/>
      <c r="AQ274" s="342"/>
      <c r="AR274" s="290"/>
      <c r="AS274" s="402" t="s">
        <v>99</v>
      </c>
      <c r="AT274" s="290"/>
      <c r="AU274" s="100"/>
      <c r="AV274" s="298">
        <f ca="1">IFERROR(AN277/T280,0)</f>
        <v>47166.232157040751</v>
      </c>
      <c r="AW274" s="418">
        <f ca="1">IFERROR(AV274/BusinessCurrencyTRM,"N/A")</f>
        <v>12.093905681292501</v>
      </c>
      <c r="AX274" s="290"/>
      <c r="AY274" s="342"/>
      <c r="AZ274" s="3"/>
      <c r="BA274" s="315"/>
      <c r="BB274" s="3"/>
      <c r="BC274" s="3"/>
      <c r="BD274" s="3"/>
      <c r="BE274" s="3"/>
      <c r="BF274" s="342"/>
      <c r="BG274" s="3"/>
      <c r="BH274" s="315"/>
      <c r="BI274" s="3"/>
      <c r="BJ274" s="3"/>
      <c r="BK274" s="3"/>
      <c r="BL274" s="3"/>
      <c r="BM274" s="342"/>
      <c r="BN274" s="3"/>
      <c r="BO274" s="315"/>
      <c r="BP274" s="3"/>
      <c r="BQ274" s="3"/>
      <c r="BR274" s="3"/>
      <c r="BS274" s="3"/>
      <c r="BT274" s="342"/>
      <c r="BU274" s="3"/>
      <c r="BV274" s="315"/>
      <c r="BW274" s="3"/>
      <c r="BX274" s="3"/>
      <c r="BY274" s="3"/>
      <c r="BZ274" s="3"/>
      <c r="CA274" s="342"/>
    </row>
    <row r="275" spans="1:79" s="325" customFormat="1" ht="15.6">
      <c r="A275" s="480"/>
      <c r="B275" s="507"/>
      <c r="C275" s="507"/>
      <c r="D275" s="324"/>
      <c r="E275" s="342"/>
      <c r="F275" s="290"/>
      <c r="G275" s="79"/>
      <c r="H275" s="326"/>
      <c r="I275" s="326"/>
      <c r="J275" s="80"/>
      <c r="K275" s="290"/>
      <c r="L275" s="342"/>
      <c r="M275" s="2"/>
      <c r="N275" s="83"/>
      <c r="O275" s="333"/>
      <c r="P275" s="32"/>
      <c r="Q275" s="77"/>
      <c r="R275" s="77"/>
      <c r="S275" s="309"/>
      <c r="T275" s="309"/>
      <c r="U275" s="4" t="s">
        <v>61</v>
      </c>
      <c r="V275" s="328">
        <f>IFERROR(SUMIFS(OtherCosts!Q:Q,OtherCosts!A:A,B266,OtherCosts!B:B,"Insurance"),0)</f>
        <v>0</v>
      </c>
      <c r="W275" s="425">
        <f t="shared" si="266"/>
        <v>0</v>
      </c>
      <c r="X275" s="7"/>
      <c r="Y275" s="7" t="s">
        <v>100</v>
      </c>
      <c r="Z275" s="2"/>
      <c r="AA275" s="304"/>
      <c r="AB275" s="7"/>
      <c r="AC275" s="4" t="s">
        <v>61</v>
      </c>
      <c r="AD275" s="328">
        <f>IFERROR(SUMIFS(OtherCosts!R:R,OtherCosts!A:A,B266,OtherCosts!B:B,"Insurance"),0)</f>
        <v>0</v>
      </c>
      <c r="AE275" s="425">
        <f t="shared" si="267"/>
        <v>0</v>
      </c>
      <c r="AF275" s="330"/>
      <c r="AG275" s="328">
        <f>IFERROR(SUMIFS(OtherCosts!S:S,OtherCosts!A:A,B266,OtherCosts!B:B,"Insurance"),0)</f>
        <v>0</v>
      </c>
      <c r="AH275" s="445">
        <f t="shared" si="268"/>
        <v>0</v>
      </c>
      <c r="AI275" s="330"/>
      <c r="AJ275" s="446">
        <f>IFERROR(SUMIFS(OtherCosts!T:T,OtherCosts!A:A,B266,OtherCosts!B:B,"Insurance"),0)</f>
        <v>0</v>
      </c>
      <c r="AK275" s="425">
        <f t="shared" si="269"/>
        <v>0</v>
      </c>
      <c r="AL275" s="330"/>
      <c r="AM275" s="330"/>
      <c r="AN275" s="329">
        <f t="shared" si="271"/>
        <v>0</v>
      </c>
      <c r="AO275" s="425">
        <f t="shared" si="270"/>
        <v>0</v>
      </c>
      <c r="AP275" s="7"/>
      <c r="AQ275" s="342"/>
      <c r="AR275" s="290"/>
      <c r="AS275" s="290"/>
      <c r="AT275" s="81"/>
      <c r="AU275" s="81"/>
      <c r="AV275" s="81"/>
      <c r="AW275" s="81"/>
      <c r="AX275" s="290"/>
      <c r="AY275" s="342"/>
      <c r="AZ275" s="3"/>
      <c r="BA275" s="315"/>
      <c r="BB275" s="3"/>
      <c r="BC275" s="3"/>
      <c r="BD275" s="3"/>
      <c r="BE275" s="3"/>
      <c r="BF275" s="342"/>
      <c r="BG275" s="3"/>
      <c r="BH275" s="315"/>
      <c r="BI275" s="3"/>
      <c r="BJ275" s="3"/>
      <c r="BK275" s="3"/>
      <c r="BL275" s="3"/>
      <c r="BM275" s="342"/>
      <c r="BN275" s="3"/>
      <c r="BO275" s="315"/>
      <c r="BP275" s="3"/>
      <c r="BQ275" s="3"/>
      <c r="BR275" s="3"/>
      <c r="BS275" s="3"/>
      <c r="BT275" s="342"/>
      <c r="BU275" s="3"/>
      <c r="BV275" s="315"/>
      <c r="BW275" s="3"/>
      <c r="BX275" s="3"/>
      <c r="BY275" s="3"/>
      <c r="BZ275" s="3"/>
      <c r="CA275" s="342"/>
    </row>
    <row r="276" spans="1:79" s="325" customFormat="1" ht="16.149999999999999" thickBot="1">
      <c r="A276" s="480"/>
      <c r="B276" s="507"/>
      <c r="C276" s="507"/>
      <c r="D276" s="324"/>
      <c r="E276" s="342"/>
      <c r="F276" s="290"/>
      <c r="G276" s="79"/>
      <c r="H276" s="326"/>
      <c r="I276" s="326"/>
      <c r="J276" s="80"/>
      <c r="K276" s="290"/>
      <c r="L276" s="342"/>
      <c r="M276" s="7"/>
      <c r="N276" s="83"/>
      <c r="O276" s="333"/>
      <c r="P276" s="32"/>
      <c r="Q276" s="77"/>
      <c r="R276" s="77"/>
      <c r="S276" s="309"/>
      <c r="T276" s="309"/>
      <c r="U276" s="4" t="s">
        <v>64</v>
      </c>
      <c r="V276" s="328">
        <f>IFERROR(SUMIFS(OtherCosts!Q:Q,OtherCosts!A:A,B266,OtherCosts!B:B,"Other"),0)</f>
        <v>0</v>
      </c>
      <c r="W276" s="425">
        <f t="shared" si="266"/>
        <v>0</v>
      </c>
      <c r="X276" s="7"/>
      <c r="Y276" s="7" t="s">
        <v>101</v>
      </c>
      <c r="Z276" s="82"/>
      <c r="AA276" s="334"/>
      <c r="AB276" s="13"/>
      <c r="AC276" s="4" t="s">
        <v>64</v>
      </c>
      <c r="AD276" s="328">
        <f>IFERROR(SUMIFS(OtherCosts!R:R,OtherCosts!A:A,B266,OtherCosts!B:B,"Other"),0)</f>
        <v>0</v>
      </c>
      <c r="AE276" s="425">
        <f t="shared" si="267"/>
        <v>0</v>
      </c>
      <c r="AF276" s="83"/>
      <c r="AG276" s="328">
        <f>IFERROR(SUMIFS(OtherCosts!S:S,OtherCosts!A:A,B266,OtherCosts!B:B,"Other"),0)</f>
        <v>0</v>
      </c>
      <c r="AH276" s="447">
        <f t="shared" si="268"/>
        <v>0</v>
      </c>
      <c r="AI276" s="83"/>
      <c r="AJ276" s="448">
        <f>IFERROR(SUMIFS(OtherCosts!T:T,OtherCosts!A:A,B266,OtherCosts!B:B,"Other"),0)</f>
        <v>0</v>
      </c>
      <c r="AK276" s="425">
        <f t="shared" si="269"/>
        <v>0</v>
      </c>
      <c r="AL276" s="83"/>
      <c r="AM276" s="83"/>
      <c r="AN276" s="329">
        <f t="shared" si="271"/>
        <v>0</v>
      </c>
      <c r="AO276" s="425">
        <f t="shared" si="270"/>
        <v>0</v>
      </c>
      <c r="AP276" s="85"/>
      <c r="AQ276" s="342"/>
      <c r="AR276" s="290"/>
      <c r="AS276" s="290"/>
      <c r="AT276" s="13"/>
      <c r="AU276" s="81"/>
      <c r="AV276" s="81"/>
      <c r="AW276" s="81"/>
      <c r="AX276" s="290"/>
      <c r="AY276" s="342"/>
      <c r="AZ276" s="3"/>
      <c r="BA276" s="315"/>
      <c r="BB276" s="3"/>
      <c r="BC276" s="3"/>
      <c r="BD276" s="3"/>
      <c r="BE276" s="3"/>
      <c r="BF276" s="342"/>
      <c r="BG276" s="3"/>
      <c r="BH276" s="315"/>
      <c r="BI276" s="3"/>
      <c r="BJ276" s="3"/>
      <c r="BK276" s="3"/>
      <c r="BL276" s="3"/>
      <c r="BM276" s="342"/>
      <c r="BN276" s="3"/>
      <c r="BO276" s="315"/>
      <c r="BP276" s="3"/>
      <c r="BQ276" s="3"/>
      <c r="BR276" s="3"/>
      <c r="BS276" s="3"/>
      <c r="BT276" s="342"/>
      <c r="BU276" s="3"/>
      <c r="BV276" s="315"/>
      <c r="BW276" s="3"/>
      <c r="BX276" s="3"/>
      <c r="BY276" s="3"/>
      <c r="BZ276" s="3"/>
      <c r="CA276" s="342"/>
    </row>
    <row r="277" spans="1:79" s="325" customFormat="1" ht="16.149999999999999" thickTop="1">
      <c r="A277" s="480"/>
      <c r="B277" s="507"/>
      <c r="C277" s="507"/>
      <c r="D277" s="324"/>
      <c r="E277" s="342"/>
      <c r="F277" s="290"/>
      <c r="G277" s="79"/>
      <c r="H277" s="326"/>
      <c r="I277" s="326"/>
      <c r="J277" s="80"/>
      <c r="K277" s="290"/>
      <c r="L277" s="342"/>
      <c r="M277" s="7"/>
      <c r="N277" s="83"/>
      <c r="O277" s="333"/>
      <c r="P277" s="32"/>
      <c r="Q277" s="77"/>
      <c r="R277" s="77"/>
      <c r="S277" s="309"/>
      <c r="T277" s="309"/>
      <c r="U277" s="3" t="s">
        <v>35</v>
      </c>
      <c r="V277" s="86">
        <f ca="1">SUM(V270:V276)</f>
        <v>1053221.9513319002</v>
      </c>
      <c r="W277" s="427">
        <f t="shared" ca="1" si="266"/>
        <v>270.05691059792315</v>
      </c>
      <c r="X277" s="335"/>
      <c r="Y277" s="335"/>
      <c r="Z277" s="82"/>
      <c r="AA277" s="334"/>
      <c r="AB277" s="13"/>
      <c r="AC277" s="3" t="s">
        <v>35</v>
      </c>
      <c r="AD277" s="86">
        <f ca="1">SUM(AD270:AD276)</f>
        <v>1504602.8058096</v>
      </c>
      <c r="AE277" s="427">
        <f t="shared" ca="1" si="267"/>
        <v>385.79559123323077</v>
      </c>
      <c r="AF277" s="83"/>
      <c r="AG277" s="86">
        <f ca="1">SUM(AG270:AG276)</f>
        <v>0</v>
      </c>
      <c r="AH277" s="444">
        <f t="shared" ca="1" si="268"/>
        <v>0</v>
      </c>
      <c r="AI277" s="83"/>
      <c r="AJ277" s="86">
        <f ca="1">SUM(AJ270:AJ276)</f>
        <v>0</v>
      </c>
      <c r="AK277" s="427">
        <f t="shared" ca="1" si="269"/>
        <v>0</v>
      </c>
      <c r="AL277" s="83"/>
      <c r="AM277" s="83"/>
      <c r="AN277" s="86">
        <f t="shared" ca="1" si="271"/>
        <v>1504602.8058096</v>
      </c>
      <c r="AO277" s="427">
        <f t="shared" ca="1" si="270"/>
        <v>385.79559123323077</v>
      </c>
      <c r="AP277" s="85"/>
      <c r="AQ277" s="342"/>
      <c r="AR277" s="290"/>
      <c r="AS277" s="290"/>
      <c r="AT277" s="13"/>
      <c r="AU277" s="81"/>
      <c r="AV277" s="81"/>
      <c r="AW277" s="81"/>
      <c r="AX277" s="290"/>
      <c r="AY277" s="342"/>
      <c r="AZ277" s="3"/>
      <c r="BA277" s="315"/>
      <c r="BB277" s="3"/>
      <c r="BC277" s="3"/>
      <c r="BD277" s="3"/>
      <c r="BE277" s="3"/>
      <c r="BF277" s="342"/>
      <c r="BG277" s="3"/>
      <c r="BH277" s="315"/>
      <c r="BI277" s="3"/>
      <c r="BJ277" s="3"/>
      <c r="BK277" s="3"/>
      <c r="BL277" s="3"/>
      <c r="BM277" s="342"/>
      <c r="BN277" s="3"/>
      <c r="BO277" s="315"/>
      <c r="BP277" s="3"/>
      <c r="BQ277" s="3"/>
      <c r="BR277" s="3"/>
      <c r="BS277" s="3"/>
      <c r="BT277" s="342"/>
      <c r="BU277" s="3"/>
      <c r="BV277" s="315"/>
      <c r="BW277" s="3"/>
      <c r="BX277" s="3"/>
      <c r="BY277" s="3"/>
      <c r="BZ277" s="3"/>
      <c r="CA277" s="342"/>
    </row>
    <row r="278" spans="1:79" s="325" customFormat="1" ht="15.6">
      <c r="A278" s="480"/>
      <c r="B278" s="507"/>
      <c r="C278" s="507"/>
      <c r="D278" s="324"/>
      <c r="E278" s="342"/>
      <c r="F278" s="290"/>
      <c r="G278" s="336"/>
      <c r="H278" s="336"/>
      <c r="I278" s="336"/>
      <c r="J278" s="336"/>
      <c r="K278" s="290"/>
      <c r="L278" s="342"/>
      <c r="M278" s="7"/>
      <c r="N278" s="83"/>
      <c r="O278" s="333"/>
      <c r="P278" s="77"/>
      <c r="Q278" s="77"/>
      <c r="R278" s="77"/>
      <c r="S278" s="77"/>
      <c r="T278" s="77"/>
      <c r="U278" s="3"/>
      <c r="V278" s="77"/>
      <c r="W278" s="77"/>
      <c r="X278" s="77"/>
      <c r="Y278" s="77"/>
      <c r="Z278" s="82"/>
      <c r="AA278" s="334"/>
      <c r="AB278" s="13"/>
      <c r="AC278" s="13"/>
      <c r="AD278" s="13"/>
      <c r="AE278" s="13"/>
      <c r="AF278" s="13"/>
      <c r="AG278" s="13"/>
      <c r="AH278" s="13"/>
      <c r="AI278" s="13"/>
      <c r="AJ278" s="13"/>
      <c r="AK278" s="13"/>
      <c r="AL278" s="13"/>
      <c r="AM278" s="13"/>
      <c r="AN278" s="327"/>
      <c r="AO278" s="327"/>
      <c r="AP278" s="85"/>
      <c r="AQ278" s="342"/>
      <c r="AR278" s="290"/>
      <c r="AS278" s="81"/>
      <c r="AT278" s="81"/>
      <c r="AU278" s="81"/>
      <c r="AV278" s="81"/>
      <c r="AW278" s="81"/>
      <c r="AX278" s="290"/>
      <c r="AY278" s="342"/>
      <c r="AZ278" s="3"/>
      <c r="BA278" s="315"/>
      <c r="BB278" s="3"/>
      <c r="BC278" s="3"/>
      <c r="BD278" s="3"/>
      <c r="BE278" s="3"/>
      <c r="BF278" s="342"/>
      <c r="BG278" s="3"/>
      <c r="BH278" s="315"/>
      <c r="BI278" s="3"/>
      <c r="BJ278" s="3"/>
      <c r="BK278" s="3"/>
      <c r="BL278" s="3"/>
      <c r="BM278" s="342"/>
      <c r="BN278" s="3"/>
      <c r="BO278" s="315"/>
      <c r="BP278" s="3"/>
      <c r="BQ278" s="3"/>
      <c r="BR278" s="3"/>
      <c r="BS278" s="3"/>
      <c r="BT278" s="342"/>
      <c r="BU278" s="3"/>
      <c r="BV278" s="315"/>
      <c r="BW278" s="3"/>
      <c r="BX278" s="3"/>
      <c r="BY278" s="3"/>
      <c r="BZ278" s="3"/>
      <c r="CA278" s="342"/>
    </row>
    <row r="279" spans="1:79" s="304" customFormat="1" outlineLevel="1">
      <c r="B279" s="320"/>
      <c r="C279" s="320"/>
      <c r="D279" s="391"/>
      <c r="F279" s="391"/>
      <c r="G279" s="391"/>
      <c r="H279" s="391"/>
      <c r="I279" s="391"/>
      <c r="J279" s="391"/>
      <c r="K279" s="391"/>
      <c r="N279" s="337"/>
      <c r="O279" s="337"/>
      <c r="S279" s="337"/>
      <c r="T279" s="320"/>
      <c r="U279" s="320"/>
      <c r="V279" s="320"/>
      <c r="W279" s="393"/>
      <c r="Z279" s="338"/>
      <c r="AO279" s="338"/>
      <c r="AP279" s="340"/>
      <c r="AR279" s="391"/>
      <c r="AS279" s="391"/>
      <c r="AT279" s="391"/>
      <c r="AU279" s="391"/>
      <c r="AV279" s="391"/>
      <c r="AW279" s="391"/>
      <c r="AX279" s="391"/>
      <c r="AZ279"/>
      <c r="BA279"/>
      <c r="BB279"/>
      <c r="BC279"/>
      <c r="BD279"/>
      <c r="BE279"/>
      <c r="BG279"/>
      <c r="BH279"/>
      <c r="BI279"/>
      <c r="BJ279"/>
      <c r="BK279"/>
      <c r="BL279"/>
      <c r="BN279"/>
      <c r="BO279"/>
      <c r="BP279"/>
      <c r="BQ279"/>
      <c r="BR279"/>
      <c r="BS279"/>
      <c r="BU279"/>
      <c r="BV279"/>
      <c r="BW279"/>
      <c r="BX279"/>
      <c r="BY279"/>
      <c r="BZ279"/>
    </row>
    <row r="280" spans="1:79" s="325" customFormat="1" ht="15.6" outlineLevel="1">
      <c r="A280" s="480"/>
      <c r="B280" s="341"/>
      <c r="C280" s="341"/>
      <c r="D280" s="290"/>
      <c r="E280" s="342"/>
      <c r="F280" s="290"/>
      <c r="G280" s="343">
        <f>ROUNDUP(SUM(G282:G311),2)</f>
        <v>0</v>
      </c>
      <c r="H280" s="344"/>
      <c r="I280" s="344"/>
      <c r="J280" s="345">
        <f>ROUNDUP(SUM(J282:J311),2)</f>
        <v>0</v>
      </c>
      <c r="K280" s="290"/>
      <c r="L280" s="342"/>
      <c r="M280" s="7"/>
      <c r="N280" s="7"/>
      <c r="O280" s="7"/>
      <c r="P280" s="7"/>
      <c r="Q280" s="7"/>
      <c r="R280" s="7"/>
      <c r="S280" s="7"/>
      <c r="T280" s="398">
        <f ca="1">ROUNDUP(SUM(T282:T311),2)</f>
        <v>31.900000000000002</v>
      </c>
      <c r="U280" s="7"/>
      <c r="V280" s="7"/>
      <c r="W280" s="87">
        <f ca="1">SUM(W282:W309)</f>
        <v>1053221.9513319002</v>
      </c>
      <c r="X280" s="7"/>
      <c r="Y280" s="7" t="s">
        <v>102</v>
      </c>
      <c r="Z280" s="7"/>
      <c r="AA280" s="304"/>
      <c r="AB280" s="7"/>
      <c r="AC280" s="7"/>
      <c r="AD280" s="87">
        <f ca="1">SUM(AD282:AD311)</f>
        <v>1504602.8058096</v>
      </c>
      <c r="AE280" s="432">
        <f ca="1">IFERROR(1-($W280/$AD280),0)</f>
        <v>0.30000000846390806</v>
      </c>
      <c r="AF280" s="7"/>
      <c r="AG280" s="7"/>
      <c r="AH280" s="88">
        <f ca="1">SUM(AH282:AH311)</f>
        <v>0</v>
      </c>
      <c r="AI280" s="7"/>
      <c r="AJ280" s="7"/>
      <c r="AK280" s="88">
        <f ca="1">ROUNDUP(SUM(AK282:AK311),2)</f>
        <v>0</v>
      </c>
      <c r="AL280" s="7"/>
      <c r="AM280" s="88">
        <f ca="1">SUM(AM282:AM311)</f>
        <v>1504602.8058096</v>
      </c>
      <c r="AN280" s="88">
        <f ca="1">SUM(AN282:AN311)</f>
        <v>1504602.8058096</v>
      </c>
      <c r="AO280" s="417" t="str">
        <f>BillingCountryCurrency</f>
        <v>COP</v>
      </c>
      <c r="AP280" s="7"/>
      <c r="AQ280" s="18"/>
      <c r="AR280" s="290"/>
      <c r="AS280" s="290"/>
      <c r="AT280" s="503">
        <f ca="1">SUM(AT282:AU311)</f>
        <v>1504602.8058096</v>
      </c>
      <c r="AU280" s="504"/>
      <c r="AV280" s="417" t="str">
        <f>BillingCountryCurrency</f>
        <v>COP</v>
      </c>
      <c r="AW280" s="417" t="str">
        <f>IF(ISBLANK(BusinessCurrency),"N/A",BusinessCurrency)</f>
        <v>USD</v>
      </c>
      <c r="AX280" s="290"/>
      <c r="AY280" s="18"/>
      <c r="AZ280" s="3"/>
      <c r="BA280" s="315"/>
      <c r="BB280" s="3"/>
      <c r="BC280" s="3"/>
      <c r="BD280" s="3"/>
      <c r="BE280" s="3"/>
      <c r="BF280" s="18"/>
      <c r="BG280" s="3"/>
      <c r="BH280" s="315"/>
      <c r="BI280" s="3"/>
      <c r="BJ280" s="3"/>
      <c r="BK280" s="3"/>
      <c r="BL280" s="3"/>
      <c r="BM280" s="18"/>
      <c r="BN280" s="3"/>
      <c r="BO280" s="315"/>
      <c r="BP280" s="3"/>
      <c r="BQ280" s="3"/>
      <c r="BR280" s="3"/>
      <c r="BS280" s="3"/>
      <c r="BT280" s="18"/>
      <c r="BU280" s="3"/>
      <c r="BV280" s="315"/>
      <c r="BW280" s="3"/>
      <c r="BX280" s="3"/>
      <c r="BY280" s="3"/>
      <c r="BZ280" s="3"/>
      <c r="CA280" s="342"/>
    </row>
    <row r="281" spans="1:79" ht="15.6" outlineLevel="1">
      <c r="A281" s="7"/>
      <c r="B281" s="346"/>
      <c r="C281" s="346"/>
      <c r="D281" s="346"/>
      <c r="E281" s="342"/>
      <c r="F281" s="290"/>
      <c r="G281" s="347" t="s">
        <v>79</v>
      </c>
      <c r="H281" s="347" t="s">
        <v>103</v>
      </c>
      <c r="I281" s="347" t="s">
        <v>104</v>
      </c>
      <c r="J281" s="348" t="s">
        <v>91</v>
      </c>
      <c r="K281" s="290"/>
      <c r="L281" s="349"/>
      <c r="M281" s="7"/>
      <c r="N281" s="16" t="s">
        <v>105</v>
      </c>
      <c r="O281" s="16" t="s">
        <v>106</v>
      </c>
      <c r="P281" s="16" t="s">
        <v>107</v>
      </c>
      <c r="Q281" s="16" t="s">
        <v>108</v>
      </c>
      <c r="R281" s="16" t="s">
        <v>109</v>
      </c>
      <c r="S281" s="16" t="s">
        <v>110</v>
      </c>
      <c r="T281" s="16" t="s">
        <v>111</v>
      </c>
      <c r="U281" s="16" t="s">
        <v>112</v>
      </c>
      <c r="V281" s="350" t="s">
        <v>113</v>
      </c>
      <c r="W281" s="16" t="s">
        <v>114</v>
      </c>
      <c r="X281" s="16" t="s">
        <v>115</v>
      </c>
      <c r="Y281" s="16" t="s">
        <v>116</v>
      </c>
      <c r="Z281" s="6"/>
      <c r="AA281" s="304"/>
      <c r="AB281" s="7"/>
      <c r="AC281" s="351" t="s">
        <v>117</v>
      </c>
      <c r="AD281" s="352" t="s">
        <v>118</v>
      </c>
      <c r="AE281" s="89" t="s">
        <v>119</v>
      </c>
      <c r="AF281" s="7"/>
      <c r="AG281" s="89" t="s">
        <v>120</v>
      </c>
      <c r="AH281" s="353" t="s">
        <v>121</v>
      </c>
      <c r="AI281" s="7"/>
      <c r="AJ281" s="89" t="s">
        <v>122</v>
      </c>
      <c r="AK281" s="353" t="s">
        <v>123</v>
      </c>
      <c r="AL281" s="7"/>
      <c r="AM281" s="16" t="s">
        <v>118</v>
      </c>
      <c r="AN281" s="16" t="s">
        <v>124</v>
      </c>
      <c r="AO281" s="8" t="s">
        <v>125</v>
      </c>
      <c r="AP281" s="7"/>
      <c r="AQ281" s="18"/>
      <c r="AR281" s="290"/>
      <c r="AS281" s="8" t="s">
        <v>126</v>
      </c>
      <c r="AT281" s="505" t="s">
        <v>124</v>
      </c>
      <c r="AU281" s="506"/>
      <c r="AV281" s="8" t="s">
        <v>127</v>
      </c>
      <c r="AW281" s="8" t="s">
        <v>127</v>
      </c>
      <c r="AX281" s="290"/>
      <c r="AY281" s="18"/>
      <c r="AZ281" s="3"/>
      <c r="BA281" s="315"/>
      <c r="BB281" s="3"/>
      <c r="BC281" s="3"/>
      <c r="BD281" s="3"/>
      <c r="BE281" s="3"/>
      <c r="BF281" s="18"/>
      <c r="BG281" s="3"/>
      <c r="BH281" s="315"/>
      <c r="BI281" s="3"/>
      <c r="BJ281" s="3"/>
      <c r="BK281" s="3"/>
      <c r="BL281" s="3"/>
      <c r="BM281" s="18"/>
      <c r="BN281" s="3"/>
      <c r="BO281" s="315"/>
      <c r="BP281" s="3"/>
      <c r="BQ281" s="3"/>
      <c r="BR281" s="3"/>
      <c r="BS281" s="3"/>
      <c r="BT281" s="18"/>
      <c r="BU281" s="3"/>
      <c r="BV281" s="315"/>
      <c r="BW281" s="3"/>
      <c r="BX281" s="3"/>
      <c r="BY281" s="3"/>
      <c r="BZ281" s="3"/>
    </row>
    <row r="282" spans="1:79" ht="28.9" outlineLevel="1">
      <c r="A282" s="7"/>
      <c r="B282" s="354" t="s">
        <v>128</v>
      </c>
      <c r="C282" s="355" t="s">
        <v>176</v>
      </c>
      <c r="D282" s="356"/>
      <c r="E282" s="342"/>
      <c r="F282" s="290"/>
      <c r="G282" s="357">
        <v>0</v>
      </c>
      <c r="H282" s="358">
        <v>0</v>
      </c>
      <c r="I282" s="358">
        <v>0</v>
      </c>
      <c r="J282" s="359">
        <f>IFERROR(G282/(1-(H282+I282)),0)</f>
        <v>0</v>
      </c>
      <c r="K282" s="360"/>
      <c r="L282" s="349"/>
      <c r="M282" s="7"/>
      <c r="N282" s="12" t="s">
        <v>130</v>
      </c>
      <c r="O282" s="12" t="s">
        <v>177</v>
      </c>
      <c r="P282" s="12" t="s">
        <v>178</v>
      </c>
      <c r="Q282" s="468">
        <v>1</v>
      </c>
      <c r="R282" s="362" cm="1">
        <f t="array" aca="1" ref="R282" ca="1">$R$42*(1+(INDIRECT("CMSResumen!L"&amp;(MAX(IF(INDIRECT("CMSResumen!B1:B"&amp;ROW()-10)=B266,ROW(INDIRECT("CMSResumen!B1:B"&amp;ROW()-10)),0)+17)))))</f>
        <v>3.5000000000000003E-2</v>
      </c>
      <c r="S282" s="363">
        <v>20</v>
      </c>
      <c r="T282" s="364">
        <f t="shared" ref="T282" ca="1" si="272">IF(ISBLANK($P282),0,IF(Approach="Team-Based",$Q282*$R282*$S282*HoursPerDayTeamBased,$J282))</f>
        <v>5.67</v>
      </c>
      <c r="U282" s="365">
        <v>0</v>
      </c>
      <c r="V282" s="91">
        <f>ROUNDUP(IFERROR(INDEX(CostRateTbl[Cost Rate],MATCH(_xlfn.CONCAT(N282,O282,P282,"NA"),CostRateTbl[KeyCostRate],0)),0)*BillingCurrencyTRM*(1+U282),2)</f>
        <v>0</v>
      </c>
      <c r="W282" s="92">
        <f t="shared" ref="W282:W311" ca="1" si="273">T282*V282</f>
        <v>0</v>
      </c>
      <c r="X282" s="366" t="str" cm="1">
        <f t="array" ref="X282">_xlfn.LET(
    _xlpm.valor, INDEX(CostRate!H:H, MATCH(1, (CostRate!A:A=N282)*1, 0)),
    _xlpm.posicion, MATCH(_xlpm.valor, FilterSL!$F$1:$Z$1, 0),
    _xlpm.direccionCompleta, ADDRESS(1, _xlpm.posicion + 5, 4),
    _xlpm.letraColumna, SUBSTITUTE(_xlpm.direccionCompleta, "1", ""),
    _xlpm.letraColumna
)</f>
        <v>R</v>
      </c>
      <c r="Y282" s="366" t="str" cm="1">
        <f t="array" ref="Y282">_xlfn.LET(
    _xlpm.valor, INDEX(CostRate!I:I, MATCH(1, (CostRate!A:A=N282)*(CostRate!B:B=O282), 0)),
    _xlpm.posicion, MATCH(_xlpm.valor, FilterJP!$E$1:$FZ$1, 0),
    _xlpm.direccionCompleta, ADDRESS(1, _xlpm.posicion + 4, 4),
    _xlpm.letraColumna, SUBSTITUTE(_xlpm.direccionCompleta, "1", ""),
    _xlpm.letraColumna
)</f>
        <v>BO</v>
      </c>
      <c r="Z282" s="7"/>
      <c r="AA282" s="367"/>
      <c r="AB282" s="7"/>
      <c r="AC282" s="93">
        <f t="shared" ref="AC282:AC311" si="274">ROUNDUP($V282/(1-$AV$268),2)</f>
        <v>0</v>
      </c>
      <c r="AD282" s="94">
        <f ca="1">$T282*$AC282</f>
        <v>0</v>
      </c>
      <c r="AE282" s="109">
        <f ca="1">IFERROR(1-($W282/$AD282),0)</f>
        <v>0</v>
      </c>
      <c r="AF282" s="7"/>
      <c r="AG282" s="369">
        <f t="shared" ref="AG282:AG311" si="275">IFERROR(IF(OR(ISBLANK(N282),N282=CustomerCountry,COUNTIF($N282,"*xDC*")),0,10%),0)</f>
        <v>0</v>
      </c>
      <c r="AH282" s="368">
        <f t="shared" ref="AH282:AH311" ca="1" si="276">W282*AG282</f>
        <v>0</v>
      </c>
      <c r="AI282" s="7"/>
      <c r="AJ282" s="369" cm="1">
        <f t="array" ref="AJ282">IFERROR(INDEX(WHT!$C$7:$W$18,MATCH(
_xlfn.SWITCH(N282,"xDC Medellin","Colombia","xDC Belo Horizonte","Brazil","xDC Guadalajara","Mexico","xDC Gurugram","India","xDC Leon","Spain","xDC San Jose","Costa Rica","xDC Warsaw","Poland",N282),
WHT!$B$7:$B$18,0),MATCH(CustomerCountry,WHT!$C$5:$W$5,0)),0)</f>
        <v>0</v>
      </c>
      <c r="AK282" s="368">
        <f t="shared" ref="AK282:AK311" ca="1" si="277">(W282+AH282)*AJ282</f>
        <v>0</v>
      </c>
      <c r="AL282" s="7"/>
      <c r="AM282" s="95">
        <f ca="1">SUM($AD282,$AH282,$AK282)</f>
        <v>0</v>
      </c>
      <c r="AN282" s="95">
        <f t="shared" ref="AN282:AN311" ca="1" si="278">AM282+IFERROR(SUM($AN$271:$AN$276)*AM282/$AM$280,0)</f>
        <v>0</v>
      </c>
      <c r="AO282" s="95">
        <f ca="1">IFERROR($AN282/$T282,0)</f>
        <v>0</v>
      </c>
      <c r="AP282" s="7"/>
      <c r="AQ282" s="18"/>
      <c r="AR282" s="290"/>
      <c r="AS282" s="467" t="s">
        <v>133</v>
      </c>
      <c r="AT282" s="501">
        <f t="shared" ref="AT282:AT310" ca="1" si="279">IF(AS282="x",AM282+((SUM($AN$271:$AN$276)+SUMIF($AS$282:$AS$311,"&lt;&gt;x",$AM$282:$AM$311))*IFERROR(AM282/SUMIF($AS$282:$AS$311,"x",$AM$282:$AM$311),0)),0)</f>
        <v>0</v>
      </c>
      <c r="AU282" s="502"/>
      <c r="AV282" s="95">
        <f ca="1">IFERROR(AT282/T282,0)</f>
        <v>0</v>
      </c>
      <c r="AW282" s="469">
        <f t="shared" ref="AW282:AW311" ca="1" si="280">IFERROR(AV282/BusinessCurrencyTRM,"N/A")</f>
        <v>0</v>
      </c>
      <c r="AX282" s="290"/>
      <c r="AY282" s="18"/>
      <c r="AZ282" s="3"/>
      <c r="BA282" s="315"/>
      <c r="BB282" s="3"/>
      <c r="BC282" s="3"/>
      <c r="BD282" s="3"/>
      <c r="BE282" s="3"/>
      <c r="BF282" s="18"/>
      <c r="BG282" s="3"/>
      <c r="BH282" s="315"/>
      <c r="BI282" s="3"/>
      <c r="BJ282" s="3"/>
      <c r="BK282" s="3"/>
      <c r="BL282" s="3"/>
      <c r="BM282" s="18"/>
      <c r="BN282" s="3"/>
      <c r="BO282" s="315"/>
      <c r="BP282" s="3"/>
      <c r="BQ282" s="3"/>
      <c r="BR282" s="3"/>
      <c r="BS282" s="3"/>
      <c r="BT282" s="18"/>
      <c r="BU282" s="3"/>
      <c r="BV282" s="315"/>
      <c r="BW282" s="3"/>
      <c r="BX282" s="3"/>
      <c r="BY282" s="3"/>
      <c r="BZ282" s="3"/>
    </row>
    <row r="283" spans="1:79" ht="15.6" outlineLevel="1">
      <c r="A283" s="7"/>
      <c r="B283" s="370"/>
      <c r="C283" s="355" t="s">
        <v>179</v>
      </c>
      <c r="D283" s="356"/>
      <c r="E283" s="342"/>
      <c r="F283" s="290"/>
      <c r="G283" s="357">
        <v>0</v>
      </c>
      <c r="H283" s="358">
        <v>0</v>
      </c>
      <c r="I283" s="358">
        <v>0</v>
      </c>
      <c r="J283" s="359">
        <f t="shared" ref="J283:J311" si="281">IFERROR(G283/(1-(H283+I283)),0)</f>
        <v>0</v>
      </c>
      <c r="K283" s="290"/>
      <c r="L283" s="349"/>
      <c r="M283" s="7"/>
      <c r="N283" s="12" t="s">
        <v>130</v>
      </c>
      <c r="O283" s="12" t="s">
        <v>177</v>
      </c>
      <c r="P283" s="12" t="s">
        <v>180</v>
      </c>
      <c r="Q283" s="468">
        <v>1</v>
      </c>
      <c r="R283" s="362" cm="1">
        <f t="array" aca="1" ref="R283" ca="1">$R$43*(1+(INDIRECT("CMSResumen!L"&amp;(MAX(IF(INDIRECT("CMSResumen!B1:B"&amp;ROW()-10)=B265,ROW(INDIRECT("CMSResumen!B1:B"&amp;ROW()-10)),0)+18)))))</f>
        <v>7.8E-2</v>
      </c>
      <c r="S283" s="363">
        <v>20</v>
      </c>
      <c r="T283" s="364">
        <f t="shared" ref="T283" ca="1" si="282">IF(ISBLANK($P283),0,IF(Approach="Team-Based",$Q283*$R283*$S283*HoursPerDayTeamBased,$J283))</f>
        <v>12.635999999999999</v>
      </c>
      <c r="U283" s="365">
        <v>0</v>
      </c>
      <c r="V283" s="91">
        <f>ROUNDUP(IFERROR(INDEX(CostRateTbl[Cost Rate],MATCH(_xlfn.CONCAT(N283,O283,P283,"NA"),CostRateTbl[KeyCostRate],0)),0)*BillingCurrencyTRM*(1+U283),2)</f>
        <v>0</v>
      </c>
      <c r="W283" s="92">
        <f t="shared" ca="1" si="273"/>
        <v>0</v>
      </c>
      <c r="X283" s="366" t="str" cm="1">
        <f t="array" ref="X283">_xlfn.LET(
    _xlpm.valor, INDEX(CostRate!H:H, MATCH(1, (CostRate!A:A=N283)*1, 0)),
    _xlpm.posicion, MATCH(_xlpm.valor, FilterSL!$F$1:$Z$1, 0),
    _xlpm.direccionCompleta, ADDRESS(1, _xlpm.posicion + 5, 4),
    _xlpm.letraColumna, SUBSTITUTE(_xlpm.direccionCompleta, "1", ""),
    _xlpm.letraColumna
)</f>
        <v>R</v>
      </c>
      <c r="Y283" s="366" t="str" cm="1">
        <f t="array" ref="Y283">_xlfn.LET(
    _xlpm.valor, INDEX(CostRate!I:I, MATCH(1, (CostRate!A:A=N283)*(CostRate!B:B=O283), 0)),
    _xlpm.posicion, MATCH(_xlpm.valor, FilterJP!$E$1:$FZ$1, 0),
    _xlpm.direccionCompleta, ADDRESS(1, _xlpm.posicion + 4, 4),
    _xlpm.letraColumna, SUBSTITUTE(_xlpm.direccionCompleta, "1", ""),
    _xlpm.letraColumna
)</f>
        <v>BO</v>
      </c>
      <c r="Z283" s="7"/>
      <c r="AA283" s="367"/>
      <c r="AB283" s="7"/>
      <c r="AC283" s="93">
        <f t="shared" si="274"/>
        <v>0</v>
      </c>
      <c r="AD283" s="94">
        <f t="shared" ref="AD283:AD311" ca="1" si="283">$T283*$AC283</f>
        <v>0</v>
      </c>
      <c r="AE283" s="109">
        <f t="shared" ref="AE283:AE311" ca="1" si="284">IFERROR(1-($W283/$AD283),0)</f>
        <v>0</v>
      </c>
      <c r="AF283" s="7"/>
      <c r="AG283" s="369">
        <f t="shared" si="275"/>
        <v>0</v>
      </c>
      <c r="AH283" s="368">
        <f t="shared" ca="1" si="276"/>
        <v>0</v>
      </c>
      <c r="AI283" s="7"/>
      <c r="AJ283" s="369" cm="1">
        <f t="array" ref="AJ283">IFERROR(INDEX(WHT!$C$7:$W$18,MATCH(
_xlfn.SWITCH(N283,"xDC Medellin","Colombia","xDC Belo Horizonte","Brazil","xDC Guadalajara","Mexico","xDC Gurugram","India","xDC Leon","Spain","xDC San Jose","Costa Rica","xDC Warsaw","Poland",N283),
WHT!$B$7:$B$18,0),MATCH(CustomerCountry,WHT!$C$5:$W$5,0)),0)</f>
        <v>0</v>
      </c>
      <c r="AK283" s="368">
        <f t="shared" ca="1" si="277"/>
        <v>0</v>
      </c>
      <c r="AL283" s="7"/>
      <c r="AM283" s="95">
        <f t="shared" ref="AM283:AM311" ca="1" si="285">SUM($AD283,$AH283,$AK283)</f>
        <v>0</v>
      </c>
      <c r="AN283" s="95">
        <f t="shared" ca="1" si="278"/>
        <v>0</v>
      </c>
      <c r="AO283" s="95">
        <f t="shared" ref="AO283:AO311" ca="1" si="286">IFERROR($AN283/$T283,0)</f>
        <v>0</v>
      </c>
      <c r="AP283" s="90"/>
      <c r="AQ283" s="18"/>
      <c r="AR283" s="290"/>
      <c r="AS283" s="467" t="s">
        <v>133</v>
      </c>
      <c r="AT283" s="501">
        <f t="shared" ca="1" si="279"/>
        <v>0</v>
      </c>
      <c r="AU283" s="502"/>
      <c r="AV283" s="95">
        <f t="shared" ref="AV283:AV311" ca="1" si="287">IFERROR(AT283/T283,0)</f>
        <v>0</v>
      </c>
      <c r="AW283" s="469">
        <f t="shared" ca="1" si="280"/>
        <v>0</v>
      </c>
      <c r="AX283" s="290"/>
      <c r="AY283" s="18"/>
      <c r="AZ283" s="3"/>
      <c r="BA283" s="315"/>
      <c r="BB283" s="3"/>
      <c r="BC283" s="3"/>
      <c r="BD283" s="3"/>
      <c r="BE283" s="3"/>
      <c r="BF283" s="18"/>
      <c r="BG283" s="3"/>
      <c r="BH283" s="315"/>
      <c r="BI283" s="3"/>
      <c r="BJ283" s="3"/>
      <c r="BK283" s="3"/>
      <c r="BL283" s="3"/>
      <c r="BM283" s="18"/>
      <c r="BN283" s="3"/>
      <c r="BO283" s="315"/>
      <c r="BP283" s="3"/>
      <c r="BQ283" s="3"/>
      <c r="BR283" s="3"/>
      <c r="BS283" s="3"/>
      <c r="BT283" s="18"/>
      <c r="BU283" s="3"/>
      <c r="BV283" s="315"/>
      <c r="BW283" s="3"/>
      <c r="BX283" s="3"/>
      <c r="BY283" s="3"/>
      <c r="BZ283" s="3"/>
      <c r="CA283" s="371"/>
    </row>
    <row r="284" spans="1:79" ht="15.6" outlineLevel="1">
      <c r="A284" s="7"/>
      <c r="B284" s="370"/>
      <c r="C284" s="355" t="s">
        <v>181</v>
      </c>
      <c r="D284" s="356"/>
      <c r="E284" s="342"/>
      <c r="F284" s="290"/>
      <c r="G284" s="357">
        <v>0</v>
      </c>
      <c r="H284" s="358">
        <v>0</v>
      </c>
      <c r="I284" s="358">
        <v>0</v>
      </c>
      <c r="J284" s="359">
        <f t="shared" si="281"/>
        <v>0</v>
      </c>
      <c r="K284" s="290"/>
      <c r="L284" s="349"/>
      <c r="M284" s="7"/>
      <c r="N284" s="12" t="s">
        <v>130</v>
      </c>
      <c r="O284" s="12" t="s">
        <v>169</v>
      </c>
      <c r="P284" s="12" t="s">
        <v>182</v>
      </c>
      <c r="Q284" s="468">
        <v>1</v>
      </c>
      <c r="R284" s="362" cm="1">
        <f t="array" aca="1" ref="R284" ca="1">$R$44*(1+(INDIRECT("CMSResumen!L"&amp;(MAX(IF(INDIRECT("CMSResumen!B1:B"&amp;ROW()-10)=B265,ROW(INDIRECT("CMSResumen!B1:B"&amp;ROW()-10)),0)+19)))))</f>
        <v>3.5000000000000003E-2</v>
      </c>
      <c r="S284" s="363">
        <v>20</v>
      </c>
      <c r="T284" s="364">
        <f t="shared" ref="T284" ca="1" si="288">IF(ISBLANK($P284),0,IF(Approach="Team-Based",$Q284*$R284*$S284*HoursPerDayTeamBased,$J284))</f>
        <v>5.67</v>
      </c>
      <c r="U284" s="365">
        <v>0</v>
      </c>
      <c r="V284" s="91">
        <f>ROUNDUP(IFERROR(INDEX(CostRateTbl[Cost Rate],MATCH(_xlfn.CONCAT(N284,O284,P284,"NA"),CostRateTbl[KeyCostRate],0)),0)*BillingCurrencyTRM*(1+U284),2)</f>
        <v>133425.46000000002</v>
      </c>
      <c r="W284" s="92">
        <f t="shared" ca="1" si="273"/>
        <v>756522.35820000013</v>
      </c>
      <c r="X284" s="366" t="str" cm="1">
        <f t="array" ref="X284">_xlfn.LET(
    _xlpm.valor, INDEX(CostRate!H:H, MATCH(1, (CostRate!A:A=N284)*1, 0)),
    _xlpm.posicion, MATCH(_xlpm.valor, FilterSL!$F$1:$Z$1, 0),
    _xlpm.direccionCompleta, ADDRESS(1, _xlpm.posicion + 5, 4),
    _xlpm.letraColumna, SUBSTITUTE(_xlpm.direccionCompleta, "1", ""),
    _xlpm.letraColumna
)</f>
        <v>R</v>
      </c>
      <c r="Y284" s="366" t="str" cm="1">
        <f t="array" ref="Y284">_xlfn.LET(
    _xlpm.valor, INDEX(CostRate!I:I, MATCH(1, (CostRate!A:A=N284)*(CostRate!B:B=O284), 0)),
    _xlpm.posicion, MATCH(_xlpm.valor, FilterJP!$E$1:$FZ$1, 0),
    _xlpm.direccionCompleta, ADDRESS(1, _xlpm.posicion + 4, 4),
    _xlpm.letraColumna, SUBSTITUTE(_xlpm.direccionCompleta, "1", ""),
    _xlpm.letraColumna
)</f>
        <v>BI</v>
      </c>
      <c r="Z284" s="7"/>
      <c r="AA284" s="367"/>
      <c r="AB284" s="7"/>
      <c r="AC284" s="93">
        <f t="shared" si="274"/>
        <v>190607.8</v>
      </c>
      <c r="AD284" s="94">
        <f t="shared" ca="1" si="283"/>
        <v>1080746.226</v>
      </c>
      <c r="AE284" s="109">
        <f t="shared" ca="1" si="284"/>
        <v>0.29999999999999993</v>
      </c>
      <c r="AF284" s="7"/>
      <c r="AG284" s="369">
        <f t="shared" si="275"/>
        <v>0</v>
      </c>
      <c r="AH284" s="368">
        <f t="shared" ca="1" si="276"/>
        <v>0</v>
      </c>
      <c r="AI284" s="7"/>
      <c r="AJ284" s="369" cm="1">
        <f t="array" ref="AJ284">IFERROR(INDEX(WHT!$C$7:$W$18,MATCH(
_xlfn.SWITCH(N284,"xDC Medellin","Colombia","xDC Belo Horizonte","Brazil","xDC Guadalajara","Mexico","xDC Gurugram","India","xDC Leon","Spain","xDC San Jose","Costa Rica","xDC Warsaw","Poland",N284),
WHT!$B$7:$B$18,0),MATCH(CustomerCountry,WHT!$C$5:$W$5,0)),0)</f>
        <v>0</v>
      </c>
      <c r="AK284" s="368">
        <f t="shared" ca="1" si="277"/>
        <v>0</v>
      </c>
      <c r="AL284" s="7"/>
      <c r="AM284" s="95">
        <f t="shared" ca="1" si="285"/>
        <v>1080746.226</v>
      </c>
      <c r="AN284" s="95">
        <f t="shared" ca="1" si="278"/>
        <v>1080746.226</v>
      </c>
      <c r="AO284" s="95">
        <f t="shared" ca="1" si="286"/>
        <v>190607.80000000002</v>
      </c>
      <c r="AP284" s="90"/>
      <c r="AQ284" s="18"/>
      <c r="AR284" s="290"/>
      <c r="AS284" s="467" t="s">
        <v>133</v>
      </c>
      <c r="AT284" s="501">
        <f t="shared" ca="1" si="279"/>
        <v>1080746.226</v>
      </c>
      <c r="AU284" s="502"/>
      <c r="AV284" s="95">
        <f t="shared" ca="1" si="287"/>
        <v>190607.80000000002</v>
      </c>
      <c r="AW284" s="469">
        <f t="shared" ca="1" si="280"/>
        <v>48.873794871794878</v>
      </c>
      <c r="AX284" s="290"/>
      <c r="AY284" s="18"/>
      <c r="AZ284" s="3"/>
      <c r="BA284" s="315"/>
      <c r="BB284" s="3"/>
      <c r="BC284" s="3"/>
      <c r="BD284" s="3"/>
      <c r="BE284" s="3"/>
      <c r="BF284" s="18"/>
      <c r="BG284" s="3"/>
      <c r="BH284" s="315"/>
      <c r="BI284" s="3"/>
      <c r="BJ284" s="3"/>
      <c r="BK284" s="3"/>
      <c r="BL284" s="3"/>
      <c r="BM284" s="18"/>
      <c r="BN284" s="3"/>
      <c r="BO284" s="315"/>
      <c r="BP284" s="3"/>
      <c r="BQ284" s="3"/>
      <c r="BR284" s="3"/>
      <c r="BS284" s="3"/>
      <c r="BT284" s="18"/>
      <c r="BU284" s="3"/>
      <c r="BV284" s="315"/>
      <c r="BW284" s="3"/>
      <c r="BX284" s="3"/>
      <c r="BY284" s="3"/>
      <c r="BZ284" s="3"/>
    </row>
    <row r="285" spans="1:79" ht="15.6" outlineLevel="1">
      <c r="A285" s="7"/>
      <c r="B285" s="370"/>
      <c r="C285" s="355" t="s">
        <v>183</v>
      </c>
      <c r="D285" s="356"/>
      <c r="E285" s="342"/>
      <c r="F285" s="290"/>
      <c r="G285" s="357">
        <v>0</v>
      </c>
      <c r="H285" s="358">
        <v>0</v>
      </c>
      <c r="I285" s="358">
        <v>0</v>
      </c>
      <c r="J285" s="359">
        <f t="shared" si="281"/>
        <v>0</v>
      </c>
      <c r="K285" s="290"/>
      <c r="L285" s="349"/>
      <c r="M285" s="7"/>
      <c r="N285" s="12" t="s">
        <v>130</v>
      </c>
      <c r="O285" s="12" t="s">
        <v>177</v>
      </c>
      <c r="P285" s="12" t="s">
        <v>184</v>
      </c>
      <c r="Q285" s="468">
        <v>1</v>
      </c>
      <c r="R285" s="362" cm="1">
        <f t="array" aca="1" ref="R285" ca="1">$R$45*(1+(INDIRECT("CMSResumen!L"&amp;(MAX(IF(INDIRECT("CMSResumen!B1:B"&amp;ROW()-10)=B265,ROW(INDIRECT("CMSResumen!B1:B"&amp;ROW()-10)),0)+20)))))</f>
        <v>3.5000000000000003E-2</v>
      </c>
      <c r="S285" s="363">
        <v>20</v>
      </c>
      <c r="T285" s="364">
        <f t="shared" ref="T285" ca="1" si="289">IF(ISBLANK($P285),0,IF(Approach="Team-Based",$Q285*$R285*$S285*HoursPerDayTeamBased,$J285))</f>
        <v>5.67</v>
      </c>
      <c r="U285" s="365">
        <v>0</v>
      </c>
      <c r="V285" s="91">
        <f>ROUNDUP(IFERROR(INDEX(CostRateTbl[Cost Rate],MATCH(_xlfn.CONCAT(N285,O285,P285,"NA"),CostRateTbl[KeyCostRate],0)),0)*BillingCurrencyTRM*(1+U285),2)</f>
        <v>46596.590000000004</v>
      </c>
      <c r="W285" s="92">
        <f t="shared" ca="1" si="273"/>
        <v>264202.66529999999</v>
      </c>
      <c r="X285" s="366" t="str" cm="1">
        <f t="array" ref="X285">_xlfn.LET(
    _xlpm.valor, INDEX(CostRate!H:H, MATCH(1, (CostRate!A:A=N285)*1, 0)),
    _xlpm.posicion, MATCH(_xlpm.valor, FilterSL!$F$1:$Z$1, 0),
    _xlpm.direccionCompleta, ADDRESS(1, _xlpm.posicion + 5, 4),
    _xlpm.letraColumna, SUBSTITUTE(_xlpm.direccionCompleta, "1", ""),
    _xlpm.letraColumna
)</f>
        <v>R</v>
      </c>
      <c r="Y285" s="366" t="str" cm="1">
        <f t="array" ref="Y285">_xlfn.LET(
    _xlpm.valor, INDEX(CostRate!I:I, MATCH(1, (CostRate!A:A=N285)*(CostRate!B:B=O285), 0)),
    _xlpm.posicion, MATCH(_xlpm.valor, FilterJP!$E$1:$FZ$1, 0),
    _xlpm.direccionCompleta, ADDRESS(1, _xlpm.posicion + 4, 4),
    _xlpm.letraColumna, SUBSTITUTE(_xlpm.direccionCompleta, "1", ""),
    _xlpm.letraColumna
)</f>
        <v>BO</v>
      </c>
      <c r="Z285" s="7"/>
      <c r="AA285" s="367"/>
      <c r="AB285" s="7"/>
      <c r="AC285" s="93">
        <f t="shared" si="274"/>
        <v>66566.559999999998</v>
      </c>
      <c r="AD285" s="94">
        <f t="shared" ca="1" si="283"/>
        <v>377432.39519999997</v>
      </c>
      <c r="AE285" s="109">
        <f t="shared" ca="1" si="284"/>
        <v>0.30000003004511566</v>
      </c>
      <c r="AF285" s="7"/>
      <c r="AG285" s="369">
        <f t="shared" si="275"/>
        <v>0</v>
      </c>
      <c r="AH285" s="368">
        <f t="shared" ca="1" si="276"/>
        <v>0</v>
      </c>
      <c r="AI285" s="7"/>
      <c r="AJ285" s="369" cm="1">
        <f t="array" ref="AJ285">IFERROR(INDEX(WHT!$C$7:$W$18,MATCH(
_xlfn.SWITCH(N285,"xDC Medellin","Colombia","xDC Belo Horizonte","Brazil","xDC Guadalajara","Mexico","xDC Gurugram","India","xDC Leon","Spain","xDC San Jose","Costa Rica","xDC Warsaw","Poland",N285),
WHT!$B$7:$B$18,0),MATCH(CustomerCountry,WHT!$C$5:$W$5,0)),0)</f>
        <v>0</v>
      </c>
      <c r="AK285" s="368">
        <f t="shared" ca="1" si="277"/>
        <v>0</v>
      </c>
      <c r="AL285" s="7"/>
      <c r="AM285" s="95">
        <f t="shared" ca="1" si="285"/>
        <v>377432.39519999997</v>
      </c>
      <c r="AN285" s="95">
        <f t="shared" ca="1" si="278"/>
        <v>377432.39519999997</v>
      </c>
      <c r="AO285" s="95">
        <f t="shared" ca="1" si="286"/>
        <v>66566.559999999998</v>
      </c>
      <c r="AP285" s="90"/>
      <c r="AQ285" s="18"/>
      <c r="AR285" s="290"/>
      <c r="AS285" s="467" t="s">
        <v>133</v>
      </c>
      <c r="AT285" s="501">
        <f t="shared" ca="1" si="279"/>
        <v>377432.39519999997</v>
      </c>
      <c r="AU285" s="502"/>
      <c r="AV285" s="95">
        <f t="shared" ca="1" si="287"/>
        <v>66566.559999999998</v>
      </c>
      <c r="AW285" s="469">
        <f t="shared" ca="1" si="280"/>
        <v>17.068348717948716</v>
      </c>
      <c r="AX285" s="290"/>
      <c r="AY285" s="18"/>
      <c r="AZ285" s="3"/>
      <c r="BA285" s="315"/>
      <c r="BB285" s="3"/>
      <c r="BC285" s="3"/>
      <c r="BD285" s="3"/>
      <c r="BE285" s="3"/>
      <c r="BF285" s="18"/>
      <c r="BG285" s="3"/>
      <c r="BH285" s="315"/>
      <c r="BI285" s="3"/>
      <c r="BJ285" s="3"/>
      <c r="BK285" s="3"/>
      <c r="BL285" s="3"/>
      <c r="BM285" s="18"/>
      <c r="BN285" s="3"/>
      <c r="BO285" s="315"/>
      <c r="BP285" s="3"/>
      <c r="BQ285" s="3"/>
      <c r="BR285" s="3"/>
      <c r="BS285" s="3"/>
      <c r="BT285" s="18"/>
      <c r="BU285" s="3"/>
      <c r="BV285" s="315"/>
      <c r="BW285" s="3"/>
      <c r="BX285" s="3"/>
      <c r="BY285" s="3"/>
      <c r="BZ285" s="3"/>
    </row>
    <row r="286" spans="1:79" ht="15.6" outlineLevel="1">
      <c r="A286" s="7"/>
      <c r="B286" s="370"/>
      <c r="C286" s="355" t="s">
        <v>185</v>
      </c>
      <c r="D286" s="356"/>
      <c r="E286" s="342"/>
      <c r="F286" s="290"/>
      <c r="G286" s="357">
        <v>0</v>
      </c>
      <c r="H286" s="358">
        <v>0</v>
      </c>
      <c r="I286" s="358">
        <v>0</v>
      </c>
      <c r="J286" s="359">
        <f t="shared" si="281"/>
        <v>0</v>
      </c>
      <c r="K286" s="290"/>
      <c r="L286" s="349"/>
      <c r="M286" s="7"/>
      <c r="N286" s="12" t="s">
        <v>130</v>
      </c>
      <c r="O286" s="12" t="s">
        <v>177</v>
      </c>
      <c r="P286" s="12" t="s">
        <v>180</v>
      </c>
      <c r="Q286" s="468">
        <v>1.23</v>
      </c>
      <c r="R286" s="362" cm="1">
        <f t="array" aca="1" ref="R286" ca="1">$R$43*(1+(INDIRECT("CMSResumen!L"&amp;(MAX(IF(INDIRECT("CMSResumen!B1:B"&amp;ROW()-10)=B265,ROW(INDIRECT("CMSResumen!B1:B"&amp;ROW()-10)),0)+18)))))</f>
        <v>7.8E-2</v>
      </c>
      <c r="S286" s="363">
        <f>20*10%</f>
        <v>2</v>
      </c>
      <c r="T286" s="364">
        <f t="shared" ref="T286" ca="1" si="290">IF(ISBLANK($P286),0,IF(Approach="Team-Based",$Q286*$R286*$S286*HoursPerDayTeamBased,$J286))</f>
        <v>1.5542279999999999</v>
      </c>
      <c r="U286" s="365">
        <v>0</v>
      </c>
      <c r="V286" s="91">
        <f>ROUNDUP(IFERROR(INDEX(CostRateTbl[Cost Rate],MATCH(_xlfn.CONCAT(N286,O286,P286,"NA"),CostRateTbl[KeyCostRate],0)),0)*BillingCurrencyTRM*(1+U286),2)</f>
        <v>0</v>
      </c>
      <c r="W286" s="92">
        <f t="shared" ca="1" si="273"/>
        <v>0</v>
      </c>
      <c r="X286" s="366" t="str" cm="1">
        <f t="array" ref="X286">_xlfn.LET(
    _xlpm.valor, INDEX(CostRate!H:H, MATCH(1, (CostRate!A:A=N286)*1, 0)),
    _xlpm.posicion, MATCH(_xlpm.valor, FilterSL!$F$1:$Z$1, 0),
    _xlpm.direccionCompleta, ADDRESS(1, _xlpm.posicion + 5, 4),
    _xlpm.letraColumna, SUBSTITUTE(_xlpm.direccionCompleta, "1", ""),
    _xlpm.letraColumna
)</f>
        <v>R</v>
      </c>
      <c r="Y286" s="366" t="str" cm="1">
        <f t="array" ref="Y286">_xlfn.LET(
    _xlpm.valor, INDEX(CostRate!I:I, MATCH(1, (CostRate!A:A=N286)*(CostRate!B:B=O286), 0)),
    _xlpm.posicion, MATCH(_xlpm.valor, FilterJP!$E$1:$FZ$1, 0),
    _xlpm.direccionCompleta, ADDRESS(1, _xlpm.posicion + 4, 4),
    _xlpm.letraColumna, SUBSTITUTE(_xlpm.direccionCompleta, "1", ""),
    _xlpm.letraColumna
)</f>
        <v>BO</v>
      </c>
      <c r="Z286" s="7"/>
      <c r="AA286" s="367"/>
      <c r="AB286" s="7"/>
      <c r="AC286" s="93">
        <f t="shared" si="274"/>
        <v>0</v>
      </c>
      <c r="AD286" s="94">
        <f t="shared" ca="1" si="283"/>
        <v>0</v>
      </c>
      <c r="AE286" s="109">
        <f t="shared" ca="1" si="284"/>
        <v>0</v>
      </c>
      <c r="AF286" s="7"/>
      <c r="AG286" s="369">
        <f t="shared" si="275"/>
        <v>0</v>
      </c>
      <c r="AH286" s="368">
        <f t="shared" ca="1" si="276"/>
        <v>0</v>
      </c>
      <c r="AI286" s="7"/>
      <c r="AJ286" s="369" cm="1">
        <f t="array" ref="AJ286">IFERROR(INDEX(WHT!$C$7:$W$18,MATCH(
_xlfn.SWITCH(N286,"xDC Medellin","Colombia","xDC Belo Horizonte","Brazil","xDC Guadalajara","Mexico","xDC Gurugram","India","xDC Leon","Spain","xDC San Jose","Costa Rica","xDC Warsaw","Poland",N286),
WHT!$B$7:$B$18,0),MATCH(CustomerCountry,WHT!$C$5:$W$5,0)),0)</f>
        <v>0</v>
      </c>
      <c r="AK286" s="368">
        <f t="shared" ca="1" si="277"/>
        <v>0</v>
      </c>
      <c r="AL286" s="7"/>
      <c r="AM286" s="95">
        <f t="shared" ca="1" si="285"/>
        <v>0</v>
      </c>
      <c r="AN286" s="95">
        <f t="shared" ca="1" si="278"/>
        <v>0</v>
      </c>
      <c r="AO286" s="95">
        <f t="shared" ca="1" si="286"/>
        <v>0</v>
      </c>
      <c r="AP286" s="90"/>
      <c r="AQ286" s="18"/>
      <c r="AR286" s="290"/>
      <c r="AS286" s="467" t="s">
        <v>133</v>
      </c>
      <c r="AT286" s="501">
        <f t="shared" ca="1" si="279"/>
        <v>0</v>
      </c>
      <c r="AU286" s="502"/>
      <c r="AV286" s="95">
        <f t="shared" ca="1" si="287"/>
        <v>0</v>
      </c>
      <c r="AW286" s="469">
        <f t="shared" ca="1" si="280"/>
        <v>0</v>
      </c>
      <c r="AX286" s="290"/>
      <c r="AY286" s="18"/>
      <c r="AZ286" s="3"/>
      <c r="BA286" s="315"/>
      <c r="BB286" s="3"/>
      <c r="BC286" s="3"/>
      <c r="BD286" s="3"/>
      <c r="BE286" s="3"/>
      <c r="BF286" s="18"/>
      <c r="BG286" s="3"/>
      <c r="BH286" s="315"/>
      <c r="BI286" s="3"/>
      <c r="BJ286" s="3"/>
      <c r="BK286" s="3"/>
      <c r="BL286" s="3"/>
      <c r="BM286" s="18"/>
      <c r="BN286" s="3"/>
      <c r="BO286" s="315"/>
      <c r="BP286" s="3"/>
      <c r="BQ286" s="3"/>
      <c r="BR286" s="3"/>
      <c r="BS286" s="3"/>
      <c r="BT286" s="18"/>
      <c r="BU286" s="3"/>
      <c r="BV286" s="315"/>
      <c r="BW286" s="3"/>
      <c r="BX286" s="3"/>
      <c r="BY286" s="3"/>
      <c r="BZ286" s="3"/>
    </row>
    <row r="287" spans="1:79" ht="15.6" outlineLevel="1">
      <c r="A287" s="7"/>
      <c r="B287" s="370"/>
      <c r="C287" s="355" t="s">
        <v>186</v>
      </c>
      <c r="D287" s="356"/>
      <c r="E287" s="342"/>
      <c r="F287" s="290"/>
      <c r="G287" s="357">
        <v>0</v>
      </c>
      <c r="H287" s="358">
        <v>0</v>
      </c>
      <c r="I287" s="358">
        <v>0</v>
      </c>
      <c r="J287" s="359">
        <f t="shared" si="281"/>
        <v>0</v>
      </c>
      <c r="K287" s="290"/>
      <c r="L287" s="349"/>
      <c r="M287" s="7"/>
      <c r="N287" s="12" t="s">
        <v>130</v>
      </c>
      <c r="O287" s="12" t="s">
        <v>177</v>
      </c>
      <c r="P287" s="12" t="s">
        <v>184</v>
      </c>
      <c r="Q287" s="468">
        <v>1.23</v>
      </c>
      <c r="R287" s="362" cm="1">
        <f t="array" aca="1" ref="R287" ca="1">$R$45*(1+(INDIRECT("CMSResumen!L"&amp;(MAX(IF(INDIRECT("CMSResumen!B1:B"&amp;ROW()-10)=B265,ROW(INDIRECT("CMSResumen!B1:B"&amp;ROW()-10)),0)+20)))))</f>
        <v>3.5000000000000003E-2</v>
      </c>
      <c r="S287" s="363">
        <f>20*10%</f>
        <v>2</v>
      </c>
      <c r="T287" s="364">
        <f t="shared" ref="T287" ca="1" si="291">IF(ISBLANK($P287),0,IF(Approach="Team-Based",$Q287*$R287*$S287*HoursPerDayTeamBased,$J287))</f>
        <v>0.69741000000000009</v>
      </c>
      <c r="U287" s="365">
        <v>0</v>
      </c>
      <c r="V287" s="91">
        <f>ROUNDUP(IFERROR(INDEX(CostRateTbl[Cost Rate],MATCH(_xlfn.CONCAT(N287,O287,P287,"NA"),CostRateTbl[KeyCostRate],0)),0)*BillingCurrencyTRM*(1+U287),2)</f>
        <v>46596.590000000004</v>
      </c>
      <c r="W287" s="92">
        <f t="shared" ca="1" si="273"/>
        <v>32496.927831900008</v>
      </c>
      <c r="X287" s="366" t="str" cm="1">
        <f t="array" ref="X287">_xlfn.LET(
    _xlpm.valor, INDEX(CostRate!H:H, MATCH(1, (CostRate!A:A=N287)*1, 0)),
    _xlpm.posicion, MATCH(_xlpm.valor, FilterSL!$F$1:$Z$1, 0),
    _xlpm.direccionCompleta, ADDRESS(1, _xlpm.posicion + 5, 4),
    _xlpm.letraColumna, SUBSTITUTE(_xlpm.direccionCompleta, "1", ""),
    _xlpm.letraColumna
)</f>
        <v>R</v>
      </c>
      <c r="Y287" s="366" t="str" cm="1">
        <f t="array" ref="Y287">_xlfn.LET(
    _xlpm.valor, INDEX(CostRate!I:I, MATCH(1, (CostRate!A:A=N287)*(CostRate!B:B=O287), 0)),
    _xlpm.posicion, MATCH(_xlpm.valor, FilterJP!$E$1:$FZ$1, 0),
    _xlpm.direccionCompleta, ADDRESS(1, _xlpm.posicion + 4, 4),
    _xlpm.letraColumna, SUBSTITUTE(_xlpm.direccionCompleta, "1", ""),
    _xlpm.letraColumna
)</f>
        <v>BO</v>
      </c>
      <c r="Z287" s="7"/>
      <c r="AA287" s="367"/>
      <c r="AB287" s="7"/>
      <c r="AC287" s="93">
        <f t="shared" si="274"/>
        <v>66566.559999999998</v>
      </c>
      <c r="AD287" s="94">
        <f t="shared" ca="1" si="283"/>
        <v>46424.184609600001</v>
      </c>
      <c r="AE287" s="109">
        <f t="shared" ca="1" si="284"/>
        <v>0.30000003004511555</v>
      </c>
      <c r="AF287" s="7"/>
      <c r="AG287" s="369">
        <f t="shared" si="275"/>
        <v>0</v>
      </c>
      <c r="AH287" s="368">
        <f t="shared" ca="1" si="276"/>
        <v>0</v>
      </c>
      <c r="AI287" s="7"/>
      <c r="AJ287" s="369" cm="1">
        <f t="array" ref="AJ287">IFERROR(INDEX(WHT!$C$7:$W$18,MATCH(
_xlfn.SWITCH(N287,"xDC Medellin","Colombia","xDC Belo Horizonte","Brazil","xDC Guadalajara","Mexico","xDC Gurugram","India","xDC Leon","Spain","xDC San Jose","Costa Rica","xDC Warsaw","Poland",N287),
WHT!$B$7:$B$18,0),MATCH(CustomerCountry,WHT!$C$5:$W$5,0)),0)</f>
        <v>0</v>
      </c>
      <c r="AK287" s="368">
        <f t="shared" ca="1" si="277"/>
        <v>0</v>
      </c>
      <c r="AL287" s="7"/>
      <c r="AM287" s="95">
        <f t="shared" ca="1" si="285"/>
        <v>46424.184609600001</v>
      </c>
      <c r="AN287" s="95">
        <f t="shared" ca="1" si="278"/>
        <v>46424.184609600001</v>
      </c>
      <c r="AO287" s="95">
        <f t="shared" ca="1" si="286"/>
        <v>66566.559999999998</v>
      </c>
      <c r="AP287" s="90"/>
      <c r="AQ287" s="18"/>
      <c r="AR287" s="290"/>
      <c r="AS287" s="467" t="s">
        <v>133</v>
      </c>
      <c r="AT287" s="501">
        <f t="shared" ca="1" si="279"/>
        <v>46424.184609600001</v>
      </c>
      <c r="AU287" s="502"/>
      <c r="AV287" s="95">
        <f t="shared" ca="1" si="287"/>
        <v>66566.559999999998</v>
      </c>
      <c r="AW287" s="469">
        <f t="shared" ca="1" si="280"/>
        <v>17.068348717948716</v>
      </c>
      <c r="AX287" s="290"/>
      <c r="AY287" s="18"/>
      <c r="AZ287" s="3"/>
      <c r="BA287" s="315"/>
      <c r="BB287" s="3"/>
      <c r="BC287" s="3"/>
      <c r="BD287" s="3"/>
      <c r="BE287" s="3"/>
      <c r="BF287" s="18"/>
      <c r="BG287" s="3"/>
      <c r="BH287" s="315"/>
      <c r="BI287" s="3"/>
      <c r="BJ287" s="3"/>
      <c r="BK287" s="3"/>
      <c r="BL287" s="3"/>
      <c r="BM287" s="18"/>
      <c r="BN287" s="3"/>
      <c r="BO287" s="315"/>
      <c r="BP287" s="3"/>
      <c r="BQ287" s="3"/>
      <c r="BR287" s="3"/>
      <c r="BS287" s="3"/>
      <c r="BT287" s="18"/>
      <c r="BU287" s="3"/>
      <c r="BV287" s="315"/>
      <c r="BW287" s="3"/>
      <c r="BX287" s="3"/>
      <c r="BY287" s="3"/>
      <c r="BZ287" s="3"/>
    </row>
    <row r="288" spans="1:79" ht="28.9" outlineLevel="1">
      <c r="A288" s="7"/>
      <c r="B288" s="370"/>
      <c r="C288" s="355" t="s">
        <v>187</v>
      </c>
      <c r="D288" s="356"/>
      <c r="E288" s="342"/>
      <c r="F288" s="290"/>
      <c r="G288" s="357">
        <v>0</v>
      </c>
      <c r="H288" s="358">
        <v>0</v>
      </c>
      <c r="I288" s="358">
        <v>0</v>
      </c>
      <c r="J288" s="359">
        <f t="shared" si="281"/>
        <v>0</v>
      </c>
      <c r="K288" s="290"/>
      <c r="L288" s="349"/>
      <c r="M288" s="7"/>
      <c r="N288" s="12"/>
      <c r="O288" s="12"/>
      <c r="P288" s="12"/>
      <c r="Q288" s="361"/>
      <c r="R288" s="362"/>
      <c r="S288" s="363">
        <f t="shared" ref="S288:S311" si="292">IF(ISBLANK(P288),0,$O$274*20)</f>
        <v>0</v>
      </c>
      <c r="T288" s="364">
        <f t="shared" ref="T288" si="293">IF(ISBLANK($P288),0,IF(Approach="Team-Based",$Q288*$R288*$S288*HoursPerDayTeamBased,$J288))</f>
        <v>0</v>
      </c>
      <c r="U288" s="365">
        <v>0</v>
      </c>
      <c r="V288" s="91">
        <f>ROUNDUP(IFERROR(INDEX(CostRateTbl[Cost Rate],MATCH(_xlfn.CONCAT(N288,O288,P288,"NA"),CostRateTbl[KeyCostRate],0)),0)*BillingCurrencyTRM*(1+U288),2)</f>
        <v>0</v>
      </c>
      <c r="W288" s="92">
        <f t="shared" si="273"/>
        <v>0</v>
      </c>
      <c r="X288" s="366" t="e" cm="1">
        <f t="array" ref="X288">_xlfn.LET(
    _xlpm.valor, INDEX(CostRate!H:H, MATCH(1, (CostRate!A:A=N288)*1, 0)),
    _xlpm.posicion, MATCH(_xlpm.valor, FilterSL!$F$1:$Z$1, 0),
    _xlpm.direccionCompleta, ADDRESS(1, _xlpm.posicion + 5, 4),
    _xlpm.letraColumna, SUBSTITUTE(_xlpm.direccionCompleta, "1", ""),
    _xlpm.letraColumna
)</f>
        <v>#N/A</v>
      </c>
      <c r="Y288" s="366" t="e" cm="1">
        <f t="array" ref="Y288">_xlfn.LET(
    _xlpm.valor, INDEX(CostRate!I:I, MATCH(1, (CostRate!A:A=N288)*(CostRate!B:B=O288), 0)),
    _xlpm.posicion, MATCH(_xlpm.valor, FilterJP!$E$1:$FZ$1, 0),
    _xlpm.direccionCompleta, ADDRESS(1, _xlpm.posicion + 4, 4),
    _xlpm.letraColumna, SUBSTITUTE(_xlpm.direccionCompleta, "1", ""),
    _xlpm.letraColumna
)</f>
        <v>#N/A</v>
      </c>
      <c r="Z288" s="7"/>
      <c r="AA288" s="367"/>
      <c r="AB288" s="7"/>
      <c r="AC288" s="93">
        <f t="shared" si="274"/>
        <v>0</v>
      </c>
      <c r="AD288" s="94">
        <f t="shared" si="283"/>
        <v>0</v>
      </c>
      <c r="AE288" s="109">
        <f t="shared" si="284"/>
        <v>0</v>
      </c>
      <c r="AF288" s="7"/>
      <c r="AG288" s="369">
        <f t="shared" si="275"/>
        <v>0</v>
      </c>
      <c r="AH288" s="368">
        <f t="shared" si="276"/>
        <v>0</v>
      </c>
      <c r="AI288" s="7"/>
      <c r="AJ288" s="369" cm="1">
        <f t="array" ref="AJ288">IFERROR(INDEX(WHT!$C$7:$W$18,MATCH(
_xlfn.SWITCH(N288,"xDC Medellin","Colombia","xDC Belo Horizonte","Brazil","xDC Guadalajara","Mexico","xDC Gurugram","India","xDC Leon","Spain","xDC San Jose","Costa Rica","xDC Warsaw","Poland",N288),
WHT!$B$7:$B$18,0),MATCH(CustomerCountry,WHT!$C$5:$W$5,0)),0)</f>
        <v>0</v>
      </c>
      <c r="AK288" s="368">
        <f t="shared" si="277"/>
        <v>0</v>
      </c>
      <c r="AL288" s="7"/>
      <c r="AM288" s="95">
        <f t="shared" si="285"/>
        <v>0</v>
      </c>
      <c r="AN288" s="95">
        <f t="shared" ca="1" si="278"/>
        <v>0</v>
      </c>
      <c r="AO288" s="95">
        <f t="shared" ca="1" si="286"/>
        <v>0</v>
      </c>
      <c r="AP288" s="90"/>
      <c r="AQ288" s="18"/>
      <c r="AR288" s="290"/>
      <c r="AS288" s="467" t="s">
        <v>133</v>
      </c>
      <c r="AT288" s="501">
        <f t="shared" ca="1" si="279"/>
        <v>0</v>
      </c>
      <c r="AU288" s="502"/>
      <c r="AV288" s="95">
        <f t="shared" ca="1" si="287"/>
        <v>0</v>
      </c>
      <c r="AW288" s="469">
        <f t="shared" ca="1" si="280"/>
        <v>0</v>
      </c>
      <c r="AX288" s="290"/>
      <c r="AY288" s="18"/>
      <c r="AZ288" s="3"/>
      <c r="BA288" s="315"/>
      <c r="BB288" s="3"/>
      <c r="BC288" s="3"/>
      <c r="BD288" s="3"/>
      <c r="BE288" s="3"/>
      <c r="BF288" s="18"/>
      <c r="BG288" s="3"/>
      <c r="BH288" s="315"/>
      <c r="BI288" s="3"/>
      <c r="BJ288" s="3"/>
      <c r="BK288" s="3"/>
      <c r="BL288" s="3"/>
      <c r="BM288" s="18"/>
      <c r="BN288" s="3"/>
      <c r="BO288" s="315"/>
      <c r="BP288" s="3"/>
      <c r="BQ288" s="3"/>
      <c r="BR288" s="3"/>
      <c r="BS288" s="3"/>
      <c r="BT288" s="18"/>
      <c r="BU288" s="3"/>
      <c r="BV288" s="315"/>
      <c r="BW288" s="3"/>
      <c r="BX288" s="3"/>
      <c r="BY288" s="3"/>
      <c r="BZ288" s="3"/>
    </row>
    <row r="289" spans="1:78" ht="15.6" outlineLevel="1">
      <c r="A289" s="7"/>
      <c r="B289" s="370"/>
      <c r="C289" s="355"/>
      <c r="D289" s="356"/>
      <c r="E289" s="342"/>
      <c r="F289" s="290"/>
      <c r="G289" s="357">
        <v>0</v>
      </c>
      <c r="H289" s="358">
        <v>0</v>
      </c>
      <c r="I289" s="358">
        <v>0</v>
      </c>
      <c r="J289" s="359">
        <f t="shared" si="281"/>
        <v>0</v>
      </c>
      <c r="K289" s="290"/>
      <c r="L289" s="349"/>
      <c r="M289" s="7"/>
      <c r="N289" s="12"/>
      <c r="O289" s="12"/>
      <c r="P289" s="12"/>
      <c r="Q289" s="361"/>
      <c r="R289" s="362"/>
      <c r="S289" s="363">
        <f t="shared" si="292"/>
        <v>0</v>
      </c>
      <c r="T289" s="364">
        <f t="shared" ref="T289" si="294">IF(ISBLANK($P289),0,IF(Approach="Team-Based",$Q289*$R289*$S289*HoursPerDayTeamBased,$J289))</f>
        <v>0</v>
      </c>
      <c r="U289" s="365">
        <v>0</v>
      </c>
      <c r="V289" s="91">
        <f>ROUNDUP(IFERROR(INDEX(CostRateTbl[Cost Rate],MATCH(_xlfn.CONCAT(N289,O289,P289,"NA"),CostRateTbl[KeyCostRate],0)),0)*BillingCurrencyTRM*(1+U289),2)</f>
        <v>0</v>
      </c>
      <c r="W289" s="92">
        <f t="shared" si="273"/>
        <v>0</v>
      </c>
      <c r="X289" s="366" t="e" cm="1">
        <f t="array" ref="X289">_xlfn.LET(
    _xlpm.valor, INDEX(CostRate!H:H, MATCH(1, (CostRate!A:A=N289)*1, 0)),
    _xlpm.posicion, MATCH(_xlpm.valor, FilterSL!$F$1:$Z$1, 0),
    _xlpm.direccionCompleta, ADDRESS(1, _xlpm.posicion + 5, 4),
    _xlpm.letraColumna, SUBSTITUTE(_xlpm.direccionCompleta, "1", ""),
    _xlpm.letraColumna
)</f>
        <v>#N/A</v>
      </c>
      <c r="Y289" s="366" t="e" cm="1">
        <f t="array" ref="Y289">_xlfn.LET(
    _xlpm.valor, INDEX(CostRate!I:I, MATCH(1, (CostRate!A:A=N289)*(CostRate!B:B=O289), 0)),
    _xlpm.posicion, MATCH(_xlpm.valor, FilterJP!$E$1:$FZ$1, 0),
    _xlpm.direccionCompleta, ADDRESS(1, _xlpm.posicion + 4, 4),
    _xlpm.letraColumna, SUBSTITUTE(_xlpm.direccionCompleta, "1", ""),
    _xlpm.letraColumna
)</f>
        <v>#N/A</v>
      </c>
      <c r="Z289" s="7"/>
      <c r="AA289" s="367"/>
      <c r="AB289" s="7"/>
      <c r="AC289" s="93">
        <f t="shared" si="274"/>
        <v>0</v>
      </c>
      <c r="AD289" s="94">
        <f t="shared" si="283"/>
        <v>0</v>
      </c>
      <c r="AE289" s="109">
        <f t="shared" si="284"/>
        <v>0</v>
      </c>
      <c r="AF289" s="7"/>
      <c r="AG289" s="369">
        <f t="shared" si="275"/>
        <v>0</v>
      </c>
      <c r="AH289" s="368">
        <f t="shared" si="276"/>
        <v>0</v>
      </c>
      <c r="AI289" s="7"/>
      <c r="AJ289" s="369" cm="1">
        <f t="array" ref="AJ289">IFERROR(INDEX(WHT!$C$7:$W$18,MATCH(
_xlfn.SWITCH(N289,"xDC Medellin","Colombia","xDC Belo Horizonte","Brazil","xDC Guadalajara","Mexico","xDC Gurugram","India","xDC Leon","Spain","xDC San Jose","Costa Rica","xDC Warsaw","Poland",N289),
WHT!$B$7:$B$18,0),MATCH(CustomerCountry,WHT!$C$5:$W$5,0)),0)</f>
        <v>0</v>
      </c>
      <c r="AK289" s="368">
        <f t="shared" si="277"/>
        <v>0</v>
      </c>
      <c r="AL289" s="7"/>
      <c r="AM289" s="95">
        <f t="shared" si="285"/>
        <v>0</v>
      </c>
      <c r="AN289" s="95">
        <f t="shared" ca="1" si="278"/>
        <v>0</v>
      </c>
      <c r="AO289" s="95">
        <f t="shared" ca="1" si="286"/>
        <v>0</v>
      </c>
      <c r="AP289" s="90"/>
      <c r="AQ289" s="18"/>
      <c r="AR289" s="290"/>
      <c r="AS289" s="467" t="s">
        <v>133</v>
      </c>
      <c r="AT289" s="501">
        <f t="shared" ca="1" si="279"/>
        <v>0</v>
      </c>
      <c r="AU289" s="502"/>
      <c r="AV289" s="95">
        <f t="shared" ca="1" si="287"/>
        <v>0</v>
      </c>
      <c r="AW289" s="469">
        <f t="shared" ca="1" si="280"/>
        <v>0</v>
      </c>
      <c r="AX289" s="290"/>
      <c r="AY289" s="18"/>
      <c r="AZ289" s="3"/>
      <c r="BA289" s="315"/>
      <c r="BB289" s="3"/>
      <c r="BC289" s="3"/>
      <c r="BD289" s="3"/>
      <c r="BE289" s="3"/>
      <c r="BF289" s="18"/>
      <c r="BG289" s="3"/>
      <c r="BH289" s="315"/>
      <c r="BI289" s="3"/>
      <c r="BJ289" s="3"/>
      <c r="BK289" s="3"/>
      <c r="BL289" s="3"/>
      <c r="BM289" s="18"/>
      <c r="BN289" s="3"/>
      <c r="BO289" s="315"/>
      <c r="BP289" s="3"/>
      <c r="BQ289" s="3"/>
      <c r="BR289" s="3"/>
      <c r="BS289" s="3"/>
      <c r="BT289" s="18"/>
      <c r="BU289" s="3"/>
      <c r="BV289" s="315"/>
      <c r="BW289" s="3"/>
      <c r="BX289" s="3"/>
      <c r="BY289" s="3"/>
      <c r="BZ289" s="3"/>
    </row>
    <row r="290" spans="1:78" ht="15.6" outlineLevel="1">
      <c r="A290" s="7"/>
      <c r="B290" s="370"/>
      <c r="C290" s="355"/>
      <c r="D290" s="356"/>
      <c r="E290" s="342"/>
      <c r="F290" s="290"/>
      <c r="G290" s="357">
        <v>0</v>
      </c>
      <c r="H290" s="358">
        <v>0</v>
      </c>
      <c r="I290" s="358">
        <v>0</v>
      </c>
      <c r="J290" s="359">
        <f t="shared" si="281"/>
        <v>0</v>
      </c>
      <c r="K290" s="290"/>
      <c r="L290" s="349"/>
      <c r="M290" s="7"/>
      <c r="N290" s="12"/>
      <c r="O290" s="12"/>
      <c r="P290" s="12"/>
      <c r="Q290" s="361"/>
      <c r="R290" s="362"/>
      <c r="S290" s="363">
        <f t="shared" si="292"/>
        <v>0</v>
      </c>
      <c r="T290" s="364">
        <f t="shared" ref="T290" si="295">IF(ISBLANK($P290),0,IF(Approach="Team-Based",$Q290*$R290*$S290*HoursPerDayTeamBased,$J290))</f>
        <v>0</v>
      </c>
      <c r="U290" s="365">
        <v>0</v>
      </c>
      <c r="V290" s="91">
        <f>ROUNDUP(IFERROR(INDEX(CostRateTbl[Cost Rate],MATCH(_xlfn.CONCAT(N290,O290,P290,"NA"),CostRateTbl[KeyCostRate],0)),0)*BillingCurrencyTRM*(1+U290),2)</f>
        <v>0</v>
      </c>
      <c r="W290" s="92">
        <f t="shared" si="273"/>
        <v>0</v>
      </c>
      <c r="X290" s="366" t="e" cm="1">
        <f t="array" ref="X290">_xlfn.LET(
    _xlpm.valor, INDEX(CostRate!H:H, MATCH(1, (CostRate!A:A=N290)*1, 0)),
    _xlpm.posicion, MATCH(_xlpm.valor, FilterSL!$F$1:$Z$1, 0),
    _xlpm.direccionCompleta, ADDRESS(1, _xlpm.posicion + 5, 4),
    _xlpm.letraColumna, SUBSTITUTE(_xlpm.direccionCompleta, "1", ""),
    _xlpm.letraColumna
)</f>
        <v>#N/A</v>
      </c>
      <c r="Y290" s="366" t="e" cm="1">
        <f t="array" ref="Y290">_xlfn.LET(
    _xlpm.valor, INDEX(CostRate!I:I, MATCH(1, (CostRate!A:A=N290)*(CostRate!B:B=O290), 0)),
    _xlpm.posicion, MATCH(_xlpm.valor, FilterJP!$E$1:$FZ$1, 0),
    _xlpm.direccionCompleta, ADDRESS(1, _xlpm.posicion + 4, 4),
    _xlpm.letraColumna, SUBSTITUTE(_xlpm.direccionCompleta, "1", ""),
    _xlpm.letraColumna
)</f>
        <v>#N/A</v>
      </c>
      <c r="Z290" s="7"/>
      <c r="AA290" s="367"/>
      <c r="AB290" s="7"/>
      <c r="AC290" s="93">
        <f t="shared" si="274"/>
        <v>0</v>
      </c>
      <c r="AD290" s="94">
        <f t="shared" si="283"/>
        <v>0</v>
      </c>
      <c r="AE290" s="109">
        <f t="shared" si="284"/>
        <v>0</v>
      </c>
      <c r="AF290" s="7"/>
      <c r="AG290" s="369">
        <f t="shared" si="275"/>
        <v>0</v>
      </c>
      <c r="AH290" s="368">
        <f t="shared" si="276"/>
        <v>0</v>
      </c>
      <c r="AI290" s="7"/>
      <c r="AJ290" s="369" cm="1">
        <f t="array" ref="AJ290">IFERROR(INDEX(WHT!$C$7:$W$18,MATCH(
_xlfn.SWITCH(N290,"xDC Medellin","Colombia","xDC Belo Horizonte","Brazil","xDC Guadalajara","Mexico","xDC Gurugram","India","xDC Leon","Spain","xDC San Jose","Costa Rica","xDC Warsaw","Poland",N290),
WHT!$B$7:$B$18,0),MATCH(CustomerCountry,WHT!$C$5:$W$5,0)),0)</f>
        <v>0</v>
      </c>
      <c r="AK290" s="368">
        <f t="shared" si="277"/>
        <v>0</v>
      </c>
      <c r="AL290" s="7"/>
      <c r="AM290" s="95">
        <f t="shared" si="285"/>
        <v>0</v>
      </c>
      <c r="AN290" s="95">
        <f t="shared" ca="1" si="278"/>
        <v>0</v>
      </c>
      <c r="AO290" s="95">
        <f t="shared" ca="1" si="286"/>
        <v>0</v>
      </c>
      <c r="AP290" s="90"/>
      <c r="AQ290" s="18"/>
      <c r="AR290" s="290"/>
      <c r="AS290" s="467" t="s">
        <v>133</v>
      </c>
      <c r="AT290" s="501">
        <f t="shared" ca="1" si="279"/>
        <v>0</v>
      </c>
      <c r="AU290" s="502"/>
      <c r="AV290" s="95">
        <f t="shared" ca="1" si="287"/>
        <v>0</v>
      </c>
      <c r="AW290" s="469">
        <f t="shared" ca="1" si="280"/>
        <v>0</v>
      </c>
      <c r="AX290" s="290"/>
      <c r="AY290" s="18"/>
      <c r="AZ290" s="3"/>
      <c r="BA290" s="315"/>
      <c r="BB290" s="3"/>
      <c r="BC290" s="3"/>
      <c r="BD290" s="3"/>
      <c r="BE290" s="3"/>
      <c r="BF290" s="18"/>
      <c r="BG290" s="3"/>
      <c r="BH290" s="315"/>
      <c r="BI290" s="3"/>
      <c r="BJ290" s="3"/>
      <c r="BK290" s="3"/>
      <c r="BL290" s="3"/>
      <c r="BM290" s="18"/>
      <c r="BN290" s="3"/>
      <c r="BO290" s="315"/>
      <c r="BP290" s="3"/>
      <c r="BQ290" s="3"/>
      <c r="BR290" s="3"/>
      <c r="BS290" s="3"/>
      <c r="BT290" s="18"/>
      <c r="BU290" s="3"/>
      <c r="BV290" s="315"/>
      <c r="BW290" s="3"/>
      <c r="BX290" s="3"/>
      <c r="BY290" s="3"/>
      <c r="BZ290" s="3"/>
    </row>
    <row r="291" spans="1:78" ht="15.6" outlineLevel="1">
      <c r="A291" s="7"/>
      <c r="B291" s="370"/>
      <c r="C291" s="355"/>
      <c r="D291" s="356"/>
      <c r="E291" s="342"/>
      <c r="F291" s="290"/>
      <c r="G291" s="357">
        <v>0</v>
      </c>
      <c r="H291" s="358">
        <v>0</v>
      </c>
      <c r="I291" s="358">
        <v>0</v>
      </c>
      <c r="J291" s="359">
        <f t="shared" si="281"/>
        <v>0</v>
      </c>
      <c r="K291" s="290"/>
      <c r="L291" s="349"/>
      <c r="M291" s="7"/>
      <c r="N291" s="12"/>
      <c r="O291" s="12"/>
      <c r="P291" s="12"/>
      <c r="Q291" s="361"/>
      <c r="R291" s="362"/>
      <c r="S291" s="363">
        <f t="shared" si="292"/>
        <v>0</v>
      </c>
      <c r="T291" s="364">
        <f t="shared" ref="T291" si="296">IF(ISBLANK($P291),0,IF(Approach="Team-Based",$Q291*$R291*$S291*HoursPerDayTeamBased,$J291))</f>
        <v>0</v>
      </c>
      <c r="U291" s="365">
        <v>0</v>
      </c>
      <c r="V291" s="91">
        <f>ROUNDUP(IFERROR(INDEX(CostRateTbl[Cost Rate],MATCH(_xlfn.CONCAT(N291,O291,P291,"NA"),CostRateTbl[KeyCostRate],0)),0)*BillingCurrencyTRM*(1+U291),2)</f>
        <v>0</v>
      </c>
      <c r="W291" s="92">
        <f t="shared" si="273"/>
        <v>0</v>
      </c>
      <c r="X291" s="366" t="e" cm="1">
        <f t="array" ref="X291">_xlfn.LET(
    _xlpm.valor, INDEX(CostRate!H:H, MATCH(1, (CostRate!A:A=N291)*1, 0)),
    _xlpm.posicion, MATCH(_xlpm.valor, FilterSL!$F$1:$Z$1, 0),
    _xlpm.direccionCompleta, ADDRESS(1, _xlpm.posicion + 5, 4),
    _xlpm.letraColumna, SUBSTITUTE(_xlpm.direccionCompleta, "1", ""),
    _xlpm.letraColumna
)</f>
        <v>#N/A</v>
      </c>
      <c r="Y291" s="366" t="e" cm="1">
        <f t="array" ref="Y291">_xlfn.LET(
    _xlpm.valor, INDEX(CostRate!I:I, MATCH(1, (CostRate!A:A=N291)*(CostRate!B:B=O291), 0)),
    _xlpm.posicion, MATCH(_xlpm.valor, FilterJP!$E$1:$FZ$1, 0),
    _xlpm.direccionCompleta, ADDRESS(1, _xlpm.posicion + 4, 4),
    _xlpm.letraColumna, SUBSTITUTE(_xlpm.direccionCompleta, "1", ""),
    _xlpm.letraColumna
)</f>
        <v>#N/A</v>
      </c>
      <c r="Z291" s="7"/>
      <c r="AA291" s="367"/>
      <c r="AB291" s="7"/>
      <c r="AC291" s="93">
        <f t="shared" si="274"/>
        <v>0</v>
      </c>
      <c r="AD291" s="94">
        <f t="shared" si="283"/>
        <v>0</v>
      </c>
      <c r="AE291" s="109">
        <f t="shared" si="284"/>
        <v>0</v>
      </c>
      <c r="AF291" s="7"/>
      <c r="AG291" s="369">
        <f t="shared" si="275"/>
        <v>0</v>
      </c>
      <c r="AH291" s="368">
        <f t="shared" si="276"/>
        <v>0</v>
      </c>
      <c r="AI291" s="7"/>
      <c r="AJ291" s="369" cm="1">
        <f t="array" ref="AJ291">IFERROR(INDEX(WHT!$C$7:$W$18,MATCH(
_xlfn.SWITCH(N291,"xDC Medellin","Colombia","xDC Belo Horizonte","Brazil","xDC Guadalajara","Mexico","xDC Gurugram","India","xDC Leon","Spain","xDC San Jose","Costa Rica","xDC Warsaw","Poland",N291),
WHT!$B$7:$B$18,0),MATCH(CustomerCountry,WHT!$C$5:$W$5,0)),0)</f>
        <v>0</v>
      </c>
      <c r="AK291" s="368">
        <f t="shared" si="277"/>
        <v>0</v>
      </c>
      <c r="AL291" s="7"/>
      <c r="AM291" s="95">
        <f t="shared" si="285"/>
        <v>0</v>
      </c>
      <c r="AN291" s="95">
        <f t="shared" ca="1" si="278"/>
        <v>0</v>
      </c>
      <c r="AO291" s="95">
        <f t="shared" ca="1" si="286"/>
        <v>0</v>
      </c>
      <c r="AP291" s="90"/>
      <c r="AQ291" s="18"/>
      <c r="AR291" s="290"/>
      <c r="AS291" s="467" t="s">
        <v>133</v>
      </c>
      <c r="AT291" s="501">
        <f t="shared" ca="1" si="279"/>
        <v>0</v>
      </c>
      <c r="AU291" s="502"/>
      <c r="AV291" s="95">
        <f t="shared" ca="1" si="287"/>
        <v>0</v>
      </c>
      <c r="AW291" s="469">
        <f t="shared" ca="1" si="280"/>
        <v>0</v>
      </c>
      <c r="AX291" s="290"/>
      <c r="AY291" s="18"/>
      <c r="AZ291" s="3"/>
      <c r="BA291" s="315"/>
      <c r="BB291" s="3"/>
      <c r="BC291" s="3"/>
      <c r="BD291" s="3"/>
      <c r="BE291" s="3"/>
      <c r="BF291" s="18"/>
      <c r="BG291" s="3"/>
      <c r="BH291" s="315"/>
      <c r="BI291" s="3"/>
      <c r="BJ291" s="3"/>
      <c r="BK291" s="3"/>
      <c r="BL291" s="3"/>
      <c r="BM291" s="18"/>
      <c r="BN291" s="3"/>
      <c r="BO291" s="315"/>
      <c r="BP291" s="3"/>
      <c r="BQ291" s="3"/>
      <c r="BR291" s="3"/>
      <c r="BS291" s="3"/>
      <c r="BT291" s="18"/>
      <c r="BU291" s="3"/>
      <c r="BV291" s="315"/>
      <c r="BW291" s="3"/>
      <c r="BX291" s="3"/>
      <c r="BY291" s="3"/>
      <c r="BZ291" s="3"/>
    </row>
    <row r="292" spans="1:78" ht="15.6" outlineLevel="1">
      <c r="A292" s="7"/>
      <c r="B292" s="370"/>
      <c r="C292" s="355"/>
      <c r="D292" s="356"/>
      <c r="E292" s="342"/>
      <c r="F292" s="290"/>
      <c r="G292" s="357">
        <v>0</v>
      </c>
      <c r="H292" s="358">
        <v>0</v>
      </c>
      <c r="I292" s="358">
        <v>0</v>
      </c>
      <c r="J292" s="359">
        <f t="shared" si="281"/>
        <v>0</v>
      </c>
      <c r="K292" s="290"/>
      <c r="L292" s="349"/>
      <c r="M292" s="7"/>
      <c r="N292" s="12"/>
      <c r="O292" s="12"/>
      <c r="P292" s="12"/>
      <c r="Q292" s="361"/>
      <c r="R292" s="362"/>
      <c r="S292" s="363">
        <f t="shared" si="292"/>
        <v>0</v>
      </c>
      <c r="T292" s="364">
        <f t="shared" ref="T292" si="297">IF(ISBLANK($P292),0,IF(Approach="Team-Based",$Q292*$R292*$S292*HoursPerDayTeamBased,$J292))</f>
        <v>0</v>
      </c>
      <c r="U292" s="365">
        <v>0</v>
      </c>
      <c r="V292" s="91">
        <f>ROUNDUP(IFERROR(INDEX(CostRateTbl[Cost Rate],MATCH(_xlfn.CONCAT(N292,O292,P292,"NA"),CostRateTbl[KeyCostRate],0)),0)*BillingCurrencyTRM*(1+U292),2)</f>
        <v>0</v>
      </c>
      <c r="W292" s="92">
        <f t="shared" si="273"/>
        <v>0</v>
      </c>
      <c r="X292" s="366" t="e" cm="1">
        <f t="array" ref="X292">_xlfn.LET(
    _xlpm.valor, INDEX(CostRate!H:H, MATCH(1, (CostRate!A:A=N292)*1, 0)),
    _xlpm.posicion, MATCH(_xlpm.valor, FilterSL!$F$1:$Z$1, 0),
    _xlpm.direccionCompleta, ADDRESS(1, _xlpm.posicion + 5, 4),
    _xlpm.letraColumna, SUBSTITUTE(_xlpm.direccionCompleta, "1", ""),
    _xlpm.letraColumna
)</f>
        <v>#N/A</v>
      </c>
      <c r="Y292" s="366" t="e" cm="1">
        <f t="array" ref="Y292">_xlfn.LET(
    _xlpm.valor, INDEX(CostRate!I:I, MATCH(1, (CostRate!A:A=N292)*(CostRate!B:B=O292), 0)),
    _xlpm.posicion, MATCH(_xlpm.valor, FilterJP!$E$1:$FZ$1, 0),
    _xlpm.direccionCompleta, ADDRESS(1, _xlpm.posicion + 4, 4),
    _xlpm.letraColumna, SUBSTITUTE(_xlpm.direccionCompleta, "1", ""),
    _xlpm.letraColumna
)</f>
        <v>#N/A</v>
      </c>
      <c r="Z292" s="7"/>
      <c r="AA292" s="367"/>
      <c r="AB292" s="7"/>
      <c r="AC292" s="93">
        <f t="shared" si="274"/>
        <v>0</v>
      </c>
      <c r="AD292" s="94">
        <f t="shared" si="283"/>
        <v>0</v>
      </c>
      <c r="AE292" s="109">
        <f t="shared" si="284"/>
        <v>0</v>
      </c>
      <c r="AF292" s="7"/>
      <c r="AG292" s="369">
        <f t="shared" si="275"/>
        <v>0</v>
      </c>
      <c r="AH292" s="368">
        <f t="shared" si="276"/>
        <v>0</v>
      </c>
      <c r="AI292" s="7"/>
      <c r="AJ292" s="369" cm="1">
        <f t="array" ref="AJ292">IFERROR(INDEX(WHT!$C$7:$W$18,MATCH(
_xlfn.SWITCH(N292,"xDC Medellin","Colombia","xDC Belo Horizonte","Brazil","xDC Guadalajara","Mexico","xDC Gurugram","India","xDC Leon","Spain","xDC San Jose","Costa Rica","xDC Warsaw","Poland",N292),
WHT!$B$7:$B$18,0),MATCH(CustomerCountry,WHT!$C$5:$W$5,0)),0)</f>
        <v>0</v>
      </c>
      <c r="AK292" s="368">
        <f t="shared" si="277"/>
        <v>0</v>
      </c>
      <c r="AL292" s="7"/>
      <c r="AM292" s="95">
        <f t="shared" si="285"/>
        <v>0</v>
      </c>
      <c r="AN292" s="95">
        <f t="shared" ca="1" si="278"/>
        <v>0</v>
      </c>
      <c r="AO292" s="95">
        <f t="shared" ca="1" si="286"/>
        <v>0</v>
      </c>
      <c r="AP292" s="90"/>
      <c r="AQ292" s="18"/>
      <c r="AR292" s="290"/>
      <c r="AS292" s="467" t="s">
        <v>133</v>
      </c>
      <c r="AT292" s="501">
        <f t="shared" ca="1" si="279"/>
        <v>0</v>
      </c>
      <c r="AU292" s="502"/>
      <c r="AV292" s="95">
        <f t="shared" ca="1" si="287"/>
        <v>0</v>
      </c>
      <c r="AW292" s="469">
        <f t="shared" ca="1" si="280"/>
        <v>0</v>
      </c>
      <c r="AX292" s="290"/>
      <c r="AY292" s="18"/>
      <c r="AZ292" s="3"/>
      <c r="BA292" s="315"/>
      <c r="BB292" s="3"/>
      <c r="BC292" s="3"/>
      <c r="BD292" s="3"/>
      <c r="BE292" s="3"/>
      <c r="BF292" s="18"/>
      <c r="BG292" s="3"/>
      <c r="BH292" s="315"/>
      <c r="BI292" s="3"/>
      <c r="BJ292" s="3"/>
      <c r="BK292" s="3"/>
      <c r="BL292" s="3"/>
      <c r="BM292" s="18"/>
      <c r="BN292" s="3"/>
      <c r="BO292" s="315"/>
      <c r="BP292" s="3"/>
      <c r="BQ292" s="3"/>
      <c r="BR292" s="3"/>
      <c r="BS292" s="3"/>
      <c r="BT292" s="18"/>
      <c r="BU292" s="3"/>
      <c r="BV292" s="315"/>
      <c r="BW292" s="3"/>
      <c r="BX292" s="3"/>
      <c r="BY292" s="3"/>
      <c r="BZ292" s="3"/>
    </row>
    <row r="293" spans="1:78" ht="15.6" outlineLevel="1">
      <c r="A293" s="7"/>
      <c r="B293" s="370"/>
      <c r="C293" s="355"/>
      <c r="D293" s="356"/>
      <c r="E293" s="342"/>
      <c r="F293" s="290"/>
      <c r="G293" s="357">
        <v>0</v>
      </c>
      <c r="H293" s="358">
        <v>0</v>
      </c>
      <c r="I293" s="358">
        <v>0</v>
      </c>
      <c r="J293" s="359">
        <f t="shared" si="281"/>
        <v>0</v>
      </c>
      <c r="K293" s="290"/>
      <c r="L293" s="349"/>
      <c r="M293" s="7"/>
      <c r="N293" s="12"/>
      <c r="O293" s="12"/>
      <c r="P293" s="12"/>
      <c r="Q293" s="361"/>
      <c r="R293" s="362"/>
      <c r="S293" s="363">
        <f t="shared" si="292"/>
        <v>0</v>
      </c>
      <c r="T293" s="364">
        <f t="shared" ref="T293" si="298">IF(ISBLANK($P293),0,IF(Approach="Team-Based",$Q293*$R293*$S293*HoursPerDayTeamBased,$J293))</f>
        <v>0</v>
      </c>
      <c r="U293" s="365">
        <v>0</v>
      </c>
      <c r="V293" s="91">
        <f>ROUNDUP(IFERROR(INDEX(CostRateTbl[Cost Rate],MATCH(_xlfn.CONCAT(N293,O293,P293,"NA"),CostRateTbl[KeyCostRate],0)),0)*BillingCurrencyTRM*(1+U293),2)</f>
        <v>0</v>
      </c>
      <c r="W293" s="92">
        <f t="shared" si="273"/>
        <v>0</v>
      </c>
      <c r="X293" s="366" t="e" cm="1">
        <f t="array" ref="X293">_xlfn.LET(
    _xlpm.valor, INDEX(CostRate!H:H, MATCH(1, (CostRate!A:A=N293)*1, 0)),
    _xlpm.posicion, MATCH(_xlpm.valor, FilterSL!$F$1:$Z$1, 0),
    _xlpm.direccionCompleta, ADDRESS(1, _xlpm.posicion + 5, 4),
    _xlpm.letraColumna, SUBSTITUTE(_xlpm.direccionCompleta, "1", ""),
    _xlpm.letraColumna
)</f>
        <v>#N/A</v>
      </c>
      <c r="Y293" s="366" t="e" cm="1">
        <f t="array" ref="Y293">_xlfn.LET(
    _xlpm.valor, INDEX(CostRate!I:I, MATCH(1, (CostRate!A:A=N293)*(CostRate!B:B=O293), 0)),
    _xlpm.posicion, MATCH(_xlpm.valor, FilterJP!$E$1:$FZ$1, 0),
    _xlpm.direccionCompleta, ADDRESS(1, _xlpm.posicion + 4, 4),
    _xlpm.letraColumna, SUBSTITUTE(_xlpm.direccionCompleta, "1", ""),
    _xlpm.letraColumna
)</f>
        <v>#N/A</v>
      </c>
      <c r="Z293" s="7"/>
      <c r="AA293" s="367"/>
      <c r="AB293" s="7"/>
      <c r="AC293" s="93">
        <f t="shared" si="274"/>
        <v>0</v>
      </c>
      <c r="AD293" s="94">
        <f t="shared" si="283"/>
        <v>0</v>
      </c>
      <c r="AE293" s="109">
        <f t="shared" si="284"/>
        <v>0</v>
      </c>
      <c r="AF293" s="7"/>
      <c r="AG293" s="369">
        <f t="shared" si="275"/>
        <v>0</v>
      </c>
      <c r="AH293" s="368">
        <f t="shared" si="276"/>
        <v>0</v>
      </c>
      <c r="AI293" s="7"/>
      <c r="AJ293" s="369" cm="1">
        <f t="array" ref="AJ293">IFERROR(INDEX(WHT!$C$7:$W$18,MATCH(
_xlfn.SWITCH(N293,"xDC Medellin","Colombia","xDC Belo Horizonte","Brazil","xDC Guadalajara","Mexico","xDC Gurugram","India","xDC Leon","Spain","xDC San Jose","Costa Rica","xDC Warsaw","Poland",N293),
WHT!$B$7:$B$18,0),MATCH(CustomerCountry,WHT!$C$5:$W$5,0)),0)</f>
        <v>0</v>
      </c>
      <c r="AK293" s="368">
        <f t="shared" si="277"/>
        <v>0</v>
      </c>
      <c r="AL293" s="7"/>
      <c r="AM293" s="95">
        <f t="shared" si="285"/>
        <v>0</v>
      </c>
      <c r="AN293" s="95">
        <f t="shared" ca="1" si="278"/>
        <v>0</v>
      </c>
      <c r="AO293" s="95">
        <f t="shared" ca="1" si="286"/>
        <v>0</v>
      </c>
      <c r="AP293" s="90"/>
      <c r="AQ293" s="18"/>
      <c r="AR293" s="290"/>
      <c r="AS293" s="467" t="s">
        <v>133</v>
      </c>
      <c r="AT293" s="501">
        <f t="shared" ca="1" si="279"/>
        <v>0</v>
      </c>
      <c r="AU293" s="502"/>
      <c r="AV293" s="95">
        <f t="shared" ca="1" si="287"/>
        <v>0</v>
      </c>
      <c r="AW293" s="469">
        <f t="shared" ca="1" si="280"/>
        <v>0</v>
      </c>
      <c r="AX293" s="290"/>
      <c r="AY293" s="18"/>
      <c r="AZ293" s="3"/>
      <c r="BA293" s="315"/>
      <c r="BB293" s="3"/>
      <c r="BC293" s="3"/>
      <c r="BD293" s="3"/>
      <c r="BE293" s="3"/>
      <c r="BF293" s="18"/>
      <c r="BG293" s="3"/>
      <c r="BH293" s="315"/>
      <c r="BI293" s="3"/>
      <c r="BJ293" s="3"/>
      <c r="BK293" s="3"/>
      <c r="BL293" s="3"/>
      <c r="BM293" s="18"/>
      <c r="BN293" s="3"/>
      <c r="BO293" s="315"/>
      <c r="BP293" s="3"/>
      <c r="BQ293" s="3"/>
      <c r="BR293" s="3"/>
      <c r="BS293" s="3"/>
      <c r="BT293" s="18"/>
      <c r="BU293" s="3"/>
      <c r="BV293" s="315"/>
      <c r="BW293" s="3"/>
      <c r="BX293" s="3"/>
      <c r="BY293" s="3"/>
      <c r="BZ293" s="3"/>
    </row>
    <row r="294" spans="1:78" ht="15.6" outlineLevel="1">
      <c r="A294" s="7"/>
      <c r="B294" s="370"/>
      <c r="C294" s="355"/>
      <c r="D294" s="356"/>
      <c r="E294" s="342"/>
      <c r="F294" s="290"/>
      <c r="G294" s="357">
        <v>0</v>
      </c>
      <c r="H294" s="358">
        <v>0</v>
      </c>
      <c r="I294" s="358">
        <v>0</v>
      </c>
      <c r="J294" s="359">
        <f t="shared" si="281"/>
        <v>0</v>
      </c>
      <c r="K294" s="290"/>
      <c r="L294" s="349"/>
      <c r="M294" s="7"/>
      <c r="N294" s="12"/>
      <c r="O294" s="12"/>
      <c r="P294" s="12"/>
      <c r="Q294" s="361"/>
      <c r="R294" s="362"/>
      <c r="S294" s="363">
        <f t="shared" si="292"/>
        <v>0</v>
      </c>
      <c r="T294" s="364">
        <f t="shared" ref="T294" si="299">IF(ISBLANK($P294),0,IF(Approach="Team-Based",$Q294*$R294*$S294*HoursPerDayTeamBased,$J294))</f>
        <v>0</v>
      </c>
      <c r="U294" s="365">
        <v>0</v>
      </c>
      <c r="V294" s="91">
        <f>ROUNDUP(IFERROR(INDEX(CostRateTbl[Cost Rate],MATCH(_xlfn.CONCAT(N294,O294,P294,"NA"),CostRateTbl[KeyCostRate],0)),0)*BillingCurrencyTRM*(1+U294),2)</f>
        <v>0</v>
      </c>
      <c r="W294" s="92">
        <f t="shared" si="273"/>
        <v>0</v>
      </c>
      <c r="X294" s="366" t="e" cm="1">
        <f t="array" ref="X294">_xlfn.LET(
    _xlpm.valor, INDEX(CostRate!H:H, MATCH(1, (CostRate!A:A=N294)*1, 0)),
    _xlpm.posicion, MATCH(_xlpm.valor, FilterSL!$F$1:$Z$1, 0),
    _xlpm.direccionCompleta, ADDRESS(1, _xlpm.posicion + 5, 4),
    _xlpm.letraColumna, SUBSTITUTE(_xlpm.direccionCompleta, "1", ""),
    _xlpm.letraColumna
)</f>
        <v>#N/A</v>
      </c>
      <c r="Y294" s="366" t="e" cm="1">
        <f t="array" ref="Y294">_xlfn.LET(
    _xlpm.valor, INDEX(CostRate!I:I, MATCH(1, (CostRate!A:A=N294)*(CostRate!B:B=O294), 0)),
    _xlpm.posicion, MATCH(_xlpm.valor, FilterJP!$E$1:$FZ$1, 0),
    _xlpm.direccionCompleta, ADDRESS(1, _xlpm.posicion + 4, 4),
    _xlpm.letraColumna, SUBSTITUTE(_xlpm.direccionCompleta, "1", ""),
    _xlpm.letraColumna
)</f>
        <v>#N/A</v>
      </c>
      <c r="Z294" s="7"/>
      <c r="AA294" s="367"/>
      <c r="AB294" s="7"/>
      <c r="AC294" s="93">
        <f t="shared" si="274"/>
        <v>0</v>
      </c>
      <c r="AD294" s="94">
        <f t="shared" si="283"/>
        <v>0</v>
      </c>
      <c r="AE294" s="109">
        <f t="shared" si="284"/>
        <v>0</v>
      </c>
      <c r="AF294" s="7"/>
      <c r="AG294" s="369">
        <f t="shared" si="275"/>
        <v>0</v>
      </c>
      <c r="AH294" s="368">
        <f t="shared" si="276"/>
        <v>0</v>
      </c>
      <c r="AI294" s="7"/>
      <c r="AJ294" s="369" cm="1">
        <f t="array" ref="AJ294">IFERROR(INDEX(WHT!$C$7:$W$18,MATCH(
_xlfn.SWITCH(N294,"xDC Medellin","Colombia","xDC Belo Horizonte","Brazil","xDC Guadalajara","Mexico","xDC Gurugram","India","xDC Leon","Spain","xDC San Jose","Costa Rica","xDC Warsaw","Poland",N294),
WHT!$B$7:$B$18,0),MATCH(CustomerCountry,WHT!$C$5:$W$5,0)),0)</f>
        <v>0</v>
      </c>
      <c r="AK294" s="368">
        <f t="shared" si="277"/>
        <v>0</v>
      </c>
      <c r="AL294" s="7"/>
      <c r="AM294" s="95">
        <f t="shared" si="285"/>
        <v>0</v>
      </c>
      <c r="AN294" s="95">
        <f t="shared" ca="1" si="278"/>
        <v>0</v>
      </c>
      <c r="AO294" s="95">
        <f t="shared" ca="1" si="286"/>
        <v>0</v>
      </c>
      <c r="AP294" s="90"/>
      <c r="AQ294" s="18"/>
      <c r="AR294" s="290"/>
      <c r="AS294" s="467" t="s">
        <v>133</v>
      </c>
      <c r="AT294" s="501">
        <f t="shared" ca="1" si="279"/>
        <v>0</v>
      </c>
      <c r="AU294" s="502"/>
      <c r="AV294" s="95">
        <f t="shared" ca="1" si="287"/>
        <v>0</v>
      </c>
      <c r="AW294" s="469">
        <f t="shared" ca="1" si="280"/>
        <v>0</v>
      </c>
      <c r="AX294" s="290"/>
      <c r="AY294" s="18"/>
      <c r="AZ294" s="3"/>
      <c r="BA294" s="315"/>
      <c r="BB294" s="3"/>
      <c r="BC294" s="3"/>
      <c r="BD294" s="3"/>
      <c r="BE294" s="3"/>
      <c r="BF294" s="18"/>
      <c r="BG294" s="3"/>
      <c r="BH294" s="315"/>
      <c r="BI294" s="3"/>
      <c r="BJ294" s="3"/>
      <c r="BK294" s="3"/>
      <c r="BL294" s="3"/>
      <c r="BM294" s="18"/>
      <c r="BN294" s="3"/>
      <c r="BO294" s="315"/>
      <c r="BP294" s="3"/>
      <c r="BQ294" s="3"/>
      <c r="BR294" s="3"/>
      <c r="BS294" s="3"/>
      <c r="BT294" s="18"/>
      <c r="BU294" s="3"/>
      <c r="BV294" s="315"/>
      <c r="BW294" s="3"/>
      <c r="BX294" s="3"/>
      <c r="BY294" s="3"/>
      <c r="BZ294" s="3"/>
    </row>
    <row r="295" spans="1:78" ht="15.6" outlineLevel="1">
      <c r="A295" s="7"/>
      <c r="B295" s="370"/>
      <c r="C295" s="355"/>
      <c r="D295" s="356"/>
      <c r="E295" s="342"/>
      <c r="F295" s="290"/>
      <c r="G295" s="357">
        <v>0</v>
      </c>
      <c r="H295" s="358">
        <v>0</v>
      </c>
      <c r="I295" s="358">
        <v>0</v>
      </c>
      <c r="J295" s="359">
        <f t="shared" si="281"/>
        <v>0</v>
      </c>
      <c r="K295" s="290"/>
      <c r="L295" s="349"/>
      <c r="M295" s="7"/>
      <c r="N295" s="12"/>
      <c r="O295" s="12"/>
      <c r="P295" s="12"/>
      <c r="Q295" s="361"/>
      <c r="R295" s="362"/>
      <c r="S295" s="363">
        <f t="shared" si="292"/>
        <v>0</v>
      </c>
      <c r="T295" s="364">
        <f t="shared" ref="T295" si="300">IF(ISBLANK($P295),0,IF(Approach="Team-Based",$Q295*$R295*$S295*HoursPerDayTeamBased,$J295))</f>
        <v>0</v>
      </c>
      <c r="U295" s="365">
        <v>0</v>
      </c>
      <c r="V295" s="91">
        <f>ROUNDUP(IFERROR(INDEX(CostRateTbl[Cost Rate],MATCH(_xlfn.CONCAT(N295,O295,P295,"NA"),CostRateTbl[KeyCostRate],0)),0)*BillingCurrencyTRM*(1+U295),2)</f>
        <v>0</v>
      </c>
      <c r="W295" s="92">
        <f t="shared" si="273"/>
        <v>0</v>
      </c>
      <c r="X295" s="366" t="e" cm="1">
        <f t="array" ref="X295">_xlfn.LET(
    _xlpm.valor, INDEX(CostRate!H:H, MATCH(1, (CostRate!A:A=N295)*1, 0)),
    _xlpm.posicion, MATCH(_xlpm.valor, FilterSL!$F$1:$Z$1, 0),
    _xlpm.direccionCompleta, ADDRESS(1, _xlpm.posicion + 5, 4),
    _xlpm.letraColumna, SUBSTITUTE(_xlpm.direccionCompleta, "1", ""),
    _xlpm.letraColumna
)</f>
        <v>#N/A</v>
      </c>
      <c r="Y295" s="366" t="e" cm="1">
        <f t="array" ref="Y295">_xlfn.LET(
    _xlpm.valor, INDEX(CostRate!I:I, MATCH(1, (CostRate!A:A=N295)*(CostRate!B:B=O295), 0)),
    _xlpm.posicion, MATCH(_xlpm.valor, FilterJP!$E$1:$FZ$1, 0),
    _xlpm.direccionCompleta, ADDRESS(1, _xlpm.posicion + 4, 4),
    _xlpm.letraColumna, SUBSTITUTE(_xlpm.direccionCompleta, "1", ""),
    _xlpm.letraColumna
)</f>
        <v>#N/A</v>
      </c>
      <c r="Z295" s="7"/>
      <c r="AA295" s="367"/>
      <c r="AB295" s="7"/>
      <c r="AC295" s="93">
        <f t="shared" si="274"/>
        <v>0</v>
      </c>
      <c r="AD295" s="94">
        <f t="shared" si="283"/>
        <v>0</v>
      </c>
      <c r="AE295" s="109">
        <f t="shared" si="284"/>
        <v>0</v>
      </c>
      <c r="AF295" s="7"/>
      <c r="AG295" s="369">
        <f t="shared" si="275"/>
        <v>0</v>
      </c>
      <c r="AH295" s="368">
        <f t="shared" si="276"/>
        <v>0</v>
      </c>
      <c r="AI295" s="7"/>
      <c r="AJ295" s="369" cm="1">
        <f t="array" ref="AJ295">IFERROR(INDEX(WHT!$C$7:$W$18,MATCH(
_xlfn.SWITCH(N295,"xDC Medellin","Colombia","xDC Belo Horizonte","Brazil","xDC Guadalajara","Mexico","xDC Gurugram","India","xDC Leon","Spain","xDC San Jose","Costa Rica","xDC Warsaw","Poland",N295),
WHT!$B$7:$B$18,0),MATCH(CustomerCountry,WHT!$C$5:$W$5,0)),0)</f>
        <v>0</v>
      </c>
      <c r="AK295" s="368">
        <f t="shared" si="277"/>
        <v>0</v>
      </c>
      <c r="AL295" s="7"/>
      <c r="AM295" s="95">
        <f t="shared" si="285"/>
        <v>0</v>
      </c>
      <c r="AN295" s="95">
        <f t="shared" ca="1" si="278"/>
        <v>0</v>
      </c>
      <c r="AO295" s="95">
        <f t="shared" ca="1" si="286"/>
        <v>0</v>
      </c>
      <c r="AP295" s="90"/>
      <c r="AQ295" s="18"/>
      <c r="AR295" s="290"/>
      <c r="AS295" s="467" t="s">
        <v>133</v>
      </c>
      <c r="AT295" s="501">
        <f t="shared" ca="1" si="279"/>
        <v>0</v>
      </c>
      <c r="AU295" s="502"/>
      <c r="AV295" s="95">
        <f t="shared" ca="1" si="287"/>
        <v>0</v>
      </c>
      <c r="AW295" s="469">
        <f t="shared" ca="1" si="280"/>
        <v>0</v>
      </c>
      <c r="AX295" s="290"/>
      <c r="AY295" s="18"/>
      <c r="AZ295" s="3"/>
      <c r="BA295" s="315"/>
      <c r="BB295" s="3"/>
      <c r="BC295" s="3"/>
      <c r="BD295" s="3"/>
      <c r="BE295" s="3"/>
      <c r="BF295" s="18"/>
      <c r="BG295" s="3"/>
      <c r="BH295" s="315"/>
      <c r="BI295" s="3"/>
      <c r="BJ295" s="3"/>
      <c r="BK295" s="3"/>
      <c r="BL295" s="3"/>
      <c r="BM295" s="18"/>
      <c r="BN295" s="3"/>
      <c r="BO295" s="315"/>
      <c r="BP295" s="3"/>
      <c r="BQ295" s="3"/>
      <c r="BR295" s="3"/>
      <c r="BS295" s="3"/>
      <c r="BT295" s="18"/>
      <c r="BU295" s="3"/>
      <c r="BV295" s="315"/>
      <c r="BW295" s="3"/>
      <c r="BX295" s="3"/>
      <c r="BY295" s="3"/>
      <c r="BZ295" s="3"/>
    </row>
    <row r="296" spans="1:78" ht="15.6" outlineLevel="1">
      <c r="A296" s="7"/>
      <c r="B296" s="370"/>
      <c r="C296" s="355"/>
      <c r="D296" s="356"/>
      <c r="E296" s="342"/>
      <c r="F296" s="290"/>
      <c r="G296" s="357">
        <v>0</v>
      </c>
      <c r="H296" s="358">
        <v>0</v>
      </c>
      <c r="I296" s="358">
        <v>0</v>
      </c>
      <c r="J296" s="359">
        <f t="shared" si="281"/>
        <v>0</v>
      </c>
      <c r="K296" s="290"/>
      <c r="L296" s="349"/>
      <c r="M296" s="7"/>
      <c r="N296" s="12"/>
      <c r="O296" s="12"/>
      <c r="P296" s="12"/>
      <c r="Q296" s="361"/>
      <c r="R296" s="362"/>
      <c r="S296" s="363">
        <f t="shared" si="292"/>
        <v>0</v>
      </c>
      <c r="T296" s="364">
        <f t="shared" ref="T296" si="301">IF(ISBLANK($P296),0,IF(Approach="Team-Based",$Q296*$R296*$S296*HoursPerDayTeamBased,$J296))</f>
        <v>0</v>
      </c>
      <c r="U296" s="365">
        <v>0</v>
      </c>
      <c r="V296" s="91">
        <f>ROUNDUP(IFERROR(INDEX(CostRateTbl[Cost Rate],MATCH(_xlfn.CONCAT(N296,O296,P296,"NA"),CostRateTbl[KeyCostRate],0)),0)*BillingCurrencyTRM*(1+U296),2)</f>
        <v>0</v>
      </c>
      <c r="W296" s="92">
        <f t="shared" si="273"/>
        <v>0</v>
      </c>
      <c r="X296" s="366" t="e" cm="1">
        <f t="array" ref="X296">_xlfn.LET(
    _xlpm.valor, INDEX(CostRate!H:H, MATCH(1, (CostRate!A:A=N296)*1, 0)),
    _xlpm.posicion, MATCH(_xlpm.valor, FilterSL!$F$1:$Z$1, 0),
    _xlpm.direccionCompleta, ADDRESS(1, _xlpm.posicion + 5, 4),
    _xlpm.letraColumna, SUBSTITUTE(_xlpm.direccionCompleta, "1", ""),
    _xlpm.letraColumna
)</f>
        <v>#N/A</v>
      </c>
      <c r="Y296" s="366" t="e" cm="1">
        <f t="array" ref="Y296">_xlfn.LET(
    _xlpm.valor, INDEX(CostRate!I:I, MATCH(1, (CostRate!A:A=N296)*(CostRate!B:B=O296), 0)),
    _xlpm.posicion, MATCH(_xlpm.valor, FilterJP!$E$1:$FZ$1, 0),
    _xlpm.direccionCompleta, ADDRESS(1, _xlpm.posicion + 4, 4),
    _xlpm.letraColumna, SUBSTITUTE(_xlpm.direccionCompleta, "1", ""),
    _xlpm.letraColumna
)</f>
        <v>#N/A</v>
      </c>
      <c r="Z296" s="7"/>
      <c r="AA296" s="367"/>
      <c r="AB296" s="7"/>
      <c r="AC296" s="93">
        <f t="shared" si="274"/>
        <v>0</v>
      </c>
      <c r="AD296" s="94">
        <f t="shared" si="283"/>
        <v>0</v>
      </c>
      <c r="AE296" s="109">
        <f t="shared" si="284"/>
        <v>0</v>
      </c>
      <c r="AF296" s="7"/>
      <c r="AG296" s="369">
        <f t="shared" si="275"/>
        <v>0</v>
      </c>
      <c r="AH296" s="368">
        <f t="shared" si="276"/>
        <v>0</v>
      </c>
      <c r="AI296" s="7"/>
      <c r="AJ296" s="369" cm="1">
        <f t="array" ref="AJ296">IFERROR(INDEX(WHT!$C$7:$W$18,MATCH(
_xlfn.SWITCH(N296,"xDC Medellin","Colombia","xDC Belo Horizonte","Brazil","xDC Guadalajara","Mexico","xDC Gurugram","India","xDC Leon","Spain","xDC San Jose","Costa Rica","xDC Warsaw","Poland",N296),
WHT!$B$7:$B$18,0),MATCH(CustomerCountry,WHT!$C$5:$W$5,0)),0)</f>
        <v>0</v>
      </c>
      <c r="AK296" s="368">
        <f t="shared" si="277"/>
        <v>0</v>
      </c>
      <c r="AL296" s="7"/>
      <c r="AM296" s="95">
        <f t="shared" si="285"/>
        <v>0</v>
      </c>
      <c r="AN296" s="95">
        <f t="shared" ca="1" si="278"/>
        <v>0</v>
      </c>
      <c r="AO296" s="95">
        <f t="shared" ca="1" si="286"/>
        <v>0</v>
      </c>
      <c r="AP296" s="90"/>
      <c r="AQ296" s="18"/>
      <c r="AR296" s="290"/>
      <c r="AS296" s="467" t="s">
        <v>133</v>
      </c>
      <c r="AT296" s="501">
        <f t="shared" ca="1" si="279"/>
        <v>0</v>
      </c>
      <c r="AU296" s="502"/>
      <c r="AV296" s="95">
        <f t="shared" ca="1" si="287"/>
        <v>0</v>
      </c>
      <c r="AW296" s="469">
        <f t="shared" ca="1" si="280"/>
        <v>0</v>
      </c>
      <c r="AX296" s="290"/>
      <c r="AY296" s="18"/>
      <c r="AZ296" s="3"/>
      <c r="BA296" s="315"/>
      <c r="BB296" s="3"/>
      <c r="BC296" s="3"/>
      <c r="BD296" s="3"/>
      <c r="BE296" s="3"/>
      <c r="BF296" s="18"/>
      <c r="BG296" s="3"/>
      <c r="BH296" s="315"/>
      <c r="BI296" s="3"/>
      <c r="BJ296" s="3"/>
      <c r="BK296" s="3"/>
      <c r="BL296" s="3"/>
      <c r="BM296" s="18"/>
      <c r="BN296" s="3"/>
      <c r="BO296" s="315"/>
      <c r="BP296" s="3"/>
      <c r="BQ296" s="3"/>
      <c r="BR296" s="3"/>
      <c r="BS296" s="3"/>
      <c r="BT296" s="18"/>
      <c r="BU296" s="3"/>
      <c r="BV296" s="315"/>
      <c r="BW296" s="3"/>
      <c r="BX296" s="3"/>
      <c r="BY296" s="3"/>
      <c r="BZ296" s="3"/>
    </row>
    <row r="297" spans="1:78" ht="15.6" outlineLevel="1">
      <c r="A297" s="7"/>
      <c r="B297" s="370"/>
      <c r="C297" s="355"/>
      <c r="D297" s="356"/>
      <c r="E297" s="342"/>
      <c r="F297" s="290"/>
      <c r="G297" s="357">
        <v>0</v>
      </c>
      <c r="H297" s="358">
        <v>0</v>
      </c>
      <c r="I297" s="358">
        <v>0</v>
      </c>
      <c r="J297" s="359">
        <f t="shared" si="281"/>
        <v>0</v>
      </c>
      <c r="K297" s="290"/>
      <c r="L297" s="349"/>
      <c r="M297" s="7"/>
      <c r="N297" s="12"/>
      <c r="O297" s="12"/>
      <c r="P297" s="12"/>
      <c r="Q297" s="361"/>
      <c r="R297" s="362"/>
      <c r="S297" s="363">
        <f t="shared" si="292"/>
        <v>0</v>
      </c>
      <c r="T297" s="364">
        <f t="shared" ref="T297" si="302">IF(ISBLANK($P297),0,IF(Approach="Team-Based",$Q297*$R297*$S297*HoursPerDayTeamBased,$J297))</f>
        <v>0</v>
      </c>
      <c r="U297" s="365">
        <v>0</v>
      </c>
      <c r="V297" s="91">
        <f>ROUNDUP(IFERROR(INDEX(CostRateTbl[Cost Rate],MATCH(_xlfn.CONCAT(N297,O297,P297,"NA"),CostRateTbl[KeyCostRate],0)),0)*BillingCurrencyTRM*(1+U297),2)</f>
        <v>0</v>
      </c>
      <c r="W297" s="92">
        <f t="shared" si="273"/>
        <v>0</v>
      </c>
      <c r="X297" s="366" t="e" cm="1">
        <f t="array" ref="X297">_xlfn.LET(
    _xlpm.valor, INDEX(CostRate!H:H, MATCH(1, (CostRate!A:A=N297)*1, 0)),
    _xlpm.posicion, MATCH(_xlpm.valor, FilterSL!$F$1:$Z$1, 0),
    _xlpm.direccionCompleta, ADDRESS(1, _xlpm.posicion + 5, 4),
    _xlpm.letraColumna, SUBSTITUTE(_xlpm.direccionCompleta, "1", ""),
    _xlpm.letraColumna
)</f>
        <v>#N/A</v>
      </c>
      <c r="Y297" s="366" t="e" cm="1">
        <f t="array" ref="Y297">_xlfn.LET(
    _xlpm.valor, INDEX(CostRate!I:I, MATCH(1, (CostRate!A:A=N297)*(CostRate!B:B=O297), 0)),
    _xlpm.posicion, MATCH(_xlpm.valor, FilterJP!$E$1:$FZ$1, 0),
    _xlpm.direccionCompleta, ADDRESS(1, _xlpm.posicion + 4, 4),
    _xlpm.letraColumna, SUBSTITUTE(_xlpm.direccionCompleta, "1", ""),
    _xlpm.letraColumna
)</f>
        <v>#N/A</v>
      </c>
      <c r="Z297" s="7"/>
      <c r="AA297" s="367"/>
      <c r="AB297" s="7"/>
      <c r="AC297" s="93">
        <f t="shared" si="274"/>
        <v>0</v>
      </c>
      <c r="AD297" s="94">
        <f t="shared" si="283"/>
        <v>0</v>
      </c>
      <c r="AE297" s="109">
        <f t="shared" si="284"/>
        <v>0</v>
      </c>
      <c r="AF297" s="7"/>
      <c r="AG297" s="369">
        <f t="shared" si="275"/>
        <v>0</v>
      </c>
      <c r="AH297" s="368">
        <f t="shared" si="276"/>
        <v>0</v>
      </c>
      <c r="AI297" s="7"/>
      <c r="AJ297" s="369" cm="1">
        <f t="array" ref="AJ297">IFERROR(INDEX(WHT!$C$7:$W$18,MATCH(
_xlfn.SWITCH(N297,"xDC Medellin","Colombia","xDC Belo Horizonte","Brazil","xDC Guadalajara","Mexico","xDC Gurugram","India","xDC Leon","Spain","xDC San Jose","Costa Rica","xDC Warsaw","Poland",N297),
WHT!$B$7:$B$18,0),MATCH(CustomerCountry,WHT!$C$5:$W$5,0)),0)</f>
        <v>0</v>
      </c>
      <c r="AK297" s="368">
        <f t="shared" si="277"/>
        <v>0</v>
      </c>
      <c r="AL297" s="7"/>
      <c r="AM297" s="95">
        <f t="shared" si="285"/>
        <v>0</v>
      </c>
      <c r="AN297" s="95">
        <f t="shared" ca="1" si="278"/>
        <v>0</v>
      </c>
      <c r="AO297" s="95">
        <f t="shared" ca="1" si="286"/>
        <v>0</v>
      </c>
      <c r="AP297" s="90"/>
      <c r="AQ297" s="18"/>
      <c r="AR297" s="290"/>
      <c r="AS297" s="467" t="s">
        <v>133</v>
      </c>
      <c r="AT297" s="501">
        <f t="shared" ca="1" si="279"/>
        <v>0</v>
      </c>
      <c r="AU297" s="502"/>
      <c r="AV297" s="95">
        <f t="shared" ca="1" si="287"/>
        <v>0</v>
      </c>
      <c r="AW297" s="469">
        <f t="shared" ca="1" si="280"/>
        <v>0</v>
      </c>
      <c r="AX297" s="290"/>
      <c r="AY297" s="18"/>
      <c r="AZ297" s="3"/>
      <c r="BA297" s="315"/>
      <c r="BB297" s="3"/>
      <c r="BC297" s="3"/>
      <c r="BD297" s="3"/>
      <c r="BE297" s="3"/>
      <c r="BF297" s="18"/>
      <c r="BG297" s="3"/>
      <c r="BH297" s="315"/>
      <c r="BI297" s="3"/>
      <c r="BJ297" s="3"/>
      <c r="BK297" s="3"/>
      <c r="BL297" s="3"/>
      <c r="BM297" s="18"/>
      <c r="BN297" s="3"/>
      <c r="BO297" s="315"/>
      <c r="BP297" s="3"/>
      <c r="BQ297" s="3"/>
      <c r="BR297" s="3"/>
      <c r="BS297" s="3"/>
      <c r="BT297" s="18"/>
      <c r="BU297" s="3"/>
      <c r="BV297" s="315"/>
      <c r="BW297" s="3"/>
      <c r="BX297" s="3"/>
      <c r="BY297" s="3"/>
      <c r="BZ297" s="3"/>
    </row>
    <row r="298" spans="1:78" ht="15.6" outlineLevel="1">
      <c r="A298" s="7"/>
      <c r="B298" s="370"/>
      <c r="C298" s="355"/>
      <c r="D298" s="356"/>
      <c r="E298" s="342"/>
      <c r="F298" s="290"/>
      <c r="G298" s="357">
        <v>0</v>
      </c>
      <c r="H298" s="358">
        <v>0</v>
      </c>
      <c r="I298" s="358">
        <v>0</v>
      </c>
      <c r="J298" s="359">
        <f t="shared" si="281"/>
        <v>0</v>
      </c>
      <c r="K298" s="290"/>
      <c r="L298" s="349"/>
      <c r="M298" s="7"/>
      <c r="N298" s="12"/>
      <c r="O298" s="12"/>
      <c r="P298" s="12"/>
      <c r="Q298" s="361"/>
      <c r="R298" s="362"/>
      <c r="S298" s="363">
        <f t="shared" si="292"/>
        <v>0</v>
      </c>
      <c r="T298" s="364">
        <f t="shared" ref="T298" si="303">IF(ISBLANK($P298),0,IF(Approach="Team-Based",$Q298*$R298*$S298*HoursPerDayTeamBased,$J298))</f>
        <v>0</v>
      </c>
      <c r="U298" s="365">
        <v>0</v>
      </c>
      <c r="V298" s="91">
        <f>ROUNDUP(IFERROR(INDEX(CostRateTbl[Cost Rate],MATCH(_xlfn.CONCAT(N298,O298,P298,"NA"),CostRateTbl[KeyCostRate],0)),0)*BillingCurrencyTRM*(1+U298),2)</f>
        <v>0</v>
      </c>
      <c r="W298" s="92">
        <f t="shared" si="273"/>
        <v>0</v>
      </c>
      <c r="X298" s="366" t="e" cm="1">
        <f t="array" ref="X298">_xlfn.LET(
    _xlpm.valor, INDEX(CostRate!H:H, MATCH(1, (CostRate!A:A=N298)*1, 0)),
    _xlpm.posicion, MATCH(_xlpm.valor, FilterSL!$F$1:$Z$1, 0),
    _xlpm.direccionCompleta, ADDRESS(1, _xlpm.posicion + 5, 4),
    _xlpm.letraColumna, SUBSTITUTE(_xlpm.direccionCompleta, "1", ""),
    _xlpm.letraColumna
)</f>
        <v>#N/A</v>
      </c>
      <c r="Y298" s="366" t="e" cm="1">
        <f t="array" ref="Y298">_xlfn.LET(
    _xlpm.valor, INDEX(CostRate!I:I, MATCH(1, (CostRate!A:A=N298)*(CostRate!B:B=O298), 0)),
    _xlpm.posicion, MATCH(_xlpm.valor, FilterJP!$E$1:$FZ$1, 0),
    _xlpm.direccionCompleta, ADDRESS(1, _xlpm.posicion + 4, 4),
    _xlpm.letraColumna, SUBSTITUTE(_xlpm.direccionCompleta, "1", ""),
    _xlpm.letraColumna
)</f>
        <v>#N/A</v>
      </c>
      <c r="Z298" s="7"/>
      <c r="AA298" s="367"/>
      <c r="AB298" s="7"/>
      <c r="AC298" s="93">
        <f t="shared" si="274"/>
        <v>0</v>
      </c>
      <c r="AD298" s="94">
        <f t="shared" si="283"/>
        <v>0</v>
      </c>
      <c r="AE298" s="109">
        <f t="shared" si="284"/>
        <v>0</v>
      </c>
      <c r="AF298" s="7"/>
      <c r="AG298" s="369">
        <f t="shared" si="275"/>
        <v>0</v>
      </c>
      <c r="AH298" s="368">
        <f t="shared" si="276"/>
        <v>0</v>
      </c>
      <c r="AI298" s="7"/>
      <c r="AJ298" s="369" cm="1">
        <f t="array" ref="AJ298">IFERROR(INDEX(WHT!$C$7:$W$18,MATCH(
_xlfn.SWITCH(N298,"xDC Medellin","Colombia","xDC Belo Horizonte","Brazil","xDC Guadalajara","Mexico","xDC Gurugram","India","xDC Leon","Spain","xDC San Jose","Costa Rica","xDC Warsaw","Poland",N298),
WHT!$B$7:$B$18,0),MATCH(CustomerCountry,WHT!$C$5:$W$5,0)),0)</f>
        <v>0</v>
      </c>
      <c r="AK298" s="368">
        <f t="shared" si="277"/>
        <v>0</v>
      </c>
      <c r="AL298" s="7"/>
      <c r="AM298" s="95">
        <f t="shared" si="285"/>
        <v>0</v>
      </c>
      <c r="AN298" s="95">
        <f t="shared" ca="1" si="278"/>
        <v>0</v>
      </c>
      <c r="AO298" s="95">
        <f t="shared" ca="1" si="286"/>
        <v>0</v>
      </c>
      <c r="AP298" s="90"/>
      <c r="AQ298" s="18"/>
      <c r="AR298" s="290"/>
      <c r="AS298" s="467" t="s">
        <v>133</v>
      </c>
      <c r="AT298" s="501">
        <f t="shared" ca="1" si="279"/>
        <v>0</v>
      </c>
      <c r="AU298" s="502"/>
      <c r="AV298" s="95">
        <f t="shared" ca="1" si="287"/>
        <v>0</v>
      </c>
      <c r="AW298" s="469">
        <f t="shared" ca="1" si="280"/>
        <v>0</v>
      </c>
      <c r="AX298" s="290"/>
      <c r="AY298" s="18"/>
      <c r="AZ298" s="3"/>
      <c r="BA298" s="315"/>
      <c r="BB298" s="3"/>
      <c r="BC298" s="3"/>
      <c r="BD298" s="3"/>
      <c r="BE298" s="3"/>
      <c r="BF298" s="18"/>
      <c r="BG298" s="3"/>
      <c r="BH298" s="315"/>
      <c r="BI298" s="3"/>
      <c r="BJ298" s="3"/>
      <c r="BK298" s="3"/>
      <c r="BL298" s="3"/>
      <c r="BM298" s="18"/>
      <c r="BN298" s="3"/>
      <c r="BO298" s="315"/>
      <c r="BP298" s="3"/>
      <c r="BQ298" s="3"/>
      <c r="BR298" s="3"/>
      <c r="BS298" s="3"/>
      <c r="BT298" s="18"/>
      <c r="BU298" s="3"/>
      <c r="BV298" s="315"/>
      <c r="BW298" s="3"/>
      <c r="BX298" s="3"/>
      <c r="BY298" s="3"/>
      <c r="BZ298" s="3"/>
    </row>
    <row r="299" spans="1:78" ht="15.6" outlineLevel="1">
      <c r="A299" s="7"/>
      <c r="B299" s="370"/>
      <c r="C299" s="355"/>
      <c r="D299" s="356"/>
      <c r="E299" s="342"/>
      <c r="F299" s="290"/>
      <c r="G299" s="357">
        <v>0</v>
      </c>
      <c r="H299" s="358">
        <v>0</v>
      </c>
      <c r="I299" s="358">
        <v>0</v>
      </c>
      <c r="J299" s="359">
        <f t="shared" si="281"/>
        <v>0</v>
      </c>
      <c r="K299" s="290"/>
      <c r="L299" s="349"/>
      <c r="M299" s="7"/>
      <c r="N299" s="12"/>
      <c r="O299" s="12"/>
      <c r="P299" s="12"/>
      <c r="Q299" s="361"/>
      <c r="R299" s="362"/>
      <c r="S299" s="363">
        <f t="shared" si="292"/>
        <v>0</v>
      </c>
      <c r="T299" s="364">
        <f t="shared" ref="T299" si="304">IF(ISBLANK($P299),0,IF(Approach="Team-Based",$Q299*$R299*$S299*HoursPerDayTeamBased,$J299))</f>
        <v>0</v>
      </c>
      <c r="U299" s="365">
        <v>0</v>
      </c>
      <c r="V299" s="91">
        <f>ROUNDUP(IFERROR(INDEX(CostRateTbl[Cost Rate],MATCH(_xlfn.CONCAT(N299,O299,P299,"NA"),CostRateTbl[KeyCostRate],0)),0)*BillingCurrencyTRM*(1+U299),2)</f>
        <v>0</v>
      </c>
      <c r="W299" s="92">
        <f t="shared" si="273"/>
        <v>0</v>
      </c>
      <c r="X299" s="366" t="e" cm="1">
        <f t="array" ref="X299">_xlfn.LET(
    _xlpm.valor, INDEX(CostRate!H:H, MATCH(1, (CostRate!A:A=N299)*1, 0)),
    _xlpm.posicion, MATCH(_xlpm.valor, FilterSL!$F$1:$Z$1, 0),
    _xlpm.direccionCompleta, ADDRESS(1, _xlpm.posicion + 5, 4),
    _xlpm.letraColumna, SUBSTITUTE(_xlpm.direccionCompleta, "1", ""),
    _xlpm.letraColumna
)</f>
        <v>#N/A</v>
      </c>
      <c r="Y299" s="366" t="e" cm="1">
        <f t="array" ref="Y299">_xlfn.LET(
    _xlpm.valor, INDEX(CostRate!I:I, MATCH(1, (CostRate!A:A=N299)*(CostRate!B:B=O299), 0)),
    _xlpm.posicion, MATCH(_xlpm.valor, FilterJP!$E$1:$FZ$1, 0),
    _xlpm.direccionCompleta, ADDRESS(1, _xlpm.posicion + 4, 4),
    _xlpm.letraColumna, SUBSTITUTE(_xlpm.direccionCompleta, "1", ""),
    _xlpm.letraColumna
)</f>
        <v>#N/A</v>
      </c>
      <c r="Z299" s="7"/>
      <c r="AA299" s="367"/>
      <c r="AB299" s="7"/>
      <c r="AC299" s="93">
        <f t="shared" si="274"/>
        <v>0</v>
      </c>
      <c r="AD299" s="94">
        <f t="shared" si="283"/>
        <v>0</v>
      </c>
      <c r="AE299" s="109">
        <f t="shared" si="284"/>
        <v>0</v>
      </c>
      <c r="AF299" s="7"/>
      <c r="AG299" s="369">
        <f t="shared" si="275"/>
        <v>0</v>
      </c>
      <c r="AH299" s="368">
        <f t="shared" si="276"/>
        <v>0</v>
      </c>
      <c r="AI299" s="7"/>
      <c r="AJ299" s="369" cm="1">
        <f t="array" ref="AJ299">IFERROR(INDEX(WHT!$C$7:$W$18,MATCH(
_xlfn.SWITCH(N299,"xDC Medellin","Colombia","xDC Belo Horizonte","Brazil","xDC Guadalajara","Mexico","xDC Gurugram","India","xDC Leon","Spain","xDC San Jose","Costa Rica","xDC Warsaw","Poland",N299),
WHT!$B$7:$B$18,0),MATCH(CustomerCountry,WHT!$C$5:$W$5,0)),0)</f>
        <v>0</v>
      </c>
      <c r="AK299" s="368">
        <f t="shared" si="277"/>
        <v>0</v>
      </c>
      <c r="AL299" s="7"/>
      <c r="AM299" s="95">
        <f t="shared" si="285"/>
        <v>0</v>
      </c>
      <c r="AN299" s="95">
        <f t="shared" ca="1" si="278"/>
        <v>0</v>
      </c>
      <c r="AO299" s="95">
        <f t="shared" ca="1" si="286"/>
        <v>0</v>
      </c>
      <c r="AP299" s="90"/>
      <c r="AQ299" s="18"/>
      <c r="AR299" s="290"/>
      <c r="AS299" s="467" t="s">
        <v>133</v>
      </c>
      <c r="AT299" s="501">
        <f t="shared" ca="1" si="279"/>
        <v>0</v>
      </c>
      <c r="AU299" s="502"/>
      <c r="AV299" s="95">
        <f t="shared" ca="1" si="287"/>
        <v>0</v>
      </c>
      <c r="AW299" s="469">
        <f t="shared" ca="1" si="280"/>
        <v>0</v>
      </c>
      <c r="AX299" s="290"/>
      <c r="AY299" s="18"/>
      <c r="AZ299" s="3"/>
      <c r="BA299" s="315"/>
      <c r="BB299" s="3"/>
      <c r="BC299" s="3"/>
      <c r="BD299" s="3"/>
      <c r="BE299" s="3"/>
      <c r="BF299" s="18"/>
      <c r="BG299" s="3"/>
      <c r="BH299" s="315"/>
      <c r="BI299" s="3"/>
      <c r="BJ299" s="3"/>
      <c r="BK299" s="3"/>
      <c r="BL299" s="3"/>
      <c r="BM299" s="18"/>
      <c r="BN299" s="3"/>
      <c r="BO299" s="315"/>
      <c r="BP299" s="3"/>
      <c r="BQ299" s="3"/>
      <c r="BR299" s="3"/>
      <c r="BS299" s="3"/>
      <c r="BT299" s="18"/>
      <c r="BU299" s="3"/>
      <c r="BV299" s="315"/>
      <c r="BW299" s="3"/>
      <c r="BX299" s="3"/>
      <c r="BY299" s="3"/>
      <c r="BZ299" s="3"/>
    </row>
    <row r="300" spans="1:78" ht="15.6" outlineLevel="1">
      <c r="A300" s="7"/>
      <c r="B300" s="370"/>
      <c r="C300" s="355"/>
      <c r="D300" s="356"/>
      <c r="E300" s="342"/>
      <c r="F300" s="290"/>
      <c r="G300" s="357">
        <v>0</v>
      </c>
      <c r="H300" s="358">
        <v>0</v>
      </c>
      <c r="I300" s="358">
        <v>0</v>
      </c>
      <c r="J300" s="359">
        <f t="shared" si="281"/>
        <v>0</v>
      </c>
      <c r="K300" s="290"/>
      <c r="L300" s="349"/>
      <c r="M300" s="7"/>
      <c r="N300" s="12"/>
      <c r="O300" s="12"/>
      <c r="P300" s="12"/>
      <c r="Q300" s="361"/>
      <c r="R300" s="362"/>
      <c r="S300" s="363">
        <f t="shared" si="292"/>
        <v>0</v>
      </c>
      <c r="T300" s="364">
        <f t="shared" ref="T300" si="305">IF(ISBLANK($P300),0,IF(Approach="Team-Based",$Q300*$R300*$S300*HoursPerDayTeamBased,$J300))</f>
        <v>0</v>
      </c>
      <c r="U300" s="365">
        <v>0</v>
      </c>
      <c r="V300" s="91">
        <f>ROUNDUP(IFERROR(INDEX(CostRateTbl[Cost Rate],MATCH(_xlfn.CONCAT(N300,O300,P300,"NA"),CostRateTbl[KeyCostRate],0)),0)*BillingCurrencyTRM*(1+U300),2)</f>
        <v>0</v>
      </c>
      <c r="W300" s="92">
        <f t="shared" si="273"/>
        <v>0</v>
      </c>
      <c r="X300" s="366" t="e" cm="1">
        <f t="array" ref="X300">_xlfn.LET(
    _xlpm.valor, INDEX(CostRate!H:H, MATCH(1, (CostRate!A:A=N300)*1, 0)),
    _xlpm.posicion, MATCH(_xlpm.valor, FilterSL!$F$1:$Z$1, 0),
    _xlpm.direccionCompleta, ADDRESS(1, _xlpm.posicion + 5, 4),
    _xlpm.letraColumna, SUBSTITUTE(_xlpm.direccionCompleta, "1", ""),
    _xlpm.letraColumna
)</f>
        <v>#N/A</v>
      </c>
      <c r="Y300" s="366" t="e" cm="1">
        <f t="array" ref="Y300">_xlfn.LET(
    _xlpm.valor, INDEX(CostRate!I:I, MATCH(1, (CostRate!A:A=N300)*(CostRate!B:B=O300), 0)),
    _xlpm.posicion, MATCH(_xlpm.valor, FilterJP!$E$1:$FZ$1, 0),
    _xlpm.direccionCompleta, ADDRESS(1, _xlpm.posicion + 4, 4),
    _xlpm.letraColumna, SUBSTITUTE(_xlpm.direccionCompleta, "1", ""),
    _xlpm.letraColumna
)</f>
        <v>#N/A</v>
      </c>
      <c r="Z300" s="7"/>
      <c r="AA300" s="367"/>
      <c r="AB300" s="7"/>
      <c r="AC300" s="93">
        <f t="shared" si="274"/>
        <v>0</v>
      </c>
      <c r="AD300" s="94">
        <f t="shared" si="283"/>
        <v>0</v>
      </c>
      <c r="AE300" s="109">
        <f t="shared" si="284"/>
        <v>0</v>
      </c>
      <c r="AF300" s="7"/>
      <c r="AG300" s="369">
        <f t="shared" si="275"/>
        <v>0</v>
      </c>
      <c r="AH300" s="368">
        <f t="shared" si="276"/>
        <v>0</v>
      </c>
      <c r="AI300" s="7"/>
      <c r="AJ300" s="369" cm="1">
        <f t="array" ref="AJ300">IFERROR(INDEX(WHT!$C$7:$W$18,MATCH(
_xlfn.SWITCH(N300,"xDC Medellin","Colombia","xDC Belo Horizonte","Brazil","xDC Guadalajara","Mexico","xDC Gurugram","India","xDC Leon","Spain","xDC San Jose","Costa Rica","xDC Warsaw","Poland",N300),
WHT!$B$7:$B$18,0),MATCH(CustomerCountry,WHT!$C$5:$W$5,0)),0)</f>
        <v>0</v>
      </c>
      <c r="AK300" s="368">
        <f t="shared" si="277"/>
        <v>0</v>
      </c>
      <c r="AL300" s="7"/>
      <c r="AM300" s="95">
        <f t="shared" si="285"/>
        <v>0</v>
      </c>
      <c r="AN300" s="95">
        <f t="shared" ca="1" si="278"/>
        <v>0</v>
      </c>
      <c r="AO300" s="95">
        <f t="shared" ca="1" si="286"/>
        <v>0</v>
      </c>
      <c r="AP300" s="90"/>
      <c r="AQ300" s="18"/>
      <c r="AR300" s="290"/>
      <c r="AS300" s="467" t="s">
        <v>133</v>
      </c>
      <c r="AT300" s="501">
        <f t="shared" ca="1" si="279"/>
        <v>0</v>
      </c>
      <c r="AU300" s="502"/>
      <c r="AV300" s="95">
        <f t="shared" ca="1" si="287"/>
        <v>0</v>
      </c>
      <c r="AW300" s="469">
        <f t="shared" ca="1" si="280"/>
        <v>0</v>
      </c>
      <c r="AX300" s="290"/>
      <c r="AY300" s="18"/>
      <c r="AZ300" s="3"/>
      <c r="BA300" s="315"/>
      <c r="BB300" s="3"/>
      <c r="BC300" s="3"/>
      <c r="BD300" s="3"/>
      <c r="BE300" s="3"/>
      <c r="BF300" s="18"/>
      <c r="BG300" s="3"/>
      <c r="BH300" s="315"/>
      <c r="BI300" s="3"/>
      <c r="BJ300" s="3"/>
      <c r="BK300" s="3"/>
      <c r="BL300" s="3"/>
      <c r="BM300" s="18"/>
      <c r="BN300" s="3"/>
      <c r="BO300" s="315"/>
      <c r="BP300" s="3"/>
      <c r="BQ300" s="3"/>
      <c r="BR300" s="3"/>
      <c r="BS300" s="3"/>
      <c r="BT300" s="18"/>
      <c r="BU300" s="3"/>
      <c r="BV300" s="315"/>
      <c r="BW300" s="3"/>
      <c r="BX300" s="3"/>
      <c r="BY300" s="3"/>
      <c r="BZ300" s="3"/>
    </row>
    <row r="301" spans="1:78" ht="15.6" outlineLevel="1">
      <c r="A301" s="7"/>
      <c r="B301" s="370"/>
      <c r="C301" s="355"/>
      <c r="D301" s="356"/>
      <c r="E301" s="342"/>
      <c r="F301" s="290"/>
      <c r="G301" s="357">
        <v>0</v>
      </c>
      <c r="H301" s="358">
        <v>0</v>
      </c>
      <c r="I301" s="358">
        <v>0</v>
      </c>
      <c r="J301" s="359">
        <f t="shared" si="281"/>
        <v>0</v>
      </c>
      <c r="K301" s="290"/>
      <c r="L301" s="349"/>
      <c r="M301" s="7"/>
      <c r="N301" s="12"/>
      <c r="O301" s="12"/>
      <c r="P301" s="12"/>
      <c r="Q301" s="361"/>
      <c r="R301" s="362"/>
      <c r="S301" s="363">
        <f t="shared" si="292"/>
        <v>0</v>
      </c>
      <c r="T301" s="364">
        <f t="shared" ref="T301" si="306">IF(ISBLANK($P301),0,IF(Approach="Team-Based",$Q301*$R301*$S301*HoursPerDayTeamBased,$J301))</f>
        <v>0</v>
      </c>
      <c r="U301" s="365">
        <v>0</v>
      </c>
      <c r="V301" s="91">
        <f>ROUNDUP(IFERROR(INDEX(CostRateTbl[Cost Rate],MATCH(_xlfn.CONCAT(N301,O301,P301,"NA"),CostRateTbl[KeyCostRate],0)),0)*BillingCurrencyTRM*(1+U301),2)</f>
        <v>0</v>
      </c>
      <c r="W301" s="92">
        <f t="shared" si="273"/>
        <v>0</v>
      </c>
      <c r="X301" s="366" t="e" cm="1">
        <f t="array" ref="X301">_xlfn.LET(
    _xlpm.valor, INDEX(CostRate!H:H, MATCH(1, (CostRate!A:A=N301)*1, 0)),
    _xlpm.posicion, MATCH(_xlpm.valor, FilterSL!$F$1:$Z$1, 0),
    _xlpm.direccionCompleta, ADDRESS(1, _xlpm.posicion + 5, 4),
    _xlpm.letraColumna, SUBSTITUTE(_xlpm.direccionCompleta, "1", ""),
    _xlpm.letraColumna
)</f>
        <v>#N/A</v>
      </c>
      <c r="Y301" s="366" t="e" cm="1">
        <f t="array" ref="Y301">_xlfn.LET(
    _xlpm.valor, INDEX(CostRate!I:I, MATCH(1, (CostRate!A:A=N301)*(CostRate!B:B=O301), 0)),
    _xlpm.posicion, MATCH(_xlpm.valor, FilterJP!$E$1:$FZ$1, 0),
    _xlpm.direccionCompleta, ADDRESS(1, _xlpm.posicion + 4, 4),
    _xlpm.letraColumna, SUBSTITUTE(_xlpm.direccionCompleta, "1", ""),
    _xlpm.letraColumna
)</f>
        <v>#N/A</v>
      </c>
      <c r="Z301" s="7"/>
      <c r="AA301" s="367"/>
      <c r="AB301" s="7"/>
      <c r="AC301" s="93">
        <f t="shared" si="274"/>
        <v>0</v>
      </c>
      <c r="AD301" s="94">
        <f t="shared" si="283"/>
        <v>0</v>
      </c>
      <c r="AE301" s="109">
        <f t="shared" si="284"/>
        <v>0</v>
      </c>
      <c r="AF301" s="7"/>
      <c r="AG301" s="369">
        <f t="shared" si="275"/>
        <v>0</v>
      </c>
      <c r="AH301" s="368">
        <f t="shared" si="276"/>
        <v>0</v>
      </c>
      <c r="AI301" s="7"/>
      <c r="AJ301" s="369" cm="1">
        <f t="array" ref="AJ301">IFERROR(INDEX(WHT!$C$7:$W$18,MATCH(
_xlfn.SWITCH(N301,"xDC Medellin","Colombia","xDC Belo Horizonte","Brazil","xDC Guadalajara","Mexico","xDC Gurugram","India","xDC Leon","Spain","xDC San Jose","Costa Rica","xDC Warsaw","Poland",N301),
WHT!$B$7:$B$18,0),MATCH(CustomerCountry,WHT!$C$5:$W$5,0)),0)</f>
        <v>0</v>
      </c>
      <c r="AK301" s="368">
        <f t="shared" si="277"/>
        <v>0</v>
      </c>
      <c r="AL301" s="7"/>
      <c r="AM301" s="95">
        <f t="shared" si="285"/>
        <v>0</v>
      </c>
      <c r="AN301" s="95">
        <f t="shared" ca="1" si="278"/>
        <v>0</v>
      </c>
      <c r="AO301" s="95">
        <f t="shared" ca="1" si="286"/>
        <v>0</v>
      </c>
      <c r="AP301" s="90"/>
      <c r="AQ301" s="18"/>
      <c r="AR301" s="290"/>
      <c r="AS301" s="467" t="s">
        <v>133</v>
      </c>
      <c r="AT301" s="501">
        <f t="shared" ca="1" si="279"/>
        <v>0</v>
      </c>
      <c r="AU301" s="502"/>
      <c r="AV301" s="95">
        <f t="shared" ca="1" si="287"/>
        <v>0</v>
      </c>
      <c r="AW301" s="469">
        <f t="shared" ca="1" si="280"/>
        <v>0</v>
      </c>
      <c r="AX301" s="290"/>
      <c r="AY301" s="18"/>
      <c r="AZ301" s="3"/>
      <c r="BA301" s="315"/>
      <c r="BB301" s="3"/>
      <c r="BC301" s="3"/>
      <c r="BD301" s="3"/>
      <c r="BE301" s="3"/>
      <c r="BF301" s="18"/>
      <c r="BG301" s="3"/>
      <c r="BH301" s="315"/>
      <c r="BI301" s="3"/>
      <c r="BJ301" s="3"/>
      <c r="BK301" s="3"/>
      <c r="BL301" s="3"/>
      <c r="BM301" s="18"/>
      <c r="BN301" s="3"/>
      <c r="BO301" s="315"/>
      <c r="BP301" s="3"/>
      <c r="BQ301" s="3"/>
      <c r="BR301" s="3"/>
      <c r="BS301" s="3"/>
      <c r="BT301" s="18"/>
      <c r="BU301" s="3"/>
      <c r="BV301" s="315"/>
      <c r="BW301" s="3"/>
      <c r="BX301" s="3"/>
      <c r="BY301" s="3"/>
      <c r="BZ301" s="3"/>
    </row>
    <row r="302" spans="1:78" ht="15.6" outlineLevel="1">
      <c r="A302" s="7"/>
      <c r="B302" s="370"/>
      <c r="C302" s="355"/>
      <c r="D302" s="356"/>
      <c r="E302" s="342"/>
      <c r="F302" s="290"/>
      <c r="G302" s="357">
        <v>0</v>
      </c>
      <c r="H302" s="358">
        <v>0</v>
      </c>
      <c r="I302" s="358">
        <v>0</v>
      </c>
      <c r="J302" s="359">
        <f t="shared" si="281"/>
        <v>0</v>
      </c>
      <c r="K302" s="290"/>
      <c r="L302" s="349"/>
      <c r="M302" s="7"/>
      <c r="N302" s="12"/>
      <c r="O302" s="12"/>
      <c r="P302" s="12"/>
      <c r="Q302" s="361"/>
      <c r="R302" s="362"/>
      <c r="S302" s="363">
        <f t="shared" si="292"/>
        <v>0</v>
      </c>
      <c r="T302" s="364">
        <f t="shared" ref="T302" si="307">IF(ISBLANK($P302),0,IF(Approach="Team-Based",$Q302*$R302*$S302*HoursPerDayTeamBased,$J302))</f>
        <v>0</v>
      </c>
      <c r="U302" s="365">
        <v>0</v>
      </c>
      <c r="V302" s="91">
        <f>ROUNDUP(IFERROR(INDEX(CostRateTbl[Cost Rate],MATCH(_xlfn.CONCAT(N302,O302,P302,"NA"),CostRateTbl[KeyCostRate],0)),0)*BillingCurrencyTRM*(1+U302),2)</f>
        <v>0</v>
      </c>
      <c r="W302" s="92">
        <f t="shared" si="273"/>
        <v>0</v>
      </c>
      <c r="X302" s="366" t="e" cm="1">
        <f t="array" ref="X302">_xlfn.LET(
    _xlpm.valor, INDEX(CostRate!H:H, MATCH(1, (CostRate!A:A=N302)*1, 0)),
    _xlpm.posicion, MATCH(_xlpm.valor, FilterSL!$F$1:$Z$1, 0),
    _xlpm.direccionCompleta, ADDRESS(1, _xlpm.posicion + 5, 4),
    _xlpm.letraColumna, SUBSTITUTE(_xlpm.direccionCompleta, "1", ""),
    _xlpm.letraColumna
)</f>
        <v>#N/A</v>
      </c>
      <c r="Y302" s="366" t="e" cm="1">
        <f t="array" ref="Y302">_xlfn.LET(
    _xlpm.valor, INDEX(CostRate!I:I, MATCH(1, (CostRate!A:A=N302)*(CostRate!B:B=O302), 0)),
    _xlpm.posicion, MATCH(_xlpm.valor, FilterJP!$E$1:$FZ$1, 0),
    _xlpm.direccionCompleta, ADDRESS(1, _xlpm.posicion + 4, 4),
    _xlpm.letraColumna, SUBSTITUTE(_xlpm.direccionCompleta, "1", ""),
    _xlpm.letraColumna
)</f>
        <v>#N/A</v>
      </c>
      <c r="Z302" s="7"/>
      <c r="AA302" s="367"/>
      <c r="AB302" s="7"/>
      <c r="AC302" s="93">
        <f t="shared" si="274"/>
        <v>0</v>
      </c>
      <c r="AD302" s="94">
        <f t="shared" si="283"/>
        <v>0</v>
      </c>
      <c r="AE302" s="109">
        <f t="shared" si="284"/>
        <v>0</v>
      </c>
      <c r="AF302" s="7"/>
      <c r="AG302" s="369">
        <f t="shared" si="275"/>
        <v>0</v>
      </c>
      <c r="AH302" s="368">
        <f t="shared" si="276"/>
        <v>0</v>
      </c>
      <c r="AI302" s="7"/>
      <c r="AJ302" s="369" cm="1">
        <f t="array" ref="AJ302">IFERROR(INDEX(WHT!$C$7:$W$18,MATCH(
_xlfn.SWITCH(N302,"xDC Medellin","Colombia","xDC Belo Horizonte","Brazil","xDC Guadalajara","Mexico","xDC Gurugram","India","xDC Leon","Spain","xDC San Jose","Costa Rica","xDC Warsaw","Poland",N302),
WHT!$B$7:$B$18,0),MATCH(CustomerCountry,WHT!$C$5:$W$5,0)),0)</f>
        <v>0</v>
      </c>
      <c r="AK302" s="368">
        <f t="shared" si="277"/>
        <v>0</v>
      </c>
      <c r="AL302" s="7"/>
      <c r="AM302" s="95">
        <f t="shared" si="285"/>
        <v>0</v>
      </c>
      <c r="AN302" s="95">
        <f t="shared" ca="1" si="278"/>
        <v>0</v>
      </c>
      <c r="AO302" s="95">
        <f t="shared" ca="1" si="286"/>
        <v>0</v>
      </c>
      <c r="AP302" s="90"/>
      <c r="AQ302" s="18"/>
      <c r="AR302" s="290"/>
      <c r="AS302" s="467" t="s">
        <v>133</v>
      </c>
      <c r="AT302" s="501">
        <f t="shared" ca="1" si="279"/>
        <v>0</v>
      </c>
      <c r="AU302" s="502"/>
      <c r="AV302" s="95">
        <f t="shared" ca="1" si="287"/>
        <v>0</v>
      </c>
      <c r="AW302" s="469">
        <f t="shared" ca="1" si="280"/>
        <v>0</v>
      </c>
      <c r="AX302" s="290"/>
      <c r="AY302" s="18"/>
      <c r="AZ302" s="3"/>
      <c r="BA302" s="315"/>
      <c r="BB302" s="3"/>
      <c r="BC302" s="3"/>
      <c r="BD302" s="3"/>
      <c r="BE302" s="3"/>
      <c r="BF302" s="18"/>
      <c r="BG302" s="3"/>
      <c r="BH302" s="315"/>
      <c r="BI302" s="3"/>
      <c r="BJ302" s="3"/>
      <c r="BK302" s="3"/>
      <c r="BL302" s="3"/>
      <c r="BM302" s="18"/>
      <c r="BN302" s="3"/>
      <c r="BO302" s="315"/>
      <c r="BP302" s="3"/>
      <c r="BQ302" s="3"/>
      <c r="BR302" s="3"/>
      <c r="BS302" s="3"/>
      <c r="BT302" s="18"/>
      <c r="BU302" s="3"/>
      <c r="BV302" s="315"/>
      <c r="BW302" s="3"/>
      <c r="BX302" s="3"/>
      <c r="BY302" s="3"/>
      <c r="BZ302" s="3"/>
    </row>
    <row r="303" spans="1:78" ht="15.6" outlineLevel="1">
      <c r="A303" s="7"/>
      <c r="B303" s="370"/>
      <c r="C303" s="355"/>
      <c r="D303" s="356"/>
      <c r="E303" s="342"/>
      <c r="F303" s="290"/>
      <c r="G303" s="357">
        <v>0</v>
      </c>
      <c r="H303" s="358">
        <v>0</v>
      </c>
      <c r="I303" s="358">
        <v>0</v>
      </c>
      <c r="J303" s="359">
        <f t="shared" si="281"/>
        <v>0</v>
      </c>
      <c r="K303" s="290"/>
      <c r="L303" s="349"/>
      <c r="M303" s="7"/>
      <c r="N303" s="12"/>
      <c r="O303" s="12"/>
      <c r="P303" s="12"/>
      <c r="Q303" s="361"/>
      <c r="R303" s="362"/>
      <c r="S303" s="363">
        <f t="shared" si="292"/>
        <v>0</v>
      </c>
      <c r="T303" s="364">
        <f t="shared" ref="T303" si="308">IF(ISBLANK($P303),0,IF(Approach="Team-Based",$Q303*$R303*$S303*HoursPerDayTeamBased,$J303))</f>
        <v>0</v>
      </c>
      <c r="U303" s="365">
        <v>0</v>
      </c>
      <c r="V303" s="91">
        <f>ROUNDUP(IFERROR(INDEX(CostRateTbl[Cost Rate],MATCH(_xlfn.CONCAT(N303,O303,P303,"NA"),CostRateTbl[KeyCostRate],0)),0)*BillingCurrencyTRM*(1+U303),2)</f>
        <v>0</v>
      </c>
      <c r="W303" s="92">
        <f t="shared" si="273"/>
        <v>0</v>
      </c>
      <c r="X303" s="366" t="e" cm="1">
        <f t="array" ref="X303">_xlfn.LET(
    _xlpm.valor, INDEX(CostRate!H:H, MATCH(1, (CostRate!A:A=N303)*1, 0)),
    _xlpm.posicion, MATCH(_xlpm.valor, FilterSL!$F$1:$Z$1, 0),
    _xlpm.direccionCompleta, ADDRESS(1, _xlpm.posicion + 5, 4),
    _xlpm.letraColumna, SUBSTITUTE(_xlpm.direccionCompleta, "1", ""),
    _xlpm.letraColumna
)</f>
        <v>#N/A</v>
      </c>
      <c r="Y303" s="366" t="e" cm="1">
        <f t="array" ref="Y303">_xlfn.LET(
    _xlpm.valor, INDEX(CostRate!I:I, MATCH(1, (CostRate!A:A=N303)*(CostRate!B:B=O303), 0)),
    _xlpm.posicion, MATCH(_xlpm.valor, FilterJP!$E$1:$FZ$1, 0),
    _xlpm.direccionCompleta, ADDRESS(1, _xlpm.posicion + 4, 4),
    _xlpm.letraColumna, SUBSTITUTE(_xlpm.direccionCompleta, "1", ""),
    _xlpm.letraColumna
)</f>
        <v>#N/A</v>
      </c>
      <c r="Z303" s="7"/>
      <c r="AA303" s="367"/>
      <c r="AB303" s="7"/>
      <c r="AC303" s="93">
        <f t="shared" si="274"/>
        <v>0</v>
      </c>
      <c r="AD303" s="94">
        <f t="shared" si="283"/>
        <v>0</v>
      </c>
      <c r="AE303" s="109">
        <f t="shared" si="284"/>
        <v>0</v>
      </c>
      <c r="AF303" s="7"/>
      <c r="AG303" s="369">
        <f t="shared" si="275"/>
        <v>0</v>
      </c>
      <c r="AH303" s="368">
        <f t="shared" si="276"/>
        <v>0</v>
      </c>
      <c r="AI303" s="7"/>
      <c r="AJ303" s="369" cm="1">
        <f t="array" ref="AJ303">IFERROR(INDEX(WHT!$C$7:$W$18,MATCH(
_xlfn.SWITCH(N303,"xDC Medellin","Colombia","xDC Belo Horizonte","Brazil","xDC Guadalajara","Mexico","xDC Gurugram","India","xDC Leon","Spain","xDC San Jose","Costa Rica","xDC Warsaw","Poland",N303),
WHT!$B$7:$B$18,0),MATCH(CustomerCountry,WHT!$C$5:$W$5,0)),0)</f>
        <v>0</v>
      </c>
      <c r="AK303" s="368">
        <f t="shared" si="277"/>
        <v>0</v>
      </c>
      <c r="AL303" s="7"/>
      <c r="AM303" s="95">
        <f t="shared" si="285"/>
        <v>0</v>
      </c>
      <c r="AN303" s="95">
        <f t="shared" ca="1" si="278"/>
        <v>0</v>
      </c>
      <c r="AO303" s="95">
        <f t="shared" ca="1" si="286"/>
        <v>0</v>
      </c>
      <c r="AP303" s="90"/>
      <c r="AQ303" s="18"/>
      <c r="AR303" s="290"/>
      <c r="AS303" s="467" t="s">
        <v>133</v>
      </c>
      <c r="AT303" s="501">
        <f t="shared" ca="1" si="279"/>
        <v>0</v>
      </c>
      <c r="AU303" s="502"/>
      <c r="AV303" s="95">
        <f t="shared" ca="1" si="287"/>
        <v>0</v>
      </c>
      <c r="AW303" s="469">
        <f t="shared" ca="1" si="280"/>
        <v>0</v>
      </c>
      <c r="AX303" s="290"/>
      <c r="AY303" s="18"/>
      <c r="AZ303" s="3"/>
      <c r="BA303" s="315"/>
      <c r="BB303" s="3"/>
      <c r="BC303" s="3"/>
      <c r="BD303" s="3"/>
      <c r="BE303" s="3"/>
      <c r="BF303" s="18"/>
      <c r="BG303" s="3"/>
      <c r="BH303" s="315"/>
      <c r="BI303" s="3"/>
      <c r="BJ303" s="3"/>
      <c r="BK303" s="3"/>
      <c r="BL303" s="3"/>
      <c r="BM303" s="18"/>
      <c r="BN303" s="3"/>
      <c r="BO303" s="315"/>
      <c r="BP303" s="3"/>
      <c r="BQ303" s="3"/>
      <c r="BR303" s="3"/>
      <c r="BS303" s="3"/>
      <c r="BT303" s="18"/>
      <c r="BU303" s="3"/>
      <c r="BV303" s="315"/>
      <c r="BW303" s="3"/>
      <c r="BX303" s="3"/>
      <c r="BY303" s="3"/>
      <c r="BZ303" s="3"/>
    </row>
    <row r="304" spans="1:78" ht="15.6" outlineLevel="1">
      <c r="A304" s="7"/>
      <c r="B304" s="370"/>
      <c r="C304" s="355"/>
      <c r="D304" s="356"/>
      <c r="E304" s="342"/>
      <c r="F304" s="290"/>
      <c r="G304" s="357">
        <v>0</v>
      </c>
      <c r="H304" s="358">
        <v>0</v>
      </c>
      <c r="I304" s="358">
        <v>0</v>
      </c>
      <c r="J304" s="359">
        <f t="shared" si="281"/>
        <v>0</v>
      </c>
      <c r="K304" s="290"/>
      <c r="L304" s="349"/>
      <c r="M304" s="7"/>
      <c r="N304" s="12"/>
      <c r="O304" s="12"/>
      <c r="P304" s="12"/>
      <c r="Q304" s="361"/>
      <c r="R304" s="362"/>
      <c r="S304" s="363">
        <f t="shared" si="292"/>
        <v>0</v>
      </c>
      <c r="T304" s="364">
        <f t="shared" ref="T304" si="309">IF(ISBLANK($P304),0,IF(Approach="Team-Based",$Q304*$R304*$S304*HoursPerDayTeamBased,$J304))</f>
        <v>0</v>
      </c>
      <c r="U304" s="365">
        <v>0</v>
      </c>
      <c r="V304" s="91">
        <f>ROUNDUP(IFERROR(INDEX(CostRateTbl[Cost Rate],MATCH(_xlfn.CONCAT(N304,O304,P304,"NA"),CostRateTbl[KeyCostRate],0)),0)*BillingCurrencyTRM*(1+U304),2)</f>
        <v>0</v>
      </c>
      <c r="W304" s="92">
        <f t="shared" si="273"/>
        <v>0</v>
      </c>
      <c r="X304" s="366" t="e" cm="1">
        <f t="array" ref="X304">_xlfn.LET(
    _xlpm.valor, INDEX(CostRate!H:H, MATCH(1, (CostRate!A:A=N304)*1, 0)),
    _xlpm.posicion, MATCH(_xlpm.valor, FilterSL!$F$1:$Z$1, 0),
    _xlpm.direccionCompleta, ADDRESS(1, _xlpm.posicion + 5, 4),
    _xlpm.letraColumna, SUBSTITUTE(_xlpm.direccionCompleta, "1", ""),
    _xlpm.letraColumna
)</f>
        <v>#N/A</v>
      </c>
      <c r="Y304" s="366" t="e" cm="1">
        <f t="array" ref="Y304">_xlfn.LET(
    _xlpm.valor, INDEX(CostRate!I:I, MATCH(1, (CostRate!A:A=N304)*(CostRate!B:B=O304), 0)),
    _xlpm.posicion, MATCH(_xlpm.valor, FilterJP!$E$1:$FZ$1, 0),
    _xlpm.direccionCompleta, ADDRESS(1, _xlpm.posicion + 4, 4),
    _xlpm.letraColumna, SUBSTITUTE(_xlpm.direccionCompleta, "1", ""),
    _xlpm.letraColumna
)</f>
        <v>#N/A</v>
      </c>
      <c r="Z304" s="7"/>
      <c r="AA304" s="367"/>
      <c r="AB304" s="7"/>
      <c r="AC304" s="93">
        <f t="shared" si="274"/>
        <v>0</v>
      </c>
      <c r="AD304" s="94">
        <f t="shared" si="283"/>
        <v>0</v>
      </c>
      <c r="AE304" s="109">
        <f t="shared" si="284"/>
        <v>0</v>
      </c>
      <c r="AF304" s="7"/>
      <c r="AG304" s="369">
        <f t="shared" si="275"/>
        <v>0</v>
      </c>
      <c r="AH304" s="368">
        <f t="shared" si="276"/>
        <v>0</v>
      </c>
      <c r="AI304" s="7"/>
      <c r="AJ304" s="369" cm="1">
        <f t="array" ref="AJ304">IFERROR(INDEX(WHT!$C$7:$W$18,MATCH(
_xlfn.SWITCH(N304,"xDC Medellin","Colombia","xDC Belo Horizonte","Brazil","xDC Guadalajara","Mexico","xDC Gurugram","India","xDC Leon","Spain","xDC San Jose","Costa Rica","xDC Warsaw","Poland",N304),
WHT!$B$7:$B$18,0),MATCH(CustomerCountry,WHT!$C$5:$W$5,0)),0)</f>
        <v>0</v>
      </c>
      <c r="AK304" s="368">
        <f t="shared" si="277"/>
        <v>0</v>
      </c>
      <c r="AL304" s="7"/>
      <c r="AM304" s="95">
        <f t="shared" si="285"/>
        <v>0</v>
      </c>
      <c r="AN304" s="95">
        <f t="shared" ca="1" si="278"/>
        <v>0</v>
      </c>
      <c r="AO304" s="95">
        <f t="shared" ca="1" si="286"/>
        <v>0</v>
      </c>
      <c r="AP304" s="90"/>
      <c r="AQ304" s="18"/>
      <c r="AR304" s="290"/>
      <c r="AS304" s="467" t="s">
        <v>133</v>
      </c>
      <c r="AT304" s="501">
        <f t="shared" ca="1" si="279"/>
        <v>0</v>
      </c>
      <c r="AU304" s="502"/>
      <c r="AV304" s="95">
        <f t="shared" ca="1" si="287"/>
        <v>0</v>
      </c>
      <c r="AW304" s="469">
        <f t="shared" ca="1" si="280"/>
        <v>0</v>
      </c>
      <c r="AX304" s="290"/>
      <c r="AY304" s="18"/>
      <c r="AZ304" s="3"/>
      <c r="BA304" s="315"/>
      <c r="BB304" s="3"/>
      <c r="BC304" s="3"/>
      <c r="BD304" s="3"/>
      <c r="BE304" s="3"/>
      <c r="BF304" s="18"/>
      <c r="BG304" s="3"/>
      <c r="BH304" s="315"/>
      <c r="BI304" s="3"/>
      <c r="BJ304" s="3"/>
      <c r="BK304" s="3"/>
      <c r="BL304" s="3"/>
      <c r="BM304" s="18"/>
      <c r="BN304" s="3"/>
      <c r="BO304" s="315"/>
      <c r="BP304" s="3"/>
      <c r="BQ304" s="3"/>
      <c r="BR304" s="3"/>
      <c r="BS304" s="3"/>
      <c r="BT304" s="18"/>
      <c r="BU304" s="3"/>
      <c r="BV304" s="315"/>
      <c r="BW304" s="3"/>
      <c r="BX304" s="3"/>
      <c r="BY304" s="3"/>
      <c r="BZ304" s="3"/>
    </row>
    <row r="305" spans="1:82" ht="15.6" outlineLevel="1">
      <c r="A305" s="7"/>
      <c r="B305" s="370"/>
      <c r="C305" s="355"/>
      <c r="D305" s="356"/>
      <c r="E305" s="342"/>
      <c r="F305" s="290"/>
      <c r="G305" s="357">
        <v>0</v>
      </c>
      <c r="H305" s="358">
        <v>0</v>
      </c>
      <c r="I305" s="358">
        <v>0</v>
      </c>
      <c r="J305" s="359">
        <f t="shared" si="281"/>
        <v>0</v>
      </c>
      <c r="K305" s="290"/>
      <c r="L305" s="349"/>
      <c r="M305" s="7"/>
      <c r="N305" s="12"/>
      <c r="O305" s="12"/>
      <c r="P305" s="12"/>
      <c r="Q305" s="361"/>
      <c r="R305" s="362"/>
      <c r="S305" s="363">
        <f t="shared" si="292"/>
        <v>0</v>
      </c>
      <c r="T305" s="364">
        <f t="shared" ref="T305" si="310">IF(ISBLANK($P305),0,IF(Approach="Team-Based",$Q305*$R305*$S305*HoursPerDayTeamBased,$J305))</f>
        <v>0</v>
      </c>
      <c r="U305" s="365">
        <v>0</v>
      </c>
      <c r="V305" s="91">
        <f>ROUNDUP(IFERROR(INDEX(CostRateTbl[Cost Rate],MATCH(_xlfn.CONCAT(N305,O305,P305,"NA"),CostRateTbl[KeyCostRate],0)),0)*BillingCurrencyTRM*(1+U305),2)</f>
        <v>0</v>
      </c>
      <c r="W305" s="92">
        <f t="shared" si="273"/>
        <v>0</v>
      </c>
      <c r="X305" s="366" t="e" cm="1">
        <f t="array" ref="X305">_xlfn.LET(
    _xlpm.valor, INDEX(CostRate!H:H, MATCH(1, (CostRate!A:A=N305)*1, 0)),
    _xlpm.posicion, MATCH(_xlpm.valor, FilterSL!$F$1:$Z$1, 0),
    _xlpm.direccionCompleta, ADDRESS(1, _xlpm.posicion + 5, 4),
    _xlpm.letraColumna, SUBSTITUTE(_xlpm.direccionCompleta, "1", ""),
    _xlpm.letraColumna
)</f>
        <v>#N/A</v>
      </c>
      <c r="Y305" s="366" t="e" cm="1">
        <f t="array" ref="Y305">_xlfn.LET(
    _xlpm.valor, INDEX(CostRate!I:I, MATCH(1, (CostRate!A:A=N305)*(CostRate!B:B=O305), 0)),
    _xlpm.posicion, MATCH(_xlpm.valor, FilterJP!$E$1:$FZ$1, 0),
    _xlpm.direccionCompleta, ADDRESS(1, _xlpm.posicion + 4, 4),
    _xlpm.letraColumna, SUBSTITUTE(_xlpm.direccionCompleta, "1", ""),
    _xlpm.letraColumna
)</f>
        <v>#N/A</v>
      </c>
      <c r="Z305" s="7"/>
      <c r="AA305" s="367"/>
      <c r="AB305" s="7"/>
      <c r="AC305" s="93">
        <f t="shared" si="274"/>
        <v>0</v>
      </c>
      <c r="AD305" s="94">
        <f t="shared" si="283"/>
        <v>0</v>
      </c>
      <c r="AE305" s="109">
        <f t="shared" si="284"/>
        <v>0</v>
      </c>
      <c r="AF305" s="7"/>
      <c r="AG305" s="369">
        <f t="shared" si="275"/>
        <v>0</v>
      </c>
      <c r="AH305" s="368">
        <f t="shared" si="276"/>
        <v>0</v>
      </c>
      <c r="AI305" s="7"/>
      <c r="AJ305" s="369" cm="1">
        <f t="array" ref="AJ305">IFERROR(INDEX(WHT!$C$7:$W$18,MATCH(
_xlfn.SWITCH(N305,"xDC Medellin","Colombia","xDC Belo Horizonte","Brazil","xDC Guadalajara","Mexico","xDC Gurugram","India","xDC Leon","Spain","xDC San Jose","Costa Rica","xDC Warsaw","Poland",N305),
WHT!$B$7:$B$18,0),MATCH(CustomerCountry,WHT!$C$5:$W$5,0)),0)</f>
        <v>0</v>
      </c>
      <c r="AK305" s="368">
        <f t="shared" si="277"/>
        <v>0</v>
      </c>
      <c r="AL305" s="7"/>
      <c r="AM305" s="95">
        <f t="shared" si="285"/>
        <v>0</v>
      </c>
      <c r="AN305" s="95">
        <f t="shared" ca="1" si="278"/>
        <v>0</v>
      </c>
      <c r="AO305" s="95">
        <f t="shared" ca="1" si="286"/>
        <v>0</v>
      </c>
      <c r="AP305" s="90"/>
      <c r="AQ305" s="18"/>
      <c r="AR305" s="290"/>
      <c r="AS305" s="467" t="s">
        <v>133</v>
      </c>
      <c r="AT305" s="501">
        <f t="shared" ca="1" si="279"/>
        <v>0</v>
      </c>
      <c r="AU305" s="502"/>
      <c r="AV305" s="95">
        <f t="shared" ca="1" si="287"/>
        <v>0</v>
      </c>
      <c r="AW305" s="469">
        <f t="shared" ca="1" si="280"/>
        <v>0</v>
      </c>
      <c r="AX305" s="290"/>
      <c r="AY305" s="18"/>
      <c r="AZ305" s="3"/>
      <c r="BA305" s="315"/>
      <c r="BB305" s="3"/>
      <c r="BC305" s="3"/>
      <c r="BD305" s="3"/>
      <c r="BE305" s="3"/>
      <c r="BF305" s="18"/>
      <c r="BG305" s="3"/>
      <c r="BH305" s="315"/>
      <c r="BI305" s="3"/>
      <c r="BJ305" s="3"/>
      <c r="BK305" s="3"/>
      <c r="BL305" s="3"/>
      <c r="BM305" s="18"/>
      <c r="BN305" s="3"/>
      <c r="BO305" s="315"/>
      <c r="BP305" s="3"/>
      <c r="BQ305" s="3"/>
      <c r="BR305" s="3"/>
      <c r="BS305" s="3"/>
      <c r="BT305" s="18"/>
      <c r="BU305" s="3"/>
      <c r="BV305" s="315"/>
      <c r="BW305" s="3"/>
      <c r="BX305" s="3"/>
      <c r="BY305" s="3"/>
      <c r="BZ305" s="3"/>
    </row>
    <row r="306" spans="1:82" ht="15.6" outlineLevel="1">
      <c r="A306" s="7"/>
      <c r="B306" s="370"/>
      <c r="C306" s="355"/>
      <c r="D306" s="356"/>
      <c r="E306" s="342"/>
      <c r="F306" s="290"/>
      <c r="G306" s="357">
        <v>0</v>
      </c>
      <c r="H306" s="358">
        <v>0</v>
      </c>
      <c r="I306" s="358">
        <v>0</v>
      </c>
      <c r="J306" s="359">
        <f t="shared" si="281"/>
        <v>0</v>
      </c>
      <c r="K306" s="290"/>
      <c r="L306" s="349"/>
      <c r="M306" s="7"/>
      <c r="N306" s="12"/>
      <c r="O306" s="12"/>
      <c r="P306" s="12"/>
      <c r="Q306" s="361"/>
      <c r="R306" s="362"/>
      <c r="S306" s="363">
        <f t="shared" si="292"/>
        <v>0</v>
      </c>
      <c r="T306" s="364">
        <f t="shared" ref="T306" si="311">IF(ISBLANK($P306),0,IF(Approach="Team-Based",$Q306*$R306*$S306*HoursPerDayTeamBased,$J306))</f>
        <v>0</v>
      </c>
      <c r="U306" s="365">
        <v>0</v>
      </c>
      <c r="V306" s="91">
        <f>ROUNDUP(IFERROR(INDEX(CostRateTbl[Cost Rate],MATCH(_xlfn.CONCAT(N306,O306,P306,"NA"),CostRateTbl[KeyCostRate],0)),0)*BillingCurrencyTRM*(1+U306),2)</f>
        <v>0</v>
      </c>
      <c r="W306" s="92">
        <f t="shared" si="273"/>
        <v>0</v>
      </c>
      <c r="X306" s="366" t="e" cm="1">
        <f t="array" ref="X306">_xlfn.LET(
    _xlpm.valor, INDEX(CostRate!H:H, MATCH(1, (CostRate!A:A=N306)*1, 0)),
    _xlpm.posicion, MATCH(_xlpm.valor, FilterSL!$F$1:$Z$1, 0),
    _xlpm.direccionCompleta, ADDRESS(1, _xlpm.posicion + 5, 4),
    _xlpm.letraColumna, SUBSTITUTE(_xlpm.direccionCompleta, "1", ""),
    _xlpm.letraColumna
)</f>
        <v>#N/A</v>
      </c>
      <c r="Y306" s="366" t="e" cm="1">
        <f t="array" ref="Y306">_xlfn.LET(
    _xlpm.valor, INDEX(CostRate!I:I, MATCH(1, (CostRate!A:A=N306)*(CostRate!B:B=O306), 0)),
    _xlpm.posicion, MATCH(_xlpm.valor, FilterJP!$E$1:$FZ$1, 0),
    _xlpm.direccionCompleta, ADDRESS(1, _xlpm.posicion + 4, 4),
    _xlpm.letraColumna, SUBSTITUTE(_xlpm.direccionCompleta, "1", ""),
    _xlpm.letraColumna
)</f>
        <v>#N/A</v>
      </c>
      <c r="Z306" s="7"/>
      <c r="AA306" s="367"/>
      <c r="AB306" s="7"/>
      <c r="AC306" s="93">
        <f t="shared" si="274"/>
        <v>0</v>
      </c>
      <c r="AD306" s="94">
        <f t="shared" si="283"/>
        <v>0</v>
      </c>
      <c r="AE306" s="109">
        <f t="shared" si="284"/>
        <v>0</v>
      </c>
      <c r="AF306" s="7"/>
      <c r="AG306" s="369">
        <f t="shared" si="275"/>
        <v>0</v>
      </c>
      <c r="AH306" s="368">
        <f t="shared" si="276"/>
        <v>0</v>
      </c>
      <c r="AI306" s="7"/>
      <c r="AJ306" s="369" cm="1">
        <f t="array" ref="AJ306">IFERROR(INDEX(WHT!$C$7:$W$18,MATCH(
_xlfn.SWITCH(N306,"xDC Medellin","Colombia","xDC Belo Horizonte","Brazil","xDC Guadalajara","Mexico","xDC Gurugram","India","xDC Leon","Spain","xDC San Jose","Costa Rica","xDC Warsaw","Poland",N306),
WHT!$B$7:$B$18,0),MATCH(CustomerCountry,WHT!$C$5:$W$5,0)),0)</f>
        <v>0</v>
      </c>
      <c r="AK306" s="368">
        <f t="shared" si="277"/>
        <v>0</v>
      </c>
      <c r="AL306" s="7"/>
      <c r="AM306" s="95">
        <f t="shared" si="285"/>
        <v>0</v>
      </c>
      <c r="AN306" s="95">
        <f t="shared" ca="1" si="278"/>
        <v>0</v>
      </c>
      <c r="AO306" s="95">
        <f t="shared" ca="1" si="286"/>
        <v>0</v>
      </c>
      <c r="AP306" s="90"/>
      <c r="AQ306" s="18"/>
      <c r="AR306" s="290"/>
      <c r="AS306" s="467" t="s">
        <v>133</v>
      </c>
      <c r="AT306" s="501">
        <f t="shared" ca="1" si="279"/>
        <v>0</v>
      </c>
      <c r="AU306" s="502"/>
      <c r="AV306" s="95">
        <f t="shared" ca="1" si="287"/>
        <v>0</v>
      </c>
      <c r="AW306" s="469">
        <f t="shared" ca="1" si="280"/>
        <v>0</v>
      </c>
      <c r="AX306" s="290"/>
      <c r="AY306" s="18"/>
      <c r="AZ306" s="3"/>
      <c r="BA306" s="315"/>
      <c r="BB306" s="3"/>
      <c r="BC306" s="3"/>
      <c r="BD306" s="3"/>
      <c r="BE306" s="3"/>
      <c r="BF306" s="18"/>
      <c r="BG306" s="3"/>
      <c r="BH306" s="315"/>
      <c r="BI306" s="3"/>
      <c r="BJ306" s="3"/>
      <c r="BK306" s="3"/>
      <c r="BL306" s="3"/>
      <c r="BM306" s="18"/>
      <c r="BN306" s="3"/>
      <c r="BO306" s="315"/>
      <c r="BP306" s="3"/>
      <c r="BQ306" s="3"/>
      <c r="BR306" s="3"/>
      <c r="BS306" s="3"/>
      <c r="BT306" s="18"/>
      <c r="BU306" s="3"/>
      <c r="BV306" s="315"/>
      <c r="BW306" s="3"/>
      <c r="BX306" s="3"/>
      <c r="BY306" s="3"/>
      <c r="BZ306" s="3"/>
    </row>
    <row r="307" spans="1:82" ht="15.6" outlineLevel="1">
      <c r="A307" s="7"/>
      <c r="B307" s="370"/>
      <c r="C307" s="355"/>
      <c r="D307" s="356"/>
      <c r="E307" s="342"/>
      <c r="F307" s="290"/>
      <c r="G307" s="357">
        <v>0</v>
      </c>
      <c r="H307" s="358">
        <v>0</v>
      </c>
      <c r="I307" s="358">
        <v>0</v>
      </c>
      <c r="J307" s="359">
        <f t="shared" si="281"/>
        <v>0</v>
      </c>
      <c r="K307" s="290"/>
      <c r="L307" s="349"/>
      <c r="M307" s="7"/>
      <c r="N307" s="12"/>
      <c r="O307" s="12"/>
      <c r="P307" s="12"/>
      <c r="Q307" s="361"/>
      <c r="R307" s="362"/>
      <c r="S307" s="363">
        <f t="shared" si="292"/>
        <v>0</v>
      </c>
      <c r="T307" s="364">
        <f t="shared" ref="T307" si="312">IF(ISBLANK($P307),0,IF(Approach="Team-Based",$Q307*$R307*$S307*HoursPerDayTeamBased,$J307))</f>
        <v>0</v>
      </c>
      <c r="U307" s="365">
        <v>0</v>
      </c>
      <c r="V307" s="91">
        <f>ROUNDUP(IFERROR(INDEX(CostRateTbl[Cost Rate],MATCH(_xlfn.CONCAT(N307,O307,P307,"NA"),CostRateTbl[KeyCostRate],0)),0)*BillingCurrencyTRM*(1+U307),2)</f>
        <v>0</v>
      </c>
      <c r="W307" s="92">
        <f t="shared" si="273"/>
        <v>0</v>
      </c>
      <c r="X307" s="366" t="e" cm="1">
        <f t="array" ref="X307">_xlfn.LET(
    _xlpm.valor, INDEX(CostRate!H:H, MATCH(1, (CostRate!A:A=N307)*1, 0)),
    _xlpm.posicion, MATCH(_xlpm.valor, FilterSL!$F$1:$Z$1, 0),
    _xlpm.direccionCompleta, ADDRESS(1, _xlpm.posicion + 5, 4),
    _xlpm.letraColumna, SUBSTITUTE(_xlpm.direccionCompleta, "1", ""),
    _xlpm.letraColumna
)</f>
        <v>#N/A</v>
      </c>
      <c r="Y307" s="366" t="e" cm="1">
        <f t="array" ref="Y307">_xlfn.LET(
    _xlpm.valor, INDEX(CostRate!I:I, MATCH(1, (CostRate!A:A=N307)*(CostRate!B:B=O307), 0)),
    _xlpm.posicion, MATCH(_xlpm.valor, FilterJP!$E$1:$FZ$1, 0),
    _xlpm.direccionCompleta, ADDRESS(1, _xlpm.posicion + 4, 4),
    _xlpm.letraColumna, SUBSTITUTE(_xlpm.direccionCompleta, "1", ""),
    _xlpm.letraColumna
)</f>
        <v>#N/A</v>
      </c>
      <c r="Z307" s="7"/>
      <c r="AA307" s="367"/>
      <c r="AB307" s="7"/>
      <c r="AC307" s="93">
        <f t="shared" si="274"/>
        <v>0</v>
      </c>
      <c r="AD307" s="94">
        <f t="shared" si="283"/>
        <v>0</v>
      </c>
      <c r="AE307" s="109">
        <f t="shared" si="284"/>
        <v>0</v>
      </c>
      <c r="AF307" s="7"/>
      <c r="AG307" s="369">
        <f t="shared" si="275"/>
        <v>0</v>
      </c>
      <c r="AH307" s="368">
        <f t="shared" si="276"/>
        <v>0</v>
      </c>
      <c r="AI307" s="7"/>
      <c r="AJ307" s="369" cm="1">
        <f t="array" ref="AJ307">IFERROR(INDEX(WHT!$C$7:$W$18,MATCH(
_xlfn.SWITCH(N307,"xDC Medellin","Colombia","xDC Belo Horizonte","Brazil","xDC Guadalajara","Mexico","xDC Gurugram","India","xDC Leon","Spain","xDC San Jose","Costa Rica","xDC Warsaw","Poland",N307),
WHT!$B$7:$B$18,0),MATCH(CustomerCountry,WHT!$C$5:$W$5,0)),0)</f>
        <v>0</v>
      </c>
      <c r="AK307" s="368">
        <f t="shared" si="277"/>
        <v>0</v>
      </c>
      <c r="AL307" s="7"/>
      <c r="AM307" s="95">
        <f t="shared" si="285"/>
        <v>0</v>
      </c>
      <c r="AN307" s="95">
        <f t="shared" ca="1" si="278"/>
        <v>0</v>
      </c>
      <c r="AO307" s="95">
        <f t="shared" ca="1" si="286"/>
        <v>0</v>
      </c>
      <c r="AP307" s="90"/>
      <c r="AQ307" s="18"/>
      <c r="AR307" s="290"/>
      <c r="AS307" s="467" t="s">
        <v>133</v>
      </c>
      <c r="AT307" s="501">
        <f t="shared" ca="1" si="279"/>
        <v>0</v>
      </c>
      <c r="AU307" s="502"/>
      <c r="AV307" s="95">
        <f t="shared" ca="1" si="287"/>
        <v>0</v>
      </c>
      <c r="AW307" s="469">
        <f t="shared" ca="1" si="280"/>
        <v>0</v>
      </c>
      <c r="AX307" s="290"/>
      <c r="AY307" s="18"/>
      <c r="AZ307" s="3"/>
      <c r="BA307" s="315"/>
      <c r="BB307" s="3"/>
      <c r="BC307" s="3"/>
      <c r="BD307" s="3"/>
      <c r="BE307" s="3"/>
      <c r="BF307" s="18"/>
      <c r="BG307" s="3"/>
      <c r="BH307" s="315"/>
      <c r="BI307" s="3"/>
      <c r="BJ307" s="3"/>
      <c r="BK307" s="3"/>
      <c r="BL307" s="3"/>
      <c r="BM307" s="18"/>
      <c r="BN307" s="3"/>
      <c r="BO307" s="315"/>
      <c r="BP307" s="3"/>
      <c r="BQ307" s="3"/>
      <c r="BR307" s="3"/>
      <c r="BS307" s="3"/>
      <c r="BT307" s="18"/>
      <c r="BU307" s="3"/>
      <c r="BV307" s="315"/>
      <c r="BW307" s="3"/>
      <c r="BX307" s="3"/>
      <c r="BY307" s="3"/>
      <c r="BZ307" s="3"/>
    </row>
    <row r="308" spans="1:82" ht="15.6" outlineLevel="1">
      <c r="A308" s="7"/>
      <c r="B308" s="370"/>
      <c r="C308" s="355"/>
      <c r="D308" s="356"/>
      <c r="E308" s="342"/>
      <c r="F308" s="290"/>
      <c r="G308" s="357">
        <v>0</v>
      </c>
      <c r="H308" s="358">
        <v>0</v>
      </c>
      <c r="I308" s="358">
        <v>0</v>
      </c>
      <c r="J308" s="359">
        <f t="shared" si="281"/>
        <v>0</v>
      </c>
      <c r="K308" s="290"/>
      <c r="L308" s="349"/>
      <c r="M308" s="7"/>
      <c r="N308" s="12"/>
      <c r="O308" s="12"/>
      <c r="P308" s="12"/>
      <c r="Q308" s="361"/>
      <c r="R308" s="362"/>
      <c r="S308" s="363">
        <f t="shared" si="292"/>
        <v>0</v>
      </c>
      <c r="T308" s="364">
        <f t="shared" ref="T308" si="313">IF(ISBLANK($P308),0,IF(Approach="Team-Based",$Q308*$R308*$S308*HoursPerDayTeamBased,$J308))</f>
        <v>0</v>
      </c>
      <c r="U308" s="365">
        <v>0</v>
      </c>
      <c r="V308" s="91">
        <f>ROUNDUP(IFERROR(INDEX(CostRateTbl[Cost Rate],MATCH(_xlfn.CONCAT(N308,O308,P308,"NA"),CostRateTbl[KeyCostRate],0)),0)*BillingCurrencyTRM*(1+U308),2)</f>
        <v>0</v>
      </c>
      <c r="W308" s="92">
        <f t="shared" si="273"/>
        <v>0</v>
      </c>
      <c r="X308" s="366" t="e" cm="1">
        <f t="array" ref="X308">_xlfn.LET(
    _xlpm.valor, INDEX(CostRate!H:H, MATCH(1, (CostRate!A:A=N308)*1, 0)),
    _xlpm.posicion, MATCH(_xlpm.valor, FilterSL!$F$1:$Z$1, 0),
    _xlpm.direccionCompleta, ADDRESS(1, _xlpm.posicion + 5, 4),
    _xlpm.letraColumna, SUBSTITUTE(_xlpm.direccionCompleta, "1", ""),
    _xlpm.letraColumna
)</f>
        <v>#N/A</v>
      </c>
      <c r="Y308" s="366" t="e" cm="1">
        <f t="array" ref="Y308">_xlfn.LET(
    _xlpm.valor, INDEX(CostRate!I:I, MATCH(1, (CostRate!A:A=N308)*(CostRate!B:B=O308), 0)),
    _xlpm.posicion, MATCH(_xlpm.valor, FilterJP!$E$1:$FZ$1, 0),
    _xlpm.direccionCompleta, ADDRESS(1, _xlpm.posicion + 4, 4),
    _xlpm.letraColumna, SUBSTITUTE(_xlpm.direccionCompleta, "1", ""),
    _xlpm.letraColumna
)</f>
        <v>#N/A</v>
      </c>
      <c r="Z308" s="7"/>
      <c r="AA308" s="367"/>
      <c r="AB308" s="7"/>
      <c r="AC308" s="93">
        <f t="shared" si="274"/>
        <v>0</v>
      </c>
      <c r="AD308" s="94">
        <f t="shared" si="283"/>
        <v>0</v>
      </c>
      <c r="AE308" s="109">
        <f t="shared" si="284"/>
        <v>0</v>
      </c>
      <c r="AF308" s="7"/>
      <c r="AG308" s="369">
        <f t="shared" si="275"/>
        <v>0</v>
      </c>
      <c r="AH308" s="368">
        <f t="shared" si="276"/>
        <v>0</v>
      </c>
      <c r="AI308" s="7"/>
      <c r="AJ308" s="369" cm="1">
        <f t="array" ref="AJ308">IFERROR(INDEX(WHT!$C$7:$W$18,MATCH(
_xlfn.SWITCH(N308,"xDC Medellin","Colombia","xDC Belo Horizonte","Brazil","xDC Guadalajara","Mexico","xDC Gurugram","India","xDC Leon","Spain","xDC San Jose","Costa Rica","xDC Warsaw","Poland",N308),
WHT!$B$7:$B$18,0),MATCH(CustomerCountry,WHT!$C$5:$W$5,0)),0)</f>
        <v>0</v>
      </c>
      <c r="AK308" s="368">
        <f t="shared" si="277"/>
        <v>0</v>
      </c>
      <c r="AL308" s="7"/>
      <c r="AM308" s="95">
        <f t="shared" si="285"/>
        <v>0</v>
      </c>
      <c r="AN308" s="95">
        <f t="shared" ca="1" si="278"/>
        <v>0</v>
      </c>
      <c r="AO308" s="95">
        <f t="shared" ca="1" si="286"/>
        <v>0</v>
      </c>
      <c r="AP308" s="90"/>
      <c r="AQ308" s="18"/>
      <c r="AR308" s="290"/>
      <c r="AS308" s="467" t="s">
        <v>133</v>
      </c>
      <c r="AT308" s="501">
        <f t="shared" ca="1" si="279"/>
        <v>0</v>
      </c>
      <c r="AU308" s="502"/>
      <c r="AV308" s="95">
        <f t="shared" ca="1" si="287"/>
        <v>0</v>
      </c>
      <c r="AW308" s="469">
        <f t="shared" ca="1" si="280"/>
        <v>0</v>
      </c>
      <c r="AX308" s="290"/>
      <c r="AY308" s="18"/>
      <c r="AZ308" s="3"/>
      <c r="BA308" s="315"/>
      <c r="BB308" s="3"/>
      <c r="BC308" s="3"/>
      <c r="BD308" s="3"/>
      <c r="BE308" s="3"/>
      <c r="BF308" s="18"/>
      <c r="BG308" s="3"/>
      <c r="BH308" s="315"/>
      <c r="BI308" s="3"/>
      <c r="BJ308" s="3"/>
      <c r="BK308" s="3"/>
      <c r="BL308" s="3"/>
      <c r="BM308" s="18"/>
      <c r="BN308" s="3"/>
      <c r="BO308" s="315"/>
      <c r="BP308" s="3"/>
      <c r="BQ308" s="3"/>
      <c r="BR308" s="3"/>
      <c r="BS308" s="3"/>
      <c r="BT308" s="18"/>
      <c r="BU308" s="3"/>
      <c r="BV308" s="315"/>
      <c r="BW308" s="3"/>
      <c r="BX308" s="3"/>
      <c r="BY308" s="3"/>
      <c r="BZ308" s="3"/>
    </row>
    <row r="309" spans="1:82" ht="15.6" outlineLevel="1">
      <c r="A309" s="7"/>
      <c r="B309" s="370"/>
      <c r="C309" s="355"/>
      <c r="D309" s="356"/>
      <c r="E309" s="342"/>
      <c r="F309" s="290"/>
      <c r="G309" s="357">
        <v>0</v>
      </c>
      <c r="H309" s="358">
        <v>0</v>
      </c>
      <c r="I309" s="358">
        <v>0</v>
      </c>
      <c r="J309" s="359">
        <f t="shared" si="281"/>
        <v>0</v>
      </c>
      <c r="K309" s="290"/>
      <c r="L309" s="349"/>
      <c r="M309" s="7"/>
      <c r="N309" s="12"/>
      <c r="O309" s="12"/>
      <c r="P309" s="12"/>
      <c r="Q309" s="361"/>
      <c r="R309" s="362"/>
      <c r="S309" s="363">
        <f t="shared" si="292"/>
        <v>0</v>
      </c>
      <c r="T309" s="364">
        <f t="shared" ref="T309" si="314">IF(ISBLANK($P309),0,IF(Approach="Team-Based",$Q309*$R309*$S309*HoursPerDayTeamBased,$J309))</f>
        <v>0</v>
      </c>
      <c r="U309" s="365">
        <v>0</v>
      </c>
      <c r="V309" s="91">
        <f>ROUNDUP(IFERROR(INDEX(CostRateTbl[Cost Rate],MATCH(_xlfn.CONCAT(N309,O309,P309,"NA"),CostRateTbl[KeyCostRate],0)),0)*BillingCurrencyTRM*(1+U309),2)</f>
        <v>0</v>
      </c>
      <c r="W309" s="92">
        <f t="shared" si="273"/>
        <v>0</v>
      </c>
      <c r="X309" s="366" t="e" cm="1">
        <f t="array" ref="X309">_xlfn.LET(
    _xlpm.valor, INDEX(CostRate!H:H, MATCH(1, (CostRate!A:A=N309)*1, 0)),
    _xlpm.posicion, MATCH(_xlpm.valor, FilterSL!$F$1:$Z$1, 0),
    _xlpm.direccionCompleta, ADDRESS(1, _xlpm.posicion + 5, 4),
    _xlpm.letraColumna, SUBSTITUTE(_xlpm.direccionCompleta, "1", ""),
    _xlpm.letraColumna
)</f>
        <v>#N/A</v>
      </c>
      <c r="Y309" s="366" t="e" cm="1">
        <f t="array" ref="Y309">_xlfn.LET(
    _xlpm.valor, INDEX(CostRate!I:I, MATCH(1, (CostRate!A:A=N309)*(CostRate!B:B=O309), 0)),
    _xlpm.posicion, MATCH(_xlpm.valor, FilterJP!$E$1:$FZ$1, 0),
    _xlpm.direccionCompleta, ADDRESS(1, _xlpm.posicion + 4, 4),
    _xlpm.letraColumna, SUBSTITUTE(_xlpm.direccionCompleta, "1", ""),
    _xlpm.letraColumna
)</f>
        <v>#N/A</v>
      </c>
      <c r="Z309" s="7"/>
      <c r="AA309" s="367"/>
      <c r="AB309" s="7"/>
      <c r="AC309" s="93">
        <f t="shared" si="274"/>
        <v>0</v>
      </c>
      <c r="AD309" s="94">
        <f t="shared" si="283"/>
        <v>0</v>
      </c>
      <c r="AE309" s="109">
        <f t="shared" si="284"/>
        <v>0</v>
      </c>
      <c r="AF309" s="7"/>
      <c r="AG309" s="369">
        <f t="shared" si="275"/>
        <v>0</v>
      </c>
      <c r="AH309" s="368">
        <f t="shared" si="276"/>
        <v>0</v>
      </c>
      <c r="AI309" s="7"/>
      <c r="AJ309" s="369" cm="1">
        <f t="array" ref="AJ309">IFERROR(INDEX(WHT!$C$7:$W$18,MATCH(
_xlfn.SWITCH(N309,"xDC Medellin","Colombia","xDC Belo Horizonte","Brazil","xDC Guadalajara","Mexico","xDC Gurugram","India","xDC Leon","Spain","xDC San Jose","Costa Rica","xDC Warsaw","Poland",N309),
WHT!$B$7:$B$18,0),MATCH(CustomerCountry,WHT!$C$5:$W$5,0)),0)</f>
        <v>0</v>
      </c>
      <c r="AK309" s="368">
        <f t="shared" si="277"/>
        <v>0</v>
      </c>
      <c r="AL309" s="7"/>
      <c r="AM309" s="95">
        <f t="shared" si="285"/>
        <v>0</v>
      </c>
      <c r="AN309" s="95">
        <f t="shared" ca="1" si="278"/>
        <v>0</v>
      </c>
      <c r="AO309" s="95">
        <f t="shared" ca="1" si="286"/>
        <v>0</v>
      </c>
      <c r="AP309" s="90"/>
      <c r="AQ309" s="18"/>
      <c r="AR309" s="290"/>
      <c r="AS309" s="467" t="s">
        <v>133</v>
      </c>
      <c r="AT309" s="501">
        <f t="shared" ca="1" si="279"/>
        <v>0</v>
      </c>
      <c r="AU309" s="502"/>
      <c r="AV309" s="95">
        <f t="shared" ca="1" si="287"/>
        <v>0</v>
      </c>
      <c r="AW309" s="469">
        <f t="shared" ca="1" si="280"/>
        <v>0</v>
      </c>
      <c r="AX309" s="290"/>
      <c r="AY309" s="18"/>
      <c r="AZ309" s="3"/>
      <c r="BA309" s="315"/>
      <c r="BB309" s="3"/>
      <c r="BC309" s="3"/>
      <c r="BD309" s="3"/>
      <c r="BE309" s="3"/>
      <c r="BF309" s="18"/>
      <c r="BG309" s="3"/>
      <c r="BH309" s="315"/>
      <c r="BI309" s="3"/>
      <c r="BJ309" s="3"/>
      <c r="BK309" s="3"/>
      <c r="BL309" s="3"/>
      <c r="BM309" s="18"/>
      <c r="BN309" s="3"/>
      <c r="BO309" s="315"/>
      <c r="BP309" s="3"/>
      <c r="BQ309" s="3"/>
      <c r="BR309" s="3"/>
      <c r="BS309" s="3"/>
      <c r="BT309" s="18"/>
      <c r="BU309" s="3"/>
      <c r="BV309" s="315"/>
      <c r="BW309" s="3"/>
      <c r="BX309" s="3"/>
      <c r="BY309" s="3"/>
      <c r="BZ309" s="3"/>
    </row>
    <row r="310" spans="1:82" ht="15.6" outlineLevel="1">
      <c r="A310" s="7"/>
      <c r="B310" s="370"/>
      <c r="C310" s="355"/>
      <c r="D310" s="356"/>
      <c r="E310" s="342"/>
      <c r="F310" s="290"/>
      <c r="G310" s="373">
        <v>0</v>
      </c>
      <c r="H310" s="374">
        <v>0</v>
      </c>
      <c r="I310" s="374">
        <v>0</v>
      </c>
      <c r="J310" s="375">
        <f t="shared" si="281"/>
        <v>0</v>
      </c>
      <c r="K310" s="290"/>
      <c r="L310" s="349"/>
      <c r="M310" s="7"/>
      <c r="N310" s="12"/>
      <c r="O310" s="12"/>
      <c r="P310" s="12"/>
      <c r="Q310" s="361"/>
      <c r="R310" s="362"/>
      <c r="S310" s="363">
        <f t="shared" si="292"/>
        <v>0</v>
      </c>
      <c r="T310" s="364">
        <f t="shared" ref="T310" si="315">IF(ISBLANK($P310),0,IF(Approach="Team-Based",$Q310*$R310*$S310*HoursPerDayTeamBased,$J310))</f>
        <v>0</v>
      </c>
      <c r="U310" s="365">
        <v>0</v>
      </c>
      <c r="V310" s="91">
        <f>ROUNDUP(IFERROR(INDEX(CostRateTbl[Cost Rate],MATCH(_xlfn.CONCAT(N310,O310,P310,"NA"),CostRateTbl[KeyCostRate],0)),0)*BillingCurrencyTRM*(1+U310),2)</f>
        <v>0</v>
      </c>
      <c r="W310" s="92">
        <f t="shared" si="273"/>
        <v>0</v>
      </c>
      <c r="X310" s="366" t="e" cm="1">
        <f t="array" ref="X310">_xlfn.LET(
    _xlpm.valor, INDEX(CostRate!H:H, MATCH(1, (CostRate!A:A=N310)*1, 0)),
    _xlpm.posicion, MATCH(_xlpm.valor, FilterSL!$F$1:$Z$1, 0),
    _xlpm.direccionCompleta, ADDRESS(1, _xlpm.posicion + 5, 4),
    _xlpm.letraColumna, SUBSTITUTE(_xlpm.direccionCompleta, "1", ""),
    _xlpm.letraColumna
)</f>
        <v>#N/A</v>
      </c>
      <c r="Y310" s="366" t="e" cm="1">
        <f t="array" ref="Y310">_xlfn.LET(
    _xlpm.valor, INDEX(CostRate!I:I, MATCH(1, (CostRate!A:A=N310)*(CostRate!B:B=O310), 0)),
    _xlpm.posicion, MATCH(_xlpm.valor, FilterJP!$E$1:$FZ$1, 0),
    _xlpm.direccionCompleta, ADDRESS(1, _xlpm.posicion + 4, 4),
    _xlpm.letraColumna, SUBSTITUTE(_xlpm.direccionCompleta, "1", ""),
    _xlpm.letraColumna
)</f>
        <v>#N/A</v>
      </c>
      <c r="Z310" s="7"/>
      <c r="AA310" s="367"/>
      <c r="AB310" s="7"/>
      <c r="AC310" s="93">
        <f t="shared" si="274"/>
        <v>0</v>
      </c>
      <c r="AD310" s="94">
        <f t="shared" si="283"/>
        <v>0</v>
      </c>
      <c r="AE310" s="109">
        <f t="shared" si="284"/>
        <v>0</v>
      </c>
      <c r="AF310" s="7"/>
      <c r="AG310" s="369">
        <f t="shared" si="275"/>
        <v>0</v>
      </c>
      <c r="AH310" s="368">
        <f t="shared" si="276"/>
        <v>0</v>
      </c>
      <c r="AI310" s="7"/>
      <c r="AJ310" s="369" cm="1">
        <f t="array" ref="AJ310">IFERROR(INDEX(WHT!$C$7:$W$18,MATCH(
_xlfn.SWITCH(N310,"xDC Medellin","Colombia","xDC Belo Horizonte","Brazil","xDC Guadalajara","Mexico","xDC Gurugram","India","xDC Leon","Spain","xDC San Jose","Costa Rica","xDC Warsaw","Poland",N310),
WHT!$B$7:$B$18,0),MATCH(CustomerCountry,WHT!$C$5:$W$5,0)),0)</f>
        <v>0</v>
      </c>
      <c r="AK310" s="368">
        <f t="shared" si="277"/>
        <v>0</v>
      </c>
      <c r="AL310" s="7"/>
      <c r="AM310" s="95">
        <f t="shared" si="285"/>
        <v>0</v>
      </c>
      <c r="AN310" s="95">
        <f t="shared" ca="1" si="278"/>
        <v>0</v>
      </c>
      <c r="AO310" s="95">
        <f t="shared" ca="1" si="286"/>
        <v>0</v>
      </c>
      <c r="AP310" s="90"/>
      <c r="AQ310" s="18"/>
      <c r="AR310" s="290"/>
      <c r="AS310" s="467" t="s">
        <v>133</v>
      </c>
      <c r="AT310" s="501">
        <f t="shared" ca="1" si="279"/>
        <v>0</v>
      </c>
      <c r="AU310" s="502"/>
      <c r="AV310" s="95">
        <f t="shared" ca="1" si="287"/>
        <v>0</v>
      </c>
      <c r="AW310" s="469">
        <f t="shared" ca="1" si="280"/>
        <v>0</v>
      </c>
      <c r="AX310" s="290"/>
      <c r="AY310" s="18"/>
      <c r="AZ310" s="3"/>
      <c r="BA310" s="315"/>
      <c r="BB310" s="3"/>
      <c r="BC310" s="3"/>
      <c r="BD310" s="3"/>
      <c r="BE310" s="3"/>
      <c r="BF310" s="18"/>
      <c r="BG310" s="3"/>
      <c r="BH310" s="315"/>
      <c r="BI310" s="3"/>
      <c r="BJ310" s="3"/>
      <c r="BK310" s="3"/>
      <c r="BL310" s="3"/>
      <c r="BM310" s="18"/>
      <c r="BN310" s="3"/>
      <c r="BO310" s="315"/>
      <c r="BP310" s="3"/>
      <c r="BQ310" s="3"/>
      <c r="BR310" s="3"/>
      <c r="BS310" s="3"/>
      <c r="BT310" s="18"/>
      <c r="BU310" s="3"/>
      <c r="BV310" s="315"/>
      <c r="BW310" s="3"/>
      <c r="BX310" s="3"/>
      <c r="BY310" s="3"/>
      <c r="BZ310" s="3"/>
    </row>
    <row r="311" spans="1:82" ht="15.6" outlineLevel="1">
      <c r="A311" s="7"/>
      <c r="B311" s="372"/>
      <c r="C311" s="355"/>
      <c r="D311" s="356"/>
      <c r="E311" s="342"/>
      <c r="F311" s="290"/>
      <c r="G311" s="373">
        <v>0</v>
      </c>
      <c r="H311" s="374">
        <v>0</v>
      </c>
      <c r="I311" s="374">
        <v>0</v>
      </c>
      <c r="J311" s="375">
        <f t="shared" si="281"/>
        <v>0</v>
      </c>
      <c r="K311" s="290"/>
      <c r="L311" s="349"/>
      <c r="M311" s="7"/>
      <c r="N311" s="12"/>
      <c r="O311" s="12"/>
      <c r="P311" s="12"/>
      <c r="Q311" s="361"/>
      <c r="R311" s="362"/>
      <c r="S311" s="363">
        <f t="shared" si="292"/>
        <v>0</v>
      </c>
      <c r="T311" s="364">
        <f t="shared" ref="T311" si="316">IF(ISBLANK($P311),0,IF(Approach="Team-Based",$Q311*$R311*$S311*HoursPerDayTeamBased,$J311))</f>
        <v>0</v>
      </c>
      <c r="U311" s="365">
        <v>0</v>
      </c>
      <c r="V311" s="91">
        <f>ROUNDUP(IFERROR(INDEX(CostRateTbl[Cost Rate],MATCH(_xlfn.CONCAT(N311,O311,P311,"NA"),CostRateTbl[KeyCostRate],0)),0)*BillingCurrencyTRM*(1+U311),2)</f>
        <v>0</v>
      </c>
      <c r="W311" s="92">
        <f t="shared" si="273"/>
        <v>0</v>
      </c>
      <c r="X311" s="366" t="e" cm="1">
        <f t="array" ref="X311">_xlfn.LET(
    _xlpm.valor, INDEX(CostRate!H:H, MATCH(1, (CostRate!A:A=N311)*1, 0)),
    _xlpm.posicion, MATCH(_xlpm.valor, FilterSL!$F$1:$Z$1, 0),
    _xlpm.direccionCompleta, ADDRESS(1, _xlpm.posicion + 5, 4),
    _xlpm.letraColumna, SUBSTITUTE(_xlpm.direccionCompleta, "1", ""),
    _xlpm.letraColumna
)</f>
        <v>#N/A</v>
      </c>
      <c r="Y311" s="366" t="e" cm="1">
        <f t="array" ref="Y311">_xlfn.LET(
    _xlpm.valor, INDEX(CostRate!I:I, MATCH(1, (CostRate!A:A=N311)*(CostRate!B:B=O311), 0)),
    _xlpm.posicion, MATCH(_xlpm.valor, FilterJP!$E$1:$FZ$1, 0),
    _xlpm.direccionCompleta, ADDRESS(1, _xlpm.posicion + 4, 4),
    _xlpm.letraColumna, SUBSTITUTE(_xlpm.direccionCompleta, "1", ""),
    _xlpm.letraColumna
)</f>
        <v>#N/A</v>
      </c>
      <c r="Z311" s="7"/>
      <c r="AA311" s="367"/>
      <c r="AB311" s="7"/>
      <c r="AC311" s="93">
        <f t="shared" si="274"/>
        <v>0</v>
      </c>
      <c r="AD311" s="94">
        <f t="shared" si="283"/>
        <v>0</v>
      </c>
      <c r="AE311" s="109">
        <f t="shared" si="284"/>
        <v>0</v>
      </c>
      <c r="AF311" s="7"/>
      <c r="AG311" s="369">
        <f t="shared" si="275"/>
        <v>0</v>
      </c>
      <c r="AH311" s="368">
        <f t="shared" si="276"/>
        <v>0</v>
      </c>
      <c r="AI311" s="7"/>
      <c r="AJ311" s="369" cm="1">
        <f t="array" ref="AJ311">IFERROR(INDEX(WHT!$C$7:$W$18,MATCH(
_xlfn.SWITCH(N311,"xDC Medellin","Colombia","xDC Belo Horizonte","Brazil","xDC Guadalajara","Mexico","xDC Gurugram","India","xDC Leon","Spain","xDC San Jose","Costa Rica","xDC Warsaw","Poland",N311),
WHT!$B$7:$B$18,0),MATCH(CustomerCountry,WHT!$C$5:$W$5,0)),0)</f>
        <v>0</v>
      </c>
      <c r="AK311" s="368">
        <f t="shared" si="277"/>
        <v>0</v>
      </c>
      <c r="AL311" s="7"/>
      <c r="AM311" s="95">
        <f t="shared" si="285"/>
        <v>0</v>
      </c>
      <c r="AN311" s="95">
        <f t="shared" ca="1" si="278"/>
        <v>0</v>
      </c>
      <c r="AO311" s="95">
        <f t="shared" ca="1" si="286"/>
        <v>0</v>
      </c>
      <c r="AP311" s="90"/>
      <c r="AQ311" s="18"/>
      <c r="AR311" s="290"/>
      <c r="AS311" s="467" t="s">
        <v>133</v>
      </c>
      <c r="AT311" s="501">
        <f ca="1">IF(AS311="x",AM311+((SUM($AN$271:$AN$276)+SUMIF($AS$282:$AS$311,"&lt;&gt;x",$AM$282:$AM$311))*IFERROR(AM311/SUMIF($AS$282:$AS$311,"x",$AM$282:$AM$311),0)),0)</f>
        <v>0</v>
      </c>
      <c r="AU311" s="502"/>
      <c r="AV311" s="95">
        <f t="shared" ca="1" si="287"/>
        <v>0</v>
      </c>
      <c r="AW311" s="469">
        <f t="shared" ca="1" si="280"/>
        <v>0</v>
      </c>
      <c r="AX311" s="290"/>
      <c r="AY311" s="18"/>
      <c r="AZ311" s="3"/>
      <c r="BA311" s="315"/>
      <c r="BB311" s="3"/>
      <c r="BC311" s="3"/>
      <c r="BD311" s="3"/>
      <c r="BE311" s="3"/>
      <c r="BF311" s="18"/>
      <c r="BG311" s="3"/>
      <c r="BH311" s="315"/>
      <c r="BI311" s="3"/>
      <c r="BJ311" s="3"/>
      <c r="BK311" s="3"/>
      <c r="BL311" s="3"/>
      <c r="BM311" s="18"/>
      <c r="BN311" s="3"/>
      <c r="BO311" s="315"/>
      <c r="BP311" s="3"/>
      <c r="BQ311" s="3"/>
      <c r="BR311" s="3"/>
      <c r="BS311" s="3"/>
      <c r="BT311" s="18"/>
      <c r="BU311" s="3"/>
      <c r="BV311" s="315"/>
      <c r="BW311" s="3"/>
      <c r="BX311" s="3"/>
      <c r="BY311" s="3"/>
      <c r="BZ311" s="3"/>
    </row>
    <row r="312" spans="1:82" ht="15.6" outlineLevel="1">
      <c r="A312" s="7"/>
      <c r="B312" s="376"/>
      <c r="C312" s="376"/>
      <c r="D312" s="376"/>
      <c r="E312" s="342"/>
      <c r="F312" s="290"/>
      <c r="G312" s="290"/>
      <c r="H312" s="290"/>
      <c r="I312" s="290"/>
      <c r="J312" s="290"/>
      <c r="K312" s="290"/>
      <c r="L312" s="18"/>
      <c r="M312" s="7"/>
      <c r="N312" s="7"/>
      <c r="O312" s="7"/>
      <c r="P312" s="7"/>
      <c r="Q312" s="7"/>
      <c r="R312" s="7"/>
      <c r="S312" s="294"/>
      <c r="T312" s="294"/>
      <c r="U312" s="294"/>
      <c r="V312" s="294"/>
      <c r="W312" s="294"/>
      <c r="X312" s="7"/>
      <c r="Y312" s="7"/>
      <c r="Z312" s="294"/>
      <c r="AA312" s="377"/>
      <c r="AB312" s="294"/>
      <c r="AC312" s="294"/>
      <c r="AD312" s="294"/>
      <c r="AE312" s="294"/>
      <c r="AF312" s="7"/>
      <c r="AG312" s="294"/>
      <c r="AH312" s="294"/>
      <c r="AI312" s="7"/>
      <c r="AJ312" s="294"/>
      <c r="AK312" s="294"/>
      <c r="AL312" s="7"/>
      <c r="AM312" s="294"/>
      <c r="AN312" s="294"/>
      <c r="AO312" s="294"/>
      <c r="AP312" s="294"/>
      <c r="AQ312" s="18"/>
      <c r="AR312" s="378"/>
      <c r="AS312" s="378"/>
      <c r="AT312" s="378"/>
      <c r="AU312" s="81"/>
      <c r="AV312" s="378"/>
      <c r="AW312" s="7"/>
      <c r="AX312" s="378"/>
      <c r="AY312" s="18"/>
      <c r="AZ312" s="3"/>
      <c r="BA312" s="315"/>
      <c r="BB312" s="3"/>
      <c r="BC312" s="3"/>
      <c r="BD312" s="3"/>
      <c r="BE312" s="3"/>
      <c r="BF312" s="18"/>
      <c r="BG312" s="3"/>
      <c r="BH312" s="315"/>
      <c r="BI312" s="3"/>
      <c r="BJ312" s="3"/>
      <c r="BK312" s="3"/>
      <c r="BL312" s="3"/>
      <c r="BM312" s="18"/>
      <c r="BN312" s="3"/>
      <c r="BO312" s="315"/>
      <c r="BP312" s="3"/>
      <c r="BQ312" s="3"/>
      <c r="BR312" s="3"/>
      <c r="BS312" s="3"/>
      <c r="BT312" s="18"/>
      <c r="BU312" s="3"/>
      <c r="BV312" s="315"/>
      <c r="BW312" s="3"/>
      <c r="BX312" s="3"/>
      <c r="BY312" s="3"/>
      <c r="BZ312" s="3"/>
    </row>
    <row r="313" spans="1:82" s="389" customFormat="1">
      <c r="A313" s="390"/>
      <c r="B313" s="390"/>
      <c r="C313" s="390"/>
      <c r="D313" s="390"/>
      <c r="E313" s="390"/>
      <c r="F313" s="390"/>
      <c r="G313" s="390"/>
      <c r="H313" s="390"/>
      <c r="I313" s="390"/>
      <c r="J313" s="390"/>
      <c r="K313" s="390"/>
      <c r="L313" s="390"/>
      <c r="M313" s="392"/>
      <c r="N313" s="392"/>
      <c r="O313" s="392"/>
      <c r="P313" s="392"/>
      <c r="Q313" s="392"/>
      <c r="R313" s="392"/>
      <c r="S313" s="392"/>
      <c r="T313" s="392"/>
      <c r="U313" s="392"/>
      <c r="V313" s="392"/>
      <c r="W313" s="392"/>
      <c r="X313" s="392"/>
      <c r="Y313" s="392"/>
      <c r="Z313" s="392"/>
      <c r="AA313" s="320"/>
      <c r="AB313" s="321"/>
      <c r="AC313" s="322"/>
      <c r="AD313" s="322"/>
      <c r="AE313" s="322"/>
      <c r="AF313" s="322"/>
      <c r="AG313" s="322"/>
      <c r="AH313" s="322"/>
      <c r="AI313" s="322"/>
      <c r="AJ313" s="323"/>
      <c r="AK313" s="322"/>
      <c r="AL313" s="322"/>
      <c r="AM313" s="322"/>
      <c r="AN313" s="323"/>
      <c r="AO313" s="323"/>
      <c r="AP313" s="323"/>
      <c r="AR313" s="390"/>
      <c r="AS313" s="390"/>
      <c r="AT313" s="390"/>
      <c r="AU313" s="390"/>
      <c r="AV313" s="390"/>
      <c r="AW313" s="390"/>
      <c r="AX313" s="390"/>
      <c r="AZ313" s="390"/>
      <c r="BA313" s="390"/>
      <c r="BB313" s="390"/>
      <c r="BC313" s="390"/>
      <c r="BD313" s="390"/>
      <c r="BE313" s="390"/>
      <c r="BF313" s="390"/>
      <c r="BG313" s="390"/>
      <c r="BH313" s="390"/>
      <c r="BI313" s="390"/>
      <c r="BJ313" s="390"/>
      <c r="BK313" s="390"/>
      <c r="BL313" s="390"/>
      <c r="BM313" s="390"/>
      <c r="BN313" s="390"/>
      <c r="BO313" s="390"/>
      <c r="BP313" s="390"/>
      <c r="BQ313" s="390"/>
      <c r="BR313" s="390"/>
      <c r="BS313" s="390"/>
      <c r="BT313" s="390"/>
      <c r="BU313" s="390"/>
      <c r="BV313" s="390"/>
      <c r="BW313" s="390"/>
      <c r="BX313" s="390"/>
      <c r="BY313" s="390"/>
      <c r="BZ313" s="390"/>
      <c r="CA313" s="390"/>
      <c r="CB313" s="390"/>
      <c r="CC313" s="390"/>
      <c r="CD313" s="390"/>
    </row>
    <row r="314" spans="1:82" s="325" customFormat="1" ht="15.6">
      <c r="A314" s="480"/>
      <c r="B314" s="507" t="s">
        <v>166</v>
      </c>
      <c r="C314" s="507"/>
      <c r="D314" s="324"/>
      <c r="E314" s="342"/>
      <c r="F314" s="290"/>
      <c r="G314" s="79"/>
      <c r="H314" s="326"/>
      <c r="I314" s="326"/>
      <c r="J314" s="80"/>
      <c r="K314" s="290"/>
      <c r="L314" s="342"/>
      <c r="M314" s="2"/>
      <c r="N314" s="7"/>
      <c r="O314" s="7"/>
      <c r="P314" s="77"/>
      <c r="Q314" s="77"/>
      <c r="R314" s="77"/>
      <c r="S314" s="77"/>
      <c r="T314" s="77"/>
      <c r="U314" s="77"/>
      <c r="V314" s="77"/>
      <c r="W314" s="77"/>
      <c r="X314" s="77"/>
      <c r="Y314" s="77"/>
      <c r="Z314" s="2"/>
      <c r="AA314" s="304"/>
      <c r="AB314" s="7"/>
      <c r="AC314" s="13"/>
      <c r="AD314" s="13"/>
      <c r="AE314" s="13"/>
      <c r="AF314" s="13"/>
      <c r="AG314" s="13"/>
      <c r="AH314" s="13"/>
      <c r="AI314" s="13"/>
      <c r="AJ314" s="70"/>
      <c r="AK314" s="70"/>
      <c r="AL314" s="13"/>
      <c r="AM314" s="13"/>
      <c r="AN314" s="70"/>
      <c r="AO314" s="70"/>
      <c r="AP314" s="7"/>
      <c r="AQ314" s="342"/>
      <c r="AR314" s="290"/>
      <c r="AS314" s="290"/>
      <c r="AT314" s="290"/>
      <c r="AU314" s="290"/>
      <c r="AV314" s="290"/>
      <c r="AW314" s="290"/>
      <c r="AX314" s="290"/>
      <c r="AY314" s="342"/>
      <c r="AZ314" s="3"/>
      <c r="BA314" s="315"/>
      <c r="BB314" s="3"/>
      <c r="BC314" s="3"/>
      <c r="BD314" s="3"/>
      <c r="BE314" s="3"/>
      <c r="BF314" s="342"/>
      <c r="BG314" s="3"/>
      <c r="BH314" s="315"/>
      <c r="BI314" s="3"/>
      <c r="BJ314" s="3"/>
      <c r="BK314" s="3"/>
      <c r="BL314" s="3"/>
      <c r="BM314" s="342"/>
      <c r="BN314" s="3"/>
      <c r="BO314" s="315"/>
      <c r="BP314" s="3"/>
      <c r="BQ314" s="3"/>
      <c r="BR314" s="3"/>
      <c r="BS314" s="3"/>
      <c r="BT314" s="342"/>
      <c r="BU314" s="3"/>
      <c r="BV314" s="315"/>
      <c r="BW314" s="3"/>
      <c r="BX314" s="3"/>
      <c r="BY314" s="3"/>
      <c r="BZ314" s="3"/>
      <c r="CA314" s="342"/>
      <c r="CB314" s="342"/>
      <c r="CC314" s="342"/>
      <c r="CD314" s="342"/>
    </row>
    <row r="315" spans="1:82" s="325" customFormat="1" ht="15.6">
      <c r="A315" s="480"/>
      <c r="B315" s="507"/>
      <c r="C315" s="507"/>
      <c r="D315" s="324"/>
      <c r="E315" s="342"/>
      <c r="F315" s="290"/>
      <c r="G315" s="79"/>
      <c r="H315" s="326"/>
      <c r="I315" s="326"/>
      <c r="J315" s="80"/>
      <c r="K315" s="290"/>
      <c r="L315" s="342"/>
      <c r="M315" s="2"/>
      <c r="N315" s="13" t="s">
        <v>78</v>
      </c>
      <c r="O315" s="395" t="s">
        <v>79</v>
      </c>
      <c r="P315" s="395" t="s">
        <v>80</v>
      </c>
      <c r="Q315" s="77"/>
      <c r="R315" s="77"/>
      <c r="S315" s="77"/>
      <c r="T315" s="77"/>
      <c r="U315" s="13" t="s">
        <v>81</v>
      </c>
      <c r="V315" s="428" t="str">
        <f>_xlfn.CONCAT("DELIVERY COST (",BillingCountryCurrency,")")</f>
        <v>DELIVERY COST (COP)</v>
      </c>
      <c r="W315" s="428" t="str">
        <f>_xlfn.CONCAT("DELIVERY COST (",IF(ISBLANK(BusinessCurrency),"N/A",BusinessCurrency),")")</f>
        <v>DELIVERY COST (USD)</v>
      </c>
      <c r="X315" s="77"/>
      <c r="Y315" s="77"/>
      <c r="Z315" s="2"/>
      <c r="AA315" s="304"/>
      <c r="AB315" s="7"/>
      <c r="AC315" s="13" t="s">
        <v>82</v>
      </c>
      <c r="AD315" s="428" t="str">
        <f>_xlfn.CONCAT("PRICING (",BillingCountryCurrency,")")</f>
        <v>PRICING (COP)</v>
      </c>
      <c r="AE315" s="428" t="str">
        <f>_xlfn.CONCAT("PRICING (",IF(ISBLANK(BusinessCurrency),"N/A",BusinessCurrency),")")</f>
        <v>PRICING (USD)</v>
      </c>
      <c r="AF315" s="70" t="s">
        <v>14</v>
      </c>
      <c r="AG315" s="428" t="str">
        <f>_xlfn.CONCAT("Intercompany (",BillingCountryCurrency,")")</f>
        <v>Intercompany (COP)</v>
      </c>
      <c r="AH315" s="428" t="str">
        <f>_xlfn.CONCAT("Intercompany (",IF(ISBLANK(BusinessCurrency),"N/A",BusinessCurrency),")")</f>
        <v>Intercompany (USD)</v>
      </c>
      <c r="AI315" s="70" t="s">
        <v>14</v>
      </c>
      <c r="AJ315" s="428" t="str">
        <f>_xlfn.CONCAT("WHT (",BillingCountryCurrency,")")</f>
        <v>WHT (COP)</v>
      </c>
      <c r="AK315" s="428" t="str">
        <f>_xlfn.CONCAT("WHT (",IF(ISBLANK(BusinessCurrency),"N/A",BusinessCurrency),")")</f>
        <v>WHT (USD)</v>
      </c>
      <c r="AL315" s="70"/>
      <c r="AM315" s="70" t="s">
        <v>15</v>
      </c>
      <c r="AN315" s="428" t="str">
        <f>_xlfn.CONCAT("SUBTOTAL PRICE (",BillingCountryCurrency,")")</f>
        <v>SUBTOTAL PRICE (COP)</v>
      </c>
      <c r="AO315" s="428" t="str">
        <f>_xlfn.CONCAT("SUBTOTAL PRICE (",IF(ISBLANK(BusinessCurrency),"N/A",BusinessCurrency),")")</f>
        <v>SUBTOTAL PRICE (USD)</v>
      </c>
      <c r="AP315" s="7"/>
      <c r="AQ315" s="342"/>
      <c r="AR315" s="290"/>
      <c r="AS315" s="13" t="s">
        <v>83</v>
      </c>
      <c r="AT315" s="290"/>
      <c r="AU315" s="100"/>
      <c r="AV315" s="417"/>
      <c r="AW315" s="417"/>
      <c r="AX315" s="290"/>
      <c r="AY315" s="342"/>
      <c r="AZ315" s="3"/>
      <c r="BA315" s="315"/>
      <c r="BB315" s="3"/>
      <c r="BC315" s="3"/>
      <c r="BD315" s="3"/>
      <c r="BE315" s="3"/>
      <c r="BF315" s="342"/>
      <c r="BG315" s="3"/>
      <c r="BH315" s="315"/>
      <c r="BI315" s="3"/>
      <c r="BJ315" s="3"/>
      <c r="BK315" s="3"/>
      <c r="BL315" s="3"/>
      <c r="BM315" s="342"/>
      <c r="BN315" s="3"/>
      <c r="BO315" s="315"/>
      <c r="BP315" s="3"/>
      <c r="BQ315" s="3"/>
      <c r="BR315" s="3"/>
      <c r="BS315" s="3"/>
      <c r="BT315" s="342"/>
      <c r="BU315" s="3"/>
      <c r="BV315" s="315"/>
      <c r="BW315" s="3"/>
      <c r="BX315" s="3"/>
      <c r="BY315" s="3"/>
      <c r="BZ315" s="3"/>
      <c r="CA315" s="342"/>
      <c r="CB315" s="342"/>
      <c r="CC315" s="342"/>
      <c r="CD315" s="342"/>
    </row>
    <row r="316" spans="1:82" s="325" customFormat="1" ht="15.6">
      <c r="A316" s="480"/>
      <c r="B316" s="507"/>
      <c r="C316" s="507"/>
      <c r="D316" s="324"/>
      <c r="E316" s="342"/>
      <c r="F316" s="290"/>
      <c r="G316" s="79"/>
      <c r="H316" s="326"/>
      <c r="I316" s="326"/>
      <c r="J316" s="80"/>
      <c r="K316" s="290"/>
      <c r="L316" s="342"/>
      <c r="M316" s="2"/>
      <c r="N316" s="79" t="s">
        <v>84</v>
      </c>
      <c r="O316" s="103">
        <f>SUMIF($P330:$P359,"&lt;&gt;*Project Management*",$T330:$T359)</f>
        <v>0</v>
      </c>
      <c r="P316" s="396">
        <f>IFERROR(O316/O319,0)</f>
        <v>0</v>
      </c>
      <c r="Q316" s="82"/>
      <c r="R316" s="77"/>
      <c r="S316" s="77"/>
      <c r="T316" s="77"/>
      <c r="U316" s="4" t="s">
        <v>24</v>
      </c>
      <c r="V316" s="328">
        <f>SUMIF(P330:P359,"&lt;&gt;*Project Management*",W330:W359)</f>
        <v>0</v>
      </c>
      <c r="W316" s="425">
        <f t="shared" ref="W316:W325" si="317">IFERROR(V316/BusinessCurrencyTRM,"N/A")</f>
        <v>0</v>
      </c>
      <c r="X316" s="7"/>
      <c r="Y316" s="7" t="s">
        <v>85</v>
      </c>
      <c r="Z316" s="2"/>
      <c r="AA316" s="304"/>
      <c r="AB316" s="7"/>
      <c r="AC316" s="4" t="s">
        <v>24</v>
      </c>
      <c r="AD316" s="329">
        <f>SUMIF(P330:P359,"&lt;&gt;*Project Management*",AD330:AD359)</f>
        <v>0</v>
      </c>
      <c r="AE316" s="425">
        <f t="shared" ref="AE316:AE325" si="318">IFERROR(AD316/BusinessCurrencyTRM,"N/A")</f>
        <v>0</v>
      </c>
      <c r="AF316" s="330"/>
      <c r="AG316" s="328">
        <f>SUMIF(P330:P359,"&lt;&gt;*Project Management*",AH330:AH359)</f>
        <v>0</v>
      </c>
      <c r="AH316" s="449">
        <f t="shared" ref="AH316:AH325" si="319">IFERROR(AG316/BusinessCurrencyTRM,"N/A")</f>
        <v>0</v>
      </c>
      <c r="AI316" s="330"/>
      <c r="AJ316" s="328">
        <f>SUMIF(P330:P359,"&lt;&gt;*Project Management*",AK330:AK359)</f>
        <v>0</v>
      </c>
      <c r="AK316" s="425">
        <f t="shared" ref="AK316:AK325" si="320">IFERROR(AJ316/BusinessCurrencyTRM,"N/A")</f>
        <v>0</v>
      </c>
      <c r="AL316" s="330"/>
      <c r="AM316" s="330"/>
      <c r="AN316" s="329">
        <f>SUM(AD316,AG316,AJ316)</f>
        <v>0</v>
      </c>
      <c r="AO316" s="425">
        <f t="shared" ref="AO316:AO325" si="321">IFERROR(AN316/BusinessCurrencyTRM,"N/A")</f>
        <v>0</v>
      </c>
      <c r="AP316" s="7"/>
      <c r="AQ316" s="342"/>
      <c r="AR316" s="290"/>
      <c r="AS316" s="402" t="s">
        <v>86</v>
      </c>
      <c r="AT316" s="290"/>
      <c r="AU316" s="81"/>
      <c r="AV316" s="508">
        <f>CMSResumen!H21</f>
        <v>0.3</v>
      </c>
      <c r="AW316" s="508"/>
      <c r="AX316" s="290"/>
      <c r="AY316" s="342"/>
      <c r="AZ316" s="3"/>
      <c r="BA316" s="315"/>
      <c r="BB316" s="3"/>
      <c r="BC316" s="3"/>
      <c r="BD316" s="3"/>
      <c r="BE316" s="3"/>
      <c r="BF316" s="342"/>
      <c r="BG316" s="3"/>
      <c r="BH316" s="315"/>
      <c r="BI316" s="3"/>
      <c r="BJ316" s="3"/>
      <c r="BK316" s="3"/>
      <c r="BL316" s="3"/>
      <c r="BM316" s="342"/>
      <c r="BN316" s="3"/>
      <c r="BO316" s="315"/>
      <c r="BP316" s="3"/>
      <c r="BQ316" s="3"/>
      <c r="BR316" s="3"/>
      <c r="BS316" s="3"/>
      <c r="BT316" s="342"/>
      <c r="BU316" s="3"/>
      <c r="BV316" s="315"/>
      <c r="BW316" s="3"/>
      <c r="BX316" s="3"/>
      <c r="BY316" s="3"/>
      <c r="BZ316" s="3"/>
      <c r="CA316" s="342"/>
      <c r="CB316" s="342"/>
      <c r="CC316" s="342"/>
      <c r="CD316" s="342"/>
    </row>
    <row r="317" spans="1:82" s="325" customFormat="1" ht="16.149999999999999" thickBot="1">
      <c r="A317" s="480"/>
      <c r="B317" s="507"/>
      <c r="C317" s="507"/>
      <c r="D317" s="324"/>
      <c r="E317" s="342"/>
      <c r="F317" s="290"/>
      <c r="G317" s="79"/>
      <c r="H317" s="326"/>
      <c r="I317" s="326"/>
      <c r="J317" s="80"/>
      <c r="K317" s="290"/>
      <c r="L317" s="342"/>
      <c r="M317" s="2"/>
      <c r="N317" s="79" t="s">
        <v>87</v>
      </c>
      <c r="O317" s="103">
        <f>SUMIF($P330:$P359,"=*Project Management*",$T330:T359)</f>
        <v>0</v>
      </c>
      <c r="P317" s="396">
        <f>IFERROR(O317/O319,0)</f>
        <v>0</v>
      </c>
      <c r="Q317" s="82"/>
      <c r="R317" s="77"/>
      <c r="S317" s="77"/>
      <c r="T317" s="77"/>
      <c r="U317" s="4" t="s">
        <v>30</v>
      </c>
      <c r="V317" s="328">
        <f>SUMIF(P330:P359,"=*Project Management*",W330:W359)</f>
        <v>0</v>
      </c>
      <c r="W317" s="425">
        <f t="shared" si="317"/>
        <v>0</v>
      </c>
      <c r="X317" s="7"/>
      <c r="Y317" s="7" t="s">
        <v>88</v>
      </c>
      <c r="Z317" s="2"/>
      <c r="AA317" s="304"/>
      <c r="AB317" s="7"/>
      <c r="AC317" s="4" t="s">
        <v>30</v>
      </c>
      <c r="AD317" s="329">
        <f>SUMIF(P330:P359,"=*Project Management*",AD330:AD359)</f>
        <v>0</v>
      </c>
      <c r="AE317" s="425">
        <f t="shared" si="318"/>
        <v>0</v>
      </c>
      <c r="AF317" s="330"/>
      <c r="AG317" s="328">
        <f>SUMIF(P330:P359,"=*Project Management*",AH330:AH359)</f>
        <v>0</v>
      </c>
      <c r="AH317" s="447">
        <f t="shared" si="319"/>
        <v>0</v>
      </c>
      <c r="AI317" s="330"/>
      <c r="AJ317" s="448">
        <f>SUMIF(P330:P359,"=*Project Management*",AK330:AK359)</f>
        <v>0</v>
      </c>
      <c r="AK317" s="425">
        <f t="shared" si="320"/>
        <v>0</v>
      </c>
      <c r="AL317" s="330"/>
      <c r="AM317" s="330"/>
      <c r="AN317" s="329">
        <f t="shared" ref="AN317:AN325" si="322">SUM(AD317,AG317,AJ317)</f>
        <v>0</v>
      </c>
      <c r="AO317" s="425">
        <f t="shared" si="321"/>
        <v>0</v>
      </c>
      <c r="AP317" s="7"/>
      <c r="AQ317" s="342"/>
      <c r="AR317" s="290"/>
      <c r="AS317" s="402" t="s">
        <v>89</v>
      </c>
      <c r="AT317" s="290"/>
      <c r="AU317" s="81"/>
      <c r="AV317" s="509">
        <f>IFERROR(1-AV319/AV320,0)</f>
        <v>0</v>
      </c>
      <c r="AW317" s="509"/>
      <c r="AX317" s="290"/>
      <c r="AY317" s="342"/>
      <c r="AZ317" s="3"/>
      <c r="BA317" s="315"/>
      <c r="BB317" s="3"/>
      <c r="BC317" s="3"/>
      <c r="BD317" s="3"/>
      <c r="BE317" s="3"/>
      <c r="BF317" s="342"/>
      <c r="BG317" s="3"/>
      <c r="BH317" s="315"/>
      <c r="BI317" s="3"/>
      <c r="BJ317" s="3"/>
      <c r="BK317" s="3"/>
      <c r="BL317" s="3"/>
      <c r="BM317" s="342"/>
      <c r="BN317" s="3"/>
      <c r="BO317" s="315"/>
      <c r="BP317" s="3"/>
      <c r="BQ317" s="3"/>
      <c r="BR317" s="3"/>
      <c r="BS317" s="3"/>
      <c r="BT317" s="342"/>
      <c r="BU317" s="3"/>
      <c r="BV317" s="315"/>
      <c r="BW317" s="3"/>
      <c r="BX317" s="3"/>
      <c r="BY317" s="3"/>
      <c r="BZ317" s="3"/>
      <c r="CA317" s="342"/>
      <c r="CB317" s="342"/>
      <c r="CC317" s="342"/>
      <c r="CD317" s="342"/>
    </row>
    <row r="318" spans="1:82" s="325" customFormat="1" ht="16.899999999999999" thickTop="1" thickBot="1">
      <c r="A318" s="480"/>
      <c r="B318" s="507"/>
      <c r="C318" s="507"/>
      <c r="D318" s="324"/>
      <c r="E318" s="342"/>
      <c r="F318" s="290"/>
      <c r="G318" s="79"/>
      <c r="H318" s="326"/>
      <c r="I318" s="326"/>
      <c r="J318" s="80"/>
      <c r="K318" s="290"/>
      <c r="L318" s="342"/>
      <c r="M318" s="2"/>
      <c r="N318" s="79" t="s">
        <v>90</v>
      </c>
      <c r="O318" s="103">
        <f>IF(Approach="Team-Based",SUM(O316:O317)*$O321,$J328-$G328)</f>
        <v>0</v>
      </c>
      <c r="P318" s="396">
        <f>IFERROR(O318/O319,0)</f>
        <v>0</v>
      </c>
      <c r="Q318" s="77"/>
      <c r="R318" s="77"/>
      <c r="S318" s="77"/>
      <c r="T318" s="77"/>
      <c r="U318" s="13" t="s">
        <v>35</v>
      </c>
      <c r="V318" s="84">
        <f>SUM(V316:V317)</f>
        <v>0</v>
      </c>
      <c r="W318" s="426">
        <f t="shared" si="317"/>
        <v>0</v>
      </c>
      <c r="X318" s="77"/>
      <c r="Y318" s="77"/>
      <c r="Z318" s="2"/>
      <c r="AA318" s="304"/>
      <c r="AB318" s="7"/>
      <c r="AC318" s="13" t="s">
        <v>35</v>
      </c>
      <c r="AD318" s="84">
        <f>SUM(AD316:AD317)</f>
        <v>0</v>
      </c>
      <c r="AE318" s="426">
        <f t="shared" si="318"/>
        <v>0</v>
      </c>
      <c r="AF318" s="330"/>
      <c r="AG318" s="84">
        <f>SUM(AG316:AG317)</f>
        <v>0</v>
      </c>
      <c r="AH318" s="450">
        <f t="shared" si="319"/>
        <v>0</v>
      </c>
      <c r="AI318" s="330"/>
      <c r="AJ318" s="84">
        <f>SUM(AJ316:AJ317)</f>
        <v>0</v>
      </c>
      <c r="AK318" s="426">
        <f t="shared" si="320"/>
        <v>0</v>
      </c>
      <c r="AL318" s="330"/>
      <c r="AM318" s="330"/>
      <c r="AN318" s="84">
        <f t="shared" si="322"/>
        <v>0</v>
      </c>
      <c r="AO318" s="426">
        <f t="shared" si="321"/>
        <v>0</v>
      </c>
      <c r="AP318" s="7"/>
      <c r="AQ318" s="342"/>
      <c r="AR318" s="290"/>
      <c r="AS318" s="81"/>
      <c r="AT318" s="81"/>
      <c r="AU318" s="81"/>
      <c r="AV318" s="417" t="str">
        <f>BillingCountryCurrency</f>
        <v>COP</v>
      </c>
      <c r="AW318" s="417" t="str">
        <f>IF(ISBLANK(BusinessCurrency),"N/A",BusinessCurrency)</f>
        <v>USD</v>
      </c>
      <c r="AX318" s="290"/>
      <c r="AY318" s="342"/>
      <c r="AZ318" s="3"/>
      <c r="BA318" s="315"/>
      <c r="BB318" s="3"/>
      <c r="BC318" s="3"/>
      <c r="BD318" s="3"/>
      <c r="BE318" s="3"/>
      <c r="BF318" s="342"/>
      <c r="BG318" s="3"/>
      <c r="BH318" s="315"/>
      <c r="BI318" s="3"/>
      <c r="BJ318" s="3"/>
      <c r="BK318" s="3"/>
      <c r="BL318" s="3"/>
      <c r="BM318" s="342"/>
      <c r="BN318" s="3"/>
      <c r="BO318" s="315"/>
      <c r="BP318" s="3"/>
      <c r="BQ318" s="3"/>
      <c r="BR318" s="3"/>
      <c r="BS318" s="3"/>
      <c r="BT318" s="342"/>
      <c r="BU318" s="3"/>
      <c r="BV318" s="315"/>
      <c r="BW318" s="3"/>
      <c r="BX318" s="3"/>
      <c r="BY318" s="3"/>
      <c r="BZ318" s="3"/>
      <c r="CA318" s="342"/>
      <c r="CB318" s="342"/>
      <c r="CC318" s="342"/>
      <c r="CD318" s="342"/>
    </row>
    <row r="319" spans="1:82" s="325" customFormat="1" ht="16.149999999999999" thickTop="1">
      <c r="A319" s="480"/>
      <c r="B319" s="507"/>
      <c r="C319" s="507"/>
      <c r="D319" s="324"/>
      <c r="E319" s="342"/>
      <c r="F319" s="290"/>
      <c r="G319" s="79"/>
      <c r="H319" s="326"/>
      <c r="I319" s="326"/>
      <c r="J319" s="80"/>
      <c r="K319" s="290"/>
      <c r="L319" s="342"/>
      <c r="M319" s="2"/>
      <c r="N319" s="83" t="s">
        <v>91</v>
      </c>
      <c r="O319" s="102">
        <f>SUM(O316:O318)</f>
        <v>0</v>
      </c>
      <c r="P319" s="397">
        <f>SUM(P316:P318)</f>
        <v>0</v>
      </c>
      <c r="Q319" s="77"/>
      <c r="R319" s="77"/>
      <c r="S319" s="77"/>
      <c r="T319" s="77"/>
      <c r="U319" s="4" t="s">
        <v>47</v>
      </c>
      <c r="V319" s="328">
        <f>ROUNDUP(V318*O321,2)</f>
        <v>0</v>
      </c>
      <c r="W319" s="425">
        <f t="shared" si="317"/>
        <v>0</v>
      </c>
      <c r="X319" s="7"/>
      <c r="Y319" s="7" t="s">
        <v>92</v>
      </c>
      <c r="Z319" s="2"/>
      <c r="AA319" s="304"/>
      <c r="AB319" s="7"/>
      <c r="AC319" s="4" t="s">
        <v>47</v>
      </c>
      <c r="AD319" s="328">
        <f>ROUNDUP(V319/(1-$AV316),2)</f>
        <v>0</v>
      </c>
      <c r="AE319" s="425">
        <f t="shared" si="318"/>
        <v>0</v>
      </c>
      <c r="AF319" s="330"/>
      <c r="AG319" s="328">
        <f>IFERROR(V319*MAX(AG330:AG359),0)</f>
        <v>0</v>
      </c>
      <c r="AH319" s="449">
        <f t="shared" si="319"/>
        <v>0</v>
      </c>
      <c r="AI319" s="330"/>
      <c r="AJ319" s="328">
        <f>IFERROR(SUM(V319,AG319)*MAX(AJ330:AJ359),0)</f>
        <v>0</v>
      </c>
      <c r="AK319" s="425">
        <f t="shared" si="320"/>
        <v>0</v>
      </c>
      <c r="AL319" s="330"/>
      <c r="AM319" s="330"/>
      <c r="AN319" s="329">
        <f t="shared" si="322"/>
        <v>0</v>
      </c>
      <c r="AO319" s="425">
        <f t="shared" si="321"/>
        <v>0</v>
      </c>
      <c r="AP319" s="7"/>
      <c r="AQ319" s="342"/>
      <c r="AR319" s="290"/>
      <c r="AS319" s="402" t="s">
        <v>93</v>
      </c>
      <c r="AT319" s="290"/>
      <c r="AU319" s="81"/>
      <c r="AV319" s="298">
        <f>SUM(V325,AG325,AJ325)</f>
        <v>0</v>
      </c>
      <c r="AW319" s="418">
        <f>IFERROR(AV319/BusinessCurrencyTRM,"N/A")</f>
        <v>0</v>
      </c>
      <c r="AX319" s="290"/>
      <c r="AY319" s="342"/>
      <c r="AZ319" s="3"/>
      <c r="BA319" s="315"/>
      <c r="BB319" s="3"/>
      <c r="BC319" s="3"/>
      <c r="BD319" s="3"/>
      <c r="BE319" s="3"/>
      <c r="BF319" s="342"/>
      <c r="BG319" s="3"/>
      <c r="BH319" s="315"/>
      <c r="BI319" s="3"/>
      <c r="BJ319" s="3"/>
      <c r="BK319" s="3"/>
      <c r="BL319" s="3"/>
      <c r="BM319" s="342"/>
      <c r="BN319" s="3"/>
      <c r="BO319" s="315"/>
      <c r="BP319" s="3"/>
      <c r="BQ319" s="3"/>
      <c r="BR319" s="3"/>
      <c r="BS319" s="3"/>
      <c r="BT319" s="342"/>
      <c r="BU319" s="3"/>
      <c r="BV319" s="315"/>
      <c r="BW319" s="3"/>
      <c r="BX319" s="3"/>
      <c r="BY319" s="3"/>
      <c r="BZ319" s="3"/>
      <c r="CA319" s="342"/>
      <c r="CB319" s="342"/>
      <c r="CC319" s="342"/>
      <c r="CD319" s="342"/>
    </row>
    <row r="320" spans="1:82" s="325" customFormat="1" ht="15.6">
      <c r="A320" s="480"/>
      <c r="B320" s="507"/>
      <c r="C320" s="507"/>
      <c r="D320" s="324"/>
      <c r="E320" s="342"/>
      <c r="F320" s="290"/>
      <c r="G320" s="79"/>
      <c r="H320" s="326"/>
      <c r="I320" s="326"/>
      <c r="J320" s="80"/>
      <c r="K320" s="290"/>
      <c r="L320" s="342"/>
      <c r="M320" s="2"/>
      <c r="N320" s="2"/>
      <c r="O320" s="2"/>
      <c r="P320" s="32"/>
      <c r="Q320" s="77"/>
      <c r="R320" s="77"/>
      <c r="S320" s="77"/>
      <c r="T320" s="77"/>
      <c r="U320" s="4" t="s">
        <v>50</v>
      </c>
      <c r="V320" s="328">
        <f>IFERROR(SUMIF(PayRise!A:A,B314,PayRise!J:J),0)</f>
        <v>0</v>
      </c>
      <c r="W320" s="425">
        <f t="shared" si="317"/>
        <v>0</v>
      </c>
      <c r="X320" s="7"/>
      <c r="Y320" s="7" t="s">
        <v>94</v>
      </c>
      <c r="Z320" s="2"/>
      <c r="AA320" s="304"/>
      <c r="AB320" s="7"/>
      <c r="AC320" s="4" t="s">
        <v>50</v>
      </c>
      <c r="AD320" s="328">
        <f>IFERROR(SUMIF(PayRise!A:A,B314,PayRise!K:K),0)</f>
        <v>0</v>
      </c>
      <c r="AE320" s="425">
        <f t="shared" si="318"/>
        <v>0</v>
      </c>
      <c r="AF320" s="330"/>
      <c r="AG320" s="328">
        <f>IFERROR(SUMIF(PayRise!A:A,B314,PayRise!L:L),0)</f>
        <v>0</v>
      </c>
      <c r="AH320" s="445">
        <f t="shared" si="319"/>
        <v>0</v>
      </c>
      <c r="AI320" s="330"/>
      <c r="AJ320" s="446">
        <f>IFERROR(SUMIF(PayRise!A:A,B314,PayRise!M:M),0)</f>
        <v>0</v>
      </c>
      <c r="AK320" s="425">
        <f t="shared" si="320"/>
        <v>0</v>
      </c>
      <c r="AL320" s="330"/>
      <c r="AM320" s="330"/>
      <c r="AN320" s="329">
        <f t="shared" si="322"/>
        <v>0</v>
      </c>
      <c r="AO320" s="425">
        <f t="shared" si="321"/>
        <v>0</v>
      </c>
      <c r="AP320" s="7"/>
      <c r="AQ320" s="342"/>
      <c r="AR320" s="290"/>
      <c r="AS320" s="402" t="s">
        <v>95</v>
      </c>
      <c r="AT320" s="290"/>
      <c r="AU320" s="100"/>
      <c r="AV320" s="298">
        <f>AN325</f>
        <v>0</v>
      </c>
      <c r="AW320" s="418">
        <f>IFERROR(AV320/BusinessCurrencyTRM,"N/A")</f>
        <v>0</v>
      </c>
      <c r="AX320" s="290"/>
      <c r="AY320" s="342"/>
      <c r="AZ320" s="3"/>
      <c r="BA320" s="315"/>
      <c r="BB320" s="3"/>
      <c r="BC320" s="3"/>
      <c r="BD320" s="3"/>
      <c r="BE320" s="3"/>
      <c r="BF320" s="342"/>
      <c r="BG320" s="3"/>
      <c r="BH320" s="315"/>
      <c r="BI320" s="3"/>
      <c r="BJ320" s="3"/>
      <c r="BK320" s="3"/>
      <c r="BL320" s="3"/>
      <c r="BM320" s="342"/>
      <c r="BN320" s="3"/>
      <c r="BO320" s="315"/>
      <c r="BP320" s="3"/>
      <c r="BQ320" s="3"/>
      <c r="BR320" s="3"/>
      <c r="BS320" s="3"/>
      <c r="BT320" s="342"/>
      <c r="BU320" s="3"/>
      <c r="BV320" s="315"/>
      <c r="BW320" s="3"/>
      <c r="BX320" s="3"/>
      <c r="BY320" s="3"/>
      <c r="BZ320" s="3"/>
      <c r="CA320" s="342"/>
      <c r="CB320" s="342"/>
      <c r="CC320" s="342"/>
      <c r="CD320" s="342"/>
    </row>
    <row r="321" spans="1:79" s="325" customFormat="1" ht="15.6">
      <c r="A321" s="480"/>
      <c r="B321" s="507"/>
      <c r="C321" s="507"/>
      <c r="D321" s="324"/>
      <c r="E321" s="342"/>
      <c r="F321" s="290"/>
      <c r="G321" s="79"/>
      <c r="H321" s="326"/>
      <c r="I321" s="326"/>
      <c r="J321" s="80"/>
      <c r="K321" s="290"/>
      <c r="L321" s="342"/>
      <c r="M321" s="2"/>
      <c r="N321" s="13" t="str">
        <f>IF(Approach="By Hours", "N/A for ByHours", "% Risks")</f>
        <v>% Risks</v>
      </c>
      <c r="O321" s="331">
        <v>0</v>
      </c>
      <c r="P321" s="32"/>
      <c r="Q321" s="77"/>
      <c r="R321" s="77"/>
      <c r="S321" s="309"/>
      <c r="T321" s="309"/>
      <c r="U321" s="4" t="s">
        <v>55</v>
      </c>
      <c r="V321" s="328">
        <f>IFERROR(SUMIFS(OtherCosts!Q:Q,OtherCosts!A:A,B314,OtherCosts!B:B,"Hardware/Software"),0)</f>
        <v>0</v>
      </c>
      <c r="W321" s="425">
        <f t="shared" si="317"/>
        <v>0</v>
      </c>
      <c r="X321" s="7"/>
      <c r="Y321" s="7" t="s">
        <v>96</v>
      </c>
      <c r="Z321" s="2"/>
      <c r="AA321" s="304"/>
      <c r="AB321" s="7"/>
      <c r="AC321" s="4" t="s">
        <v>55</v>
      </c>
      <c r="AD321" s="328">
        <f>IFERROR(SUMIFS(OtherCosts!R:R,OtherCosts!A:A,B314,OtherCosts!B:B,"Hardware/Software"),0)</f>
        <v>0</v>
      </c>
      <c r="AE321" s="425">
        <f t="shared" si="318"/>
        <v>0</v>
      </c>
      <c r="AF321" s="330"/>
      <c r="AG321" s="328">
        <f>IFERROR(SUMIFS(OtherCosts!S:S,OtherCosts!A:A,B314,OtherCosts!B:B,"Hardware/Software"),0)</f>
        <v>0</v>
      </c>
      <c r="AH321" s="445">
        <f t="shared" si="319"/>
        <v>0</v>
      </c>
      <c r="AI321" s="330"/>
      <c r="AJ321" s="446">
        <f>IFERROR(SUMIFS(OtherCosts!T:T,OtherCosts!A:A,B314,OtherCosts!B:B,"Hardware/Software"),0)</f>
        <v>0</v>
      </c>
      <c r="AK321" s="425">
        <f t="shared" si="320"/>
        <v>0</v>
      </c>
      <c r="AL321" s="330"/>
      <c r="AM321" s="330"/>
      <c r="AN321" s="329">
        <f t="shared" si="322"/>
        <v>0</v>
      </c>
      <c r="AO321" s="425">
        <f t="shared" si="321"/>
        <v>0</v>
      </c>
      <c r="AP321" s="7"/>
      <c r="AQ321" s="342"/>
      <c r="AR321" s="290"/>
      <c r="AS321" s="402" t="s">
        <v>97</v>
      </c>
      <c r="AT321" s="290"/>
      <c r="AU321" s="100"/>
      <c r="AV321" s="298">
        <f>IFERROR(IF(O322&lt;1,AN325,AN325/O322),0)</f>
        <v>0</v>
      </c>
      <c r="AW321" s="418">
        <f>IFERROR(AV321/BusinessCurrencyTRM,"N/A")</f>
        <v>0</v>
      </c>
      <c r="AX321" s="290"/>
      <c r="AY321" s="342"/>
      <c r="AZ321" s="3"/>
      <c r="BA321" s="315"/>
      <c r="BB321" s="3"/>
      <c r="BC321" s="3"/>
      <c r="BD321" s="3"/>
      <c r="BE321" s="3"/>
      <c r="BF321" s="342"/>
      <c r="BG321" s="3"/>
      <c r="BH321" s="315"/>
      <c r="BI321" s="3"/>
      <c r="BJ321" s="3"/>
      <c r="BK321" s="3"/>
      <c r="BL321" s="3"/>
      <c r="BM321" s="342"/>
      <c r="BN321" s="3"/>
      <c r="BO321" s="315"/>
      <c r="BP321" s="3"/>
      <c r="BQ321" s="3"/>
      <c r="BR321" s="3"/>
      <c r="BS321" s="3"/>
      <c r="BT321" s="342"/>
      <c r="BU321" s="3"/>
      <c r="BV321" s="315"/>
      <c r="BW321" s="3"/>
      <c r="BX321" s="3"/>
      <c r="BY321" s="3"/>
      <c r="BZ321" s="3"/>
      <c r="CA321" s="342"/>
    </row>
    <row r="322" spans="1:79" s="325" customFormat="1" ht="15.6">
      <c r="A322" s="480"/>
      <c r="B322" s="507"/>
      <c r="C322" s="507"/>
      <c r="D322" s="324"/>
      <c r="E322" s="342"/>
      <c r="F322" s="290"/>
      <c r="G322" s="79"/>
      <c r="H322" s="326"/>
      <c r="I322" s="326"/>
      <c r="J322" s="80"/>
      <c r="K322" s="290"/>
      <c r="L322" s="342"/>
      <c r="M322" s="2"/>
      <c r="N322" s="13" t="str">
        <f>IF(Approach="By Hours", "N/A for ByHours", "Duration (Months) *")</f>
        <v>Duration (Months) *</v>
      </c>
      <c r="O322" s="332">
        <v>0</v>
      </c>
      <c r="P322" s="32"/>
      <c r="Q322" s="77"/>
      <c r="R322" s="77"/>
      <c r="S322" s="309"/>
      <c r="T322" s="309"/>
      <c r="U322" s="4" t="s">
        <v>58</v>
      </c>
      <c r="V322" s="328">
        <f>IFERROR(SUMIFS(OtherCosts!Q:Q,OtherCosts!A:A,B314,OtherCosts!B:B,"Vendor"),0)</f>
        <v>0</v>
      </c>
      <c r="W322" s="425">
        <f t="shared" si="317"/>
        <v>0</v>
      </c>
      <c r="X322" s="7"/>
      <c r="Y322" s="7" t="s">
        <v>98</v>
      </c>
      <c r="Z322" s="2"/>
      <c r="AA322" s="304"/>
      <c r="AB322" s="7"/>
      <c r="AC322" s="4" t="s">
        <v>58</v>
      </c>
      <c r="AD322" s="328">
        <f>IFERROR(SUMIFS(OtherCosts!R:R,OtherCosts!A:A,B314,OtherCosts!B:B,"Vendor"),0)</f>
        <v>0</v>
      </c>
      <c r="AE322" s="425">
        <f t="shared" si="318"/>
        <v>0</v>
      </c>
      <c r="AF322" s="330"/>
      <c r="AG322" s="328">
        <f>IFERROR(SUMIFS(OtherCosts!S:S,OtherCosts!A:A,B314,OtherCosts!B:B,"Vendor"),0)</f>
        <v>0</v>
      </c>
      <c r="AH322" s="445">
        <f t="shared" si="319"/>
        <v>0</v>
      </c>
      <c r="AI322" s="330"/>
      <c r="AJ322" s="446">
        <f>IFERROR(SUMIFS(OtherCosts!T:T,OtherCosts!A:A,B314,OtherCosts!B:B,"Vendor"),0)</f>
        <v>0</v>
      </c>
      <c r="AK322" s="425">
        <f t="shared" si="320"/>
        <v>0</v>
      </c>
      <c r="AL322" s="330"/>
      <c r="AM322" s="330"/>
      <c r="AN322" s="329">
        <f t="shared" si="322"/>
        <v>0</v>
      </c>
      <c r="AO322" s="425">
        <f t="shared" si="321"/>
        <v>0</v>
      </c>
      <c r="AP322" s="7"/>
      <c r="AQ322" s="342"/>
      <c r="AR322" s="290"/>
      <c r="AS322" s="402" t="s">
        <v>99</v>
      </c>
      <c r="AT322" s="290"/>
      <c r="AU322" s="100"/>
      <c r="AV322" s="298">
        <f>IFERROR(AN325/T328,0)</f>
        <v>0</v>
      </c>
      <c r="AW322" s="418">
        <f>IFERROR(AV322/BusinessCurrencyTRM,"N/A")</f>
        <v>0</v>
      </c>
      <c r="AX322" s="290"/>
      <c r="AY322" s="342"/>
      <c r="AZ322" s="3"/>
      <c r="BA322" s="315"/>
      <c r="BB322" s="3"/>
      <c r="BC322" s="3"/>
      <c r="BD322" s="3"/>
      <c r="BE322" s="3"/>
      <c r="BF322" s="342"/>
      <c r="BG322" s="3"/>
      <c r="BH322" s="315"/>
      <c r="BI322" s="3"/>
      <c r="BJ322" s="3"/>
      <c r="BK322" s="3"/>
      <c r="BL322" s="3"/>
      <c r="BM322" s="342"/>
      <c r="BN322" s="3"/>
      <c r="BO322" s="315"/>
      <c r="BP322" s="3"/>
      <c r="BQ322" s="3"/>
      <c r="BR322" s="3"/>
      <c r="BS322" s="3"/>
      <c r="BT322" s="342"/>
      <c r="BU322" s="3"/>
      <c r="BV322" s="315"/>
      <c r="BW322" s="3"/>
      <c r="BX322" s="3"/>
      <c r="BY322" s="3"/>
      <c r="BZ322" s="3"/>
      <c r="CA322" s="342"/>
    </row>
    <row r="323" spans="1:79" s="325" customFormat="1" ht="15.6">
      <c r="A323" s="480"/>
      <c r="B323" s="507"/>
      <c r="C323" s="507"/>
      <c r="D323" s="324"/>
      <c r="E323" s="342"/>
      <c r="F323" s="290"/>
      <c r="G323" s="79"/>
      <c r="H323" s="326"/>
      <c r="I323" s="326"/>
      <c r="J323" s="80"/>
      <c r="K323" s="290"/>
      <c r="L323" s="342"/>
      <c r="M323" s="2"/>
      <c r="N323" s="83"/>
      <c r="O323" s="333"/>
      <c r="P323" s="32"/>
      <c r="Q323" s="77"/>
      <c r="R323" s="77"/>
      <c r="S323" s="309"/>
      <c r="T323" s="309"/>
      <c r="U323" s="4" t="s">
        <v>61</v>
      </c>
      <c r="V323" s="328">
        <f>IFERROR(SUMIFS(OtherCosts!Q:Q,OtherCosts!A:A,B314,OtherCosts!B:B,"Insurance"),0)</f>
        <v>0</v>
      </c>
      <c r="W323" s="425">
        <f t="shared" si="317"/>
        <v>0</v>
      </c>
      <c r="X323" s="7"/>
      <c r="Y323" s="7" t="s">
        <v>100</v>
      </c>
      <c r="Z323" s="2"/>
      <c r="AA323" s="304"/>
      <c r="AB323" s="7"/>
      <c r="AC323" s="4" t="s">
        <v>61</v>
      </c>
      <c r="AD323" s="328">
        <f>IFERROR(SUMIFS(OtherCosts!R:R,OtherCosts!A:A,B314,OtherCosts!B:B,"Insurance"),0)</f>
        <v>0</v>
      </c>
      <c r="AE323" s="425">
        <f t="shared" si="318"/>
        <v>0</v>
      </c>
      <c r="AF323" s="330"/>
      <c r="AG323" s="328">
        <f>IFERROR(SUMIFS(OtherCosts!S:S,OtherCosts!A:A,B314,OtherCosts!B:B,"Insurance"),0)</f>
        <v>0</v>
      </c>
      <c r="AH323" s="445">
        <f t="shared" si="319"/>
        <v>0</v>
      </c>
      <c r="AI323" s="330"/>
      <c r="AJ323" s="446">
        <f>IFERROR(SUMIFS(OtherCosts!T:T,OtherCosts!A:A,B314,OtherCosts!B:B,"Insurance"),0)</f>
        <v>0</v>
      </c>
      <c r="AK323" s="425">
        <f t="shared" si="320"/>
        <v>0</v>
      </c>
      <c r="AL323" s="330"/>
      <c r="AM323" s="330"/>
      <c r="AN323" s="329">
        <f t="shared" si="322"/>
        <v>0</v>
      </c>
      <c r="AO323" s="425">
        <f t="shared" si="321"/>
        <v>0</v>
      </c>
      <c r="AP323" s="7"/>
      <c r="AQ323" s="342"/>
      <c r="AR323" s="290"/>
      <c r="AS323" s="290"/>
      <c r="AT323" s="81"/>
      <c r="AU323" s="81"/>
      <c r="AV323" s="81"/>
      <c r="AW323" s="81"/>
      <c r="AX323" s="290"/>
      <c r="AY323" s="342"/>
      <c r="AZ323" s="3"/>
      <c r="BA323" s="315"/>
      <c r="BB323" s="3"/>
      <c r="BC323" s="3"/>
      <c r="BD323" s="3"/>
      <c r="BE323" s="3"/>
      <c r="BF323" s="342"/>
      <c r="BG323" s="3"/>
      <c r="BH323" s="315"/>
      <c r="BI323" s="3"/>
      <c r="BJ323" s="3"/>
      <c r="BK323" s="3"/>
      <c r="BL323" s="3"/>
      <c r="BM323" s="342"/>
      <c r="BN323" s="3"/>
      <c r="BO323" s="315"/>
      <c r="BP323" s="3"/>
      <c r="BQ323" s="3"/>
      <c r="BR323" s="3"/>
      <c r="BS323" s="3"/>
      <c r="BT323" s="342"/>
      <c r="BU323" s="3"/>
      <c r="BV323" s="315"/>
      <c r="BW323" s="3"/>
      <c r="BX323" s="3"/>
      <c r="BY323" s="3"/>
      <c r="BZ323" s="3"/>
      <c r="CA323" s="342"/>
    </row>
    <row r="324" spans="1:79" s="325" customFormat="1" ht="16.149999999999999" thickBot="1">
      <c r="A324" s="480"/>
      <c r="B324" s="507"/>
      <c r="C324" s="507"/>
      <c r="D324" s="324"/>
      <c r="E324" s="342"/>
      <c r="F324" s="290"/>
      <c r="G324" s="79"/>
      <c r="H324" s="326"/>
      <c r="I324" s="326"/>
      <c r="J324" s="80"/>
      <c r="K324" s="290"/>
      <c r="L324" s="342"/>
      <c r="M324" s="7"/>
      <c r="N324" s="83"/>
      <c r="O324" s="333"/>
      <c r="P324" s="32"/>
      <c r="Q324" s="77"/>
      <c r="R324" s="77"/>
      <c r="S324" s="309"/>
      <c r="T324" s="309"/>
      <c r="U324" s="4" t="s">
        <v>64</v>
      </c>
      <c r="V324" s="328">
        <f>IFERROR(SUMIFS(OtherCosts!Q:Q,OtherCosts!A:A,B314,OtherCosts!B:B,"Other"),0)</f>
        <v>0</v>
      </c>
      <c r="W324" s="425">
        <f t="shared" si="317"/>
        <v>0</v>
      </c>
      <c r="X324" s="7"/>
      <c r="Y324" s="7" t="s">
        <v>101</v>
      </c>
      <c r="Z324" s="82"/>
      <c r="AA324" s="334"/>
      <c r="AB324" s="13"/>
      <c r="AC324" s="4" t="s">
        <v>64</v>
      </c>
      <c r="AD324" s="328">
        <f>IFERROR(SUMIFS(OtherCosts!R:R,OtherCosts!A:A,B314,OtherCosts!B:B,"Other"),0)</f>
        <v>0</v>
      </c>
      <c r="AE324" s="425">
        <f t="shared" si="318"/>
        <v>0</v>
      </c>
      <c r="AF324" s="83"/>
      <c r="AG324" s="328">
        <f>IFERROR(SUMIFS(OtherCosts!S:S,OtherCosts!A:A,B314,OtherCosts!B:B,"Other"),0)</f>
        <v>0</v>
      </c>
      <c r="AH324" s="447">
        <f t="shared" si="319"/>
        <v>0</v>
      </c>
      <c r="AI324" s="83"/>
      <c r="AJ324" s="448">
        <f>IFERROR(SUMIFS(OtherCosts!T:T,OtherCosts!A:A,B314,OtherCosts!B:B,"Other"),0)</f>
        <v>0</v>
      </c>
      <c r="AK324" s="425">
        <f t="shared" si="320"/>
        <v>0</v>
      </c>
      <c r="AL324" s="83"/>
      <c r="AM324" s="83"/>
      <c r="AN324" s="329">
        <f t="shared" si="322"/>
        <v>0</v>
      </c>
      <c r="AO324" s="425">
        <f t="shared" si="321"/>
        <v>0</v>
      </c>
      <c r="AP324" s="85"/>
      <c r="AQ324" s="342"/>
      <c r="AR324" s="290"/>
      <c r="AS324" s="290"/>
      <c r="AT324" s="13"/>
      <c r="AU324" s="81"/>
      <c r="AV324" s="81"/>
      <c r="AW324" s="81"/>
      <c r="AX324" s="290"/>
      <c r="AY324" s="342"/>
      <c r="AZ324" s="3"/>
      <c r="BA324" s="315"/>
      <c r="BB324" s="3"/>
      <c r="BC324" s="3"/>
      <c r="BD324" s="3"/>
      <c r="BE324" s="3"/>
      <c r="BF324" s="342"/>
      <c r="BG324" s="3"/>
      <c r="BH324" s="315"/>
      <c r="BI324" s="3"/>
      <c r="BJ324" s="3"/>
      <c r="BK324" s="3"/>
      <c r="BL324" s="3"/>
      <c r="BM324" s="342"/>
      <c r="BN324" s="3"/>
      <c r="BO324" s="315"/>
      <c r="BP324" s="3"/>
      <c r="BQ324" s="3"/>
      <c r="BR324" s="3"/>
      <c r="BS324" s="3"/>
      <c r="BT324" s="342"/>
      <c r="BU324" s="3"/>
      <c r="BV324" s="315"/>
      <c r="BW324" s="3"/>
      <c r="BX324" s="3"/>
      <c r="BY324" s="3"/>
      <c r="BZ324" s="3"/>
      <c r="CA324" s="342"/>
    </row>
    <row r="325" spans="1:79" s="325" customFormat="1" ht="16.149999999999999" thickTop="1">
      <c r="A325" s="480"/>
      <c r="B325" s="507"/>
      <c r="C325" s="507"/>
      <c r="D325" s="324"/>
      <c r="E325" s="342"/>
      <c r="F325" s="290"/>
      <c r="G325" s="79"/>
      <c r="H325" s="326"/>
      <c r="I325" s="326"/>
      <c r="J325" s="80"/>
      <c r="K325" s="290"/>
      <c r="L325" s="342"/>
      <c r="M325" s="7"/>
      <c r="N325" s="83"/>
      <c r="O325" s="333"/>
      <c r="P325" s="32"/>
      <c r="Q325" s="77"/>
      <c r="R325" s="77"/>
      <c r="S325" s="309"/>
      <c r="T325" s="309"/>
      <c r="U325" s="3" t="s">
        <v>35</v>
      </c>
      <c r="V325" s="86">
        <f>SUM(V318:V324)</f>
        <v>0</v>
      </c>
      <c r="W325" s="427">
        <f t="shared" si="317"/>
        <v>0</v>
      </c>
      <c r="X325" s="335"/>
      <c r="Y325" s="335"/>
      <c r="Z325" s="82"/>
      <c r="AA325" s="334"/>
      <c r="AB325" s="13"/>
      <c r="AC325" s="3" t="s">
        <v>35</v>
      </c>
      <c r="AD325" s="86">
        <f>SUM(AD318:AD324)</f>
        <v>0</v>
      </c>
      <c r="AE325" s="427">
        <f t="shared" si="318"/>
        <v>0</v>
      </c>
      <c r="AF325" s="83"/>
      <c r="AG325" s="86">
        <f>SUM(AG318:AG324)</f>
        <v>0</v>
      </c>
      <c r="AH325" s="444">
        <f t="shared" si="319"/>
        <v>0</v>
      </c>
      <c r="AI325" s="83"/>
      <c r="AJ325" s="86">
        <f>SUM(AJ318:AJ324)</f>
        <v>0</v>
      </c>
      <c r="AK325" s="427">
        <f t="shared" si="320"/>
        <v>0</v>
      </c>
      <c r="AL325" s="83"/>
      <c r="AM325" s="83"/>
      <c r="AN325" s="86">
        <f t="shared" si="322"/>
        <v>0</v>
      </c>
      <c r="AO325" s="427">
        <f t="shared" si="321"/>
        <v>0</v>
      </c>
      <c r="AP325" s="85"/>
      <c r="AQ325" s="342"/>
      <c r="AR325" s="290"/>
      <c r="AS325" s="290"/>
      <c r="AT325" s="13"/>
      <c r="AU325" s="81"/>
      <c r="AV325" s="81"/>
      <c r="AW325" s="81"/>
      <c r="AX325" s="290"/>
      <c r="AY325" s="342"/>
      <c r="AZ325" s="3"/>
      <c r="BA325" s="315"/>
      <c r="BB325" s="3"/>
      <c r="BC325" s="3"/>
      <c r="BD325" s="3"/>
      <c r="BE325" s="3"/>
      <c r="BF325" s="342"/>
      <c r="BG325" s="3"/>
      <c r="BH325" s="315"/>
      <c r="BI325" s="3"/>
      <c r="BJ325" s="3"/>
      <c r="BK325" s="3"/>
      <c r="BL325" s="3"/>
      <c r="BM325" s="342"/>
      <c r="BN325" s="3"/>
      <c r="BO325" s="315"/>
      <c r="BP325" s="3"/>
      <c r="BQ325" s="3"/>
      <c r="BR325" s="3"/>
      <c r="BS325" s="3"/>
      <c r="BT325" s="342"/>
      <c r="BU325" s="3"/>
      <c r="BV325" s="315"/>
      <c r="BW325" s="3"/>
      <c r="BX325" s="3"/>
      <c r="BY325" s="3"/>
      <c r="BZ325" s="3"/>
      <c r="CA325" s="342"/>
    </row>
    <row r="326" spans="1:79" s="325" customFormat="1" ht="15.6">
      <c r="A326" s="480"/>
      <c r="B326" s="507"/>
      <c r="C326" s="507"/>
      <c r="D326" s="324"/>
      <c r="E326" s="342"/>
      <c r="F326" s="290"/>
      <c r="G326" s="336"/>
      <c r="H326" s="336"/>
      <c r="I326" s="336"/>
      <c r="J326" s="336"/>
      <c r="K326" s="290"/>
      <c r="L326" s="342"/>
      <c r="M326" s="7"/>
      <c r="N326" s="83"/>
      <c r="O326" s="333"/>
      <c r="P326" s="77"/>
      <c r="Q326" s="77"/>
      <c r="R326" s="77"/>
      <c r="S326" s="77"/>
      <c r="T326" s="77"/>
      <c r="U326" s="3"/>
      <c r="V326" s="77"/>
      <c r="W326" s="77"/>
      <c r="X326" s="77"/>
      <c r="Y326" s="77"/>
      <c r="Z326" s="82"/>
      <c r="AA326" s="334"/>
      <c r="AB326" s="13"/>
      <c r="AC326" s="13"/>
      <c r="AD326" s="13"/>
      <c r="AE326" s="13"/>
      <c r="AF326" s="13"/>
      <c r="AG326" s="13"/>
      <c r="AH326" s="13"/>
      <c r="AI326" s="13"/>
      <c r="AJ326" s="13"/>
      <c r="AK326" s="13"/>
      <c r="AL326" s="13"/>
      <c r="AM326" s="13"/>
      <c r="AN326" s="327"/>
      <c r="AO326" s="327"/>
      <c r="AP326" s="85"/>
      <c r="AQ326" s="342"/>
      <c r="AR326" s="290"/>
      <c r="AS326" s="81"/>
      <c r="AT326" s="81"/>
      <c r="AU326" s="81"/>
      <c r="AV326" s="81"/>
      <c r="AW326" s="81"/>
      <c r="AX326" s="290"/>
      <c r="AY326" s="342"/>
      <c r="AZ326" s="3"/>
      <c r="BA326" s="315"/>
      <c r="BB326" s="3"/>
      <c r="BC326" s="3"/>
      <c r="BD326" s="3"/>
      <c r="BE326" s="3"/>
      <c r="BF326" s="342"/>
      <c r="BG326" s="3"/>
      <c r="BH326" s="315"/>
      <c r="BI326" s="3"/>
      <c r="BJ326" s="3"/>
      <c r="BK326" s="3"/>
      <c r="BL326" s="3"/>
      <c r="BM326" s="342"/>
      <c r="BN326" s="3"/>
      <c r="BO326" s="315"/>
      <c r="BP326" s="3"/>
      <c r="BQ326" s="3"/>
      <c r="BR326" s="3"/>
      <c r="BS326" s="3"/>
      <c r="BT326" s="342"/>
      <c r="BU326" s="3"/>
      <c r="BV326" s="315"/>
      <c r="BW326" s="3"/>
      <c r="BX326" s="3"/>
      <c r="BY326" s="3"/>
      <c r="BZ326" s="3"/>
      <c r="CA326" s="342"/>
    </row>
    <row r="327" spans="1:79" s="304" customFormat="1" hidden="1" outlineLevel="1">
      <c r="B327" s="320"/>
      <c r="C327" s="320"/>
      <c r="D327" s="391"/>
      <c r="F327" s="391"/>
      <c r="G327" s="391"/>
      <c r="H327" s="391"/>
      <c r="I327" s="391"/>
      <c r="J327" s="391"/>
      <c r="K327" s="391"/>
      <c r="N327" s="337"/>
      <c r="O327" s="337"/>
      <c r="S327" s="337"/>
      <c r="T327" s="320"/>
      <c r="U327" s="320"/>
      <c r="V327" s="320"/>
      <c r="W327" s="393"/>
      <c r="Z327" s="338"/>
      <c r="AO327" s="338"/>
      <c r="AP327" s="340"/>
      <c r="AR327" s="391"/>
      <c r="AS327" s="391"/>
      <c r="AT327" s="391"/>
      <c r="AU327" s="391"/>
      <c r="AV327" s="391"/>
      <c r="AW327" s="391"/>
      <c r="AX327" s="391"/>
      <c r="AZ327"/>
      <c r="BA327"/>
      <c r="BB327"/>
      <c r="BC327"/>
      <c r="BD327"/>
      <c r="BE327"/>
      <c r="BG327"/>
      <c r="BH327"/>
      <c r="BI327"/>
      <c r="BJ327"/>
      <c r="BK327"/>
      <c r="BL327"/>
      <c r="BN327"/>
      <c r="BO327"/>
      <c r="BP327"/>
      <c r="BQ327"/>
      <c r="BR327"/>
      <c r="BS327"/>
      <c r="BU327"/>
      <c r="BV327"/>
      <c r="BW327"/>
      <c r="BX327"/>
      <c r="BY327"/>
      <c r="BZ327"/>
    </row>
    <row r="328" spans="1:79" s="325" customFormat="1" ht="15.6" hidden="1" outlineLevel="1">
      <c r="A328" s="480"/>
      <c r="B328" s="341"/>
      <c r="C328" s="341"/>
      <c r="D328" s="290"/>
      <c r="E328" s="342"/>
      <c r="F328" s="290"/>
      <c r="G328" s="343">
        <f>ROUNDUP(SUM(G330:G359),2)</f>
        <v>0</v>
      </c>
      <c r="H328" s="344"/>
      <c r="I328" s="344"/>
      <c r="J328" s="345">
        <f>ROUNDUP(SUM(J330:J359),2)</f>
        <v>0</v>
      </c>
      <c r="K328" s="290"/>
      <c r="L328" s="342"/>
      <c r="M328" s="7"/>
      <c r="N328" s="7"/>
      <c r="O328" s="7"/>
      <c r="P328" s="7"/>
      <c r="Q328" s="7"/>
      <c r="R328" s="7"/>
      <c r="S328" s="7"/>
      <c r="T328" s="398">
        <f>ROUNDUP(SUM(T330:T359),2)</f>
        <v>0</v>
      </c>
      <c r="U328" s="7"/>
      <c r="V328" s="7"/>
      <c r="W328" s="87">
        <f>SUM(W330:W357)</f>
        <v>0</v>
      </c>
      <c r="X328" s="7"/>
      <c r="Y328" s="7" t="s">
        <v>102</v>
      </c>
      <c r="Z328" s="7"/>
      <c r="AA328" s="304"/>
      <c r="AB328" s="7"/>
      <c r="AC328" s="7"/>
      <c r="AD328" s="87">
        <f>SUM(AD330:AD359)</f>
        <v>0</v>
      </c>
      <c r="AE328" s="432">
        <f>IFERROR(1-($W328/$AD328),0)</f>
        <v>0</v>
      </c>
      <c r="AF328" s="7"/>
      <c r="AG328" s="7"/>
      <c r="AH328" s="88">
        <f>SUM(AH330:AH359)</f>
        <v>0</v>
      </c>
      <c r="AI328" s="7"/>
      <c r="AJ328" s="7"/>
      <c r="AK328" s="88">
        <f>ROUNDUP(SUM(AK330:AK359),2)</f>
        <v>0</v>
      </c>
      <c r="AL328" s="7"/>
      <c r="AM328" s="88">
        <f>SUM(AM330:AM359)</f>
        <v>0</v>
      </c>
      <c r="AN328" s="88">
        <f>SUM(AN330:AN359)</f>
        <v>0</v>
      </c>
      <c r="AO328" s="417" t="str">
        <f>BillingCountryCurrency</f>
        <v>COP</v>
      </c>
      <c r="AP328" s="7"/>
      <c r="AQ328" s="18"/>
      <c r="AR328" s="290"/>
      <c r="AS328" s="290"/>
      <c r="AT328" s="503">
        <f>SUM(AT330:AU359)</f>
        <v>0</v>
      </c>
      <c r="AU328" s="504"/>
      <c r="AV328" s="417" t="str">
        <f>BillingCountryCurrency</f>
        <v>COP</v>
      </c>
      <c r="AW328" s="417" t="str">
        <f>IF(ISBLANK(BusinessCurrency),"N/A",BusinessCurrency)</f>
        <v>USD</v>
      </c>
      <c r="AX328" s="290"/>
      <c r="AY328" s="18"/>
      <c r="AZ328" s="3"/>
      <c r="BA328" s="315"/>
      <c r="BB328" s="3"/>
      <c r="BC328" s="3"/>
      <c r="BD328" s="3"/>
      <c r="BE328" s="3"/>
      <c r="BF328" s="18"/>
      <c r="BG328" s="3"/>
      <c r="BH328" s="315"/>
      <c r="BI328" s="3"/>
      <c r="BJ328" s="3"/>
      <c r="BK328" s="3"/>
      <c r="BL328" s="3"/>
      <c r="BM328" s="18"/>
      <c r="BN328" s="3"/>
      <c r="BO328" s="315"/>
      <c r="BP328" s="3"/>
      <c r="BQ328" s="3"/>
      <c r="BR328" s="3"/>
      <c r="BS328" s="3"/>
      <c r="BT328" s="18"/>
      <c r="BU328" s="3"/>
      <c r="BV328" s="315"/>
      <c r="BW328" s="3"/>
      <c r="BX328" s="3"/>
      <c r="BY328" s="3"/>
      <c r="BZ328" s="3"/>
      <c r="CA328" s="342"/>
    </row>
    <row r="329" spans="1:79" ht="15.6" hidden="1" outlineLevel="1">
      <c r="A329" s="7"/>
      <c r="B329" s="346"/>
      <c r="C329" s="346"/>
      <c r="D329" s="346"/>
      <c r="E329" s="342"/>
      <c r="F329" s="290"/>
      <c r="G329" s="347" t="s">
        <v>79</v>
      </c>
      <c r="H329" s="347" t="s">
        <v>103</v>
      </c>
      <c r="I329" s="347" t="s">
        <v>104</v>
      </c>
      <c r="J329" s="348" t="s">
        <v>91</v>
      </c>
      <c r="K329" s="290"/>
      <c r="L329" s="349"/>
      <c r="M329" s="7"/>
      <c r="N329" s="16" t="s">
        <v>105</v>
      </c>
      <c r="O329" s="16" t="s">
        <v>106</v>
      </c>
      <c r="P329" s="16" t="s">
        <v>107</v>
      </c>
      <c r="Q329" s="16" t="s">
        <v>108</v>
      </c>
      <c r="R329" s="16" t="s">
        <v>109</v>
      </c>
      <c r="S329" s="16" t="s">
        <v>110</v>
      </c>
      <c r="T329" s="16" t="s">
        <v>111</v>
      </c>
      <c r="U329" s="16" t="s">
        <v>112</v>
      </c>
      <c r="V329" s="350" t="s">
        <v>113</v>
      </c>
      <c r="W329" s="16" t="s">
        <v>114</v>
      </c>
      <c r="X329" s="16" t="s">
        <v>115</v>
      </c>
      <c r="Y329" s="16" t="s">
        <v>116</v>
      </c>
      <c r="Z329" s="6"/>
      <c r="AA329" s="304"/>
      <c r="AB329" s="7"/>
      <c r="AC329" s="351" t="s">
        <v>117</v>
      </c>
      <c r="AD329" s="352" t="s">
        <v>118</v>
      </c>
      <c r="AE329" s="89" t="s">
        <v>119</v>
      </c>
      <c r="AF329" s="7"/>
      <c r="AG329" s="89" t="s">
        <v>120</v>
      </c>
      <c r="AH329" s="353" t="s">
        <v>121</v>
      </c>
      <c r="AI329" s="7"/>
      <c r="AJ329" s="89" t="s">
        <v>122</v>
      </c>
      <c r="AK329" s="353" t="s">
        <v>123</v>
      </c>
      <c r="AL329" s="7"/>
      <c r="AM329" s="16" t="s">
        <v>118</v>
      </c>
      <c r="AN329" s="16" t="s">
        <v>124</v>
      </c>
      <c r="AO329" s="8" t="s">
        <v>125</v>
      </c>
      <c r="AP329" s="7"/>
      <c r="AQ329" s="18"/>
      <c r="AR329" s="290"/>
      <c r="AS329" s="8" t="s">
        <v>126</v>
      </c>
      <c r="AT329" s="505" t="s">
        <v>124</v>
      </c>
      <c r="AU329" s="506"/>
      <c r="AV329" s="8" t="s">
        <v>127</v>
      </c>
      <c r="AW329" s="8" t="s">
        <v>127</v>
      </c>
      <c r="AX329" s="290"/>
      <c r="AY329" s="18"/>
      <c r="AZ329" s="3"/>
      <c r="BA329" s="315"/>
      <c r="BB329" s="3"/>
      <c r="BC329" s="3"/>
      <c r="BD329" s="3"/>
      <c r="BE329" s="3"/>
      <c r="BF329" s="18"/>
      <c r="BG329" s="3"/>
      <c r="BH329" s="315"/>
      <c r="BI329" s="3"/>
      <c r="BJ329" s="3"/>
      <c r="BK329" s="3"/>
      <c r="BL329" s="3"/>
      <c r="BM329" s="18"/>
      <c r="BN329" s="3"/>
      <c r="BO329" s="315"/>
      <c r="BP329" s="3"/>
      <c r="BQ329" s="3"/>
      <c r="BR329" s="3"/>
      <c r="BS329" s="3"/>
      <c r="BT329" s="18"/>
      <c r="BU329" s="3"/>
      <c r="BV329" s="315"/>
      <c r="BW329" s="3"/>
      <c r="BX329" s="3"/>
      <c r="BY329" s="3"/>
      <c r="BZ329" s="3"/>
    </row>
    <row r="330" spans="1:79" ht="28.9" hidden="1" outlineLevel="1">
      <c r="A330" s="7"/>
      <c r="B330" s="354" t="s">
        <v>128</v>
      </c>
      <c r="C330" s="355"/>
      <c r="D330" s="356"/>
      <c r="E330" s="342"/>
      <c r="F330" s="290"/>
      <c r="G330" s="357">
        <v>0</v>
      </c>
      <c r="H330" s="358">
        <v>0</v>
      </c>
      <c r="I330" s="358">
        <v>0</v>
      </c>
      <c r="J330" s="359">
        <f>IFERROR(G330/(1-(H330+I330)),0)</f>
        <v>0</v>
      </c>
      <c r="K330" s="360"/>
      <c r="L330" s="349"/>
      <c r="M330" s="7"/>
      <c r="N330" s="12"/>
      <c r="O330" s="12"/>
      <c r="P330" s="12"/>
      <c r="Q330" s="361"/>
      <c r="R330" s="362"/>
      <c r="S330" s="363">
        <f>IF(ISBLANK(P330),0,$O322*20)</f>
        <v>0</v>
      </c>
      <c r="T330" s="364">
        <f t="shared" ref="T330" si="323">IF(ISBLANK($P330),0,IF(Approach="Team-Based",$Q330*$R330*$S330*HoursPerDayTeamBased,$J330))</f>
        <v>0</v>
      </c>
      <c r="U330" s="365">
        <v>0</v>
      </c>
      <c r="V330" s="91">
        <f>ROUNDUP(IFERROR(INDEX(CostRateTbl[Cost Rate],MATCH(_xlfn.CONCAT(N330,O330,P330,"NA"),CostRateTbl[KeyCostRate],0)),0)*BillingCurrencyTRM*(1+U330),2)</f>
        <v>0</v>
      </c>
      <c r="W330" s="92">
        <f t="shared" ref="W330:W359" si="324">T330*V330</f>
        <v>0</v>
      </c>
      <c r="X330" s="366" t="e" cm="1">
        <f t="array" ref="X330">_xlfn.LET(
    _xlpm.valor, INDEX(CostRate!H:H, MATCH(1, (CostRate!A:A=N330)*1, 0)),
    _xlpm.posicion, MATCH(_xlpm.valor, FilterSL!$F$1:$Z$1, 0),
    _xlpm.direccionCompleta, ADDRESS(1, _xlpm.posicion + 5, 4),
    _xlpm.letraColumna, SUBSTITUTE(_xlpm.direccionCompleta, "1", ""),
    _xlpm.letraColumna
)</f>
        <v>#N/A</v>
      </c>
      <c r="Y330" s="366" t="e" cm="1">
        <f t="array" ref="Y330">_xlfn.LET(
    _xlpm.valor, INDEX(CostRate!I:I, MATCH(1, (CostRate!A:A=N330)*(CostRate!B:B=O330), 0)),
    _xlpm.posicion, MATCH(_xlpm.valor, FilterJP!$E$1:$FZ$1, 0),
    _xlpm.direccionCompleta, ADDRESS(1, _xlpm.posicion + 4, 4),
    _xlpm.letraColumna, SUBSTITUTE(_xlpm.direccionCompleta, "1", ""),
    _xlpm.letraColumna
)</f>
        <v>#N/A</v>
      </c>
      <c r="Z330" s="7"/>
      <c r="AA330" s="367"/>
      <c r="AB330" s="7"/>
      <c r="AC330" s="93">
        <f>ROUNDUP($V330/(1-$AV316),2)</f>
        <v>0</v>
      </c>
      <c r="AD330" s="94">
        <f>$T330*$AC330</f>
        <v>0</v>
      </c>
      <c r="AE330" s="109">
        <f>IFERROR(1-($W330/$AD330),0)</f>
        <v>0</v>
      </c>
      <c r="AF330" s="7"/>
      <c r="AG330" s="369">
        <f t="shared" ref="AG330:AG359" si="325">IFERROR(IF(OR(ISBLANK(N330),N330=CustomerCountry,COUNTIF($N330,"*xDC*")),0,10%),0)</f>
        <v>0</v>
      </c>
      <c r="AH330" s="368">
        <f t="shared" ref="AH330:AH359" si="326">W330*AG330</f>
        <v>0</v>
      </c>
      <c r="AI330" s="7"/>
      <c r="AJ330" s="369" cm="1">
        <f t="array" ref="AJ330">IFERROR(INDEX(WHT!$C$7:$W$18,MATCH(
_xlfn.SWITCH(N330,"xDC Medellin","Colombia","xDC Belo Horizonte","Brazil","xDC Guadalajara","Mexico","xDC Gurugram","India","xDC Leon","Spain","xDC San Jose","Costa Rica","xDC Warsaw","Poland",N330),
WHT!$B$7:$B$18,0),MATCH(CustomerCountry,WHT!$C$5:$W$5,0)),0)</f>
        <v>0</v>
      </c>
      <c r="AK330" s="368">
        <f t="shared" ref="AK330:AK359" si="327">(W330+AH330)*AJ330</f>
        <v>0</v>
      </c>
      <c r="AL330" s="7"/>
      <c r="AM330" s="95">
        <f>SUM($AD330,$AH330,$AK330)</f>
        <v>0</v>
      </c>
      <c r="AN330" s="95">
        <f>AM330+IFERROR(SUM($AN319:$AN324)*AM330/$AM328,0)</f>
        <v>0</v>
      </c>
      <c r="AO330" s="95">
        <f>IFERROR($AN330/$T330,0)</f>
        <v>0</v>
      </c>
      <c r="AP330" s="7"/>
      <c r="AQ330" s="18"/>
      <c r="AR330" s="290"/>
      <c r="AS330" s="467" t="s">
        <v>133</v>
      </c>
      <c r="AT330" s="501">
        <f>IF(AS330="x",AM330+((SUM($AN319:$AN324)+SUMIF($AS330:$AS359,"&lt;&gt;x",$AM330:$AM359))*IFERROR(AM330/SUMIF($AS330:$AS359,"x",$AM330:$AM359),0)),0)</f>
        <v>0</v>
      </c>
      <c r="AU330" s="502"/>
      <c r="AV330" s="95">
        <f>IFERROR(AT330/T330,0)</f>
        <v>0</v>
      </c>
      <c r="AW330" s="469">
        <f t="shared" ref="AW330:AW359" si="328">IFERROR(AV330/BusinessCurrencyTRM,"N/A")</f>
        <v>0</v>
      </c>
      <c r="AX330" s="290"/>
      <c r="AY330" s="18"/>
      <c r="AZ330" s="3"/>
      <c r="BA330" s="315"/>
      <c r="BB330" s="3"/>
      <c r="BC330" s="3"/>
      <c r="BD330" s="3"/>
      <c r="BE330" s="3"/>
      <c r="BF330" s="18"/>
      <c r="BG330" s="3"/>
      <c r="BH330" s="315"/>
      <c r="BI330" s="3"/>
      <c r="BJ330" s="3"/>
      <c r="BK330" s="3"/>
      <c r="BL330" s="3"/>
      <c r="BM330" s="18"/>
      <c r="BN330" s="3"/>
      <c r="BO330" s="315"/>
      <c r="BP330" s="3"/>
      <c r="BQ330" s="3"/>
      <c r="BR330" s="3"/>
      <c r="BS330" s="3"/>
      <c r="BT330" s="18"/>
      <c r="BU330" s="3"/>
      <c r="BV330" s="315"/>
      <c r="BW330" s="3"/>
      <c r="BX330" s="3"/>
      <c r="BY330" s="3"/>
      <c r="BZ330" s="3"/>
    </row>
    <row r="331" spans="1:79" ht="15.6" hidden="1" outlineLevel="1">
      <c r="A331" s="7"/>
      <c r="B331" s="370"/>
      <c r="C331" s="355"/>
      <c r="D331" s="356"/>
      <c r="E331" s="342"/>
      <c r="F331" s="290"/>
      <c r="G331" s="357">
        <v>0</v>
      </c>
      <c r="H331" s="358">
        <v>0</v>
      </c>
      <c r="I331" s="358">
        <v>0</v>
      </c>
      <c r="J331" s="359">
        <f t="shared" ref="J331:J359" si="329">IFERROR(G331/(1-(H331+I331)),0)</f>
        <v>0</v>
      </c>
      <c r="K331" s="290"/>
      <c r="L331" s="349"/>
      <c r="M331" s="7"/>
      <c r="N331" s="12"/>
      <c r="O331" s="12"/>
      <c r="P331" s="12"/>
      <c r="Q331" s="361"/>
      <c r="R331" s="362"/>
      <c r="S331" s="363">
        <f>IF(ISBLANK(P331),0,$O322*20)</f>
        <v>0</v>
      </c>
      <c r="T331" s="364">
        <f t="shared" ref="T331" si="330">IF(ISBLANK($P331),0,IF(Approach="Team-Based",$Q331*$R331*$S331*HoursPerDayTeamBased,$J331))</f>
        <v>0</v>
      </c>
      <c r="U331" s="365">
        <v>0</v>
      </c>
      <c r="V331" s="91">
        <f>ROUNDUP(IFERROR(INDEX(CostRateTbl[Cost Rate],MATCH(_xlfn.CONCAT(N331,O331,P331,"NA"),CostRateTbl[KeyCostRate],0)),0)*BillingCurrencyTRM*(1+U331),2)</f>
        <v>0</v>
      </c>
      <c r="W331" s="92">
        <f t="shared" si="324"/>
        <v>0</v>
      </c>
      <c r="X331" s="366" t="e" cm="1">
        <f t="array" ref="X331">_xlfn.LET(
    _xlpm.valor, INDEX(CostRate!H:H, MATCH(1, (CostRate!A:A=N331)*1, 0)),
    _xlpm.posicion, MATCH(_xlpm.valor, FilterSL!$F$1:$Z$1, 0),
    _xlpm.direccionCompleta, ADDRESS(1, _xlpm.posicion + 5, 4),
    _xlpm.letraColumna, SUBSTITUTE(_xlpm.direccionCompleta, "1", ""),
    _xlpm.letraColumna
)</f>
        <v>#N/A</v>
      </c>
      <c r="Y331" s="366" t="e" cm="1">
        <f t="array" ref="Y331">_xlfn.LET(
    _xlpm.valor, INDEX(CostRate!I:I, MATCH(1, (CostRate!A:A=N331)*(CostRate!B:B=O331), 0)),
    _xlpm.posicion, MATCH(_xlpm.valor, FilterJP!$E$1:$FZ$1, 0),
    _xlpm.direccionCompleta, ADDRESS(1, _xlpm.posicion + 4, 4),
    _xlpm.letraColumna, SUBSTITUTE(_xlpm.direccionCompleta, "1", ""),
    _xlpm.letraColumna
)</f>
        <v>#N/A</v>
      </c>
      <c r="Z331" s="7"/>
      <c r="AA331" s="367"/>
      <c r="AB331" s="7"/>
      <c r="AC331" s="93">
        <f>ROUNDUP($V331/(1-$AV316),2)</f>
        <v>0</v>
      </c>
      <c r="AD331" s="94">
        <f t="shared" ref="AD331:AD359" si="331">$T331*$AC331</f>
        <v>0</v>
      </c>
      <c r="AE331" s="109">
        <f t="shared" ref="AE331:AE359" si="332">IFERROR(1-($W331/$AD331),0)</f>
        <v>0</v>
      </c>
      <c r="AF331" s="7"/>
      <c r="AG331" s="369">
        <f t="shared" si="325"/>
        <v>0</v>
      </c>
      <c r="AH331" s="368">
        <f t="shared" si="326"/>
        <v>0</v>
      </c>
      <c r="AI331" s="7"/>
      <c r="AJ331" s="369" cm="1">
        <f t="array" ref="AJ331">IFERROR(INDEX(WHT!$C$7:$W$18,MATCH(
_xlfn.SWITCH(N331,"xDC Medellin","Colombia","xDC Belo Horizonte","Brazil","xDC Guadalajara","Mexico","xDC Gurugram","India","xDC Leon","Spain","xDC San Jose","Costa Rica","xDC Warsaw","Poland",N331),
WHT!$B$7:$B$18,0),MATCH(CustomerCountry,WHT!$C$5:$W$5,0)),0)</f>
        <v>0</v>
      </c>
      <c r="AK331" s="368">
        <f t="shared" si="327"/>
        <v>0</v>
      </c>
      <c r="AL331" s="7"/>
      <c r="AM331" s="95">
        <f t="shared" ref="AM331:AM359" si="333">SUM($AD331,$AH331,$AK331)</f>
        <v>0</v>
      </c>
      <c r="AN331" s="95">
        <f>AM331+IFERROR(SUM($AN319:$AN324)*AM331/$AM328,0)</f>
        <v>0</v>
      </c>
      <c r="AO331" s="95">
        <f t="shared" ref="AO331:AO359" si="334">IFERROR($AN331/$T331,0)</f>
        <v>0</v>
      </c>
      <c r="AP331" s="90"/>
      <c r="AQ331" s="18"/>
      <c r="AR331" s="290"/>
      <c r="AS331" s="467" t="s">
        <v>133</v>
      </c>
      <c r="AT331" s="501">
        <f>IF(AS331="x",AM331+((SUM($AN319:$AN324)+SUMIF($AS330:$AS359,"&lt;&gt;x",$AM330:$AM359))*IFERROR(AM331/SUMIF($AS330:$AS359,"x",$AM330:$AM359),0)),0)</f>
        <v>0</v>
      </c>
      <c r="AU331" s="502"/>
      <c r="AV331" s="95">
        <f t="shared" ref="AV331:AV359" si="335">IFERROR(AT331/T331,0)</f>
        <v>0</v>
      </c>
      <c r="AW331" s="469">
        <f t="shared" si="328"/>
        <v>0</v>
      </c>
      <c r="AX331" s="290"/>
      <c r="AY331" s="18"/>
      <c r="AZ331" s="3"/>
      <c r="BA331" s="315"/>
      <c r="BB331" s="3"/>
      <c r="BC331" s="3"/>
      <c r="BD331" s="3"/>
      <c r="BE331" s="3"/>
      <c r="BF331" s="18"/>
      <c r="BG331" s="3"/>
      <c r="BH331" s="315"/>
      <c r="BI331" s="3"/>
      <c r="BJ331" s="3"/>
      <c r="BK331" s="3"/>
      <c r="BL331" s="3"/>
      <c r="BM331" s="18"/>
      <c r="BN331" s="3"/>
      <c r="BO331" s="315"/>
      <c r="BP331" s="3"/>
      <c r="BQ331" s="3"/>
      <c r="BR331" s="3"/>
      <c r="BS331" s="3"/>
      <c r="BT331" s="18"/>
      <c r="BU331" s="3"/>
      <c r="BV331" s="315"/>
      <c r="BW331" s="3"/>
      <c r="BX331" s="3"/>
      <c r="BY331" s="3"/>
      <c r="BZ331" s="3"/>
      <c r="CA331" s="371"/>
    </row>
    <row r="332" spans="1:79" ht="15.6" hidden="1" outlineLevel="1">
      <c r="A332" s="7"/>
      <c r="B332" s="370"/>
      <c r="C332" s="355"/>
      <c r="D332" s="356"/>
      <c r="E332" s="342"/>
      <c r="F332" s="290"/>
      <c r="G332" s="357">
        <v>0</v>
      </c>
      <c r="H332" s="358">
        <v>0</v>
      </c>
      <c r="I332" s="358">
        <v>0</v>
      </c>
      <c r="J332" s="359">
        <f t="shared" si="329"/>
        <v>0</v>
      </c>
      <c r="K332" s="290"/>
      <c r="L332" s="349"/>
      <c r="M332" s="7"/>
      <c r="N332" s="12"/>
      <c r="O332" s="12"/>
      <c r="P332" s="12"/>
      <c r="Q332" s="361"/>
      <c r="R332" s="362"/>
      <c r="S332" s="363">
        <f>IF(ISBLANK(P332),0,$O322*20)</f>
        <v>0</v>
      </c>
      <c r="T332" s="364">
        <f t="shared" ref="T332" si="336">IF(ISBLANK($P332),0,IF(Approach="Team-Based",$Q332*$R332*$S332*HoursPerDayTeamBased,$J332))</f>
        <v>0</v>
      </c>
      <c r="U332" s="365">
        <v>0</v>
      </c>
      <c r="V332" s="91">
        <f>ROUNDUP(IFERROR(INDEX(CostRateTbl[Cost Rate],MATCH(_xlfn.CONCAT(N332,O332,P332,"NA"),CostRateTbl[KeyCostRate],0)),0)*BillingCurrencyTRM*(1+U332),2)</f>
        <v>0</v>
      </c>
      <c r="W332" s="92">
        <f t="shared" si="324"/>
        <v>0</v>
      </c>
      <c r="X332" s="366" t="e" cm="1">
        <f t="array" ref="X332">_xlfn.LET(
    _xlpm.valor, INDEX(CostRate!H:H, MATCH(1, (CostRate!A:A=N332)*1, 0)),
    _xlpm.posicion, MATCH(_xlpm.valor, FilterSL!$F$1:$Z$1, 0),
    _xlpm.direccionCompleta, ADDRESS(1, _xlpm.posicion + 5, 4),
    _xlpm.letraColumna, SUBSTITUTE(_xlpm.direccionCompleta, "1", ""),
    _xlpm.letraColumna
)</f>
        <v>#N/A</v>
      </c>
      <c r="Y332" s="366" t="e" cm="1">
        <f t="array" ref="Y332">_xlfn.LET(
    _xlpm.valor, INDEX(CostRate!I:I, MATCH(1, (CostRate!A:A=N332)*(CostRate!B:B=O332), 0)),
    _xlpm.posicion, MATCH(_xlpm.valor, FilterJP!$E$1:$FZ$1, 0),
    _xlpm.direccionCompleta, ADDRESS(1, _xlpm.posicion + 4, 4),
    _xlpm.letraColumna, SUBSTITUTE(_xlpm.direccionCompleta, "1", ""),
    _xlpm.letraColumna
)</f>
        <v>#N/A</v>
      </c>
      <c r="Z332" s="7"/>
      <c r="AA332" s="367"/>
      <c r="AB332" s="7"/>
      <c r="AC332" s="93">
        <f>ROUNDUP($V332/(1-$AV316),2)</f>
        <v>0</v>
      </c>
      <c r="AD332" s="94">
        <f t="shared" si="331"/>
        <v>0</v>
      </c>
      <c r="AE332" s="109">
        <f t="shared" si="332"/>
        <v>0</v>
      </c>
      <c r="AF332" s="7"/>
      <c r="AG332" s="369">
        <f t="shared" si="325"/>
        <v>0</v>
      </c>
      <c r="AH332" s="368">
        <f t="shared" si="326"/>
        <v>0</v>
      </c>
      <c r="AI332" s="7"/>
      <c r="AJ332" s="369" cm="1">
        <f t="array" ref="AJ332">IFERROR(INDEX(WHT!$C$7:$W$18,MATCH(
_xlfn.SWITCH(N332,"xDC Medellin","Colombia","xDC Belo Horizonte","Brazil","xDC Guadalajara","Mexico","xDC Gurugram","India","xDC Leon","Spain","xDC San Jose","Costa Rica","xDC Warsaw","Poland",N332),
WHT!$B$7:$B$18,0),MATCH(CustomerCountry,WHT!$C$5:$W$5,0)),0)</f>
        <v>0</v>
      </c>
      <c r="AK332" s="368">
        <f t="shared" si="327"/>
        <v>0</v>
      </c>
      <c r="AL332" s="7"/>
      <c r="AM332" s="95">
        <f t="shared" si="333"/>
        <v>0</v>
      </c>
      <c r="AN332" s="95">
        <f>AM332+IFERROR(SUM($AN319:$AN324)*AM332/$AM328,0)</f>
        <v>0</v>
      </c>
      <c r="AO332" s="95">
        <f t="shared" si="334"/>
        <v>0</v>
      </c>
      <c r="AP332" s="90"/>
      <c r="AQ332" s="18"/>
      <c r="AR332" s="290"/>
      <c r="AS332" s="467" t="s">
        <v>133</v>
      </c>
      <c r="AT332" s="501">
        <f>IF(AS332="x",AM332+((SUM($AN319:$AN324)+SUMIF($AS330:$AS359,"&lt;&gt;x",$AM330:$AM359))*IFERROR(AM332/SUMIF($AS330:$AS359,"x",$AM330:$AM359),0)),0)</f>
        <v>0</v>
      </c>
      <c r="AU332" s="502"/>
      <c r="AV332" s="95">
        <f t="shared" si="335"/>
        <v>0</v>
      </c>
      <c r="AW332" s="469">
        <f t="shared" si="328"/>
        <v>0</v>
      </c>
      <c r="AX332" s="290"/>
      <c r="AY332" s="18"/>
      <c r="AZ332" s="3"/>
      <c r="BA332" s="315"/>
      <c r="BB332" s="3"/>
      <c r="BC332" s="3"/>
      <c r="BD332" s="3"/>
      <c r="BE332" s="3"/>
      <c r="BF332" s="18"/>
      <c r="BG332" s="3"/>
      <c r="BH332" s="315"/>
      <c r="BI332" s="3"/>
      <c r="BJ332" s="3"/>
      <c r="BK332" s="3"/>
      <c r="BL332" s="3"/>
      <c r="BM332" s="18"/>
      <c r="BN332" s="3"/>
      <c r="BO332" s="315"/>
      <c r="BP332" s="3"/>
      <c r="BQ332" s="3"/>
      <c r="BR332" s="3"/>
      <c r="BS332" s="3"/>
      <c r="BT332" s="18"/>
      <c r="BU332" s="3"/>
      <c r="BV332" s="315"/>
      <c r="BW332" s="3"/>
      <c r="BX332" s="3"/>
      <c r="BY332" s="3"/>
      <c r="BZ332" s="3"/>
    </row>
    <row r="333" spans="1:79" ht="15.6" hidden="1" outlineLevel="1">
      <c r="A333" s="7"/>
      <c r="B333" s="370"/>
      <c r="C333" s="355"/>
      <c r="D333" s="356"/>
      <c r="E333" s="342"/>
      <c r="F333" s="290"/>
      <c r="G333" s="357">
        <v>0</v>
      </c>
      <c r="H333" s="358">
        <v>0</v>
      </c>
      <c r="I333" s="358">
        <v>0</v>
      </c>
      <c r="J333" s="359">
        <f t="shared" si="329"/>
        <v>0</v>
      </c>
      <c r="K333" s="290"/>
      <c r="L333" s="349"/>
      <c r="M333" s="7"/>
      <c r="N333" s="12"/>
      <c r="O333" s="12"/>
      <c r="P333" s="12"/>
      <c r="Q333" s="361"/>
      <c r="R333" s="362"/>
      <c r="S333" s="363">
        <f>IF(ISBLANK(P333),0,$O322*20)</f>
        <v>0</v>
      </c>
      <c r="T333" s="364">
        <f t="shared" ref="T333" si="337">IF(ISBLANK($P333),0,IF(Approach="Team-Based",$Q333*$R333*$S333*HoursPerDayTeamBased,$J333))</f>
        <v>0</v>
      </c>
      <c r="U333" s="365">
        <v>0</v>
      </c>
      <c r="V333" s="91">
        <f>ROUNDUP(IFERROR(INDEX(CostRateTbl[Cost Rate],MATCH(_xlfn.CONCAT(N333,O333,P333,"NA"),CostRateTbl[KeyCostRate],0)),0)*BillingCurrencyTRM*(1+U333),2)</f>
        <v>0</v>
      </c>
      <c r="W333" s="92">
        <f t="shared" si="324"/>
        <v>0</v>
      </c>
      <c r="X333" s="366" t="e" cm="1">
        <f t="array" ref="X333">_xlfn.LET(
    _xlpm.valor, INDEX(CostRate!H:H, MATCH(1, (CostRate!A:A=N333)*1, 0)),
    _xlpm.posicion, MATCH(_xlpm.valor, FilterSL!$F$1:$Z$1, 0),
    _xlpm.direccionCompleta, ADDRESS(1, _xlpm.posicion + 5, 4),
    _xlpm.letraColumna, SUBSTITUTE(_xlpm.direccionCompleta, "1", ""),
    _xlpm.letraColumna
)</f>
        <v>#N/A</v>
      </c>
      <c r="Y333" s="366" t="e" cm="1">
        <f t="array" ref="Y333">_xlfn.LET(
    _xlpm.valor, INDEX(CostRate!I:I, MATCH(1, (CostRate!A:A=N333)*(CostRate!B:B=O333), 0)),
    _xlpm.posicion, MATCH(_xlpm.valor, FilterJP!$E$1:$FZ$1, 0),
    _xlpm.direccionCompleta, ADDRESS(1, _xlpm.posicion + 4, 4),
    _xlpm.letraColumna, SUBSTITUTE(_xlpm.direccionCompleta, "1", ""),
    _xlpm.letraColumna
)</f>
        <v>#N/A</v>
      </c>
      <c r="Z333" s="7"/>
      <c r="AA333" s="367"/>
      <c r="AB333" s="7"/>
      <c r="AC333" s="93">
        <f>ROUNDUP($V333/(1-$AV316),2)</f>
        <v>0</v>
      </c>
      <c r="AD333" s="94">
        <f t="shared" si="331"/>
        <v>0</v>
      </c>
      <c r="AE333" s="109">
        <f t="shared" si="332"/>
        <v>0</v>
      </c>
      <c r="AF333" s="7"/>
      <c r="AG333" s="369">
        <f t="shared" si="325"/>
        <v>0</v>
      </c>
      <c r="AH333" s="368">
        <f t="shared" si="326"/>
        <v>0</v>
      </c>
      <c r="AI333" s="7"/>
      <c r="AJ333" s="369" cm="1">
        <f t="array" ref="AJ333">IFERROR(INDEX(WHT!$C$7:$W$18,MATCH(
_xlfn.SWITCH(N333,"xDC Medellin","Colombia","xDC Belo Horizonte","Brazil","xDC Guadalajara","Mexico","xDC Gurugram","India","xDC Leon","Spain","xDC San Jose","Costa Rica","xDC Warsaw","Poland",N333),
WHT!$B$7:$B$18,0),MATCH(CustomerCountry,WHT!$C$5:$W$5,0)),0)</f>
        <v>0</v>
      </c>
      <c r="AK333" s="368">
        <f t="shared" si="327"/>
        <v>0</v>
      </c>
      <c r="AL333" s="7"/>
      <c r="AM333" s="95">
        <f t="shared" si="333"/>
        <v>0</v>
      </c>
      <c r="AN333" s="95">
        <f>AM333+IFERROR(SUM($AN319:$AN324)*AM333/$AM328,0)</f>
        <v>0</v>
      </c>
      <c r="AO333" s="95">
        <f t="shared" si="334"/>
        <v>0</v>
      </c>
      <c r="AP333" s="90"/>
      <c r="AQ333" s="18"/>
      <c r="AR333" s="290"/>
      <c r="AS333" s="467" t="s">
        <v>133</v>
      </c>
      <c r="AT333" s="501">
        <f>IF(AS333="x",AM333+((SUM($AN319:$AN324)+SUMIF($AS330:$AS359,"&lt;&gt;x",$AM330:$AM359))*IFERROR(AM333/SUMIF($AS330:$AS359,"x",$AM330:$AM359),0)),0)</f>
        <v>0</v>
      </c>
      <c r="AU333" s="502"/>
      <c r="AV333" s="95">
        <f t="shared" si="335"/>
        <v>0</v>
      </c>
      <c r="AW333" s="469">
        <f t="shared" si="328"/>
        <v>0</v>
      </c>
      <c r="AX333" s="290"/>
      <c r="AY333" s="18"/>
      <c r="AZ333" s="3"/>
      <c r="BA333" s="315"/>
      <c r="BB333" s="3"/>
      <c r="BC333" s="3"/>
      <c r="BD333" s="3"/>
      <c r="BE333" s="3"/>
      <c r="BF333" s="18"/>
      <c r="BG333" s="3"/>
      <c r="BH333" s="315"/>
      <c r="BI333" s="3"/>
      <c r="BJ333" s="3"/>
      <c r="BK333" s="3"/>
      <c r="BL333" s="3"/>
      <c r="BM333" s="18"/>
      <c r="BN333" s="3"/>
      <c r="BO333" s="315"/>
      <c r="BP333" s="3"/>
      <c r="BQ333" s="3"/>
      <c r="BR333" s="3"/>
      <c r="BS333" s="3"/>
      <c r="BT333" s="18"/>
      <c r="BU333" s="3"/>
      <c r="BV333" s="315"/>
      <c r="BW333" s="3"/>
      <c r="BX333" s="3"/>
      <c r="BY333" s="3"/>
      <c r="BZ333" s="3"/>
    </row>
    <row r="334" spans="1:79" ht="15.6" hidden="1" outlineLevel="1">
      <c r="A334" s="7"/>
      <c r="B334" s="370"/>
      <c r="C334" s="355"/>
      <c r="D334" s="356"/>
      <c r="E334" s="342"/>
      <c r="F334" s="290"/>
      <c r="G334" s="357">
        <v>0</v>
      </c>
      <c r="H334" s="358">
        <v>0</v>
      </c>
      <c r="I334" s="358">
        <v>0</v>
      </c>
      <c r="J334" s="359">
        <f t="shared" si="329"/>
        <v>0</v>
      </c>
      <c r="K334" s="290"/>
      <c r="L334" s="349"/>
      <c r="M334" s="7"/>
      <c r="N334" s="12"/>
      <c r="O334" s="12"/>
      <c r="P334" s="12"/>
      <c r="Q334" s="361"/>
      <c r="R334" s="362"/>
      <c r="S334" s="363">
        <f>IF(ISBLANK(P334),0,$O322*20)</f>
        <v>0</v>
      </c>
      <c r="T334" s="364">
        <f t="shared" ref="T334" si="338">IF(ISBLANK($P334),0,IF(Approach="Team-Based",$Q334*$R334*$S334*HoursPerDayTeamBased,$J334))</f>
        <v>0</v>
      </c>
      <c r="U334" s="365">
        <v>0</v>
      </c>
      <c r="V334" s="91">
        <f>ROUNDUP(IFERROR(INDEX(CostRateTbl[Cost Rate],MATCH(_xlfn.CONCAT(N334,O334,P334,"NA"),CostRateTbl[KeyCostRate],0)),0)*BillingCurrencyTRM*(1+U334),2)</f>
        <v>0</v>
      </c>
      <c r="W334" s="92">
        <f t="shared" si="324"/>
        <v>0</v>
      </c>
      <c r="X334" s="366" t="e" cm="1">
        <f t="array" ref="X334">_xlfn.LET(
    _xlpm.valor, INDEX(CostRate!H:H, MATCH(1, (CostRate!A:A=N334)*1, 0)),
    _xlpm.posicion, MATCH(_xlpm.valor, FilterSL!$F$1:$Z$1, 0),
    _xlpm.direccionCompleta, ADDRESS(1, _xlpm.posicion + 5, 4),
    _xlpm.letraColumna, SUBSTITUTE(_xlpm.direccionCompleta, "1", ""),
    _xlpm.letraColumna
)</f>
        <v>#N/A</v>
      </c>
      <c r="Y334" s="366" t="e" cm="1">
        <f t="array" ref="Y334">_xlfn.LET(
    _xlpm.valor, INDEX(CostRate!I:I, MATCH(1, (CostRate!A:A=N334)*(CostRate!B:B=O334), 0)),
    _xlpm.posicion, MATCH(_xlpm.valor, FilterJP!$E$1:$FZ$1, 0),
    _xlpm.direccionCompleta, ADDRESS(1, _xlpm.posicion + 4, 4),
    _xlpm.letraColumna, SUBSTITUTE(_xlpm.direccionCompleta, "1", ""),
    _xlpm.letraColumna
)</f>
        <v>#N/A</v>
      </c>
      <c r="Z334" s="7"/>
      <c r="AA334" s="367"/>
      <c r="AB334" s="7"/>
      <c r="AC334" s="93">
        <f>ROUNDUP($V334/(1-$AV316),2)</f>
        <v>0</v>
      </c>
      <c r="AD334" s="94">
        <f t="shared" si="331"/>
        <v>0</v>
      </c>
      <c r="AE334" s="109">
        <f t="shared" si="332"/>
        <v>0</v>
      </c>
      <c r="AF334" s="7"/>
      <c r="AG334" s="369">
        <f t="shared" si="325"/>
        <v>0</v>
      </c>
      <c r="AH334" s="368">
        <f t="shared" si="326"/>
        <v>0</v>
      </c>
      <c r="AI334" s="7"/>
      <c r="AJ334" s="369" cm="1">
        <f t="array" ref="AJ334">IFERROR(INDEX(WHT!$C$7:$W$18,MATCH(
_xlfn.SWITCH(N334,"xDC Medellin","Colombia","xDC Belo Horizonte","Brazil","xDC Guadalajara","Mexico","xDC Gurugram","India","xDC Leon","Spain","xDC San Jose","Costa Rica","xDC Warsaw","Poland",N334),
WHT!$B$7:$B$18,0),MATCH(CustomerCountry,WHT!$C$5:$W$5,0)),0)</f>
        <v>0</v>
      </c>
      <c r="AK334" s="368">
        <f t="shared" si="327"/>
        <v>0</v>
      </c>
      <c r="AL334" s="7"/>
      <c r="AM334" s="95">
        <f t="shared" si="333"/>
        <v>0</v>
      </c>
      <c r="AN334" s="95">
        <f>AM334+IFERROR(SUM($AN319:$AN324)*AM334/$AM328,0)</f>
        <v>0</v>
      </c>
      <c r="AO334" s="95">
        <f t="shared" si="334"/>
        <v>0</v>
      </c>
      <c r="AP334" s="90"/>
      <c r="AQ334" s="18"/>
      <c r="AR334" s="290"/>
      <c r="AS334" s="467" t="s">
        <v>133</v>
      </c>
      <c r="AT334" s="501">
        <f>IF(AS334="x",AM334+((SUM($AN319:$AN324)+SUMIF($AS330:$AS359,"&lt;&gt;x",$AM330:$AM359))*IFERROR(AM334/SUMIF($AS330:$AS359,"x",$AM330:$AM359),0)),0)</f>
        <v>0</v>
      </c>
      <c r="AU334" s="502"/>
      <c r="AV334" s="95">
        <f t="shared" si="335"/>
        <v>0</v>
      </c>
      <c r="AW334" s="469">
        <f t="shared" si="328"/>
        <v>0</v>
      </c>
      <c r="AX334" s="290"/>
      <c r="AY334" s="18"/>
      <c r="AZ334" s="3"/>
      <c r="BA334" s="315"/>
      <c r="BB334" s="3"/>
      <c r="BC334" s="3"/>
      <c r="BD334" s="3"/>
      <c r="BE334" s="3"/>
      <c r="BF334" s="18"/>
      <c r="BG334" s="3"/>
      <c r="BH334" s="315"/>
      <c r="BI334" s="3"/>
      <c r="BJ334" s="3"/>
      <c r="BK334" s="3"/>
      <c r="BL334" s="3"/>
      <c r="BM334" s="18"/>
      <c r="BN334" s="3"/>
      <c r="BO334" s="315"/>
      <c r="BP334" s="3"/>
      <c r="BQ334" s="3"/>
      <c r="BR334" s="3"/>
      <c r="BS334" s="3"/>
      <c r="BT334" s="18"/>
      <c r="BU334" s="3"/>
      <c r="BV334" s="315"/>
      <c r="BW334" s="3"/>
      <c r="BX334" s="3"/>
      <c r="BY334" s="3"/>
      <c r="BZ334" s="3"/>
    </row>
    <row r="335" spans="1:79" ht="15.6" hidden="1" outlineLevel="1">
      <c r="A335" s="7"/>
      <c r="B335" s="370"/>
      <c r="C335" s="355"/>
      <c r="D335" s="356"/>
      <c r="E335" s="342"/>
      <c r="F335" s="290"/>
      <c r="G335" s="357">
        <v>0</v>
      </c>
      <c r="H335" s="358">
        <v>0</v>
      </c>
      <c r="I335" s="358">
        <v>0</v>
      </c>
      <c r="J335" s="359">
        <f t="shared" si="329"/>
        <v>0</v>
      </c>
      <c r="K335" s="290"/>
      <c r="L335" s="349"/>
      <c r="M335" s="7"/>
      <c r="N335" s="12"/>
      <c r="O335" s="12"/>
      <c r="P335" s="12"/>
      <c r="Q335" s="361"/>
      <c r="R335" s="362"/>
      <c r="S335" s="363">
        <f>IF(ISBLANK(P335),0,$O322*20)</f>
        <v>0</v>
      </c>
      <c r="T335" s="364">
        <f t="shared" ref="T335" si="339">IF(ISBLANK($P335),0,IF(Approach="Team-Based",$Q335*$R335*$S335*HoursPerDayTeamBased,$J335))</f>
        <v>0</v>
      </c>
      <c r="U335" s="365">
        <v>0</v>
      </c>
      <c r="V335" s="91">
        <f>ROUNDUP(IFERROR(INDEX(CostRateTbl[Cost Rate],MATCH(_xlfn.CONCAT(N335,O335,P335,"NA"),CostRateTbl[KeyCostRate],0)),0)*BillingCurrencyTRM*(1+U335),2)</f>
        <v>0</v>
      </c>
      <c r="W335" s="92">
        <f t="shared" si="324"/>
        <v>0</v>
      </c>
      <c r="X335" s="366" t="e" cm="1">
        <f t="array" ref="X335">_xlfn.LET(
    _xlpm.valor, INDEX(CostRate!H:H, MATCH(1, (CostRate!A:A=N335)*1, 0)),
    _xlpm.posicion, MATCH(_xlpm.valor, FilterSL!$F$1:$Z$1, 0),
    _xlpm.direccionCompleta, ADDRESS(1, _xlpm.posicion + 5, 4),
    _xlpm.letraColumna, SUBSTITUTE(_xlpm.direccionCompleta, "1", ""),
    _xlpm.letraColumna
)</f>
        <v>#N/A</v>
      </c>
      <c r="Y335" s="366" t="e" cm="1">
        <f t="array" ref="Y335">_xlfn.LET(
    _xlpm.valor, INDEX(CostRate!I:I, MATCH(1, (CostRate!A:A=N335)*(CostRate!B:B=O335), 0)),
    _xlpm.posicion, MATCH(_xlpm.valor, FilterJP!$E$1:$FZ$1, 0),
    _xlpm.direccionCompleta, ADDRESS(1, _xlpm.posicion + 4, 4),
    _xlpm.letraColumna, SUBSTITUTE(_xlpm.direccionCompleta, "1", ""),
    _xlpm.letraColumna
)</f>
        <v>#N/A</v>
      </c>
      <c r="Z335" s="7"/>
      <c r="AA335" s="367"/>
      <c r="AB335" s="7"/>
      <c r="AC335" s="93">
        <f>ROUNDUP($V335/(1-$AV316),2)</f>
        <v>0</v>
      </c>
      <c r="AD335" s="94">
        <f t="shared" si="331"/>
        <v>0</v>
      </c>
      <c r="AE335" s="109">
        <f t="shared" si="332"/>
        <v>0</v>
      </c>
      <c r="AF335" s="7"/>
      <c r="AG335" s="369">
        <f t="shared" si="325"/>
        <v>0</v>
      </c>
      <c r="AH335" s="368">
        <f t="shared" si="326"/>
        <v>0</v>
      </c>
      <c r="AI335" s="7"/>
      <c r="AJ335" s="369" cm="1">
        <f t="array" ref="AJ335">IFERROR(INDEX(WHT!$C$7:$W$18,MATCH(
_xlfn.SWITCH(N335,"xDC Medellin","Colombia","xDC Belo Horizonte","Brazil","xDC Guadalajara","Mexico","xDC Gurugram","India","xDC Leon","Spain","xDC San Jose","Costa Rica","xDC Warsaw","Poland",N335),
WHT!$B$7:$B$18,0),MATCH(CustomerCountry,WHT!$C$5:$W$5,0)),0)</f>
        <v>0</v>
      </c>
      <c r="AK335" s="368">
        <f t="shared" si="327"/>
        <v>0</v>
      </c>
      <c r="AL335" s="7"/>
      <c r="AM335" s="95">
        <f t="shared" si="333"/>
        <v>0</v>
      </c>
      <c r="AN335" s="95">
        <f>AM335+IFERROR(SUM($AN319:$AN324)*AM335/$AM328,0)</f>
        <v>0</v>
      </c>
      <c r="AO335" s="95">
        <f t="shared" si="334"/>
        <v>0</v>
      </c>
      <c r="AP335" s="90"/>
      <c r="AQ335" s="18"/>
      <c r="AR335" s="290"/>
      <c r="AS335" s="467" t="s">
        <v>133</v>
      </c>
      <c r="AT335" s="501">
        <f>IF(AS335="x",AM335+((SUM($AN319:$AN324)+SUMIF($AS330:$AS359,"&lt;&gt;x",$AM330:$AM359))*IFERROR(AM335/SUMIF($AS330:$AS359,"x",$AM330:$AM359),0)),0)</f>
        <v>0</v>
      </c>
      <c r="AU335" s="502"/>
      <c r="AV335" s="95">
        <f t="shared" si="335"/>
        <v>0</v>
      </c>
      <c r="AW335" s="469">
        <f t="shared" si="328"/>
        <v>0</v>
      </c>
      <c r="AX335" s="290"/>
      <c r="AY335" s="18"/>
      <c r="AZ335" s="3"/>
      <c r="BA335" s="315"/>
      <c r="BB335" s="3"/>
      <c r="BC335" s="3"/>
      <c r="BD335" s="3"/>
      <c r="BE335" s="3"/>
      <c r="BF335" s="18"/>
      <c r="BG335" s="3"/>
      <c r="BH335" s="315"/>
      <c r="BI335" s="3"/>
      <c r="BJ335" s="3"/>
      <c r="BK335" s="3"/>
      <c r="BL335" s="3"/>
      <c r="BM335" s="18"/>
      <c r="BN335" s="3"/>
      <c r="BO335" s="315"/>
      <c r="BP335" s="3"/>
      <c r="BQ335" s="3"/>
      <c r="BR335" s="3"/>
      <c r="BS335" s="3"/>
      <c r="BT335" s="18"/>
      <c r="BU335" s="3"/>
      <c r="BV335" s="315"/>
      <c r="BW335" s="3"/>
      <c r="BX335" s="3"/>
      <c r="BY335" s="3"/>
      <c r="BZ335" s="3"/>
    </row>
    <row r="336" spans="1:79" ht="15.6" hidden="1" outlineLevel="1">
      <c r="A336" s="7"/>
      <c r="B336" s="370"/>
      <c r="C336" s="355"/>
      <c r="D336" s="356"/>
      <c r="E336" s="342"/>
      <c r="F336" s="290"/>
      <c r="G336" s="357">
        <v>0</v>
      </c>
      <c r="H336" s="358">
        <v>0</v>
      </c>
      <c r="I336" s="358">
        <v>0</v>
      </c>
      <c r="J336" s="359">
        <f t="shared" si="329"/>
        <v>0</v>
      </c>
      <c r="K336" s="290"/>
      <c r="L336" s="349"/>
      <c r="M336" s="7"/>
      <c r="N336" s="12"/>
      <c r="O336" s="12"/>
      <c r="P336" s="12"/>
      <c r="Q336" s="361"/>
      <c r="R336" s="362"/>
      <c r="S336" s="363">
        <f>IF(ISBLANK(P336),0,$O322*20)</f>
        <v>0</v>
      </c>
      <c r="T336" s="364">
        <f t="shared" ref="T336" si="340">IF(ISBLANK($P336),0,IF(Approach="Team-Based",$Q336*$R336*$S336*HoursPerDayTeamBased,$J336))</f>
        <v>0</v>
      </c>
      <c r="U336" s="365">
        <v>0</v>
      </c>
      <c r="V336" s="91">
        <f>ROUNDUP(IFERROR(INDEX(CostRateTbl[Cost Rate],MATCH(_xlfn.CONCAT(N336,O336,P336,"NA"),CostRateTbl[KeyCostRate],0)),0)*BillingCurrencyTRM*(1+U336),2)</f>
        <v>0</v>
      </c>
      <c r="W336" s="92">
        <f t="shared" si="324"/>
        <v>0</v>
      </c>
      <c r="X336" s="366" t="e" cm="1">
        <f t="array" ref="X336">_xlfn.LET(
    _xlpm.valor, INDEX(CostRate!H:H, MATCH(1, (CostRate!A:A=N336)*1, 0)),
    _xlpm.posicion, MATCH(_xlpm.valor, FilterSL!$F$1:$Z$1, 0),
    _xlpm.direccionCompleta, ADDRESS(1, _xlpm.posicion + 5, 4),
    _xlpm.letraColumna, SUBSTITUTE(_xlpm.direccionCompleta, "1", ""),
    _xlpm.letraColumna
)</f>
        <v>#N/A</v>
      </c>
      <c r="Y336" s="366" t="e" cm="1">
        <f t="array" ref="Y336">_xlfn.LET(
    _xlpm.valor, INDEX(CostRate!I:I, MATCH(1, (CostRate!A:A=N336)*(CostRate!B:B=O336), 0)),
    _xlpm.posicion, MATCH(_xlpm.valor, FilterJP!$E$1:$FZ$1, 0),
    _xlpm.direccionCompleta, ADDRESS(1, _xlpm.posicion + 4, 4),
    _xlpm.letraColumna, SUBSTITUTE(_xlpm.direccionCompleta, "1", ""),
    _xlpm.letraColumna
)</f>
        <v>#N/A</v>
      </c>
      <c r="Z336" s="7"/>
      <c r="AA336" s="367"/>
      <c r="AB336" s="7"/>
      <c r="AC336" s="93">
        <f>ROUNDUP($V336/(1-$AV316),2)</f>
        <v>0</v>
      </c>
      <c r="AD336" s="94">
        <f t="shared" si="331"/>
        <v>0</v>
      </c>
      <c r="AE336" s="109">
        <f t="shared" si="332"/>
        <v>0</v>
      </c>
      <c r="AF336" s="7"/>
      <c r="AG336" s="369">
        <f t="shared" si="325"/>
        <v>0</v>
      </c>
      <c r="AH336" s="368">
        <f t="shared" si="326"/>
        <v>0</v>
      </c>
      <c r="AI336" s="7"/>
      <c r="AJ336" s="369" cm="1">
        <f t="array" ref="AJ336">IFERROR(INDEX(WHT!$C$7:$W$18,MATCH(
_xlfn.SWITCH(N336,"xDC Medellin","Colombia","xDC Belo Horizonte","Brazil","xDC Guadalajara","Mexico","xDC Gurugram","India","xDC Leon","Spain","xDC San Jose","Costa Rica","xDC Warsaw","Poland",N336),
WHT!$B$7:$B$18,0),MATCH(CustomerCountry,WHT!$C$5:$W$5,0)),0)</f>
        <v>0</v>
      </c>
      <c r="AK336" s="368">
        <f t="shared" si="327"/>
        <v>0</v>
      </c>
      <c r="AL336" s="7"/>
      <c r="AM336" s="95">
        <f t="shared" si="333"/>
        <v>0</v>
      </c>
      <c r="AN336" s="95">
        <f>AM336+IFERROR(SUM($AN319:$AN324)*AM336/$AM328,0)</f>
        <v>0</v>
      </c>
      <c r="AO336" s="95">
        <f t="shared" si="334"/>
        <v>0</v>
      </c>
      <c r="AP336" s="90"/>
      <c r="AQ336" s="18"/>
      <c r="AR336" s="290"/>
      <c r="AS336" s="467" t="s">
        <v>133</v>
      </c>
      <c r="AT336" s="501">
        <f>IF(AS336="x",AM336+((SUM($AN319:$AN324)+SUMIF($AS330:$AS359,"&lt;&gt;x",$AM330:$AM359))*IFERROR(AM336/SUMIF($AS330:$AS359,"x",$AM330:$AM359),0)),0)</f>
        <v>0</v>
      </c>
      <c r="AU336" s="502"/>
      <c r="AV336" s="95">
        <f t="shared" si="335"/>
        <v>0</v>
      </c>
      <c r="AW336" s="469">
        <f t="shared" si="328"/>
        <v>0</v>
      </c>
      <c r="AX336" s="290"/>
      <c r="AY336" s="18"/>
      <c r="AZ336" s="3"/>
      <c r="BA336" s="315"/>
      <c r="BB336" s="3"/>
      <c r="BC336" s="3"/>
      <c r="BD336" s="3"/>
      <c r="BE336" s="3"/>
      <c r="BF336" s="18"/>
      <c r="BG336" s="3"/>
      <c r="BH336" s="315"/>
      <c r="BI336" s="3"/>
      <c r="BJ336" s="3"/>
      <c r="BK336" s="3"/>
      <c r="BL336" s="3"/>
      <c r="BM336" s="18"/>
      <c r="BN336" s="3"/>
      <c r="BO336" s="315"/>
      <c r="BP336" s="3"/>
      <c r="BQ336" s="3"/>
      <c r="BR336" s="3"/>
      <c r="BS336" s="3"/>
      <c r="BT336" s="18"/>
      <c r="BU336" s="3"/>
      <c r="BV336" s="315"/>
      <c r="BW336" s="3"/>
      <c r="BX336" s="3"/>
      <c r="BY336" s="3"/>
      <c r="BZ336" s="3"/>
    </row>
    <row r="337" spans="1:78" ht="15.6" hidden="1" outlineLevel="1">
      <c r="A337" s="7"/>
      <c r="B337" s="370"/>
      <c r="C337" s="355"/>
      <c r="D337" s="356"/>
      <c r="E337" s="342"/>
      <c r="F337" s="290"/>
      <c r="G337" s="357">
        <v>0</v>
      </c>
      <c r="H337" s="358">
        <v>0</v>
      </c>
      <c r="I337" s="358">
        <v>0</v>
      </c>
      <c r="J337" s="359">
        <f t="shared" si="329"/>
        <v>0</v>
      </c>
      <c r="K337" s="290"/>
      <c r="L337" s="349"/>
      <c r="M337" s="7"/>
      <c r="N337" s="12"/>
      <c r="O337" s="12"/>
      <c r="P337" s="12"/>
      <c r="Q337" s="361"/>
      <c r="R337" s="362"/>
      <c r="S337" s="363">
        <f>IF(ISBLANK(P337),0,$O322*20)</f>
        <v>0</v>
      </c>
      <c r="T337" s="364">
        <f t="shared" ref="T337" si="341">IF(ISBLANK($P337),0,IF(Approach="Team-Based",$Q337*$R337*$S337*HoursPerDayTeamBased,$J337))</f>
        <v>0</v>
      </c>
      <c r="U337" s="365">
        <v>0</v>
      </c>
      <c r="V337" s="91">
        <f>ROUNDUP(IFERROR(INDEX(CostRateTbl[Cost Rate],MATCH(_xlfn.CONCAT(N337,O337,P337,"NA"),CostRateTbl[KeyCostRate],0)),0)*BillingCurrencyTRM*(1+U337),2)</f>
        <v>0</v>
      </c>
      <c r="W337" s="92">
        <f t="shared" si="324"/>
        <v>0</v>
      </c>
      <c r="X337" s="366" t="e" cm="1">
        <f t="array" ref="X337">_xlfn.LET(
    _xlpm.valor, INDEX(CostRate!H:H, MATCH(1, (CostRate!A:A=N337)*1, 0)),
    _xlpm.posicion, MATCH(_xlpm.valor, FilterSL!$F$1:$Z$1, 0),
    _xlpm.direccionCompleta, ADDRESS(1, _xlpm.posicion + 5, 4),
    _xlpm.letraColumna, SUBSTITUTE(_xlpm.direccionCompleta, "1", ""),
    _xlpm.letraColumna
)</f>
        <v>#N/A</v>
      </c>
      <c r="Y337" s="366" t="e" cm="1">
        <f t="array" ref="Y337">_xlfn.LET(
    _xlpm.valor, INDEX(CostRate!I:I, MATCH(1, (CostRate!A:A=N337)*(CostRate!B:B=O337), 0)),
    _xlpm.posicion, MATCH(_xlpm.valor, FilterJP!$E$1:$FZ$1, 0),
    _xlpm.direccionCompleta, ADDRESS(1, _xlpm.posicion + 4, 4),
    _xlpm.letraColumna, SUBSTITUTE(_xlpm.direccionCompleta, "1", ""),
    _xlpm.letraColumna
)</f>
        <v>#N/A</v>
      </c>
      <c r="Z337" s="7"/>
      <c r="AA337" s="367"/>
      <c r="AB337" s="7"/>
      <c r="AC337" s="93">
        <f>ROUNDUP($V337/(1-$AV316),2)</f>
        <v>0</v>
      </c>
      <c r="AD337" s="94">
        <f t="shared" si="331"/>
        <v>0</v>
      </c>
      <c r="AE337" s="109">
        <f t="shared" si="332"/>
        <v>0</v>
      </c>
      <c r="AF337" s="7"/>
      <c r="AG337" s="369">
        <f t="shared" si="325"/>
        <v>0</v>
      </c>
      <c r="AH337" s="368">
        <f t="shared" si="326"/>
        <v>0</v>
      </c>
      <c r="AI337" s="7"/>
      <c r="AJ337" s="369" cm="1">
        <f t="array" ref="AJ337">IFERROR(INDEX(WHT!$C$7:$W$18,MATCH(
_xlfn.SWITCH(N337,"xDC Medellin","Colombia","xDC Belo Horizonte","Brazil","xDC Guadalajara","Mexico","xDC Gurugram","India","xDC Leon","Spain","xDC San Jose","Costa Rica","xDC Warsaw","Poland",N337),
WHT!$B$7:$B$18,0),MATCH(CustomerCountry,WHT!$C$5:$W$5,0)),0)</f>
        <v>0</v>
      </c>
      <c r="AK337" s="368">
        <f t="shared" si="327"/>
        <v>0</v>
      </c>
      <c r="AL337" s="7"/>
      <c r="AM337" s="95">
        <f t="shared" si="333"/>
        <v>0</v>
      </c>
      <c r="AN337" s="95">
        <f>AM337+IFERROR(SUM($AN319:$AN324)*AM337/$AM328,0)</f>
        <v>0</v>
      </c>
      <c r="AO337" s="95">
        <f t="shared" si="334"/>
        <v>0</v>
      </c>
      <c r="AP337" s="90"/>
      <c r="AQ337" s="18"/>
      <c r="AR337" s="290"/>
      <c r="AS337" s="467" t="s">
        <v>133</v>
      </c>
      <c r="AT337" s="501">
        <f>IF(AS337="x",AM337+((SUM($AN319:$AN324)+SUMIF($AS330:$AS359,"&lt;&gt;x",$AM330:$AM359))*IFERROR(AM337/SUMIF($AS330:$AS359,"x",$AM330:$AM359),0)),0)</f>
        <v>0</v>
      </c>
      <c r="AU337" s="502"/>
      <c r="AV337" s="95">
        <f t="shared" si="335"/>
        <v>0</v>
      </c>
      <c r="AW337" s="469">
        <f t="shared" si="328"/>
        <v>0</v>
      </c>
      <c r="AX337" s="290"/>
      <c r="AY337" s="18"/>
      <c r="AZ337" s="3"/>
      <c r="BA337" s="315"/>
      <c r="BB337" s="3"/>
      <c r="BC337" s="3"/>
      <c r="BD337" s="3"/>
      <c r="BE337" s="3"/>
      <c r="BF337" s="18"/>
      <c r="BG337" s="3"/>
      <c r="BH337" s="315"/>
      <c r="BI337" s="3"/>
      <c r="BJ337" s="3"/>
      <c r="BK337" s="3"/>
      <c r="BL337" s="3"/>
      <c r="BM337" s="18"/>
      <c r="BN337" s="3"/>
      <c r="BO337" s="315"/>
      <c r="BP337" s="3"/>
      <c r="BQ337" s="3"/>
      <c r="BR337" s="3"/>
      <c r="BS337" s="3"/>
      <c r="BT337" s="18"/>
      <c r="BU337" s="3"/>
      <c r="BV337" s="315"/>
      <c r="BW337" s="3"/>
      <c r="BX337" s="3"/>
      <c r="BY337" s="3"/>
      <c r="BZ337" s="3"/>
    </row>
    <row r="338" spans="1:78" ht="15.6" hidden="1" outlineLevel="1">
      <c r="A338" s="7"/>
      <c r="B338" s="370"/>
      <c r="C338" s="355"/>
      <c r="D338" s="356"/>
      <c r="E338" s="342"/>
      <c r="F338" s="290"/>
      <c r="G338" s="357">
        <v>0</v>
      </c>
      <c r="H338" s="358">
        <v>0</v>
      </c>
      <c r="I338" s="358">
        <v>0</v>
      </c>
      <c r="J338" s="359">
        <f t="shared" si="329"/>
        <v>0</v>
      </c>
      <c r="K338" s="290"/>
      <c r="L338" s="349"/>
      <c r="M338" s="7"/>
      <c r="N338" s="12"/>
      <c r="O338" s="12"/>
      <c r="P338" s="12"/>
      <c r="Q338" s="361"/>
      <c r="R338" s="362"/>
      <c r="S338" s="363">
        <f>IF(ISBLANK(P338),0,$O322*20)</f>
        <v>0</v>
      </c>
      <c r="T338" s="364">
        <f t="shared" ref="T338" si="342">IF(ISBLANK($P338),0,IF(Approach="Team-Based",$Q338*$R338*$S338*HoursPerDayTeamBased,$J338))</f>
        <v>0</v>
      </c>
      <c r="U338" s="365">
        <v>0</v>
      </c>
      <c r="V338" s="91">
        <f>ROUNDUP(IFERROR(INDEX(CostRateTbl[Cost Rate],MATCH(_xlfn.CONCAT(N338,O338,P338,"NA"),CostRateTbl[KeyCostRate],0)),0)*BillingCurrencyTRM*(1+U338),2)</f>
        <v>0</v>
      </c>
      <c r="W338" s="92">
        <f t="shared" si="324"/>
        <v>0</v>
      </c>
      <c r="X338" s="366" t="e" cm="1">
        <f t="array" ref="X338">_xlfn.LET(
    _xlpm.valor, INDEX(CostRate!H:H, MATCH(1, (CostRate!A:A=N338)*1, 0)),
    _xlpm.posicion, MATCH(_xlpm.valor, FilterSL!$F$1:$Z$1, 0),
    _xlpm.direccionCompleta, ADDRESS(1, _xlpm.posicion + 5, 4),
    _xlpm.letraColumna, SUBSTITUTE(_xlpm.direccionCompleta, "1", ""),
    _xlpm.letraColumna
)</f>
        <v>#N/A</v>
      </c>
      <c r="Y338" s="366" t="e" cm="1">
        <f t="array" ref="Y338">_xlfn.LET(
    _xlpm.valor, INDEX(CostRate!I:I, MATCH(1, (CostRate!A:A=N338)*(CostRate!B:B=O338), 0)),
    _xlpm.posicion, MATCH(_xlpm.valor, FilterJP!$E$1:$FZ$1, 0),
    _xlpm.direccionCompleta, ADDRESS(1, _xlpm.posicion + 4, 4),
    _xlpm.letraColumna, SUBSTITUTE(_xlpm.direccionCompleta, "1", ""),
    _xlpm.letraColumna
)</f>
        <v>#N/A</v>
      </c>
      <c r="Z338" s="7"/>
      <c r="AA338" s="367"/>
      <c r="AB338" s="7"/>
      <c r="AC338" s="93">
        <f>ROUNDUP($V338/(1-$AV316),2)</f>
        <v>0</v>
      </c>
      <c r="AD338" s="94">
        <f t="shared" si="331"/>
        <v>0</v>
      </c>
      <c r="AE338" s="109">
        <f t="shared" si="332"/>
        <v>0</v>
      </c>
      <c r="AF338" s="7"/>
      <c r="AG338" s="369">
        <f t="shared" si="325"/>
        <v>0</v>
      </c>
      <c r="AH338" s="368">
        <f t="shared" si="326"/>
        <v>0</v>
      </c>
      <c r="AI338" s="7"/>
      <c r="AJ338" s="369" cm="1">
        <f t="array" ref="AJ338">IFERROR(INDEX(WHT!$C$7:$W$18,MATCH(
_xlfn.SWITCH(N338,"xDC Medellin","Colombia","xDC Belo Horizonte","Brazil","xDC Guadalajara","Mexico","xDC Gurugram","India","xDC Leon","Spain","xDC San Jose","Costa Rica","xDC Warsaw","Poland",N338),
WHT!$B$7:$B$18,0),MATCH(CustomerCountry,WHT!$C$5:$W$5,0)),0)</f>
        <v>0</v>
      </c>
      <c r="AK338" s="368">
        <f t="shared" si="327"/>
        <v>0</v>
      </c>
      <c r="AL338" s="7"/>
      <c r="AM338" s="95">
        <f t="shared" si="333"/>
        <v>0</v>
      </c>
      <c r="AN338" s="95">
        <f>AM338+IFERROR(SUM($AN319:$AN324)*AM338/$AM328,0)</f>
        <v>0</v>
      </c>
      <c r="AO338" s="95">
        <f t="shared" si="334"/>
        <v>0</v>
      </c>
      <c r="AP338" s="90"/>
      <c r="AQ338" s="18"/>
      <c r="AR338" s="290"/>
      <c r="AS338" s="467" t="s">
        <v>133</v>
      </c>
      <c r="AT338" s="501">
        <f>IF(AS338="x",AM338+((SUM($AN319:$AN324)+SUMIF($AS330:$AS359,"&lt;&gt;x",$AM330:$AM359))*IFERROR(AM338/SUMIF($AS330:$AS359,"x",$AM330:$AM359),0)),0)</f>
        <v>0</v>
      </c>
      <c r="AU338" s="502"/>
      <c r="AV338" s="95">
        <f t="shared" si="335"/>
        <v>0</v>
      </c>
      <c r="AW338" s="469">
        <f t="shared" si="328"/>
        <v>0</v>
      </c>
      <c r="AX338" s="290"/>
      <c r="AY338" s="18"/>
      <c r="AZ338" s="3"/>
      <c r="BA338" s="315"/>
      <c r="BB338" s="3"/>
      <c r="BC338" s="3"/>
      <c r="BD338" s="3"/>
      <c r="BE338" s="3"/>
      <c r="BF338" s="18"/>
      <c r="BG338" s="3"/>
      <c r="BH338" s="315"/>
      <c r="BI338" s="3"/>
      <c r="BJ338" s="3"/>
      <c r="BK338" s="3"/>
      <c r="BL338" s="3"/>
      <c r="BM338" s="18"/>
      <c r="BN338" s="3"/>
      <c r="BO338" s="315"/>
      <c r="BP338" s="3"/>
      <c r="BQ338" s="3"/>
      <c r="BR338" s="3"/>
      <c r="BS338" s="3"/>
      <c r="BT338" s="18"/>
      <c r="BU338" s="3"/>
      <c r="BV338" s="315"/>
      <c r="BW338" s="3"/>
      <c r="BX338" s="3"/>
      <c r="BY338" s="3"/>
      <c r="BZ338" s="3"/>
    </row>
    <row r="339" spans="1:78" ht="15.6" hidden="1" outlineLevel="1">
      <c r="A339" s="7"/>
      <c r="B339" s="370"/>
      <c r="C339" s="355"/>
      <c r="D339" s="356"/>
      <c r="E339" s="342"/>
      <c r="F339" s="290"/>
      <c r="G339" s="357">
        <v>0</v>
      </c>
      <c r="H339" s="358">
        <v>0</v>
      </c>
      <c r="I339" s="358">
        <v>0</v>
      </c>
      <c r="J339" s="359">
        <f t="shared" si="329"/>
        <v>0</v>
      </c>
      <c r="K339" s="290"/>
      <c r="L339" s="349"/>
      <c r="M339" s="7"/>
      <c r="N339" s="12"/>
      <c r="O339" s="12"/>
      <c r="P339" s="12"/>
      <c r="Q339" s="361"/>
      <c r="R339" s="362"/>
      <c r="S339" s="363">
        <f>IF(ISBLANK(P339),0,$O322*20)</f>
        <v>0</v>
      </c>
      <c r="T339" s="364">
        <f t="shared" ref="T339" si="343">IF(ISBLANK($P339),0,IF(Approach="Team-Based",$Q339*$R339*$S339*HoursPerDayTeamBased,$J339))</f>
        <v>0</v>
      </c>
      <c r="U339" s="365">
        <v>0</v>
      </c>
      <c r="V339" s="91">
        <f>ROUNDUP(IFERROR(INDEX(CostRateTbl[Cost Rate],MATCH(_xlfn.CONCAT(N339,O339,P339,"NA"),CostRateTbl[KeyCostRate],0)),0)*BillingCurrencyTRM*(1+U339),2)</f>
        <v>0</v>
      </c>
      <c r="W339" s="92">
        <f t="shared" si="324"/>
        <v>0</v>
      </c>
      <c r="X339" s="366" t="e" cm="1">
        <f t="array" ref="X339">_xlfn.LET(
    _xlpm.valor, INDEX(CostRate!H:H, MATCH(1, (CostRate!A:A=N339)*1, 0)),
    _xlpm.posicion, MATCH(_xlpm.valor, FilterSL!$F$1:$Z$1, 0),
    _xlpm.direccionCompleta, ADDRESS(1, _xlpm.posicion + 5, 4),
    _xlpm.letraColumna, SUBSTITUTE(_xlpm.direccionCompleta, "1", ""),
    _xlpm.letraColumna
)</f>
        <v>#N/A</v>
      </c>
      <c r="Y339" s="366" t="e" cm="1">
        <f t="array" ref="Y339">_xlfn.LET(
    _xlpm.valor, INDEX(CostRate!I:I, MATCH(1, (CostRate!A:A=N339)*(CostRate!B:B=O339), 0)),
    _xlpm.posicion, MATCH(_xlpm.valor, FilterJP!$E$1:$FZ$1, 0),
    _xlpm.direccionCompleta, ADDRESS(1, _xlpm.posicion + 4, 4),
    _xlpm.letraColumna, SUBSTITUTE(_xlpm.direccionCompleta, "1", ""),
    _xlpm.letraColumna
)</f>
        <v>#N/A</v>
      </c>
      <c r="Z339" s="7"/>
      <c r="AA339" s="367"/>
      <c r="AB339" s="7"/>
      <c r="AC339" s="93">
        <f>ROUNDUP($V339/(1-$AV316),2)</f>
        <v>0</v>
      </c>
      <c r="AD339" s="94">
        <f t="shared" si="331"/>
        <v>0</v>
      </c>
      <c r="AE339" s="109">
        <f t="shared" si="332"/>
        <v>0</v>
      </c>
      <c r="AF339" s="7"/>
      <c r="AG339" s="369">
        <f t="shared" si="325"/>
        <v>0</v>
      </c>
      <c r="AH339" s="368">
        <f t="shared" si="326"/>
        <v>0</v>
      </c>
      <c r="AI339" s="7"/>
      <c r="AJ339" s="369" cm="1">
        <f t="array" ref="AJ339">IFERROR(INDEX(WHT!$C$7:$W$18,MATCH(
_xlfn.SWITCH(N339,"xDC Medellin","Colombia","xDC Belo Horizonte","Brazil","xDC Guadalajara","Mexico","xDC Gurugram","India","xDC Leon","Spain","xDC San Jose","Costa Rica","xDC Warsaw","Poland",N339),
WHT!$B$7:$B$18,0),MATCH(CustomerCountry,WHT!$C$5:$W$5,0)),0)</f>
        <v>0</v>
      </c>
      <c r="AK339" s="368">
        <f t="shared" si="327"/>
        <v>0</v>
      </c>
      <c r="AL339" s="7"/>
      <c r="AM339" s="95">
        <f t="shared" si="333"/>
        <v>0</v>
      </c>
      <c r="AN339" s="95">
        <f>AM339+IFERROR(SUM($AN319:$AN324)*AM339/$AM328,0)</f>
        <v>0</v>
      </c>
      <c r="AO339" s="95">
        <f t="shared" si="334"/>
        <v>0</v>
      </c>
      <c r="AP339" s="90"/>
      <c r="AQ339" s="18"/>
      <c r="AR339" s="290"/>
      <c r="AS339" s="467" t="s">
        <v>133</v>
      </c>
      <c r="AT339" s="501">
        <f>IF(AS339="x",AM339+((SUM($AN319:$AN324)+SUMIF($AS330:$AS359,"&lt;&gt;x",$AM330:$AM359))*IFERROR(AM339/SUMIF($AS330:$AS359,"x",$AM330:$AM359),0)),0)</f>
        <v>0</v>
      </c>
      <c r="AU339" s="502"/>
      <c r="AV339" s="95">
        <f t="shared" si="335"/>
        <v>0</v>
      </c>
      <c r="AW339" s="469">
        <f t="shared" si="328"/>
        <v>0</v>
      </c>
      <c r="AX339" s="290"/>
      <c r="AY339" s="18"/>
      <c r="AZ339" s="3"/>
      <c r="BA339" s="315"/>
      <c r="BB339" s="3"/>
      <c r="BC339" s="3"/>
      <c r="BD339" s="3"/>
      <c r="BE339" s="3"/>
      <c r="BF339" s="18"/>
      <c r="BG339" s="3"/>
      <c r="BH339" s="315"/>
      <c r="BI339" s="3"/>
      <c r="BJ339" s="3"/>
      <c r="BK339" s="3"/>
      <c r="BL339" s="3"/>
      <c r="BM339" s="18"/>
      <c r="BN339" s="3"/>
      <c r="BO339" s="315"/>
      <c r="BP339" s="3"/>
      <c r="BQ339" s="3"/>
      <c r="BR339" s="3"/>
      <c r="BS339" s="3"/>
      <c r="BT339" s="18"/>
      <c r="BU339" s="3"/>
      <c r="BV339" s="315"/>
      <c r="BW339" s="3"/>
      <c r="BX339" s="3"/>
      <c r="BY339" s="3"/>
      <c r="BZ339" s="3"/>
    </row>
    <row r="340" spans="1:78" ht="15.6" hidden="1" outlineLevel="1">
      <c r="A340" s="7"/>
      <c r="B340" s="370"/>
      <c r="C340" s="355"/>
      <c r="D340" s="356"/>
      <c r="E340" s="342"/>
      <c r="F340" s="290"/>
      <c r="G340" s="357">
        <v>0</v>
      </c>
      <c r="H340" s="358">
        <v>0</v>
      </c>
      <c r="I340" s="358">
        <v>0</v>
      </c>
      <c r="J340" s="359">
        <f t="shared" si="329"/>
        <v>0</v>
      </c>
      <c r="K340" s="290"/>
      <c r="L340" s="349"/>
      <c r="M340" s="7"/>
      <c r="N340" s="12"/>
      <c r="O340" s="12"/>
      <c r="P340" s="12"/>
      <c r="Q340" s="361"/>
      <c r="R340" s="362"/>
      <c r="S340" s="363">
        <f>IF(ISBLANK(P340),0,$O322*20)</f>
        <v>0</v>
      </c>
      <c r="T340" s="364">
        <f t="shared" ref="T340" si="344">IF(ISBLANK($P340),0,IF(Approach="Team-Based",$Q340*$R340*$S340*HoursPerDayTeamBased,$J340))</f>
        <v>0</v>
      </c>
      <c r="U340" s="365">
        <v>0</v>
      </c>
      <c r="V340" s="91">
        <f>ROUNDUP(IFERROR(INDEX(CostRateTbl[Cost Rate],MATCH(_xlfn.CONCAT(N340,O340,P340,"NA"),CostRateTbl[KeyCostRate],0)),0)*BillingCurrencyTRM*(1+U340),2)</f>
        <v>0</v>
      </c>
      <c r="W340" s="92">
        <f t="shared" si="324"/>
        <v>0</v>
      </c>
      <c r="X340" s="366" t="e" cm="1">
        <f t="array" ref="X340">_xlfn.LET(
    _xlpm.valor, INDEX(CostRate!H:H, MATCH(1, (CostRate!A:A=N340)*1, 0)),
    _xlpm.posicion, MATCH(_xlpm.valor, FilterSL!$F$1:$Z$1, 0),
    _xlpm.direccionCompleta, ADDRESS(1, _xlpm.posicion + 5, 4),
    _xlpm.letraColumna, SUBSTITUTE(_xlpm.direccionCompleta, "1", ""),
    _xlpm.letraColumna
)</f>
        <v>#N/A</v>
      </c>
      <c r="Y340" s="366" t="e" cm="1">
        <f t="array" ref="Y340">_xlfn.LET(
    _xlpm.valor, INDEX(CostRate!I:I, MATCH(1, (CostRate!A:A=N340)*(CostRate!B:B=O340), 0)),
    _xlpm.posicion, MATCH(_xlpm.valor, FilterJP!$E$1:$FZ$1, 0),
    _xlpm.direccionCompleta, ADDRESS(1, _xlpm.posicion + 4, 4),
    _xlpm.letraColumna, SUBSTITUTE(_xlpm.direccionCompleta, "1", ""),
    _xlpm.letraColumna
)</f>
        <v>#N/A</v>
      </c>
      <c r="Z340" s="7"/>
      <c r="AA340" s="367"/>
      <c r="AB340" s="7"/>
      <c r="AC340" s="93">
        <f>ROUNDUP($V340/(1-$AV316),2)</f>
        <v>0</v>
      </c>
      <c r="AD340" s="94">
        <f t="shared" si="331"/>
        <v>0</v>
      </c>
      <c r="AE340" s="109">
        <f t="shared" si="332"/>
        <v>0</v>
      </c>
      <c r="AF340" s="7"/>
      <c r="AG340" s="369">
        <f t="shared" si="325"/>
        <v>0</v>
      </c>
      <c r="AH340" s="368">
        <f t="shared" si="326"/>
        <v>0</v>
      </c>
      <c r="AI340" s="7"/>
      <c r="AJ340" s="369" cm="1">
        <f t="array" ref="AJ340">IFERROR(INDEX(WHT!$C$7:$W$18,MATCH(
_xlfn.SWITCH(N340,"xDC Medellin","Colombia","xDC Belo Horizonte","Brazil","xDC Guadalajara","Mexico","xDC Gurugram","India","xDC Leon","Spain","xDC San Jose","Costa Rica","xDC Warsaw","Poland",N340),
WHT!$B$7:$B$18,0),MATCH(CustomerCountry,WHT!$C$5:$W$5,0)),0)</f>
        <v>0</v>
      </c>
      <c r="AK340" s="368">
        <f t="shared" si="327"/>
        <v>0</v>
      </c>
      <c r="AL340" s="7"/>
      <c r="AM340" s="95">
        <f t="shared" si="333"/>
        <v>0</v>
      </c>
      <c r="AN340" s="95">
        <f>AM340+IFERROR(SUM($AN319:$AN324)*AM340/$AM328,0)</f>
        <v>0</v>
      </c>
      <c r="AO340" s="95">
        <f t="shared" si="334"/>
        <v>0</v>
      </c>
      <c r="AP340" s="90"/>
      <c r="AQ340" s="18"/>
      <c r="AR340" s="290"/>
      <c r="AS340" s="467" t="s">
        <v>133</v>
      </c>
      <c r="AT340" s="501">
        <f>IF(AS340="x",AM340+((SUM($AN319:$AN324)+SUMIF($AS330:$AS359,"&lt;&gt;x",$AM330:$AM359))*IFERROR(AM340/SUMIF($AS330:$AS359,"x",$AM330:$AM359),0)),0)</f>
        <v>0</v>
      </c>
      <c r="AU340" s="502"/>
      <c r="AV340" s="95">
        <f t="shared" si="335"/>
        <v>0</v>
      </c>
      <c r="AW340" s="469">
        <f t="shared" si="328"/>
        <v>0</v>
      </c>
      <c r="AX340" s="290"/>
      <c r="AY340" s="18"/>
      <c r="AZ340" s="3"/>
      <c r="BA340" s="315"/>
      <c r="BB340" s="3"/>
      <c r="BC340" s="3"/>
      <c r="BD340" s="3"/>
      <c r="BE340" s="3"/>
      <c r="BF340" s="18"/>
      <c r="BG340" s="3"/>
      <c r="BH340" s="315"/>
      <c r="BI340" s="3"/>
      <c r="BJ340" s="3"/>
      <c r="BK340" s="3"/>
      <c r="BL340" s="3"/>
      <c r="BM340" s="18"/>
      <c r="BN340" s="3"/>
      <c r="BO340" s="315"/>
      <c r="BP340" s="3"/>
      <c r="BQ340" s="3"/>
      <c r="BR340" s="3"/>
      <c r="BS340" s="3"/>
      <c r="BT340" s="18"/>
      <c r="BU340" s="3"/>
      <c r="BV340" s="315"/>
      <c r="BW340" s="3"/>
      <c r="BX340" s="3"/>
      <c r="BY340" s="3"/>
      <c r="BZ340" s="3"/>
    </row>
    <row r="341" spans="1:78" ht="15.6" hidden="1" outlineLevel="1">
      <c r="A341" s="7"/>
      <c r="B341" s="370"/>
      <c r="C341" s="355"/>
      <c r="D341" s="356"/>
      <c r="E341" s="342"/>
      <c r="F341" s="290"/>
      <c r="G341" s="357">
        <v>0</v>
      </c>
      <c r="H341" s="358">
        <v>0</v>
      </c>
      <c r="I341" s="358">
        <v>0</v>
      </c>
      <c r="J341" s="359">
        <f t="shared" si="329"/>
        <v>0</v>
      </c>
      <c r="K341" s="290"/>
      <c r="L341" s="349"/>
      <c r="M341" s="7"/>
      <c r="N341" s="12"/>
      <c r="O341" s="12"/>
      <c r="P341" s="12"/>
      <c r="Q341" s="361"/>
      <c r="R341" s="362"/>
      <c r="S341" s="363">
        <f>IF(ISBLANK(P341),0,$O322*20)</f>
        <v>0</v>
      </c>
      <c r="T341" s="364">
        <f t="shared" ref="T341" si="345">IF(ISBLANK($P341),0,IF(Approach="Team-Based",$Q341*$R341*$S341*HoursPerDayTeamBased,$J341))</f>
        <v>0</v>
      </c>
      <c r="U341" s="365">
        <v>0</v>
      </c>
      <c r="V341" s="91">
        <f>ROUNDUP(IFERROR(INDEX(CostRateTbl[Cost Rate],MATCH(_xlfn.CONCAT(N341,O341,P341,"NA"),CostRateTbl[KeyCostRate],0)),0)*BillingCurrencyTRM*(1+U341),2)</f>
        <v>0</v>
      </c>
      <c r="W341" s="92">
        <f t="shared" si="324"/>
        <v>0</v>
      </c>
      <c r="X341" s="366" t="e" cm="1">
        <f t="array" ref="X341">_xlfn.LET(
    _xlpm.valor, INDEX(CostRate!H:H, MATCH(1, (CostRate!A:A=N341)*1, 0)),
    _xlpm.posicion, MATCH(_xlpm.valor, FilterSL!$F$1:$Z$1, 0),
    _xlpm.direccionCompleta, ADDRESS(1, _xlpm.posicion + 5, 4),
    _xlpm.letraColumna, SUBSTITUTE(_xlpm.direccionCompleta, "1", ""),
    _xlpm.letraColumna
)</f>
        <v>#N/A</v>
      </c>
      <c r="Y341" s="366" t="e" cm="1">
        <f t="array" ref="Y341">_xlfn.LET(
    _xlpm.valor, INDEX(CostRate!I:I, MATCH(1, (CostRate!A:A=N341)*(CostRate!B:B=O341), 0)),
    _xlpm.posicion, MATCH(_xlpm.valor, FilterJP!$E$1:$FZ$1, 0),
    _xlpm.direccionCompleta, ADDRESS(1, _xlpm.posicion + 4, 4),
    _xlpm.letraColumna, SUBSTITUTE(_xlpm.direccionCompleta, "1", ""),
    _xlpm.letraColumna
)</f>
        <v>#N/A</v>
      </c>
      <c r="Z341" s="7"/>
      <c r="AA341" s="367"/>
      <c r="AB341" s="7"/>
      <c r="AC341" s="93">
        <f>ROUNDUP($V341/(1-$AV316),2)</f>
        <v>0</v>
      </c>
      <c r="AD341" s="94">
        <f t="shared" si="331"/>
        <v>0</v>
      </c>
      <c r="AE341" s="109">
        <f t="shared" si="332"/>
        <v>0</v>
      </c>
      <c r="AF341" s="7"/>
      <c r="AG341" s="369">
        <f t="shared" si="325"/>
        <v>0</v>
      </c>
      <c r="AH341" s="368">
        <f t="shared" si="326"/>
        <v>0</v>
      </c>
      <c r="AI341" s="7"/>
      <c r="AJ341" s="369" cm="1">
        <f t="array" ref="AJ341">IFERROR(INDEX(WHT!$C$7:$W$18,MATCH(
_xlfn.SWITCH(N341,"xDC Medellin","Colombia","xDC Belo Horizonte","Brazil","xDC Guadalajara","Mexico","xDC Gurugram","India","xDC Leon","Spain","xDC San Jose","Costa Rica","xDC Warsaw","Poland",N341),
WHT!$B$7:$B$18,0),MATCH(CustomerCountry,WHT!$C$5:$W$5,0)),0)</f>
        <v>0</v>
      </c>
      <c r="AK341" s="368">
        <f t="shared" si="327"/>
        <v>0</v>
      </c>
      <c r="AL341" s="7"/>
      <c r="AM341" s="95">
        <f t="shared" si="333"/>
        <v>0</v>
      </c>
      <c r="AN341" s="95">
        <f>AM341+IFERROR(SUM($AN319:$AN324)*AM341/$AM328,0)</f>
        <v>0</v>
      </c>
      <c r="AO341" s="95">
        <f t="shared" si="334"/>
        <v>0</v>
      </c>
      <c r="AP341" s="90"/>
      <c r="AQ341" s="18"/>
      <c r="AR341" s="290"/>
      <c r="AS341" s="467" t="s">
        <v>133</v>
      </c>
      <c r="AT341" s="501">
        <f>IF(AS341="x",AM341+((SUM($AN319:$AN324)+SUMIF($AS330:$AS359,"&lt;&gt;x",$AM330:$AM359))*IFERROR(AM341/SUMIF($AS330:$AS359,"x",$AM330:$AM359),0)),0)</f>
        <v>0</v>
      </c>
      <c r="AU341" s="502"/>
      <c r="AV341" s="95">
        <f t="shared" si="335"/>
        <v>0</v>
      </c>
      <c r="AW341" s="469">
        <f t="shared" si="328"/>
        <v>0</v>
      </c>
      <c r="AX341" s="290"/>
      <c r="AY341" s="18"/>
      <c r="AZ341" s="3"/>
      <c r="BA341" s="315"/>
      <c r="BB341" s="3"/>
      <c r="BC341" s="3"/>
      <c r="BD341" s="3"/>
      <c r="BE341" s="3"/>
      <c r="BF341" s="18"/>
      <c r="BG341" s="3"/>
      <c r="BH341" s="315"/>
      <c r="BI341" s="3"/>
      <c r="BJ341" s="3"/>
      <c r="BK341" s="3"/>
      <c r="BL341" s="3"/>
      <c r="BM341" s="18"/>
      <c r="BN341" s="3"/>
      <c r="BO341" s="315"/>
      <c r="BP341" s="3"/>
      <c r="BQ341" s="3"/>
      <c r="BR341" s="3"/>
      <c r="BS341" s="3"/>
      <c r="BT341" s="18"/>
      <c r="BU341" s="3"/>
      <c r="BV341" s="315"/>
      <c r="BW341" s="3"/>
      <c r="BX341" s="3"/>
      <c r="BY341" s="3"/>
      <c r="BZ341" s="3"/>
    </row>
    <row r="342" spans="1:78" ht="15.6" hidden="1" outlineLevel="1">
      <c r="A342" s="7"/>
      <c r="B342" s="370"/>
      <c r="C342" s="355"/>
      <c r="D342" s="356"/>
      <c r="E342" s="342"/>
      <c r="F342" s="290"/>
      <c r="G342" s="357">
        <v>0</v>
      </c>
      <c r="H342" s="358">
        <v>0</v>
      </c>
      <c r="I342" s="358">
        <v>0</v>
      </c>
      <c r="J342" s="359">
        <f t="shared" si="329"/>
        <v>0</v>
      </c>
      <c r="K342" s="290"/>
      <c r="L342" s="349"/>
      <c r="M342" s="7"/>
      <c r="N342" s="12"/>
      <c r="O342" s="12"/>
      <c r="P342" s="12"/>
      <c r="Q342" s="361"/>
      <c r="R342" s="362"/>
      <c r="S342" s="363">
        <f>IF(ISBLANK(P342),0,$O322*20)</f>
        <v>0</v>
      </c>
      <c r="T342" s="364">
        <f t="shared" ref="T342" si="346">IF(ISBLANK($P342),0,IF(Approach="Team-Based",$Q342*$R342*$S342*HoursPerDayTeamBased,$J342))</f>
        <v>0</v>
      </c>
      <c r="U342" s="365">
        <v>0</v>
      </c>
      <c r="V342" s="91">
        <f>ROUNDUP(IFERROR(INDEX(CostRateTbl[Cost Rate],MATCH(_xlfn.CONCAT(N342,O342,P342,"NA"),CostRateTbl[KeyCostRate],0)),0)*BillingCurrencyTRM*(1+U342),2)</f>
        <v>0</v>
      </c>
      <c r="W342" s="92">
        <f t="shared" si="324"/>
        <v>0</v>
      </c>
      <c r="X342" s="366" t="e" cm="1">
        <f t="array" ref="X342">_xlfn.LET(
    _xlpm.valor, INDEX(CostRate!H:H, MATCH(1, (CostRate!A:A=N342)*1, 0)),
    _xlpm.posicion, MATCH(_xlpm.valor, FilterSL!$F$1:$Z$1, 0),
    _xlpm.direccionCompleta, ADDRESS(1, _xlpm.posicion + 5, 4),
    _xlpm.letraColumna, SUBSTITUTE(_xlpm.direccionCompleta, "1", ""),
    _xlpm.letraColumna
)</f>
        <v>#N/A</v>
      </c>
      <c r="Y342" s="366" t="e" cm="1">
        <f t="array" ref="Y342">_xlfn.LET(
    _xlpm.valor, INDEX(CostRate!I:I, MATCH(1, (CostRate!A:A=N342)*(CostRate!B:B=O342), 0)),
    _xlpm.posicion, MATCH(_xlpm.valor, FilterJP!$E$1:$FZ$1, 0),
    _xlpm.direccionCompleta, ADDRESS(1, _xlpm.posicion + 4, 4),
    _xlpm.letraColumna, SUBSTITUTE(_xlpm.direccionCompleta, "1", ""),
    _xlpm.letraColumna
)</f>
        <v>#N/A</v>
      </c>
      <c r="Z342" s="7"/>
      <c r="AA342" s="367"/>
      <c r="AB342" s="7"/>
      <c r="AC342" s="93">
        <f>ROUNDUP($V342/(1-$AV316),2)</f>
        <v>0</v>
      </c>
      <c r="AD342" s="94">
        <f t="shared" si="331"/>
        <v>0</v>
      </c>
      <c r="AE342" s="109">
        <f t="shared" si="332"/>
        <v>0</v>
      </c>
      <c r="AF342" s="7"/>
      <c r="AG342" s="369">
        <f t="shared" si="325"/>
        <v>0</v>
      </c>
      <c r="AH342" s="368">
        <f t="shared" si="326"/>
        <v>0</v>
      </c>
      <c r="AI342" s="7"/>
      <c r="AJ342" s="369" cm="1">
        <f t="array" ref="AJ342">IFERROR(INDEX(WHT!$C$7:$W$18,MATCH(
_xlfn.SWITCH(N342,"xDC Medellin","Colombia","xDC Belo Horizonte","Brazil","xDC Guadalajara","Mexico","xDC Gurugram","India","xDC Leon","Spain","xDC San Jose","Costa Rica","xDC Warsaw","Poland",N342),
WHT!$B$7:$B$18,0),MATCH(CustomerCountry,WHT!$C$5:$W$5,0)),0)</f>
        <v>0</v>
      </c>
      <c r="AK342" s="368">
        <f t="shared" si="327"/>
        <v>0</v>
      </c>
      <c r="AL342" s="7"/>
      <c r="AM342" s="95">
        <f t="shared" si="333"/>
        <v>0</v>
      </c>
      <c r="AN342" s="95">
        <f>AM342+IFERROR(SUM($AN319:$AN324)*AM342/$AM328,0)</f>
        <v>0</v>
      </c>
      <c r="AO342" s="95">
        <f t="shared" si="334"/>
        <v>0</v>
      </c>
      <c r="AP342" s="90"/>
      <c r="AQ342" s="18"/>
      <c r="AR342" s="290"/>
      <c r="AS342" s="467" t="s">
        <v>133</v>
      </c>
      <c r="AT342" s="501">
        <f>IF(AS342="x",AM342+((SUM($AN319:$AN324)+SUMIF($AS330:$AS359,"&lt;&gt;x",$AM330:$AM359))*IFERROR(AM342/SUMIF($AS330:$AS359,"x",$AM330:$AM359),0)),0)</f>
        <v>0</v>
      </c>
      <c r="AU342" s="502"/>
      <c r="AV342" s="95">
        <f t="shared" si="335"/>
        <v>0</v>
      </c>
      <c r="AW342" s="469">
        <f t="shared" si="328"/>
        <v>0</v>
      </c>
      <c r="AX342" s="290"/>
      <c r="AY342" s="18"/>
      <c r="AZ342" s="3"/>
      <c r="BA342" s="315"/>
      <c r="BB342" s="3"/>
      <c r="BC342" s="3"/>
      <c r="BD342" s="3"/>
      <c r="BE342" s="3"/>
      <c r="BF342" s="18"/>
      <c r="BG342" s="3"/>
      <c r="BH342" s="315"/>
      <c r="BI342" s="3"/>
      <c r="BJ342" s="3"/>
      <c r="BK342" s="3"/>
      <c r="BL342" s="3"/>
      <c r="BM342" s="18"/>
      <c r="BN342" s="3"/>
      <c r="BO342" s="315"/>
      <c r="BP342" s="3"/>
      <c r="BQ342" s="3"/>
      <c r="BR342" s="3"/>
      <c r="BS342" s="3"/>
      <c r="BT342" s="18"/>
      <c r="BU342" s="3"/>
      <c r="BV342" s="315"/>
      <c r="BW342" s="3"/>
      <c r="BX342" s="3"/>
      <c r="BY342" s="3"/>
      <c r="BZ342" s="3"/>
    </row>
    <row r="343" spans="1:78" ht="15.6" hidden="1" outlineLevel="1">
      <c r="A343" s="7"/>
      <c r="B343" s="370"/>
      <c r="C343" s="355"/>
      <c r="D343" s="356"/>
      <c r="E343" s="342"/>
      <c r="F343" s="290"/>
      <c r="G343" s="357">
        <v>0</v>
      </c>
      <c r="H343" s="358">
        <v>0</v>
      </c>
      <c r="I343" s="358">
        <v>0</v>
      </c>
      <c r="J343" s="359">
        <f t="shared" si="329"/>
        <v>0</v>
      </c>
      <c r="K343" s="290"/>
      <c r="L343" s="349"/>
      <c r="M343" s="7"/>
      <c r="N343" s="12"/>
      <c r="O343" s="12"/>
      <c r="P343" s="12"/>
      <c r="Q343" s="361"/>
      <c r="R343" s="362"/>
      <c r="S343" s="363">
        <f>IF(ISBLANK(P343),0,$O322*20)</f>
        <v>0</v>
      </c>
      <c r="T343" s="364">
        <f t="shared" ref="T343" si="347">IF(ISBLANK($P343),0,IF(Approach="Team-Based",$Q343*$R343*$S343*HoursPerDayTeamBased,$J343))</f>
        <v>0</v>
      </c>
      <c r="U343" s="365">
        <v>0</v>
      </c>
      <c r="V343" s="91">
        <f>ROUNDUP(IFERROR(INDEX(CostRateTbl[Cost Rate],MATCH(_xlfn.CONCAT(N343,O343,P343,"NA"),CostRateTbl[KeyCostRate],0)),0)*BillingCurrencyTRM*(1+U343),2)</f>
        <v>0</v>
      </c>
      <c r="W343" s="92">
        <f t="shared" si="324"/>
        <v>0</v>
      </c>
      <c r="X343" s="366" t="e" cm="1">
        <f t="array" ref="X343">_xlfn.LET(
    _xlpm.valor, INDEX(CostRate!H:H, MATCH(1, (CostRate!A:A=N343)*1, 0)),
    _xlpm.posicion, MATCH(_xlpm.valor, FilterSL!$F$1:$Z$1, 0),
    _xlpm.direccionCompleta, ADDRESS(1, _xlpm.posicion + 5, 4),
    _xlpm.letraColumna, SUBSTITUTE(_xlpm.direccionCompleta, "1", ""),
    _xlpm.letraColumna
)</f>
        <v>#N/A</v>
      </c>
      <c r="Y343" s="366" t="e" cm="1">
        <f t="array" ref="Y343">_xlfn.LET(
    _xlpm.valor, INDEX(CostRate!I:I, MATCH(1, (CostRate!A:A=N343)*(CostRate!B:B=O343), 0)),
    _xlpm.posicion, MATCH(_xlpm.valor, FilterJP!$E$1:$FZ$1, 0),
    _xlpm.direccionCompleta, ADDRESS(1, _xlpm.posicion + 4, 4),
    _xlpm.letraColumna, SUBSTITUTE(_xlpm.direccionCompleta, "1", ""),
    _xlpm.letraColumna
)</f>
        <v>#N/A</v>
      </c>
      <c r="Z343" s="7"/>
      <c r="AA343" s="367"/>
      <c r="AB343" s="7"/>
      <c r="AC343" s="93">
        <f>ROUNDUP($V343/(1-$AV316),2)</f>
        <v>0</v>
      </c>
      <c r="AD343" s="94">
        <f t="shared" si="331"/>
        <v>0</v>
      </c>
      <c r="AE343" s="109">
        <f t="shared" si="332"/>
        <v>0</v>
      </c>
      <c r="AF343" s="7"/>
      <c r="AG343" s="369">
        <f t="shared" si="325"/>
        <v>0</v>
      </c>
      <c r="AH343" s="368">
        <f t="shared" si="326"/>
        <v>0</v>
      </c>
      <c r="AI343" s="7"/>
      <c r="AJ343" s="369" cm="1">
        <f t="array" ref="AJ343">IFERROR(INDEX(WHT!$C$7:$W$18,MATCH(
_xlfn.SWITCH(N343,"xDC Medellin","Colombia","xDC Belo Horizonte","Brazil","xDC Guadalajara","Mexico","xDC Gurugram","India","xDC Leon","Spain","xDC San Jose","Costa Rica","xDC Warsaw","Poland",N343),
WHT!$B$7:$B$18,0),MATCH(CustomerCountry,WHT!$C$5:$W$5,0)),0)</f>
        <v>0</v>
      </c>
      <c r="AK343" s="368">
        <f t="shared" si="327"/>
        <v>0</v>
      </c>
      <c r="AL343" s="7"/>
      <c r="AM343" s="95">
        <f t="shared" si="333"/>
        <v>0</v>
      </c>
      <c r="AN343" s="95">
        <f>AM343+IFERROR(SUM($AN319:$AN324)*AM343/$AM328,0)</f>
        <v>0</v>
      </c>
      <c r="AO343" s="95">
        <f t="shared" si="334"/>
        <v>0</v>
      </c>
      <c r="AP343" s="90"/>
      <c r="AQ343" s="18"/>
      <c r="AR343" s="290"/>
      <c r="AS343" s="467" t="s">
        <v>133</v>
      </c>
      <c r="AT343" s="501">
        <f>IF(AS343="x",AM343+((SUM($AN319:$AN324)+SUMIF($AS330:$AS359,"&lt;&gt;x",$AM330:$AM359))*IFERROR(AM343/SUMIF($AS330:$AS359,"x",$AM330:$AM359),0)),0)</f>
        <v>0</v>
      </c>
      <c r="AU343" s="502"/>
      <c r="AV343" s="95">
        <f t="shared" si="335"/>
        <v>0</v>
      </c>
      <c r="AW343" s="469">
        <f t="shared" si="328"/>
        <v>0</v>
      </c>
      <c r="AX343" s="290"/>
      <c r="AY343" s="18"/>
      <c r="AZ343" s="3"/>
      <c r="BA343" s="315"/>
      <c r="BB343" s="3"/>
      <c r="BC343" s="3"/>
      <c r="BD343" s="3"/>
      <c r="BE343" s="3"/>
      <c r="BF343" s="18"/>
      <c r="BG343" s="3"/>
      <c r="BH343" s="315"/>
      <c r="BI343" s="3"/>
      <c r="BJ343" s="3"/>
      <c r="BK343" s="3"/>
      <c r="BL343" s="3"/>
      <c r="BM343" s="18"/>
      <c r="BN343" s="3"/>
      <c r="BO343" s="315"/>
      <c r="BP343" s="3"/>
      <c r="BQ343" s="3"/>
      <c r="BR343" s="3"/>
      <c r="BS343" s="3"/>
      <c r="BT343" s="18"/>
      <c r="BU343" s="3"/>
      <c r="BV343" s="315"/>
      <c r="BW343" s="3"/>
      <c r="BX343" s="3"/>
      <c r="BY343" s="3"/>
      <c r="BZ343" s="3"/>
    </row>
    <row r="344" spans="1:78" ht="15.6" hidden="1" outlineLevel="1">
      <c r="A344" s="7"/>
      <c r="B344" s="370"/>
      <c r="C344" s="355"/>
      <c r="D344" s="356"/>
      <c r="E344" s="342"/>
      <c r="F344" s="290"/>
      <c r="G344" s="357">
        <v>0</v>
      </c>
      <c r="H344" s="358">
        <v>0</v>
      </c>
      <c r="I344" s="358">
        <v>0</v>
      </c>
      <c r="J344" s="359">
        <f t="shared" si="329"/>
        <v>0</v>
      </c>
      <c r="K344" s="290"/>
      <c r="L344" s="349"/>
      <c r="M344" s="7"/>
      <c r="N344" s="12"/>
      <c r="O344" s="12"/>
      <c r="P344" s="12"/>
      <c r="Q344" s="361"/>
      <c r="R344" s="362"/>
      <c r="S344" s="363">
        <f>IF(ISBLANK(P344),0,$O322*20)</f>
        <v>0</v>
      </c>
      <c r="T344" s="364">
        <f t="shared" ref="T344" si="348">IF(ISBLANK($P344),0,IF(Approach="Team-Based",$Q344*$R344*$S344*HoursPerDayTeamBased,$J344))</f>
        <v>0</v>
      </c>
      <c r="U344" s="365">
        <v>0</v>
      </c>
      <c r="V344" s="91">
        <f>ROUNDUP(IFERROR(INDEX(CostRateTbl[Cost Rate],MATCH(_xlfn.CONCAT(N344,O344,P344,"NA"),CostRateTbl[KeyCostRate],0)),0)*BillingCurrencyTRM*(1+U344),2)</f>
        <v>0</v>
      </c>
      <c r="W344" s="92">
        <f t="shared" si="324"/>
        <v>0</v>
      </c>
      <c r="X344" s="366" t="e" cm="1">
        <f t="array" ref="X344">_xlfn.LET(
    _xlpm.valor, INDEX(CostRate!H:H, MATCH(1, (CostRate!A:A=N344)*1, 0)),
    _xlpm.posicion, MATCH(_xlpm.valor, FilterSL!$F$1:$Z$1, 0),
    _xlpm.direccionCompleta, ADDRESS(1, _xlpm.posicion + 5, 4),
    _xlpm.letraColumna, SUBSTITUTE(_xlpm.direccionCompleta, "1", ""),
    _xlpm.letraColumna
)</f>
        <v>#N/A</v>
      </c>
      <c r="Y344" s="366" t="e" cm="1">
        <f t="array" ref="Y344">_xlfn.LET(
    _xlpm.valor, INDEX(CostRate!I:I, MATCH(1, (CostRate!A:A=N344)*(CostRate!B:B=O344), 0)),
    _xlpm.posicion, MATCH(_xlpm.valor, FilterJP!$E$1:$FZ$1, 0),
    _xlpm.direccionCompleta, ADDRESS(1, _xlpm.posicion + 4, 4),
    _xlpm.letraColumna, SUBSTITUTE(_xlpm.direccionCompleta, "1", ""),
    _xlpm.letraColumna
)</f>
        <v>#N/A</v>
      </c>
      <c r="Z344" s="7"/>
      <c r="AA344" s="367"/>
      <c r="AB344" s="7"/>
      <c r="AC344" s="93">
        <f>ROUNDUP($V344/(1-$AV316),2)</f>
        <v>0</v>
      </c>
      <c r="AD344" s="94">
        <f t="shared" si="331"/>
        <v>0</v>
      </c>
      <c r="AE344" s="109">
        <f t="shared" si="332"/>
        <v>0</v>
      </c>
      <c r="AF344" s="7"/>
      <c r="AG344" s="369">
        <f t="shared" si="325"/>
        <v>0</v>
      </c>
      <c r="AH344" s="368">
        <f t="shared" si="326"/>
        <v>0</v>
      </c>
      <c r="AI344" s="7"/>
      <c r="AJ344" s="369" cm="1">
        <f t="array" ref="AJ344">IFERROR(INDEX(WHT!$C$7:$W$18,MATCH(
_xlfn.SWITCH(N344,"xDC Medellin","Colombia","xDC Belo Horizonte","Brazil","xDC Guadalajara","Mexico","xDC Gurugram","India","xDC Leon","Spain","xDC San Jose","Costa Rica","xDC Warsaw","Poland",N344),
WHT!$B$7:$B$18,0),MATCH(CustomerCountry,WHT!$C$5:$W$5,0)),0)</f>
        <v>0</v>
      </c>
      <c r="AK344" s="368">
        <f t="shared" si="327"/>
        <v>0</v>
      </c>
      <c r="AL344" s="7"/>
      <c r="AM344" s="95">
        <f t="shared" si="333"/>
        <v>0</v>
      </c>
      <c r="AN344" s="95">
        <f>AM344+IFERROR(SUM($AN319:$AN324)*AM344/$AM328,0)</f>
        <v>0</v>
      </c>
      <c r="AO344" s="95">
        <f t="shared" si="334"/>
        <v>0</v>
      </c>
      <c r="AP344" s="90"/>
      <c r="AQ344" s="18"/>
      <c r="AR344" s="290"/>
      <c r="AS344" s="467" t="s">
        <v>133</v>
      </c>
      <c r="AT344" s="501">
        <f>IF(AS344="x",AM344+((SUM($AN319:$AN324)+SUMIF($AS330:$AS359,"&lt;&gt;x",$AM330:$AM359))*IFERROR(AM344/SUMIF($AS330:$AS359,"x",$AM330:$AM359),0)),0)</f>
        <v>0</v>
      </c>
      <c r="AU344" s="502"/>
      <c r="AV344" s="95">
        <f t="shared" si="335"/>
        <v>0</v>
      </c>
      <c r="AW344" s="469">
        <f t="shared" si="328"/>
        <v>0</v>
      </c>
      <c r="AX344" s="290"/>
      <c r="AY344" s="18"/>
      <c r="AZ344" s="3"/>
      <c r="BA344" s="315"/>
      <c r="BB344" s="3"/>
      <c r="BC344" s="3"/>
      <c r="BD344" s="3"/>
      <c r="BE344" s="3"/>
      <c r="BF344" s="18"/>
      <c r="BG344" s="3"/>
      <c r="BH344" s="315"/>
      <c r="BI344" s="3"/>
      <c r="BJ344" s="3"/>
      <c r="BK344" s="3"/>
      <c r="BL344" s="3"/>
      <c r="BM344" s="18"/>
      <c r="BN344" s="3"/>
      <c r="BO344" s="315"/>
      <c r="BP344" s="3"/>
      <c r="BQ344" s="3"/>
      <c r="BR344" s="3"/>
      <c r="BS344" s="3"/>
      <c r="BT344" s="18"/>
      <c r="BU344" s="3"/>
      <c r="BV344" s="315"/>
      <c r="BW344" s="3"/>
      <c r="BX344" s="3"/>
      <c r="BY344" s="3"/>
      <c r="BZ344" s="3"/>
    </row>
    <row r="345" spans="1:78" ht="15.6" hidden="1" outlineLevel="1">
      <c r="A345" s="7"/>
      <c r="B345" s="370"/>
      <c r="C345" s="355"/>
      <c r="D345" s="356"/>
      <c r="E345" s="342"/>
      <c r="F345" s="290"/>
      <c r="G345" s="357">
        <v>0</v>
      </c>
      <c r="H345" s="358">
        <v>0</v>
      </c>
      <c r="I345" s="358">
        <v>0</v>
      </c>
      <c r="J345" s="359">
        <f t="shared" si="329"/>
        <v>0</v>
      </c>
      <c r="K345" s="290"/>
      <c r="L345" s="349"/>
      <c r="M345" s="7"/>
      <c r="N345" s="12"/>
      <c r="O345" s="12"/>
      <c r="P345" s="12"/>
      <c r="Q345" s="361"/>
      <c r="R345" s="362"/>
      <c r="S345" s="363">
        <f>IF(ISBLANK(P345),0,$O322*20)</f>
        <v>0</v>
      </c>
      <c r="T345" s="364">
        <f t="shared" ref="T345" si="349">IF(ISBLANK($P345),0,IF(Approach="Team-Based",$Q345*$R345*$S345*HoursPerDayTeamBased,$J345))</f>
        <v>0</v>
      </c>
      <c r="U345" s="365">
        <v>0</v>
      </c>
      <c r="V345" s="91">
        <f>ROUNDUP(IFERROR(INDEX(CostRateTbl[Cost Rate],MATCH(_xlfn.CONCAT(N345,O345,P345,"NA"),CostRateTbl[KeyCostRate],0)),0)*BillingCurrencyTRM*(1+U345),2)</f>
        <v>0</v>
      </c>
      <c r="W345" s="92">
        <f t="shared" si="324"/>
        <v>0</v>
      </c>
      <c r="X345" s="366" t="e" cm="1">
        <f t="array" ref="X345">_xlfn.LET(
    _xlpm.valor, INDEX(CostRate!H:H, MATCH(1, (CostRate!A:A=N345)*1, 0)),
    _xlpm.posicion, MATCH(_xlpm.valor, FilterSL!$F$1:$Z$1, 0),
    _xlpm.direccionCompleta, ADDRESS(1, _xlpm.posicion + 5, 4),
    _xlpm.letraColumna, SUBSTITUTE(_xlpm.direccionCompleta, "1", ""),
    _xlpm.letraColumna
)</f>
        <v>#N/A</v>
      </c>
      <c r="Y345" s="366" t="e" cm="1">
        <f t="array" ref="Y345">_xlfn.LET(
    _xlpm.valor, INDEX(CostRate!I:I, MATCH(1, (CostRate!A:A=N345)*(CostRate!B:B=O345), 0)),
    _xlpm.posicion, MATCH(_xlpm.valor, FilterJP!$E$1:$FZ$1, 0),
    _xlpm.direccionCompleta, ADDRESS(1, _xlpm.posicion + 4, 4),
    _xlpm.letraColumna, SUBSTITUTE(_xlpm.direccionCompleta, "1", ""),
    _xlpm.letraColumna
)</f>
        <v>#N/A</v>
      </c>
      <c r="Z345" s="7"/>
      <c r="AA345" s="367"/>
      <c r="AB345" s="7"/>
      <c r="AC345" s="93">
        <f>ROUNDUP($V345/(1-$AV316),2)</f>
        <v>0</v>
      </c>
      <c r="AD345" s="94">
        <f t="shared" si="331"/>
        <v>0</v>
      </c>
      <c r="AE345" s="109">
        <f t="shared" si="332"/>
        <v>0</v>
      </c>
      <c r="AF345" s="7"/>
      <c r="AG345" s="369">
        <f t="shared" si="325"/>
        <v>0</v>
      </c>
      <c r="AH345" s="368">
        <f t="shared" si="326"/>
        <v>0</v>
      </c>
      <c r="AI345" s="7"/>
      <c r="AJ345" s="369" cm="1">
        <f t="array" ref="AJ345">IFERROR(INDEX(WHT!$C$7:$W$18,MATCH(
_xlfn.SWITCH(N345,"xDC Medellin","Colombia","xDC Belo Horizonte","Brazil","xDC Guadalajara","Mexico","xDC Gurugram","India","xDC Leon","Spain","xDC San Jose","Costa Rica","xDC Warsaw","Poland",N345),
WHT!$B$7:$B$18,0),MATCH(CustomerCountry,WHT!$C$5:$W$5,0)),0)</f>
        <v>0</v>
      </c>
      <c r="AK345" s="368">
        <f t="shared" si="327"/>
        <v>0</v>
      </c>
      <c r="AL345" s="7"/>
      <c r="AM345" s="95">
        <f t="shared" si="333"/>
        <v>0</v>
      </c>
      <c r="AN345" s="95">
        <f>AM345+IFERROR(SUM($AN319:$AN324)*AM345/$AM328,0)</f>
        <v>0</v>
      </c>
      <c r="AO345" s="95">
        <f t="shared" si="334"/>
        <v>0</v>
      </c>
      <c r="AP345" s="90"/>
      <c r="AQ345" s="18"/>
      <c r="AR345" s="290"/>
      <c r="AS345" s="467" t="s">
        <v>133</v>
      </c>
      <c r="AT345" s="501">
        <f>IF(AS345="x",AM345+((SUM($AN319:$AN324)+SUMIF($AS330:$AS359,"&lt;&gt;x",$AM330:$AM359))*IFERROR(AM345/SUMIF($AS330:$AS359,"x",$AM330:$AM359),0)),0)</f>
        <v>0</v>
      </c>
      <c r="AU345" s="502"/>
      <c r="AV345" s="95">
        <f t="shared" si="335"/>
        <v>0</v>
      </c>
      <c r="AW345" s="469">
        <f t="shared" si="328"/>
        <v>0</v>
      </c>
      <c r="AX345" s="290"/>
      <c r="AY345" s="18"/>
      <c r="AZ345" s="3"/>
      <c r="BA345" s="315"/>
      <c r="BB345" s="3"/>
      <c r="BC345" s="3"/>
      <c r="BD345" s="3"/>
      <c r="BE345" s="3"/>
      <c r="BF345" s="18"/>
      <c r="BG345" s="3"/>
      <c r="BH345" s="315"/>
      <c r="BI345" s="3"/>
      <c r="BJ345" s="3"/>
      <c r="BK345" s="3"/>
      <c r="BL345" s="3"/>
      <c r="BM345" s="18"/>
      <c r="BN345" s="3"/>
      <c r="BO345" s="315"/>
      <c r="BP345" s="3"/>
      <c r="BQ345" s="3"/>
      <c r="BR345" s="3"/>
      <c r="BS345" s="3"/>
      <c r="BT345" s="18"/>
      <c r="BU345" s="3"/>
      <c r="BV345" s="315"/>
      <c r="BW345" s="3"/>
      <c r="BX345" s="3"/>
      <c r="BY345" s="3"/>
      <c r="BZ345" s="3"/>
    </row>
    <row r="346" spans="1:78" ht="15.6" hidden="1" outlineLevel="1">
      <c r="A346" s="7"/>
      <c r="B346" s="370"/>
      <c r="C346" s="355"/>
      <c r="D346" s="356"/>
      <c r="E346" s="342"/>
      <c r="F346" s="290"/>
      <c r="G346" s="357">
        <v>0</v>
      </c>
      <c r="H346" s="358">
        <v>0</v>
      </c>
      <c r="I346" s="358">
        <v>0</v>
      </c>
      <c r="J346" s="359">
        <f t="shared" si="329"/>
        <v>0</v>
      </c>
      <c r="K346" s="290"/>
      <c r="L346" s="349"/>
      <c r="M346" s="7"/>
      <c r="N346" s="12"/>
      <c r="O346" s="12"/>
      <c r="P346" s="12"/>
      <c r="Q346" s="361"/>
      <c r="R346" s="362"/>
      <c r="S346" s="363">
        <f>IF(ISBLANK(P346),0,$O322*20)</f>
        <v>0</v>
      </c>
      <c r="T346" s="364">
        <f t="shared" ref="T346" si="350">IF(ISBLANK($P346),0,IF(Approach="Team-Based",$Q346*$R346*$S346*HoursPerDayTeamBased,$J346))</f>
        <v>0</v>
      </c>
      <c r="U346" s="365">
        <v>0</v>
      </c>
      <c r="V346" s="91">
        <f>ROUNDUP(IFERROR(INDEX(CostRateTbl[Cost Rate],MATCH(_xlfn.CONCAT(N346,O346,P346,"NA"),CostRateTbl[KeyCostRate],0)),0)*BillingCurrencyTRM*(1+U346),2)</f>
        <v>0</v>
      </c>
      <c r="W346" s="92">
        <f t="shared" si="324"/>
        <v>0</v>
      </c>
      <c r="X346" s="366" t="e" cm="1">
        <f t="array" ref="X346">_xlfn.LET(
    _xlpm.valor, INDEX(CostRate!H:H, MATCH(1, (CostRate!A:A=N346)*1, 0)),
    _xlpm.posicion, MATCH(_xlpm.valor, FilterSL!$F$1:$Z$1, 0),
    _xlpm.direccionCompleta, ADDRESS(1, _xlpm.posicion + 5, 4),
    _xlpm.letraColumna, SUBSTITUTE(_xlpm.direccionCompleta, "1", ""),
    _xlpm.letraColumna
)</f>
        <v>#N/A</v>
      </c>
      <c r="Y346" s="366" t="e" cm="1">
        <f t="array" ref="Y346">_xlfn.LET(
    _xlpm.valor, INDEX(CostRate!I:I, MATCH(1, (CostRate!A:A=N346)*(CostRate!B:B=O346), 0)),
    _xlpm.posicion, MATCH(_xlpm.valor, FilterJP!$E$1:$FZ$1, 0),
    _xlpm.direccionCompleta, ADDRESS(1, _xlpm.posicion + 4, 4),
    _xlpm.letraColumna, SUBSTITUTE(_xlpm.direccionCompleta, "1", ""),
    _xlpm.letraColumna
)</f>
        <v>#N/A</v>
      </c>
      <c r="Z346" s="7"/>
      <c r="AA346" s="367"/>
      <c r="AB346" s="7"/>
      <c r="AC346" s="93">
        <f>ROUNDUP($V346/(1-$AV316),2)</f>
        <v>0</v>
      </c>
      <c r="AD346" s="94">
        <f t="shared" si="331"/>
        <v>0</v>
      </c>
      <c r="AE346" s="109">
        <f t="shared" si="332"/>
        <v>0</v>
      </c>
      <c r="AF346" s="7"/>
      <c r="AG346" s="369">
        <f t="shared" si="325"/>
        <v>0</v>
      </c>
      <c r="AH346" s="368">
        <f t="shared" si="326"/>
        <v>0</v>
      </c>
      <c r="AI346" s="7"/>
      <c r="AJ346" s="369" cm="1">
        <f t="array" ref="AJ346">IFERROR(INDEX(WHT!$C$7:$W$18,MATCH(
_xlfn.SWITCH(N346,"xDC Medellin","Colombia","xDC Belo Horizonte","Brazil","xDC Guadalajara","Mexico","xDC Gurugram","India","xDC Leon","Spain","xDC San Jose","Costa Rica","xDC Warsaw","Poland",N346),
WHT!$B$7:$B$18,0),MATCH(CustomerCountry,WHT!$C$5:$W$5,0)),0)</f>
        <v>0</v>
      </c>
      <c r="AK346" s="368">
        <f t="shared" si="327"/>
        <v>0</v>
      </c>
      <c r="AL346" s="7"/>
      <c r="AM346" s="95">
        <f t="shared" si="333"/>
        <v>0</v>
      </c>
      <c r="AN346" s="95">
        <f>AM346+IFERROR(SUM($AN319:$AN324)*AM346/$AM328,0)</f>
        <v>0</v>
      </c>
      <c r="AO346" s="95">
        <f t="shared" si="334"/>
        <v>0</v>
      </c>
      <c r="AP346" s="90"/>
      <c r="AQ346" s="18"/>
      <c r="AR346" s="290"/>
      <c r="AS346" s="467" t="s">
        <v>133</v>
      </c>
      <c r="AT346" s="501">
        <f>IF(AS346="x",AM346+((SUM($AN319:$AN324)+SUMIF($AS330:$AS359,"&lt;&gt;x",$AM330:$AM359))*IFERROR(AM346/SUMIF($AS330:$AS359,"x",$AM330:$AM359),0)),0)</f>
        <v>0</v>
      </c>
      <c r="AU346" s="502"/>
      <c r="AV346" s="95">
        <f t="shared" si="335"/>
        <v>0</v>
      </c>
      <c r="AW346" s="469">
        <f t="shared" si="328"/>
        <v>0</v>
      </c>
      <c r="AX346" s="290"/>
      <c r="AY346" s="18"/>
      <c r="AZ346" s="3"/>
      <c r="BA346" s="315"/>
      <c r="BB346" s="3"/>
      <c r="BC346" s="3"/>
      <c r="BD346" s="3"/>
      <c r="BE346" s="3"/>
      <c r="BF346" s="18"/>
      <c r="BG346" s="3"/>
      <c r="BH346" s="315"/>
      <c r="BI346" s="3"/>
      <c r="BJ346" s="3"/>
      <c r="BK346" s="3"/>
      <c r="BL346" s="3"/>
      <c r="BM346" s="18"/>
      <c r="BN346" s="3"/>
      <c r="BO346" s="315"/>
      <c r="BP346" s="3"/>
      <c r="BQ346" s="3"/>
      <c r="BR346" s="3"/>
      <c r="BS346" s="3"/>
      <c r="BT346" s="18"/>
      <c r="BU346" s="3"/>
      <c r="BV346" s="315"/>
      <c r="BW346" s="3"/>
      <c r="BX346" s="3"/>
      <c r="BY346" s="3"/>
      <c r="BZ346" s="3"/>
    </row>
    <row r="347" spans="1:78" ht="15.6" hidden="1" outlineLevel="1">
      <c r="A347" s="7"/>
      <c r="B347" s="370"/>
      <c r="C347" s="355"/>
      <c r="D347" s="356"/>
      <c r="E347" s="342"/>
      <c r="F347" s="290"/>
      <c r="G347" s="357">
        <v>0</v>
      </c>
      <c r="H347" s="358">
        <v>0</v>
      </c>
      <c r="I347" s="358">
        <v>0</v>
      </c>
      <c r="J347" s="359">
        <f t="shared" si="329"/>
        <v>0</v>
      </c>
      <c r="K347" s="290"/>
      <c r="L347" s="349"/>
      <c r="M347" s="7"/>
      <c r="N347" s="12"/>
      <c r="O347" s="12"/>
      <c r="P347" s="12"/>
      <c r="Q347" s="361"/>
      <c r="R347" s="362"/>
      <c r="S347" s="363">
        <f>IF(ISBLANK(P347),0,$O322*20)</f>
        <v>0</v>
      </c>
      <c r="T347" s="364">
        <f t="shared" ref="T347" si="351">IF(ISBLANK($P347),0,IF(Approach="Team-Based",$Q347*$R347*$S347*HoursPerDayTeamBased,$J347))</f>
        <v>0</v>
      </c>
      <c r="U347" s="365">
        <v>0</v>
      </c>
      <c r="V347" s="91">
        <f>ROUNDUP(IFERROR(INDEX(CostRateTbl[Cost Rate],MATCH(_xlfn.CONCAT(N347,O347,P347,"NA"),CostRateTbl[KeyCostRate],0)),0)*BillingCurrencyTRM*(1+U347),2)</f>
        <v>0</v>
      </c>
      <c r="W347" s="92">
        <f t="shared" si="324"/>
        <v>0</v>
      </c>
      <c r="X347" s="366" t="e" cm="1">
        <f t="array" ref="X347">_xlfn.LET(
    _xlpm.valor, INDEX(CostRate!H:H, MATCH(1, (CostRate!A:A=N347)*1, 0)),
    _xlpm.posicion, MATCH(_xlpm.valor, FilterSL!$F$1:$Z$1, 0),
    _xlpm.direccionCompleta, ADDRESS(1, _xlpm.posicion + 5, 4),
    _xlpm.letraColumna, SUBSTITUTE(_xlpm.direccionCompleta, "1", ""),
    _xlpm.letraColumna
)</f>
        <v>#N/A</v>
      </c>
      <c r="Y347" s="366" t="e" cm="1">
        <f t="array" ref="Y347">_xlfn.LET(
    _xlpm.valor, INDEX(CostRate!I:I, MATCH(1, (CostRate!A:A=N347)*(CostRate!B:B=O347), 0)),
    _xlpm.posicion, MATCH(_xlpm.valor, FilterJP!$E$1:$FZ$1, 0),
    _xlpm.direccionCompleta, ADDRESS(1, _xlpm.posicion + 4, 4),
    _xlpm.letraColumna, SUBSTITUTE(_xlpm.direccionCompleta, "1", ""),
    _xlpm.letraColumna
)</f>
        <v>#N/A</v>
      </c>
      <c r="Z347" s="7"/>
      <c r="AA347" s="367"/>
      <c r="AB347" s="7"/>
      <c r="AC347" s="93">
        <f>ROUNDUP($V347/(1-$AV316),2)</f>
        <v>0</v>
      </c>
      <c r="AD347" s="94">
        <f t="shared" si="331"/>
        <v>0</v>
      </c>
      <c r="AE347" s="109">
        <f t="shared" si="332"/>
        <v>0</v>
      </c>
      <c r="AF347" s="7"/>
      <c r="AG347" s="369">
        <f t="shared" si="325"/>
        <v>0</v>
      </c>
      <c r="AH347" s="368">
        <f t="shared" si="326"/>
        <v>0</v>
      </c>
      <c r="AI347" s="7"/>
      <c r="AJ347" s="369" cm="1">
        <f t="array" ref="AJ347">IFERROR(INDEX(WHT!$C$7:$W$18,MATCH(
_xlfn.SWITCH(N347,"xDC Medellin","Colombia","xDC Belo Horizonte","Brazil","xDC Guadalajara","Mexico","xDC Gurugram","India","xDC Leon","Spain","xDC San Jose","Costa Rica","xDC Warsaw","Poland",N347),
WHT!$B$7:$B$18,0),MATCH(CustomerCountry,WHT!$C$5:$W$5,0)),0)</f>
        <v>0</v>
      </c>
      <c r="AK347" s="368">
        <f t="shared" si="327"/>
        <v>0</v>
      </c>
      <c r="AL347" s="7"/>
      <c r="AM347" s="95">
        <f t="shared" si="333"/>
        <v>0</v>
      </c>
      <c r="AN347" s="95">
        <f>AM347+IFERROR(SUM($AN319:$AN324)*AM347/$AM328,0)</f>
        <v>0</v>
      </c>
      <c r="AO347" s="95">
        <f t="shared" si="334"/>
        <v>0</v>
      </c>
      <c r="AP347" s="90"/>
      <c r="AQ347" s="18"/>
      <c r="AR347" s="290"/>
      <c r="AS347" s="467" t="s">
        <v>133</v>
      </c>
      <c r="AT347" s="501">
        <f>IF(AS347="x",AM347+((SUM($AN319:$AN324)+SUMIF($AS330:$AS359,"&lt;&gt;x",$AM330:$AM359))*IFERROR(AM347/SUMIF($AS330:$AS359,"x",$AM330:$AM359),0)),0)</f>
        <v>0</v>
      </c>
      <c r="AU347" s="502"/>
      <c r="AV347" s="95">
        <f t="shared" si="335"/>
        <v>0</v>
      </c>
      <c r="AW347" s="469">
        <f t="shared" si="328"/>
        <v>0</v>
      </c>
      <c r="AX347" s="290"/>
      <c r="AY347" s="18"/>
      <c r="AZ347" s="3"/>
      <c r="BA347" s="315"/>
      <c r="BB347" s="3"/>
      <c r="BC347" s="3"/>
      <c r="BD347" s="3"/>
      <c r="BE347" s="3"/>
      <c r="BF347" s="18"/>
      <c r="BG347" s="3"/>
      <c r="BH347" s="315"/>
      <c r="BI347" s="3"/>
      <c r="BJ347" s="3"/>
      <c r="BK347" s="3"/>
      <c r="BL347" s="3"/>
      <c r="BM347" s="18"/>
      <c r="BN347" s="3"/>
      <c r="BO347" s="315"/>
      <c r="BP347" s="3"/>
      <c r="BQ347" s="3"/>
      <c r="BR347" s="3"/>
      <c r="BS347" s="3"/>
      <c r="BT347" s="18"/>
      <c r="BU347" s="3"/>
      <c r="BV347" s="315"/>
      <c r="BW347" s="3"/>
      <c r="BX347" s="3"/>
      <c r="BY347" s="3"/>
      <c r="BZ347" s="3"/>
    </row>
    <row r="348" spans="1:78" ht="15.6" hidden="1" outlineLevel="1">
      <c r="A348" s="7"/>
      <c r="B348" s="370"/>
      <c r="C348" s="355"/>
      <c r="D348" s="356"/>
      <c r="E348" s="342"/>
      <c r="F348" s="290"/>
      <c r="G348" s="357">
        <v>0</v>
      </c>
      <c r="H348" s="358">
        <v>0</v>
      </c>
      <c r="I348" s="358">
        <v>0</v>
      </c>
      <c r="J348" s="359">
        <f t="shared" si="329"/>
        <v>0</v>
      </c>
      <c r="K348" s="290"/>
      <c r="L348" s="349"/>
      <c r="M348" s="7"/>
      <c r="N348" s="12"/>
      <c r="O348" s="12"/>
      <c r="P348" s="12"/>
      <c r="Q348" s="361"/>
      <c r="R348" s="362"/>
      <c r="S348" s="363">
        <f>IF(ISBLANK(P348),0,$O322*20)</f>
        <v>0</v>
      </c>
      <c r="T348" s="364">
        <f t="shared" ref="T348" si="352">IF(ISBLANK($P348),0,IF(Approach="Team-Based",$Q348*$R348*$S348*HoursPerDayTeamBased,$J348))</f>
        <v>0</v>
      </c>
      <c r="U348" s="365">
        <v>0</v>
      </c>
      <c r="V348" s="91">
        <f>ROUNDUP(IFERROR(INDEX(CostRateTbl[Cost Rate],MATCH(_xlfn.CONCAT(N348,O348,P348,"NA"),CostRateTbl[KeyCostRate],0)),0)*BillingCurrencyTRM*(1+U348),2)</f>
        <v>0</v>
      </c>
      <c r="W348" s="92">
        <f t="shared" si="324"/>
        <v>0</v>
      </c>
      <c r="X348" s="366" t="e" cm="1">
        <f t="array" ref="X348">_xlfn.LET(
    _xlpm.valor, INDEX(CostRate!H:H, MATCH(1, (CostRate!A:A=N348)*1, 0)),
    _xlpm.posicion, MATCH(_xlpm.valor, FilterSL!$F$1:$Z$1, 0),
    _xlpm.direccionCompleta, ADDRESS(1, _xlpm.posicion + 5, 4),
    _xlpm.letraColumna, SUBSTITUTE(_xlpm.direccionCompleta, "1", ""),
    _xlpm.letraColumna
)</f>
        <v>#N/A</v>
      </c>
      <c r="Y348" s="366" t="e" cm="1">
        <f t="array" ref="Y348">_xlfn.LET(
    _xlpm.valor, INDEX(CostRate!I:I, MATCH(1, (CostRate!A:A=N348)*(CostRate!B:B=O348), 0)),
    _xlpm.posicion, MATCH(_xlpm.valor, FilterJP!$E$1:$FZ$1, 0),
    _xlpm.direccionCompleta, ADDRESS(1, _xlpm.posicion + 4, 4),
    _xlpm.letraColumna, SUBSTITUTE(_xlpm.direccionCompleta, "1", ""),
    _xlpm.letraColumna
)</f>
        <v>#N/A</v>
      </c>
      <c r="Z348" s="7"/>
      <c r="AA348" s="367"/>
      <c r="AB348" s="7"/>
      <c r="AC348" s="93">
        <f>ROUNDUP($V348/(1-$AV316),2)</f>
        <v>0</v>
      </c>
      <c r="AD348" s="94">
        <f t="shared" si="331"/>
        <v>0</v>
      </c>
      <c r="AE348" s="109">
        <f t="shared" si="332"/>
        <v>0</v>
      </c>
      <c r="AF348" s="7"/>
      <c r="AG348" s="369">
        <f t="shared" si="325"/>
        <v>0</v>
      </c>
      <c r="AH348" s="368">
        <f t="shared" si="326"/>
        <v>0</v>
      </c>
      <c r="AI348" s="7"/>
      <c r="AJ348" s="369" cm="1">
        <f t="array" ref="AJ348">IFERROR(INDEX(WHT!$C$7:$W$18,MATCH(
_xlfn.SWITCH(N348,"xDC Medellin","Colombia","xDC Belo Horizonte","Brazil","xDC Guadalajara","Mexico","xDC Gurugram","India","xDC Leon","Spain","xDC San Jose","Costa Rica","xDC Warsaw","Poland",N348),
WHT!$B$7:$B$18,0),MATCH(CustomerCountry,WHT!$C$5:$W$5,0)),0)</f>
        <v>0</v>
      </c>
      <c r="AK348" s="368">
        <f t="shared" si="327"/>
        <v>0</v>
      </c>
      <c r="AL348" s="7"/>
      <c r="AM348" s="95">
        <f t="shared" si="333"/>
        <v>0</v>
      </c>
      <c r="AN348" s="95">
        <f>AM348+IFERROR(SUM($AN319:$AN324)*AM348/$AM328,0)</f>
        <v>0</v>
      </c>
      <c r="AO348" s="95">
        <f t="shared" si="334"/>
        <v>0</v>
      </c>
      <c r="AP348" s="90"/>
      <c r="AQ348" s="18"/>
      <c r="AR348" s="290"/>
      <c r="AS348" s="467" t="s">
        <v>133</v>
      </c>
      <c r="AT348" s="501">
        <f>IF(AS348="x",AM348+((SUM($AN319:$AN324)+SUMIF($AS330:$AS359,"&lt;&gt;x",$AM330:$AM359))*IFERROR(AM348/SUMIF($AS330:$AS359,"x",$AM330:$AM359),0)),0)</f>
        <v>0</v>
      </c>
      <c r="AU348" s="502"/>
      <c r="AV348" s="95">
        <f t="shared" si="335"/>
        <v>0</v>
      </c>
      <c r="AW348" s="469">
        <f t="shared" si="328"/>
        <v>0</v>
      </c>
      <c r="AX348" s="290"/>
      <c r="AY348" s="18"/>
      <c r="AZ348" s="3"/>
      <c r="BA348" s="315"/>
      <c r="BB348" s="3"/>
      <c r="BC348" s="3"/>
      <c r="BD348" s="3"/>
      <c r="BE348" s="3"/>
      <c r="BF348" s="18"/>
      <c r="BG348" s="3"/>
      <c r="BH348" s="315"/>
      <c r="BI348" s="3"/>
      <c r="BJ348" s="3"/>
      <c r="BK348" s="3"/>
      <c r="BL348" s="3"/>
      <c r="BM348" s="18"/>
      <c r="BN348" s="3"/>
      <c r="BO348" s="315"/>
      <c r="BP348" s="3"/>
      <c r="BQ348" s="3"/>
      <c r="BR348" s="3"/>
      <c r="BS348" s="3"/>
      <c r="BT348" s="18"/>
      <c r="BU348" s="3"/>
      <c r="BV348" s="315"/>
      <c r="BW348" s="3"/>
      <c r="BX348" s="3"/>
      <c r="BY348" s="3"/>
      <c r="BZ348" s="3"/>
    </row>
    <row r="349" spans="1:78" ht="15.6" hidden="1" outlineLevel="1">
      <c r="A349" s="7"/>
      <c r="B349" s="370"/>
      <c r="C349" s="355"/>
      <c r="D349" s="356"/>
      <c r="E349" s="342"/>
      <c r="F349" s="290"/>
      <c r="G349" s="357">
        <v>0</v>
      </c>
      <c r="H349" s="358">
        <v>0</v>
      </c>
      <c r="I349" s="358">
        <v>0</v>
      </c>
      <c r="J349" s="359">
        <f t="shared" si="329"/>
        <v>0</v>
      </c>
      <c r="K349" s="290"/>
      <c r="L349" s="349"/>
      <c r="M349" s="7"/>
      <c r="N349" s="12"/>
      <c r="O349" s="12"/>
      <c r="P349" s="12"/>
      <c r="Q349" s="361"/>
      <c r="R349" s="362"/>
      <c r="S349" s="363">
        <f>IF(ISBLANK(P349),0,$O322*20)</f>
        <v>0</v>
      </c>
      <c r="T349" s="364">
        <f t="shared" ref="T349" si="353">IF(ISBLANK($P349),0,IF(Approach="Team-Based",$Q349*$R349*$S349*HoursPerDayTeamBased,$J349))</f>
        <v>0</v>
      </c>
      <c r="U349" s="365">
        <v>0</v>
      </c>
      <c r="V349" s="91">
        <f>ROUNDUP(IFERROR(INDEX(CostRateTbl[Cost Rate],MATCH(_xlfn.CONCAT(N349,O349,P349,"NA"),CostRateTbl[KeyCostRate],0)),0)*BillingCurrencyTRM*(1+U349),2)</f>
        <v>0</v>
      </c>
      <c r="W349" s="92">
        <f t="shared" si="324"/>
        <v>0</v>
      </c>
      <c r="X349" s="366" t="e" cm="1">
        <f t="array" ref="X349">_xlfn.LET(
    _xlpm.valor, INDEX(CostRate!H:H, MATCH(1, (CostRate!A:A=N349)*1, 0)),
    _xlpm.posicion, MATCH(_xlpm.valor, FilterSL!$F$1:$Z$1, 0),
    _xlpm.direccionCompleta, ADDRESS(1, _xlpm.posicion + 5, 4),
    _xlpm.letraColumna, SUBSTITUTE(_xlpm.direccionCompleta, "1", ""),
    _xlpm.letraColumna
)</f>
        <v>#N/A</v>
      </c>
      <c r="Y349" s="366" t="e" cm="1">
        <f t="array" ref="Y349">_xlfn.LET(
    _xlpm.valor, INDEX(CostRate!I:I, MATCH(1, (CostRate!A:A=N349)*(CostRate!B:B=O349), 0)),
    _xlpm.posicion, MATCH(_xlpm.valor, FilterJP!$E$1:$FZ$1, 0),
    _xlpm.direccionCompleta, ADDRESS(1, _xlpm.posicion + 4, 4),
    _xlpm.letraColumna, SUBSTITUTE(_xlpm.direccionCompleta, "1", ""),
    _xlpm.letraColumna
)</f>
        <v>#N/A</v>
      </c>
      <c r="Z349" s="7"/>
      <c r="AA349" s="367"/>
      <c r="AB349" s="7"/>
      <c r="AC349" s="93">
        <f>ROUNDUP($V349/(1-$AV316),2)</f>
        <v>0</v>
      </c>
      <c r="AD349" s="94">
        <f t="shared" si="331"/>
        <v>0</v>
      </c>
      <c r="AE349" s="109">
        <f t="shared" si="332"/>
        <v>0</v>
      </c>
      <c r="AF349" s="7"/>
      <c r="AG349" s="369">
        <f t="shared" si="325"/>
        <v>0</v>
      </c>
      <c r="AH349" s="368">
        <f t="shared" si="326"/>
        <v>0</v>
      </c>
      <c r="AI349" s="7"/>
      <c r="AJ349" s="369" cm="1">
        <f t="array" ref="AJ349">IFERROR(INDEX(WHT!$C$7:$W$18,MATCH(
_xlfn.SWITCH(N349,"xDC Medellin","Colombia","xDC Belo Horizonte","Brazil","xDC Guadalajara","Mexico","xDC Gurugram","India","xDC Leon","Spain","xDC San Jose","Costa Rica","xDC Warsaw","Poland",N349),
WHT!$B$7:$B$18,0),MATCH(CustomerCountry,WHT!$C$5:$W$5,0)),0)</f>
        <v>0</v>
      </c>
      <c r="AK349" s="368">
        <f t="shared" si="327"/>
        <v>0</v>
      </c>
      <c r="AL349" s="7"/>
      <c r="AM349" s="95">
        <f t="shared" si="333"/>
        <v>0</v>
      </c>
      <c r="AN349" s="95">
        <f>AM349+IFERROR(SUM($AN319:$AN324)*AM349/$AM328,0)</f>
        <v>0</v>
      </c>
      <c r="AO349" s="95">
        <f t="shared" si="334"/>
        <v>0</v>
      </c>
      <c r="AP349" s="90"/>
      <c r="AQ349" s="18"/>
      <c r="AR349" s="290"/>
      <c r="AS349" s="467" t="s">
        <v>133</v>
      </c>
      <c r="AT349" s="501">
        <f>IF(AS349="x",AM349+((SUM($AN319:$AN324)+SUMIF($AS330:$AS359,"&lt;&gt;x",$AM330:$AM359))*IFERROR(AM349/SUMIF($AS330:$AS359,"x",$AM330:$AM359),0)),0)</f>
        <v>0</v>
      </c>
      <c r="AU349" s="502"/>
      <c r="AV349" s="95">
        <f t="shared" si="335"/>
        <v>0</v>
      </c>
      <c r="AW349" s="469">
        <f t="shared" si="328"/>
        <v>0</v>
      </c>
      <c r="AX349" s="290"/>
      <c r="AY349" s="18"/>
      <c r="AZ349" s="3"/>
      <c r="BA349" s="315"/>
      <c r="BB349" s="3"/>
      <c r="BC349" s="3"/>
      <c r="BD349" s="3"/>
      <c r="BE349" s="3"/>
      <c r="BF349" s="18"/>
      <c r="BG349" s="3"/>
      <c r="BH349" s="315"/>
      <c r="BI349" s="3"/>
      <c r="BJ349" s="3"/>
      <c r="BK349" s="3"/>
      <c r="BL349" s="3"/>
      <c r="BM349" s="18"/>
      <c r="BN349" s="3"/>
      <c r="BO349" s="315"/>
      <c r="BP349" s="3"/>
      <c r="BQ349" s="3"/>
      <c r="BR349" s="3"/>
      <c r="BS349" s="3"/>
      <c r="BT349" s="18"/>
      <c r="BU349" s="3"/>
      <c r="BV349" s="315"/>
      <c r="BW349" s="3"/>
      <c r="BX349" s="3"/>
      <c r="BY349" s="3"/>
      <c r="BZ349" s="3"/>
    </row>
    <row r="350" spans="1:78" ht="15.6" hidden="1" outlineLevel="1">
      <c r="A350" s="7"/>
      <c r="B350" s="370"/>
      <c r="C350" s="355"/>
      <c r="D350" s="356"/>
      <c r="E350" s="342"/>
      <c r="F350" s="290"/>
      <c r="G350" s="357">
        <v>0</v>
      </c>
      <c r="H350" s="358">
        <v>0</v>
      </c>
      <c r="I350" s="358">
        <v>0</v>
      </c>
      <c r="J350" s="359">
        <f t="shared" si="329"/>
        <v>0</v>
      </c>
      <c r="K350" s="290"/>
      <c r="L350" s="349"/>
      <c r="M350" s="7"/>
      <c r="N350" s="12"/>
      <c r="O350" s="12"/>
      <c r="P350" s="12"/>
      <c r="Q350" s="361"/>
      <c r="R350" s="362"/>
      <c r="S350" s="363">
        <f>IF(ISBLANK(P350),0,$O322*20)</f>
        <v>0</v>
      </c>
      <c r="T350" s="364">
        <f t="shared" ref="T350" si="354">IF(ISBLANK($P350),0,IF(Approach="Team-Based",$Q350*$R350*$S350*HoursPerDayTeamBased,$J350))</f>
        <v>0</v>
      </c>
      <c r="U350" s="365">
        <v>0</v>
      </c>
      <c r="V350" s="91">
        <f>ROUNDUP(IFERROR(INDEX(CostRateTbl[Cost Rate],MATCH(_xlfn.CONCAT(N350,O350,P350,"NA"),CostRateTbl[KeyCostRate],0)),0)*BillingCurrencyTRM*(1+U350),2)</f>
        <v>0</v>
      </c>
      <c r="W350" s="92">
        <f t="shared" si="324"/>
        <v>0</v>
      </c>
      <c r="X350" s="366" t="e" cm="1">
        <f t="array" ref="X350">_xlfn.LET(
    _xlpm.valor, INDEX(CostRate!H:H, MATCH(1, (CostRate!A:A=N350)*1, 0)),
    _xlpm.posicion, MATCH(_xlpm.valor, FilterSL!$F$1:$Z$1, 0),
    _xlpm.direccionCompleta, ADDRESS(1, _xlpm.posicion + 5, 4),
    _xlpm.letraColumna, SUBSTITUTE(_xlpm.direccionCompleta, "1", ""),
    _xlpm.letraColumna
)</f>
        <v>#N/A</v>
      </c>
      <c r="Y350" s="366" t="e" cm="1">
        <f t="array" ref="Y350">_xlfn.LET(
    _xlpm.valor, INDEX(CostRate!I:I, MATCH(1, (CostRate!A:A=N350)*(CostRate!B:B=O350), 0)),
    _xlpm.posicion, MATCH(_xlpm.valor, FilterJP!$E$1:$FZ$1, 0),
    _xlpm.direccionCompleta, ADDRESS(1, _xlpm.posicion + 4, 4),
    _xlpm.letraColumna, SUBSTITUTE(_xlpm.direccionCompleta, "1", ""),
    _xlpm.letraColumna
)</f>
        <v>#N/A</v>
      </c>
      <c r="Z350" s="7"/>
      <c r="AA350" s="367"/>
      <c r="AB350" s="7"/>
      <c r="AC350" s="93">
        <f>ROUNDUP($V350/(1-$AV316),2)</f>
        <v>0</v>
      </c>
      <c r="AD350" s="94">
        <f t="shared" si="331"/>
        <v>0</v>
      </c>
      <c r="AE350" s="109">
        <f t="shared" si="332"/>
        <v>0</v>
      </c>
      <c r="AF350" s="7"/>
      <c r="AG350" s="369">
        <f t="shared" si="325"/>
        <v>0</v>
      </c>
      <c r="AH350" s="368">
        <f t="shared" si="326"/>
        <v>0</v>
      </c>
      <c r="AI350" s="7"/>
      <c r="AJ350" s="369" cm="1">
        <f t="array" ref="AJ350">IFERROR(INDEX(WHT!$C$7:$W$18,MATCH(
_xlfn.SWITCH(N350,"xDC Medellin","Colombia","xDC Belo Horizonte","Brazil","xDC Guadalajara","Mexico","xDC Gurugram","India","xDC Leon","Spain","xDC San Jose","Costa Rica","xDC Warsaw","Poland",N350),
WHT!$B$7:$B$18,0),MATCH(CustomerCountry,WHT!$C$5:$W$5,0)),0)</f>
        <v>0</v>
      </c>
      <c r="AK350" s="368">
        <f t="shared" si="327"/>
        <v>0</v>
      </c>
      <c r="AL350" s="7"/>
      <c r="AM350" s="95">
        <f t="shared" si="333"/>
        <v>0</v>
      </c>
      <c r="AN350" s="95">
        <f>AM350+IFERROR(SUM($AN319:$AN324)*AM350/$AM328,0)</f>
        <v>0</v>
      </c>
      <c r="AO350" s="95">
        <f t="shared" si="334"/>
        <v>0</v>
      </c>
      <c r="AP350" s="90"/>
      <c r="AQ350" s="18"/>
      <c r="AR350" s="290"/>
      <c r="AS350" s="467" t="s">
        <v>133</v>
      </c>
      <c r="AT350" s="501">
        <f>IF(AS350="x",AM350+((SUM($AN319:$AN324)+SUMIF($AS330:$AS359,"&lt;&gt;x",$AM330:$AM359))*IFERROR(AM350/SUMIF($AS330:$AS359,"x",$AM330:$AM359),0)),0)</f>
        <v>0</v>
      </c>
      <c r="AU350" s="502"/>
      <c r="AV350" s="95">
        <f t="shared" si="335"/>
        <v>0</v>
      </c>
      <c r="AW350" s="469">
        <f t="shared" si="328"/>
        <v>0</v>
      </c>
      <c r="AX350" s="290"/>
      <c r="AY350" s="18"/>
      <c r="AZ350" s="3"/>
      <c r="BA350" s="315"/>
      <c r="BB350" s="3"/>
      <c r="BC350" s="3"/>
      <c r="BD350" s="3"/>
      <c r="BE350" s="3"/>
      <c r="BF350" s="18"/>
      <c r="BG350" s="3"/>
      <c r="BH350" s="315"/>
      <c r="BI350" s="3"/>
      <c r="BJ350" s="3"/>
      <c r="BK350" s="3"/>
      <c r="BL350" s="3"/>
      <c r="BM350" s="18"/>
      <c r="BN350" s="3"/>
      <c r="BO350" s="315"/>
      <c r="BP350" s="3"/>
      <c r="BQ350" s="3"/>
      <c r="BR350" s="3"/>
      <c r="BS350" s="3"/>
      <c r="BT350" s="18"/>
      <c r="BU350" s="3"/>
      <c r="BV350" s="315"/>
      <c r="BW350" s="3"/>
      <c r="BX350" s="3"/>
      <c r="BY350" s="3"/>
      <c r="BZ350" s="3"/>
    </row>
    <row r="351" spans="1:78" ht="15.6" hidden="1" outlineLevel="1">
      <c r="A351" s="7"/>
      <c r="B351" s="370"/>
      <c r="C351" s="355"/>
      <c r="D351" s="356"/>
      <c r="E351" s="342"/>
      <c r="F351" s="290"/>
      <c r="G351" s="357">
        <v>0</v>
      </c>
      <c r="H351" s="358">
        <v>0</v>
      </c>
      <c r="I351" s="358">
        <v>0</v>
      </c>
      <c r="J351" s="359">
        <f t="shared" si="329"/>
        <v>0</v>
      </c>
      <c r="K351" s="290"/>
      <c r="L351" s="349"/>
      <c r="M351" s="7"/>
      <c r="N351" s="12"/>
      <c r="O351" s="12"/>
      <c r="P351" s="12"/>
      <c r="Q351" s="361"/>
      <c r="R351" s="362"/>
      <c r="S351" s="363">
        <f>IF(ISBLANK(P351),0,$O322*20)</f>
        <v>0</v>
      </c>
      <c r="T351" s="364">
        <f t="shared" ref="T351" si="355">IF(ISBLANK($P351),0,IF(Approach="Team-Based",$Q351*$R351*$S351*HoursPerDayTeamBased,$J351))</f>
        <v>0</v>
      </c>
      <c r="U351" s="365">
        <v>0</v>
      </c>
      <c r="V351" s="91">
        <f>ROUNDUP(IFERROR(INDEX(CostRateTbl[Cost Rate],MATCH(_xlfn.CONCAT(N351,O351,P351,"NA"),CostRateTbl[KeyCostRate],0)),0)*BillingCurrencyTRM*(1+U351),2)</f>
        <v>0</v>
      </c>
      <c r="W351" s="92">
        <f t="shared" si="324"/>
        <v>0</v>
      </c>
      <c r="X351" s="366" t="e" cm="1">
        <f t="array" ref="X351">_xlfn.LET(
    _xlpm.valor, INDEX(CostRate!H:H, MATCH(1, (CostRate!A:A=N351)*1, 0)),
    _xlpm.posicion, MATCH(_xlpm.valor, FilterSL!$F$1:$Z$1, 0),
    _xlpm.direccionCompleta, ADDRESS(1, _xlpm.posicion + 5, 4),
    _xlpm.letraColumna, SUBSTITUTE(_xlpm.direccionCompleta, "1", ""),
    _xlpm.letraColumna
)</f>
        <v>#N/A</v>
      </c>
      <c r="Y351" s="366" t="e" cm="1">
        <f t="array" ref="Y351">_xlfn.LET(
    _xlpm.valor, INDEX(CostRate!I:I, MATCH(1, (CostRate!A:A=N351)*(CostRate!B:B=O351), 0)),
    _xlpm.posicion, MATCH(_xlpm.valor, FilterJP!$E$1:$FZ$1, 0),
    _xlpm.direccionCompleta, ADDRESS(1, _xlpm.posicion + 4, 4),
    _xlpm.letraColumna, SUBSTITUTE(_xlpm.direccionCompleta, "1", ""),
    _xlpm.letraColumna
)</f>
        <v>#N/A</v>
      </c>
      <c r="Z351" s="7"/>
      <c r="AA351" s="367"/>
      <c r="AB351" s="7"/>
      <c r="AC351" s="93">
        <f>ROUNDUP($V351/(1-$AV316),2)</f>
        <v>0</v>
      </c>
      <c r="AD351" s="94">
        <f t="shared" si="331"/>
        <v>0</v>
      </c>
      <c r="AE351" s="109">
        <f t="shared" si="332"/>
        <v>0</v>
      </c>
      <c r="AF351" s="7"/>
      <c r="AG351" s="369">
        <f t="shared" si="325"/>
        <v>0</v>
      </c>
      <c r="AH351" s="368">
        <f t="shared" si="326"/>
        <v>0</v>
      </c>
      <c r="AI351" s="7"/>
      <c r="AJ351" s="369" cm="1">
        <f t="array" ref="AJ351">IFERROR(INDEX(WHT!$C$7:$W$18,MATCH(
_xlfn.SWITCH(N351,"xDC Medellin","Colombia","xDC Belo Horizonte","Brazil","xDC Guadalajara","Mexico","xDC Gurugram","India","xDC Leon","Spain","xDC San Jose","Costa Rica","xDC Warsaw","Poland",N351),
WHT!$B$7:$B$18,0),MATCH(CustomerCountry,WHT!$C$5:$W$5,0)),0)</f>
        <v>0</v>
      </c>
      <c r="AK351" s="368">
        <f t="shared" si="327"/>
        <v>0</v>
      </c>
      <c r="AL351" s="7"/>
      <c r="AM351" s="95">
        <f t="shared" si="333"/>
        <v>0</v>
      </c>
      <c r="AN351" s="95">
        <f>AM351+IFERROR(SUM($AN319:$AN324)*AM351/$AM328,0)</f>
        <v>0</v>
      </c>
      <c r="AO351" s="95">
        <f t="shared" si="334"/>
        <v>0</v>
      </c>
      <c r="AP351" s="90"/>
      <c r="AQ351" s="18"/>
      <c r="AR351" s="290"/>
      <c r="AS351" s="467" t="s">
        <v>133</v>
      </c>
      <c r="AT351" s="501">
        <f>IF(AS351="x",AM351+((SUM($AN319:$AN324)+SUMIF($AS330:$AS359,"&lt;&gt;x",$AM330:$AM359))*IFERROR(AM351/SUMIF($AS330:$AS359,"x",$AM330:$AM359),0)),0)</f>
        <v>0</v>
      </c>
      <c r="AU351" s="502"/>
      <c r="AV351" s="95">
        <f t="shared" si="335"/>
        <v>0</v>
      </c>
      <c r="AW351" s="469">
        <f t="shared" si="328"/>
        <v>0</v>
      </c>
      <c r="AX351" s="290"/>
      <c r="AY351" s="18"/>
      <c r="AZ351" s="3"/>
      <c r="BA351" s="315"/>
      <c r="BB351" s="3"/>
      <c r="BC351" s="3"/>
      <c r="BD351" s="3"/>
      <c r="BE351" s="3"/>
      <c r="BF351" s="18"/>
      <c r="BG351" s="3"/>
      <c r="BH351" s="315"/>
      <c r="BI351" s="3"/>
      <c r="BJ351" s="3"/>
      <c r="BK351" s="3"/>
      <c r="BL351" s="3"/>
      <c r="BM351" s="18"/>
      <c r="BN351" s="3"/>
      <c r="BO351" s="315"/>
      <c r="BP351" s="3"/>
      <c r="BQ351" s="3"/>
      <c r="BR351" s="3"/>
      <c r="BS351" s="3"/>
      <c r="BT351" s="18"/>
      <c r="BU351" s="3"/>
      <c r="BV351" s="315"/>
      <c r="BW351" s="3"/>
      <c r="BX351" s="3"/>
      <c r="BY351" s="3"/>
      <c r="BZ351" s="3"/>
    </row>
    <row r="352" spans="1:78" ht="15.6" hidden="1" outlineLevel="1">
      <c r="A352" s="7"/>
      <c r="B352" s="370"/>
      <c r="C352" s="355"/>
      <c r="D352" s="356"/>
      <c r="E352" s="342"/>
      <c r="F352" s="290"/>
      <c r="G352" s="357">
        <v>0</v>
      </c>
      <c r="H352" s="358">
        <v>0</v>
      </c>
      <c r="I352" s="358">
        <v>0</v>
      </c>
      <c r="J352" s="359">
        <f t="shared" si="329"/>
        <v>0</v>
      </c>
      <c r="K352" s="290"/>
      <c r="L352" s="349"/>
      <c r="M352" s="7"/>
      <c r="N352" s="12"/>
      <c r="O352" s="12"/>
      <c r="P352" s="12"/>
      <c r="Q352" s="361"/>
      <c r="R352" s="362"/>
      <c r="S352" s="363">
        <f>IF(ISBLANK(P352),0,$O322*20)</f>
        <v>0</v>
      </c>
      <c r="T352" s="364">
        <f t="shared" ref="T352" si="356">IF(ISBLANK($P352),0,IF(Approach="Team-Based",$Q352*$R352*$S352*HoursPerDayTeamBased,$J352))</f>
        <v>0</v>
      </c>
      <c r="U352" s="365">
        <v>0</v>
      </c>
      <c r="V352" s="91">
        <f>ROUNDUP(IFERROR(INDEX(CostRateTbl[Cost Rate],MATCH(_xlfn.CONCAT(N352,O352,P352,"NA"),CostRateTbl[KeyCostRate],0)),0)*BillingCurrencyTRM*(1+U352),2)</f>
        <v>0</v>
      </c>
      <c r="W352" s="92">
        <f t="shared" si="324"/>
        <v>0</v>
      </c>
      <c r="X352" s="366" t="e" cm="1">
        <f t="array" ref="X352">_xlfn.LET(
    _xlpm.valor, INDEX(CostRate!H:H, MATCH(1, (CostRate!A:A=N352)*1, 0)),
    _xlpm.posicion, MATCH(_xlpm.valor, FilterSL!$F$1:$Z$1, 0),
    _xlpm.direccionCompleta, ADDRESS(1, _xlpm.posicion + 5, 4),
    _xlpm.letraColumna, SUBSTITUTE(_xlpm.direccionCompleta, "1", ""),
    _xlpm.letraColumna
)</f>
        <v>#N/A</v>
      </c>
      <c r="Y352" s="366" t="e" cm="1">
        <f t="array" ref="Y352">_xlfn.LET(
    _xlpm.valor, INDEX(CostRate!I:I, MATCH(1, (CostRate!A:A=N352)*(CostRate!B:B=O352), 0)),
    _xlpm.posicion, MATCH(_xlpm.valor, FilterJP!$E$1:$FZ$1, 0),
    _xlpm.direccionCompleta, ADDRESS(1, _xlpm.posicion + 4, 4),
    _xlpm.letraColumna, SUBSTITUTE(_xlpm.direccionCompleta, "1", ""),
    _xlpm.letraColumna
)</f>
        <v>#N/A</v>
      </c>
      <c r="Z352" s="7"/>
      <c r="AA352" s="367"/>
      <c r="AB352" s="7"/>
      <c r="AC352" s="93">
        <f>ROUNDUP($V352/(1-$AV316),2)</f>
        <v>0</v>
      </c>
      <c r="AD352" s="94">
        <f t="shared" si="331"/>
        <v>0</v>
      </c>
      <c r="AE352" s="109">
        <f t="shared" si="332"/>
        <v>0</v>
      </c>
      <c r="AF352" s="7"/>
      <c r="AG352" s="369">
        <f t="shared" si="325"/>
        <v>0</v>
      </c>
      <c r="AH352" s="368">
        <f t="shared" si="326"/>
        <v>0</v>
      </c>
      <c r="AI352" s="7"/>
      <c r="AJ352" s="369" cm="1">
        <f t="array" ref="AJ352">IFERROR(INDEX(WHT!$C$7:$W$18,MATCH(
_xlfn.SWITCH(N352,"xDC Medellin","Colombia","xDC Belo Horizonte","Brazil","xDC Guadalajara","Mexico","xDC Gurugram","India","xDC Leon","Spain","xDC San Jose","Costa Rica","xDC Warsaw","Poland",N352),
WHT!$B$7:$B$18,0),MATCH(CustomerCountry,WHT!$C$5:$W$5,0)),0)</f>
        <v>0</v>
      </c>
      <c r="AK352" s="368">
        <f t="shared" si="327"/>
        <v>0</v>
      </c>
      <c r="AL352" s="7"/>
      <c r="AM352" s="95">
        <f t="shared" si="333"/>
        <v>0</v>
      </c>
      <c r="AN352" s="95">
        <f>AM352+IFERROR(SUM($AN319:$AN324)*AM352/$AM328,0)</f>
        <v>0</v>
      </c>
      <c r="AO352" s="95">
        <f t="shared" si="334"/>
        <v>0</v>
      </c>
      <c r="AP352" s="90"/>
      <c r="AQ352" s="18"/>
      <c r="AR352" s="290"/>
      <c r="AS352" s="467" t="s">
        <v>133</v>
      </c>
      <c r="AT352" s="501">
        <f>IF(AS352="x",AM352+((SUM($AN319:$AN324)+SUMIF($AS330:$AS359,"&lt;&gt;x",$AM330:$AM359))*IFERROR(AM352/SUMIF($AS330:$AS359,"x",$AM330:$AM359),0)),0)</f>
        <v>0</v>
      </c>
      <c r="AU352" s="502"/>
      <c r="AV352" s="95">
        <f t="shared" si="335"/>
        <v>0</v>
      </c>
      <c r="AW352" s="469">
        <f t="shared" si="328"/>
        <v>0</v>
      </c>
      <c r="AX352" s="290"/>
      <c r="AY352" s="18"/>
      <c r="AZ352" s="3"/>
      <c r="BA352" s="315"/>
      <c r="BB352" s="3"/>
      <c r="BC352" s="3"/>
      <c r="BD352" s="3"/>
      <c r="BE352" s="3"/>
      <c r="BF352" s="18"/>
      <c r="BG352" s="3"/>
      <c r="BH352" s="315"/>
      <c r="BI352" s="3"/>
      <c r="BJ352" s="3"/>
      <c r="BK352" s="3"/>
      <c r="BL352" s="3"/>
      <c r="BM352" s="18"/>
      <c r="BN352" s="3"/>
      <c r="BO352" s="315"/>
      <c r="BP352" s="3"/>
      <c r="BQ352" s="3"/>
      <c r="BR352" s="3"/>
      <c r="BS352" s="3"/>
      <c r="BT352" s="18"/>
      <c r="BU352" s="3"/>
      <c r="BV352" s="315"/>
      <c r="BW352" s="3"/>
      <c r="BX352" s="3"/>
      <c r="BY352" s="3"/>
      <c r="BZ352" s="3"/>
    </row>
    <row r="353" spans="1:78" ht="15.6" hidden="1" outlineLevel="1">
      <c r="A353" s="7"/>
      <c r="B353" s="370"/>
      <c r="C353" s="355"/>
      <c r="D353" s="356"/>
      <c r="E353" s="342"/>
      <c r="F353" s="290"/>
      <c r="G353" s="357">
        <v>0</v>
      </c>
      <c r="H353" s="358">
        <v>0</v>
      </c>
      <c r="I353" s="358">
        <v>0</v>
      </c>
      <c r="J353" s="359">
        <f t="shared" si="329"/>
        <v>0</v>
      </c>
      <c r="K353" s="290"/>
      <c r="L353" s="349"/>
      <c r="M353" s="7"/>
      <c r="N353" s="12"/>
      <c r="O353" s="12"/>
      <c r="P353" s="12"/>
      <c r="Q353" s="361"/>
      <c r="R353" s="362"/>
      <c r="S353" s="363">
        <f>IF(ISBLANK(P353),0,$O322*20)</f>
        <v>0</v>
      </c>
      <c r="T353" s="364">
        <f t="shared" ref="T353" si="357">IF(ISBLANK($P353),0,IF(Approach="Team-Based",$Q353*$R353*$S353*HoursPerDayTeamBased,$J353))</f>
        <v>0</v>
      </c>
      <c r="U353" s="365">
        <v>0</v>
      </c>
      <c r="V353" s="91">
        <f>ROUNDUP(IFERROR(INDEX(CostRateTbl[Cost Rate],MATCH(_xlfn.CONCAT(N353,O353,P353,"NA"),CostRateTbl[KeyCostRate],0)),0)*BillingCurrencyTRM*(1+U353),2)</f>
        <v>0</v>
      </c>
      <c r="W353" s="92">
        <f t="shared" si="324"/>
        <v>0</v>
      </c>
      <c r="X353" s="366" t="e" cm="1">
        <f t="array" ref="X353">_xlfn.LET(
    _xlpm.valor, INDEX(CostRate!H:H, MATCH(1, (CostRate!A:A=N353)*1, 0)),
    _xlpm.posicion, MATCH(_xlpm.valor, FilterSL!$F$1:$Z$1, 0),
    _xlpm.direccionCompleta, ADDRESS(1, _xlpm.posicion + 5, 4),
    _xlpm.letraColumna, SUBSTITUTE(_xlpm.direccionCompleta, "1", ""),
    _xlpm.letraColumna
)</f>
        <v>#N/A</v>
      </c>
      <c r="Y353" s="366" t="e" cm="1">
        <f t="array" ref="Y353">_xlfn.LET(
    _xlpm.valor, INDEX(CostRate!I:I, MATCH(1, (CostRate!A:A=N353)*(CostRate!B:B=O353), 0)),
    _xlpm.posicion, MATCH(_xlpm.valor, FilterJP!$E$1:$FZ$1, 0),
    _xlpm.direccionCompleta, ADDRESS(1, _xlpm.posicion + 4, 4),
    _xlpm.letraColumna, SUBSTITUTE(_xlpm.direccionCompleta, "1", ""),
    _xlpm.letraColumna
)</f>
        <v>#N/A</v>
      </c>
      <c r="Z353" s="7"/>
      <c r="AA353" s="367"/>
      <c r="AB353" s="7"/>
      <c r="AC353" s="93">
        <f>ROUNDUP($V353/(1-$AV316),2)</f>
        <v>0</v>
      </c>
      <c r="AD353" s="94">
        <f t="shared" si="331"/>
        <v>0</v>
      </c>
      <c r="AE353" s="109">
        <f t="shared" si="332"/>
        <v>0</v>
      </c>
      <c r="AF353" s="7"/>
      <c r="AG353" s="369">
        <f t="shared" si="325"/>
        <v>0</v>
      </c>
      <c r="AH353" s="368">
        <f t="shared" si="326"/>
        <v>0</v>
      </c>
      <c r="AI353" s="7"/>
      <c r="AJ353" s="369" cm="1">
        <f t="array" ref="AJ353">IFERROR(INDEX(WHT!$C$7:$W$18,MATCH(
_xlfn.SWITCH(N353,"xDC Medellin","Colombia","xDC Belo Horizonte","Brazil","xDC Guadalajara","Mexico","xDC Gurugram","India","xDC Leon","Spain","xDC San Jose","Costa Rica","xDC Warsaw","Poland",N353),
WHT!$B$7:$B$18,0),MATCH(CustomerCountry,WHT!$C$5:$W$5,0)),0)</f>
        <v>0</v>
      </c>
      <c r="AK353" s="368">
        <f t="shared" si="327"/>
        <v>0</v>
      </c>
      <c r="AL353" s="7"/>
      <c r="AM353" s="95">
        <f t="shared" si="333"/>
        <v>0</v>
      </c>
      <c r="AN353" s="95">
        <f>AM353+IFERROR(SUM($AN319:$AN324)*AM353/$AM328,0)</f>
        <v>0</v>
      </c>
      <c r="AO353" s="95">
        <f t="shared" si="334"/>
        <v>0</v>
      </c>
      <c r="AP353" s="90"/>
      <c r="AQ353" s="18"/>
      <c r="AR353" s="290"/>
      <c r="AS353" s="467" t="s">
        <v>133</v>
      </c>
      <c r="AT353" s="501">
        <f>IF(AS353="x",AM353+((SUM($AN319:$AN324)+SUMIF($AS330:$AS359,"&lt;&gt;x",$AM330:$AM359))*IFERROR(AM353/SUMIF($AS330:$AS359,"x",$AM330:$AM359),0)),0)</f>
        <v>0</v>
      </c>
      <c r="AU353" s="502"/>
      <c r="AV353" s="95">
        <f t="shared" si="335"/>
        <v>0</v>
      </c>
      <c r="AW353" s="469">
        <f t="shared" si="328"/>
        <v>0</v>
      </c>
      <c r="AX353" s="290"/>
      <c r="AY353" s="18"/>
      <c r="AZ353" s="3"/>
      <c r="BA353" s="315"/>
      <c r="BB353" s="3"/>
      <c r="BC353" s="3"/>
      <c r="BD353" s="3"/>
      <c r="BE353" s="3"/>
      <c r="BF353" s="18"/>
      <c r="BG353" s="3"/>
      <c r="BH353" s="315"/>
      <c r="BI353" s="3"/>
      <c r="BJ353" s="3"/>
      <c r="BK353" s="3"/>
      <c r="BL353" s="3"/>
      <c r="BM353" s="18"/>
      <c r="BN353" s="3"/>
      <c r="BO353" s="315"/>
      <c r="BP353" s="3"/>
      <c r="BQ353" s="3"/>
      <c r="BR353" s="3"/>
      <c r="BS353" s="3"/>
      <c r="BT353" s="18"/>
      <c r="BU353" s="3"/>
      <c r="BV353" s="315"/>
      <c r="BW353" s="3"/>
      <c r="BX353" s="3"/>
      <c r="BY353" s="3"/>
      <c r="BZ353" s="3"/>
    </row>
    <row r="354" spans="1:78" ht="15.6" hidden="1" outlineLevel="1">
      <c r="A354" s="7"/>
      <c r="B354" s="370"/>
      <c r="C354" s="355"/>
      <c r="D354" s="356"/>
      <c r="E354" s="342"/>
      <c r="F354" s="290"/>
      <c r="G354" s="357">
        <v>0</v>
      </c>
      <c r="H354" s="358">
        <v>0</v>
      </c>
      <c r="I354" s="358">
        <v>0</v>
      </c>
      <c r="J354" s="359">
        <f t="shared" si="329"/>
        <v>0</v>
      </c>
      <c r="K354" s="290"/>
      <c r="L354" s="349"/>
      <c r="M354" s="7"/>
      <c r="N354" s="12"/>
      <c r="O354" s="12"/>
      <c r="P354" s="12"/>
      <c r="Q354" s="361"/>
      <c r="R354" s="362"/>
      <c r="S354" s="363">
        <f>IF(ISBLANK(P354),0,$O322*20)</f>
        <v>0</v>
      </c>
      <c r="T354" s="364">
        <f t="shared" ref="T354" si="358">IF(ISBLANK($P354),0,IF(Approach="Team-Based",$Q354*$R354*$S354*HoursPerDayTeamBased,$J354))</f>
        <v>0</v>
      </c>
      <c r="U354" s="365">
        <v>0</v>
      </c>
      <c r="V354" s="91">
        <f>ROUNDUP(IFERROR(INDEX(CostRateTbl[Cost Rate],MATCH(_xlfn.CONCAT(N354,O354,P354,"NA"),CostRateTbl[KeyCostRate],0)),0)*BillingCurrencyTRM*(1+U354),2)</f>
        <v>0</v>
      </c>
      <c r="W354" s="92">
        <f t="shared" si="324"/>
        <v>0</v>
      </c>
      <c r="X354" s="366" t="e" cm="1">
        <f t="array" ref="X354">_xlfn.LET(
    _xlpm.valor, INDEX(CostRate!H:H, MATCH(1, (CostRate!A:A=N354)*1, 0)),
    _xlpm.posicion, MATCH(_xlpm.valor, FilterSL!$F$1:$Z$1, 0),
    _xlpm.direccionCompleta, ADDRESS(1, _xlpm.posicion + 5, 4),
    _xlpm.letraColumna, SUBSTITUTE(_xlpm.direccionCompleta, "1", ""),
    _xlpm.letraColumna
)</f>
        <v>#N/A</v>
      </c>
      <c r="Y354" s="366" t="e" cm="1">
        <f t="array" ref="Y354">_xlfn.LET(
    _xlpm.valor, INDEX(CostRate!I:I, MATCH(1, (CostRate!A:A=N354)*(CostRate!B:B=O354), 0)),
    _xlpm.posicion, MATCH(_xlpm.valor, FilterJP!$E$1:$FZ$1, 0),
    _xlpm.direccionCompleta, ADDRESS(1, _xlpm.posicion + 4, 4),
    _xlpm.letraColumna, SUBSTITUTE(_xlpm.direccionCompleta, "1", ""),
    _xlpm.letraColumna
)</f>
        <v>#N/A</v>
      </c>
      <c r="Z354" s="7"/>
      <c r="AA354" s="367"/>
      <c r="AB354" s="7"/>
      <c r="AC354" s="93">
        <f>ROUNDUP($V354/(1-$AV316),2)</f>
        <v>0</v>
      </c>
      <c r="AD354" s="94">
        <f t="shared" si="331"/>
        <v>0</v>
      </c>
      <c r="AE354" s="109">
        <f t="shared" si="332"/>
        <v>0</v>
      </c>
      <c r="AF354" s="7"/>
      <c r="AG354" s="369">
        <f t="shared" si="325"/>
        <v>0</v>
      </c>
      <c r="AH354" s="368">
        <f t="shared" si="326"/>
        <v>0</v>
      </c>
      <c r="AI354" s="7"/>
      <c r="AJ354" s="369" cm="1">
        <f t="array" ref="AJ354">IFERROR(INDEX(WHT!$C$7:$W$18,MATCH(
_xlfn.SWITCH(N354,"xDC Medellin","Colombia","xDC Belo Horizonte","Brazil","xDC Guadalajara","Mexico","xDC Gurugram","India","xDC Leon","Spain","xDC San Jose","Costa Rica","xDC Warsaw","Poland",N354),
WHT!$B$7:$B$18,0),MATCH(CustomerCountry,WHT!$C$5:$W$5,0)),0)</f>
        <v>0</v>
      </c>
      <c r="AK354" s="368">
        <f t="shared" si="327"/>
        <v>0</v>
      </c>
      <c r="AL354" s="7"/>
      <c r="AM354" s="95">
        <f t="shared" si="333"/>
        <v>0</v>
      </c>
      <c r="AN354" s="95">
        <f>AM354+IFERROR(SUM($AN319:$AN324)*AM354/$AM328,0)</f>
        <v>0</v>
      </c>
      <c r="AO354" s="95">
        <f t="shared" si="334"/>
        <v>0</v>
      </c>
      <c r="AP354" s="90"/>
      <c r="AQ354" s="18"/>
      <c r="AR354" s="290"/>
      <c r="AS354" s="467" t="s">
        <v>133</v>
      </c>
      <c r="AT354" s="501">
        <f>IF(AS354="x",AM354+((SUM($AN319:$AN324)+SUMIF($AS330:$AS359,"&lt;&gt;x",$AM330:$AM359))*IFERROR(AM354/SUMIF($AS330:$AS359,"x",$AM330:$AM359),0)),0)</f>
        <v>0</v>
      </c>
      <c r="AU354" s="502"/>
      <c r="AV354" s="95">
        <f t="shared" si="335"/>
        <v>0</v>
      </c>
      <c r="AW354" s="469">
        <f t="shared" si="328"/>
        <v>0</v>
      </c>
      <c r="AX354" s="290"/>
      <c r="AY354" s="18"/>
      <c r="AZ354" s="3"/>
      <c r="BA354" s="315"/>
      <c r="BB354" s="3"/>
      <c r="BC354" s="3"/>
      <c r="BD354" s="3"/>
      <c r="BE354" s="3"/>
      <c r="BF354" s="18"/>
      <c r="BG354" s="3"/>
      <c r="BH354" s="315"/>
      <c r="BI354" s="3"/>
      <c r="BJ354" s="3"/>
      <c r="BK354" s="3"/>
      <c r="BL354" s="3"/>
      <c r="BM354" s="18"/>
      <c r="BN354" s="3"/>
      <c r="BO354" s="315"/>
      <c r="BP354" s="3"/>
      <c r="BQ354" s="3"/>
      <c r="BR354" s="3"/>
      <c r="BS354" s="3"/>
      <c r="BT354" s="18"/>
      <c r="BU354" s="3"/>
      <c r="BV354" s="315"/>
      <c r="BW354" s="3"/>
      <c r="BX354" s="3"/>
      <c r="BY354" s="3"/>
      <c r="BZ354" s="3"/>
    </row>
    <row r="355" spans="1:78" ht="15.6" hidden="1" outlineLevel="1">
      <c r="A355" s="7"/>
      <c r="B355" s="370"/>
      <c r="C355" s="355"/>
      <c r="D355" s="356"/>
      <c r="E355" s="342"/>
      <c r="F355" s="290"/>
      <c r="G355" s="357">
        <v>0</v>
      </c>
      <c r="H355" s="358">
        <v>0</v>
      </c>
      <c r="I355" s="358">
        <v>0</v>
      </c>
      <c r="J355" s="359">
        <f t="shared" si="329"/>
        <v>0</v>
      </c>
      <c r="K355" s="290"/>
      <c r="L355" s="349"/>
      <c r="M355" s="7"/>
      <c r="N355" s="12"/>
      <c r="O355" s="12"/>
      <c r="P355" s="12"/>
      <c r="Q355" s="361"/>
      <c r="R355" s="362"/>
      <c r="S355" s="363">
        <f>IF(ISBLANK(P355),0,$O322*20)</f>
        <v>0</v>
      </c>
      <c r="T355" s="364">
        <f t="shared" ref="T355" si="359">IF(ISBLANK($P355),0,IF(Approach="Team-Based",$Q355*$R355*$S355*HoursPerDayTeamBased,$J355))</f>
        <v>0</v>
      </c>
      <c r="U355" s="365">
        <v>0</v>
      </c>
      <c r="V355" s="91">
        <f>ROUNDUP(IFERROR(INDEX(CostRateTbl[Cost Rate],MATCH(_xlfn.CONCAT(N355,O355,P355,"NA"),CostRateTbl[KeyCostRate],0)),0)*BillingCurrencyTRM*(1+U355),2)</f>
        <v>0</v>
      </c>
      <c r="W355" s="92">
        <f t="shared" si="324"/>
        <v>0</v>
      </c>
      <c r="X355" s="366" t="e" cm="1">
        <f t="array" ref="X355">_xlfn.LET(
    _xlpm.valor, INDEX(CostRate!H:H, MATCH(1, (CostRate!A:A=N355)*1, 0)),
    _xlpm.posicion, MATCH(_xlpm.valor, FilterSL!$F$1:$Z$1, 0),
    _xlpm.direccionCompleta, ADDRESS(1, _xlpm.posicion + 5, 4),
    _xlpm.letraColumna, SUBSTITUTE(_xlpm.direccionCompleta, "1", ""),
    _xlpm.letraColumna
)</f>
        <v>#N/A</v>
      </c>
      <c r="Y355" s="366" t="e" cm="1">
        <f t="array" ref="Y355">_xlfn.LET(
    _xlpm.valor, INDEX(CostRate!I:I, MATCH(1, (CostRate!A:A=N355)*(CostRate!B:B=O355), 0)),
    _xlpm.posicion, MATCH(_xlpm.valor, FilterJP!$E$1:$FZ$1, 0),
    _xlpm.direccionCompleta, ADDRESS(1, _xlpm.posicion + 4, 4),
    _xlpm.letraColumna, SUBSTITUTE(_xlpm.direccionCompleta, "1", ""),
    _xlpm.letraColumna
)</f>
        <v>#N/A</v>
      </c>
      <c r="Z355" s="7"/>
      <c r="AA355" s="367"/>
      <c r="AB355" s="7"/>
      <c r="AC355" s="93">
        <f>ROUNDUP($V355/(1-$AV316),2)</f>
        <v>0</v>
      </c>
      <c r="AD355" s="94">
        <f t="shared" si="331"/>
        <v>0</v>
      </c>
      <c r="AE355" s="109">
        <f t="shared" si="332"/>
        <v>0</v>
      </c>
      <c r="AF355" s="7"/>
      <c r="AG355" s="369">
        <f t="shared" si="325"/>
        <v>0</v>
      </c>
      <c r="AH355" s="368">
        <f t="shared" si="326"/>
        <v>0</v>
      </c>
      <c r="AI355" s="7"/>
      <c r="AJ355" s="369" cm="1">
        <f t="array" ref="AJ355">IFERROR(INDEX(WHT!$C$7:$W$18,MATCH(
_xlfn.SWITCH(N355,"xDC Medellin","Colombia","xDC Belo Horizonte","Brazil","xDC Guadalajara","Mexico","xDC Gurugram","India","xDC Leon","Spain","xDC San Jose","Costa Rica","xDC Warsaw","Poland",N355),
WHT!$B$7:$B$18,0),MATCH(CustomerCountry,WHT!$C$5:$W$5,0)),0)</f>
        <v>0</v>
      </c>
      <c r="AK355" s="368">
        <f t="shared" si="327"/>
        <v>0</v>
      </c>
      <c r="AL355" s="7"/>
      <c r="AM355" s="95">
        <f t="shared" si="333"/>
        <v>0</v>
      </c>
      <c r="AN355" s="95">
        <f>AM355+IFERROR(SUM($AN319:$AN324)*AM355/$AM328,0)</f>
        <v>0</v>
      </c>
      <c r="AO355" s="95">
        <f t="shared" si="334"/>
        <v>0</v>
      </c>
      <c r="AP355" s="90"/>
      <c r="AQ355" s="18"/>
      <c r="AR355" s="290"/>
      <c r="AS355" s="467" t="s">
        <v>133</v>
      </c>
      <c r="AT355" s="501">
        <f>IF(AS355="x",AM355+((SUM($AN319:$AN324)+SUMIF($AS330:$AS359,"&lt;&gt;x",$AM330:$AM359))*IFERROR(AM355/SUMIF($AS330:$AS359,"x",$AM330:$AM359),0)),0)</f>
        <v>0</v>
      </c>
      <c r="AU355" s="502"/>
      <c r="AV355" s="95">
        <f t="shared" si="335"/>
        <v>0</v>
      </c>
      <c r="AW355" s="469">
        <f t="shared" si="328"/>
        <v>0</v>
      </c>
      <c r="AX355" s="290"/>
      <c r="AY355" s="18"/>
      <c r="AZ355" s="3"/>
      <c r="BA355" s="315"/>
      <c r="BB355" s="3"/>
      <c r="BC355" s="3"/>
      <c r="BD355" s="3"/>
      <c r="BE355" s="3"/>
      <c r="BF355" s="18"/>
      <c r="BG355" s="3"/>
      <c r="BH355" s="315"/>
      <c r="BI355" s="3"/>
      <c r="BJ355" s="3"/>
      <c r="BK355" s="3"/>
      <c r="BL355" s="3"/>
      <c r="BM355" s="18"/>
      <c r="BN355" s="3"/>
      <c r="BO355" s="315"/>
      <c r="BP355" s="3"/>
      <c r="BQ355" s="3"/>
      <c r="BR355" s="3"/>
      <c r="BS355" s="3"/>
      <c r="BT355" s="18"/>
      <c r="BU355" s="3"/>
      <c r="BV355" s="315"/>
      <c r="BW355" s="3"/>
      <c r="BX355" s="3"/>
      <c r="BY355" s="3"/>
      <c r="BZ355" s="3"/>
    </row>
    <row r="356" spans="1:78" ht="15.6" hidden="1" outlineLevel="1">
      <c r="A356" s="7"/>
      <c r="B356" s="370"/>
      <c r="C356" s="355"/>
      <c r="D356" s="356"/>
      <c r="E356" s="342"/>
      <c r="F356" s="290"/>
      <c r="G356" s="357">
        <v>0</v>
      </c>
      <c r="H356" s="358">
        <v>0</v>
      </c>
      <c r="I356" s="358">
        <v>0</v>
      </c>
      <c r="J356" s="359">
        <f t="shared" si="329"/>
        <v>0</v>
      </c>
      <c r="K356" s="290"/>
      <c r="L356" s="349"/>
      <c r="M356" s="7"/>
      <c r="N356" s="12"/>
      <c r="O356" s="12"/>
      <c r="P356" s="12"/>
      <c r="Q356" s="361"/>
      <c r="R356" s="362"/>
      <c r="S356" s="363">
        <f>IF(ISBLANK(P356),0,$O322*20)</f>
        <v>0</v>
      </c>
      <c r="T356" s="364">
        <f t="shared" ref="T356" si="360">IF(ISBLANK($P356),0,IF(Approach="Team-Based",$Q356*$R356*$S356*HoursPerDayTeamBased,$J356))</f>
        <v>0</v>
      </c>
      <c r="U356" s="365">
        <v>0</v>
      </c>
      <c r="V356" s="91">
        <f>ROUNDUP(IFERROR(INDEX(CostRateTbl[Cost Rate],MATCH(_xlfn.CONCAT(N356,O356,P356,"NA"),CostRateTbl[KeyCostRate],0)),0)*BillingCurrencyTRM*(1+U356),2)</f>
        <v>0</v>
      </c>
      <c r="W356" s="92">
        <f t="shared" si="324"/>
        <v>0</v>
      </c>
      <c r="X356" s="366" t="e" cm="1">
        <f t="array" ref="X356">_xlfn.LET(
    _xlpm.valor, INDEX(CostRate!H:H, MATCH(1, (CostRate!A:A=N356)*1, 0)),
    _xlpm.posicion, MATCH(_xlpm.valor, FilterSL!$F$1:$Z$1, 0),
    _xlpm.direccionCompleta, ADDRESS(1, _xlpm.posicion + 5, 4),
    _xlpm.letraColumna, SUBSTITUTE(_xlpm.direccionCompleta, "1", ""),
    _xlpm.letraColumna
)</f>
        <v>#N/A</v>
      </c>
      <c r="Y356" s="366" t="e" cm="1">
        <f t="array" ref="Y356">_xlfn.LET(
    _xlpm.valor, INDEX(CostRate!I:I, MATCH(1, (CostRate!A:A=N356)*(CostRate!B:B=O356), 0)),
    _xlpm.posicion, MATCH(_xlpm.valor, FilterJP!$E$1:$FZ$1, 0),
    _xlpm.direccionCompleta, ADDRESS(1, _xlpm.posicion + 4, 4),
    _xlpm.letraColumna, SUBSTITUTE(_xlpm.direccionCompleta, "1", ""),
    _xlpm.letraColumna
)</f>
        <v>#N/A</v>
      </c>
      <c r="Z356" s="7"/>
      <c r="AA356" s="367"/>
      <c r="AB356" s="7"/>
      <c r="AC356" s="93">
        <f>ROUNDUP($V356/(1-$AV316),2)</f>
        <v>0</v>
      </c>
      <c r="AD356" s="94">
        <f t="shared" si="331"/>
        <v>0</v>
      </c>
      <c r="AE356" s="109">
        <f t="shared" si="332"/>
        <v>0</v>
      </c>
      <c r="AF356" s="7"/>
      <c r="AG356" s="369">
        <f t="shared" si="325"/>
        <v>0</v>
      </c>
      <c r="AH356" s="368">
        <f t="shared" si="326"/>
        <v>0</v>
      </c>
      <c r="AI356" s="7"/>
      <c r="AJ356" s="369" cm="1">
        <f t="array" ref="AJ356">IFERROR(INDEX(WHT!$C$7:$W$18,MATCH(
_xlfn.SWITCH(N356,"xDC Medellin","Colombia","xDC Belo Horizonte","Brazil","xDC Guadalajara","Mexico","xDC Gurugram","India","xDC Leon","Spain","xDC San Jose","Costa Rica","xDC Warsaw","Poland",N356),
WHT!$B$7:$B$18,0),MATCH(CustomerCountry,WHT!$C$5:$W$5,0)),0)</f>
        <v>0</v>
      </c>
      <c r="AK356" s="368">
        <f t="shared" si="327"/>
        <v>0</v>
      </c>
      <c r="AL356" s="7"/>
      <c r="AM356" s="95">
        <f t="shared" si="333"/>
        <v>0</v>
      </c>
      <c r="AN356" s="95">
        <f>AM356+IFERROR(SUM($AN319:$AN324)*AM356/$AM328,0)</f>
        <v>0</v>
      </c>
      <c r="AO356" s="95">
        <f t="shared" si="334"/>
        <v>0</v>
      </c>
      <c r="AP356" s="90"/>
      <c r="AQ356" s="18"/>
      <c r="AR356" s="290"/>
      <c r="AS356" s="467" t="s">
        <v>133</v>
      </c>
      <c r="AT356" s="501">
        <f>IF(AS356="x",AM356+((SUM($AN319:$AN324)+SUMIF($AS330:$AS359,"&lt;&gt;x",$AM330:$AM359))*IFERROR(AM356/SUMIF($AS330:$AS359,"x",$AM330:$AM359),0)),0)</f>
        <v>0</v>
      </c>
      <c r="AU356" s="502"/>
      <c r="AV356" s="95">
        <f t="shared" si="335"/>
        <v>0</v>
      </c>
      <c r="AW356" s="469">
        <f t="shared" si="328"/>
        <v>0</v>
      </c>
      <c r="AX356" s="290"/>
      <c r="AY356" s="18"/>
      <c r="AZ356" s="3"/>
      <c r="BA356" s="315"/>
      <c r="BB356" s="3"/>
      <c r="BC356" s="3"/>
      <c r="BD356" s="3"/>
      <c r="BE356" s="3"/>
      <c r="BF356" s="18"/>
      <c r="BG356" s="3"/>
      <c r="BH356" s="315"/>
      <c r="BI356" s="3"/>
      <c r="BJ356" s="3"/>
      <c r="BK356" s="3"/>
      <c r="BL356" s="3"/>
      <c r="BM356" s="18"/>
      <c r="BN356" s="3"/>
      <c r="BO356" s="315"/>
      <c r="BP356" s="3"/>
      <c r="BQ356" s="3"/>
      <c r="BR356" s="3"/>
      <c r="BS356" s="3"/>
      <c r="BT356" s="18"/>
      <c r="BU356" s="3"/>
      <c r="BV356" s="315"/>
      <c r="BW356" s="3"/>
      <c r="BX356" s="3"/>
      <c r="BY356" s="3"/>
      <c r="BZ356" s="3"/>
    </row>
    <row r="357" spans="1:78" ht="15.6" hidden="1" outlineLevel="1">
      <c r="A357" s="7"/>
      <c r="B357" s="370"/>
      <c r="C357" s="355"/>
      <c r="D357" s="356"/>
      <c r="E357" s="342"/>
      <c r="F357" s="290"/>
      <c r="G357" s="357">
        <v>0</v>
      </c>
      <c r="H357" s="358">
        <v>0</v>
      </c>
      <c r="I357" s="358">
        <v>0</v>
      </c>
      <c r="J357" s="359">
        <f t="shared" si="329"/>
        <v>0</v>
      </c>
      <c r="K357" s="290"/>
      <c r="L357" s="349"/>
      <c r="M357" s="7"/>
      <c r="N357" s="12"/>
      <c r="O357" s="12"/>
      <c r="P357" s="12"/>
      <c r="Q357" s="361"/>
      <c r="R357" s="362"/>
      <c r="S357" s="363">
        <f>IF(ISBLANK(P357),0,$O322*20)</f>
        <v>0</v>
      </c>
      <c r="T357" s="364">
        <f t="shared" ref="T357" si="361">IF(ISBLANK($P357),0,IF(Approach="Team-Based",$Q357*$R357*$S357*HoursPerDayTeamBased,$J357))</f>
        <v>0</v>
      </c>
      <c r="U357" s="365">
        <v>0</v>
      </c>
      <c r="V357" s="91">
        <f>ROUNDUP(IFERROR(INDEX(CostRateTbl[Cost Rate],MATCH(_xlfn.CONCAT(N357,O357,P357,"NA"),CostRateTbl[KeyCostRate],0)),0)*BillingCurrencyTRM*(1+U357),2)</f>
        <v>0</v>
      </c>
      <c r="W357" s="92">
        <f t="shared" si="324"/>
        <v>0</v>
      </c>
      <c r="X357" s="366" t="e" cm="1">
        <f t="array" ref="X357">_xlfn.LET(
    _xlpm.valor, INDEX(CostRate!H:H, MATCH(1, (CostRate!A:A=N357)*1, 0)),
    _xlpm.posicion, MATCH(_xlpm.valor, FilterSL!$F$1:$Z$1, 0),
    _xlpm.direccionCompleta, ADDRESS(1, _xlpm.posicion + 5, 4),
    _xlpm.letraColumna, SUBSTITUTE(_xlpm.direccionCompleta, "1", ""),
    _xlpm.letraColumna
)</f>
        <v>#N/A</v>
      </c>
      <c r="Y357" s="366" t="e" cm="1">
        <f t="array" ref="Y357">_xlfn.LET(
    _xlpm.valor, INDEX(CostRate!I:I, MATCH(1, (CostRate!A:A=N357)*(CostRate!B:B=O357), 0)),
    _xlpm.posicion, MATCH(_xlpm.valor, FilterJP!$E$1:$FZ$1, 0),
    _xlpm.direccionCompleta, ADDRESS(1, _xlpm.posicion + 4, 4),
    _xlpm.letraColumna, SUBSTITUTE(_xlpm.direccionCompleta, "1", ""),
    _xlpm.letraColumna
)</f>
        <v>#N/A</v>
      </c>
      <c r="Z357" s="7"/>
      <c r="AA357" s="367"/>
      <c r="AB357" s="7"/>
      <c r="AC357" s="93">
        <f>ROUNDUP($V357/(1-$AV316),2)</f>
        <v>0</v>
      </c>
      <c r="AD357" s="94">
        <f t="shared" si="331"/>
        <v>0</v>
      </c>
      <c r="AE357" s="109">
        <f t="shared" si="332"/>
        <v>0</v>
      </c>
      <c r="AF357" s="7"/>
      <c r="AG357" s="369">
        <f t="shared" si="325"/>
        <v>0</v>
      </c>
      <c r="AH357" s="368">
        <f t="shared" si="326"/>
        <v>0</v>
      </c>
      <c r="AI357" s="7"/>
      <c r="AJ357" s="369" cm="1">
        <f t="array" ref="AJ357">IFERROR(INDEX(WHT!$C$7:$W$18,MATCH(
_xlfn.SWITCH(N357,"xDC Medellin","Colombia","xDC Belo Horizonte","Brazil","xDC Guadalajara","Mexico","xDC Gurugram","India","xDC Leon","Spain","xDC San Jose","Costa Rica","xDC Warsaw","Poland",N357),
WHT!$B$7:$B$18,0),MATCH(CustomerCountry,WHT!$C$5:$W$5,0)),0)</f>
        <v>0</v>
      </c>
      <c r="AK357" s="368">
        <f t="shared" si="327"/>
        <v>0</v>
      </c>
      <c r="AL357" s="7"/>
      <c r="AM357" s="95">
        <f t="shared" si="333"/>
        <v>0</v>
      </c>
      <c r="AN357" s="95">
        <f>AM357+IFERROR(SUM($AN319:$AN324)*AM357/$AM328,0)</f>
        <v>0</v>
      </c>
      <c r="AO357" s="95">
        <f t="shared" si="334"/>
        <v>0</v>
      </c>
      <c r="AP357" s="90"/>
      <c r="AQ357" s="18"/>
      <c r="AR357" s="290"/>
      <c r="AS357" s="467" t="s">
        <v>133</v>
      </c>
      <c r="AT357" s="501">
        <f>IF(AS357="x",AM357+((SUM($AN319:$AN324)+SUMIF($AS330:$AS359,"&lt;&gt;x",$AM330:$AM359))*IFERROR(AM357/SUMIF($AS330:$AS359,"x",$AM330:$AM359),0)),0)</f>
        <v>0</v>
      </c>
      <c r="AU357" s="502"/>
      <c r="AV357" s="95">
        <f t="shared" si="335"/>
        <v>0</v>
      </c>
      <c r="AW357" s="469">
        <f t="shared" si="328"/>
        <v>0</v>
      </c>
      <c r="AX357" s="290"/>
      <c r="AY357" s="18"/>
      <c r="AZ357" s="3"/>
      <c r="BA357" s="315"/>
      <c r="BB357" s="3"/>
      <c r="BC357" s="3"/>
      <c r="BD357" s="3"/>
      <c r="BE357" s="3"/>
      <c r="BF357" s="18"/>
      <c r="BG357" s="3"/>
      <c r="BH357" s="315"/>
      <c r="BI357" s="3"/>
      <c r="BJ357" s="3"/>
      <c r="BK357" s="3"/>
      <c r="BL357" s="3"/>
      <c r="BM357" s="18"/>
      <c r="BN357" s="3"/>
      <c r="BO357" s="315"/>
      <c r="BP357" s="3"/>
      <c r="BQ357" s="3"/>
      <c r="BR357" s="3"/>
      <c r="BS357" s="3"/>
      <c r="BT357" s="18"/>
      <c r="BU357" s="3"/>
      <c r="BV357" s="315"/>
      <c r="BW357" s="3"/>
      <c r="BX357" s="3"/>
      <c r="BY357" s="3"/>
      <c r="BZ357" s="3"/>
    </row>
    <row r="358" spans="1:78" ht="15.6" hidden="1" outlineLevel="1">
      <c r="A358" s="7"/>
      <c r="B358" s="370"/>
      <c r="C358" s="355"/>
      <c r="D358" s="356"/>
      <c r="E358" s="342"/>
      <c r="F358" s="290"/>
      <c r="G358" s="373">
        <v>0</v>
      </c>
      <c r="H358" s="374">
        <v>0</v>
      </c>
      <c r="I358" s="374">
        <v>0</v>
      </c>
      <c r="J358" s="375">
        <f t="shared" si="329"/>
        <v>0</v>
      </c>
      <c r="K358" s="290"/>
      <c r="L358" s="349"/>
      <c r="M358" s="7"/>
      <c r="N358" s="12"/>
      <c r="O358" s="12"/>
      <c r="P358" s="12"/>
      <c r="Q358" s="361"/>
      <c r="R358" s="362"/>
      <c r="S358" s="363">
        <f>IF(ISBLANK(P358),0,$O322*20)</f>
        <v>0</v>
      </c>
      <c r="T358" s="364">
        <f t="shared" ref="T358" si="362">IF(ISBLANK($P358),0,IF(Approach="Team-Based",$Q358*$R358*$S358*HoursPerDayTeamBased,$J358))</f>
        <v>0</v>
      </c>
      <c r="U358" s="365">
        <v>0</v>
      </c>
      <c r="V358" s="91">
        <f>ROUNDUP(IFERROR(INDEX(CostRateTbl[Cost Rate],MATCH(_xlfn.CONCAT(N358,O358,P358,"NA"),CostRateTbl[KeyCostRate],0)),0)*BillingCurrencyTRM*(1+U358),2)</f>
        <v>0</v>
      </c>
      <c r="W358" s="92">
        <f t="shared" si="324"/>
        <v>0</v>
      </c>
      <c r="X358" s="366" t="e" cm="1">
        <f t="array" ref="X358">_xlfn.LET(
    _xlpm.valor, INDEX(CostRate!H:H, MATCH(1, (CostRate!A:A=N358)*1, 0)),
    _xlpm.posicion, MATCH(_xlpm.valor, FilterSL!$F$1:$Z$1, 0),
    _xlpm.direccionCompleta, ADDRESS(1, _xlpm.posicion + 5, 4),
    _xlpm.letraColumna, SUBSTITUTE(_xlpm.direccionCompleta, "1", ""),
    _xlpm.letraColumna
)</f>
        <v>#N/A</v>
      </c>
      <c r="Y358" s="366" t="e" cm="1">
        <f t="array" ref="Y358">_xlfn.LET(
    _xlpm.valor, INDEX(CostRate!I:I, MATCH(1, (CostRate!A:A=N358)*(CostRate!B:B=O358), 0)),
    _xlpm.posicion, MATCH(_xlpm.valor, FilterJP!$E$1:$FZ$1, 0),
    _xlpm.direccionCompleta, ADDRESS(1, _xlpm.posicion + 4, 4),
    _xlpm.letraColumna, SUBSTITUTE(_xlpm.direccionCompleta, "1", ""),
    _xlpm.letraColumna
)</f>
        <v>#N/A</v>
      </c>
      <c r="Z358" s="7"/>
      <c r="AA358" s="367"/>
      <c r="AB358" s="7"/>
      <c r="AC358" s="93">
        <f>ROUNDUP($V358/(1-$AV316),2)</f>
        <v>0</v>
      </c>
      <c r="AD358" s="94">
        <f t="shared" si="331"/>
        <v>0</v>
      </c>
      <c r="AE358" s="109">
        <f t="shared" si="332"/>
        <v>0</v>
      </c>
      <c r="AF358" s="7"/>
      <c r="AG358" s="369">
        <f t="shared" si="325"/>
        <v>0</v>
      </c>
      <c r="AH358" s="368">
        <f t="shared" si="326"/>
        <v>0</v>
      </c>
      <c r="AI358" s="7"/>
      <c r="AJ358" s="369" cm="1">
        <f t="array" ref="AJ358">IFERROR(INDEX(WHT!$C$7:$W$18,MATCH(
_xlfn.SWITCH(N358,"xDC Medellin","Colombia","xDC Belo Horizonte","Brazil","xDC Guadalajara","Mexico","xDC Gurugram","India","xDC Leon","Spain","xDC San Jose","Costa Rica","xDC Warsaw","Poland",N358),
WHT!$B$7:$B$18,0),MATCH(CustomerCountry,WHT!$C$5:$W$5,0)),0)</f>
        <v>0</v>
      </c>
      <c r="AK358" s="368">
        <f t="shared" si="327"/>
        <v>0</v>
      </c>
      <c r="AL358" s="7"/>
      <c r="AM358" s="95">
        <f t="shared" si="333"/>
        <v>0</v>
      </c>
      <c r="AN358" s="95">
        <f>AM358+IFERROR(SUM($AN319:$AN324)*AM358/$AM328,0)</f>
        <v>0</v>
      </c>
      <c r="AO358" s="95">
        <f t="shared" si="334"/>
        <v>0</v>
      </c>
      <c r="AP358" s="90"/>
      <c r="AQ358" s="18"/>
      <c r="AR358" s="290"/>
      <c r="AS358" s="467" t="s">
        <v>133</v>
      </c>
      <c r="AT358" s="501">
        <f>IF(AS358="x",AM358+((SUM($AN319:$AN324)+SUMIF($AS330:$AS359,"&lt;&gt;x",$AM330:$AM359))*IFERROR(AM358/SUMIF($AS330:$AS359,"x",$AM330:$AM359),0)),0)</f>
        <v>0</v>
      </c>
      <c r="AU358" s="502"/>
      <c r="AV358" s="95">
        <f t="shared" si="335"/>
        <v>0</v>
      </c>
      <c r="AW358" s="469">
        <f t="shared" si="328"/>
        <v>0</v>
      </c>
      <c r="AX358" s="290"/>
      <c r="AY358" s="18"/>
      <c r="AZ358" s="3"/>
      <c r="BA358" s="315"/>
      <c r="BB358" s="3"/>
      <c r="BC358" s="3"/>
      <c r="BD358" s="3"/>
      <c r="BE358" s="3"/>
      <c r="BF358" s="18"/>
      <c r="BG358" s="3"/>
      <c r="BH358" s="315"/>
      <c r="BI358" s="3"/>
      <c r="BJ358" s="3"/>
      <c r="BK358" s="3"/>
      <c r="BL358" s="3"/>
      <c r="BM358" s="18"/>
      <c r="BN358" s="3"/>
      <c r="BO358" s="315"/>
      <c r="BP358" s="3"/>
      <c r="BQ358" s="3"/>
      <c r="BR358" s="3"/>
      <c r="BS358" s="3"/>
      <c r="BT358" s="18"/>
      <c r="BU358" s="3"/>
      <c r="BV358" s="315"/>
      <c r="BW358" s="3"/>
      <c r="BX358" s="3"/>
      <c r="BY358" s="3"/>
      <c r="BZ358" s="3"/>
    </row>
    <row r="359" spans="1:78" ht="15.6" hidden="1" outlineLevel="1">
      <c r="A359" s="7"/>
      <c r="B359" s="372"/>
      <c r="C359" s="355"/>
      <c r="D359" s="356"/>
      <c r="E359" s="342"/>
      <c r="F359" s="290"/>
      <c r="G359" s="373">
        <v>0</v>
      </c>
      <c r="H359" s="374">
        <v>0</v>
      </c>
      <c r="I359" s="374">
        <v>0</v>
      </c>
      <c r="J359" s="375">
        <f t="shared" si="329"/>
        <v>0</v>
      </c>
      <c r="K359" s="290"/>
      <c r="L359" s="349"/>
      <c r="M359" s="7"/>
      <c r="N359" s="12"/>
      <c r="O359" s="12"/>
      <c r="P359" s="12"/>
      <c r="Q359" s="361"/>
      <c r="R359" s="362"/>
      <c r="S359" s="363">
        <f>IF(ISBLANK(P359),0,$O322*20)</f>
        <v>0</v>
      </c>
      <c r="T359" s="364">
        <f t="shared" ref="T359" si="363">IF(ISBLANK($P359),0,IF(Approach="Team-Based",$Q359*$R359*$S359*HoursPerDayTeamBased,$J359))</f>
        <v>0</v>
      </c>
      <c r="U359" s="365">
        <v>0</v>
      </c>
      <c r="V359" s="91">
        <f>ROUNDUP(IFERROR(INDEX(CostRateTbl[Cost Rate],MATCH(_xlfn.CONCAT(N359,O359,P359,"NA"),CostRateTbl[KeyCostRate],0)),0)*BillingCurrencyTRM*(1+U359),2)</f>
        <v>0</v>
      </c>
      <c r="W359" s="92">
        <f t="shared" si="324"/>
        <v>0</v>
      </c>
      <c r="X359" s="366" t="e" cm="1">
        <f t="array" ref="X359">_xlfn.LET(
    _xlpm.valor, INDEX(CostRate!H:H, MATCH(1, (CostRate!A:A=N359)*1, 0)),
    _xlpm.posicion, MATCH(_xlpm.valor, FilterSL!$F$1:$Z$1, 0),
    _xlpm.direccionCompleta, ADDRESS(1, _xlpm.posicion + 5, 4),
    _xlpm.letraColumna, SUBSTITUTE(_xlpm.direccionCompleta, "1", ""),
    _xlpm.letraColumna
)</f>
        <v>#N/A</v>
      </c>
      <c r="Y359" s="366" t="e" cm="1">
        <f t="array" ref="Y359">_xlfn.LET(
    _xlpm.valor, INDEX(CostRate!I:I, MATCH(1, (CostRate!A:A=N359)*(CostRate!B:B=O359), 0)),
    _xlpm.posicion, MATCH(_xlpm.valor, FilterJP!$E$1:$FZ$1, 0),
    _xlpm.direccionCompleta, ADDRESS(1, _xlpm.posicion + 4, 4),
    _xlpm.letraColumna, SUBSTITUTE(_xlpm.direccionCompleta, "1", ""),
    _xlpm.letraColumna
)</f>
        <v>#N/A</v>
      </c>
      <c r="Z359" s="7"/>
      <c r="AA359" s="367"/>
      <c r="AB359" s="7"/>
      <c r="AC359" s="93">
        <f>ROUNDUP($V359/(1-$AV316),2)</f>
        <v>0</v>
      </c>
      <c r="AD359" s="94">
        <f t="shared" si="331"/>
        <v>0</v>
      </c>
      <c r="AE359" s="109">
        <f t="shared" si="332"/>
        <v>0</v>
      </c>
      <c r="AF359" s="7"/>
      <c r="AG359" s="369">
        <f t="shared" si="325"/>
        <v>0</v>
      </c>
      <c r="AH359" s="368">
        <f t="shared" si="326"/>
        <v>0</v>
      </c>
      <c r="AI359" s="7"/>
      <c r="AJ359" s="369" cm="1">
        <f t="array" ref="AJ359">IFERROR(INDEX(WHT!$C$7:$W$18,MATCH(
_xlfn.SWITCH(N359,"xDC Medellin","Colombia","xDC Belo Horizonte","Brazil","xDC Guadalajara","Mexico","xDC Gurugram","India","xDC Leon","Spain","xDC San Jose","Costa Rica","xDC Warsaw","Poland",N359),
WHT!$B$7:$B$18,0),MATCH(CustomerCountry,WHT!$C$5:$W$5,0)),0)</f>
        <v>0</v>
      </c>
      <c r="AK359" s="368">
        <f t="shared" si="327"/>
        <v>0</v>
      </c>
      <c r="AL359" s="7"/>
      <c r="AM359" s="95">
        <f t="shared" si="333"/>
        <v>0</v>
      </c>
      <c r="AN359" s="95">
        <f>AM359+IFERROR(SUM($AN319:$AN324)*AM359/$AM328,0)</f>
        <v>0</v>
      </c>
      <c r="AO359" s="95">
        <f t="shared" si="334"/>
        <v>0</v>
      </c>
      <c r="AP359" s="90"/>
      <c r="AQ359" s="18"/>
      <c r="AR359" s="290"/>
      <c r="AS359" s="467" t="s">
        <v>133</v>
      </c>
      <c r="AT359" s="501">
        <f>IF(AS359="x",AM359+((SUM($AN319:$AN324)+SUMIF($AS330:$AS359,"&lt;&gt;x",$AM330:$AM359))*IFERROR(AM359/SUMIF($AS330:$AS359,"x",$AM330:$AM359),0)),0)</f>
        <v>0</v>
      </c>
      <c r="AU359" s="502"/>
      <c r="AV359" s="95">
        <f t="shared" si="335"/>
        <v>0</v>
      </c>
      <c r="AW359" s="469">
        <f t="shared" si="328"/>
        <v>0</v>
      </c>
      <c r="AX359" s="290"/>
      <c r="AY359" s="18"/>
      <c r="AZ359" s="3"/>
      <c r="BA359" s="315"/>
      <c r="BB359" s="3"/>
      <c r="BC359" s="3"/>
      <c r="BD359" s="3"/>
      <c r="BE359" s="3"/>
      <c r="BF359" s="18"/>
      <c r="BG359" s="3"/>
      <c r="BH359" s="315"/>
      <c r="BI359" s="3"/>
      <c r="BJ359" s="3"/>
      <c r="BK359" s="3"/>
      <c r="BL359" s="3"/>
      <c r="BM359" s="18"/>
      <c r="BN359" s="3"/>
      <c r="BO359" s="315"/>
      <c r="BP359" s="3"/>
      <c r="BQ359" s="3"/>
      <c r="BR359" s="3"/>
      <c r="BS359" s="3"/>
      <c r="BT359" s="18"/>
      <c r="BU359" s="3"/>
      <c r="BV359" s="315"/>
      <c r="BW359" s="3"/>
      <c r="BX359" s="3"/>
      <c r="BY359" s="3"/>
      <c r="BZ359" s="3"/>
    </row>
    <row r="360" spans="1:78" ht="15.6" hidden="1" outlineLevel="1">
      <c r="A360" s="7"/>
      <c r="B360" s="376"/>
      <c r="C360" s="376"/>
      <c r="D360" s="376"/>
      <c r="E360" s="342"/>
      <c r="F360" s="290"/>
      <c r="G360" s="290"/>
      <c r="H360" s="290"/>
      <c r="I360" s="290"/>
      <c r="J360" s="290"/>
      <c r="K360" s="290"/>
      <c r="L360" s="18"/>
      <c r="M360" s="7"/>
      <c r="N360" s="7"/>
      <c r="O360" s="7"/>
      <c r="P360" s="7"/>
      <c r="Q360" s="7"/>
      <c r="R360" s="7"/>
      <c r="S360" s="294"/>
      <c r="T360" s="294"/>
      <c r="U360" s="294"/>
      <c r="V360" s="294"/>
      <c r="W360" s="294"/>
      <c r="X360" s="7"/>
      <c r="Y360" s="7"/>
      <c r="Z360" s="294"/>
      <c r="AA360" s="377"/>
      <c r="AB360" s="294"/>
      <c r="AC360" s="294"/>
      <c r="AD360" s="294"/>
      <c r="AE360" s="294"/>
      <c r="AF360" s="7"/>
      <c r="AG360" s="294"/>
      <c r="AH360" s="294"/>
      <c r="AI360" s="7"/>
      <c r="AJ360" s="294"/>
      <c r="AK360" s="294"/>
      <c r="AL360" s="7"/>
      <c r="AM360" s="294"/>
      <c r="AN360" s="294"/>
      <c r="AO360" s="294"/>
      <c r="AP360" s="294"/>
      <c r="AQ360" s="18"/>
      <c r="AR360" s="378"/>
      <c r="AS360" s="378"/>
      <c r="AT360" s="378"/>
      <c r="AU360" s="81"/>
      <c r="AV360" s="378"/>
      <c r="AW360" s="7"/>
      <c r="AX360" s="378"/>
      <c r="AY360" s="18"/>
      <c r="AZ360" s="3"/>
      <c r="BA360" s="315"/>
      <c r="BB360" s="3"/>
      <c r="BC360" s="3"/>
      <c r="BD360" s="3"/>
      <c r="BE360" s="3"/>
      <c r="BF360" s="18"/>
      <c r="BG360" s="3"/>
      <c r="BH360" s="315"/>
      <c r="BI360" s="3"/>
      <c r="BJ360" s="3"/>
      <c r="BK360" s="3"/>
      <c r="BL360" s="3"/>
      <c r="BM360" s="18"/>
      <c r="BN360" s="3"/>
      <c r="BO360" s="315"/>
      <c r="BP360" s="3"/>
      <c r="BQ360" s="3"/>
      <c r="BR360" s="3"/>
      <c r="BS360" s="3"/>
      <c r="BT360" s="18"/>
      <c r="BU360" s="3"/>
      <c r="BV360" s="315"/>
      <c r="BW360" s="3"/>
      <c r="BX360" s="3"/>
      <c r="BY360" s="3"/>
      <c r="BZ360" s="3"/>
    </row>
    <row r="361" spans="1:78" ht="15.6" collapsed="1">
      <c r="AJ361" s="342"/>
      <c r="AK361" s="339"/>
      <c r="AN361" s="339"/>
      <c r="AO361" s="338"/>
    </row>
    <row r="362" spans="1:78" ht="15.6">
      <c r="AJ362" s="342"/>
      <c r="AK362" s="339"/>
      <c r="AN362" s="339"/>
      <c r="AO362" s="338"/>
    </row>
    <row r="363" spans="1:78" ht="15.6">
      <c r="AJ363" s="342"/>
    </row>
  </sheetData>
  <sheetProtection formatCells="0" formatColumns="0" formatRows="0" insertRows="0" deleteRows="0" autoFilter="0"/>
  <mergeCells count="255">
    <mergeCell ref="BO1:BR1"/>
    <mergeCell ref="BV1:BY1"/>
    <mergeCell ref="B18:C21"/>
    <mergeCell ref="AV21:AW21"/>
    <mergeCell ref="B26:C38"/>
    <mergeCell ref="AV28:AW28"/>
    <mergeCell ref="AV29:AW29"/>
    <mergeCell ref="A1:D1"/>
    <mergeCell ref="N1:W1"/>
    <mergeCell ref="AC1:AO1"/>
    <mergeCell ref="AT1:AW1"/>
    <mergeCell ref="BA1:BD1"/>
    <mergeCell ref="BH1:BK1"/>
    <mergeCell ref="AT46:AU46"/>
    <mergeCell ref="AT47:AU47"/>
    <mergeCell ref="AT48:AU48"/>
    <mergeCell ref="AT49:AU49"/>
    <mergeCell ref="AT50:AU50"/>
    <mergeCell ref="AT51:AU51"/>
    <mergeCell ref="AT40:AU40"/>
    <mergeCell ref="AT41:AU41"/>
    <mergeCell ref="AT42:AU42"/>
    <mergeCell ref="AT43:AU43"/>
    <mergeCell ref="AT44:AU44"/>
    <mergeCell ref="AT45:AU45"/>
    <mergeCell ref="AT58:AU58"/>
    <mergeCell ref="AT59:AU59"/>
    <mergeCell ref="AT60:AU60"/>
    <mergeCell ref="AT61:AU61"/>
    <mergeCell ref="AT62:AU62"/>
    <mergeCell ref="AT63:AU63"/>
    <mergeCell ref="AT52:AU52"/>
    <mergeCell ref="AT53:AU53"/>
    <mergeCell ref="AT54:AU54"/>
    <mergeCell ref="AT55:AU55"/>
    <mergeCell ref="AT56:AU56"/>
    <mergeCell ref="AT57:AU57"/>
    <mergeCell ref="AV76:AW76"/>
    <mergeCell ref="AV77:AW77"/>
    <mergeCell ref="AT88:AU88"/>
    <mergeCell ref="AT64:AU64"/>
    <mergeCell ref="AT65:AU65"/>
    <mergeCell ref="AT66:AU66"/>
    <mergeCell ref="AT67:AU67"/>
    <mergeCell ref="AT68:AU68"/>
    <mergeCell ref="AT69:AU69"/>
    <mergeCell ref="AT89:AU89"/>
    <mergeCell ref="AT90:AU90"/>
    <mergeCell ref="AT91:AU91"/>
    <mergeCell ref="AT92:AU92"/>
    <mergeCell ref="AT93:AU93"/>
    <mergeCell ref="AT94:AU94"/>
    <mergeCell ref="AT70:AU70"/>
    <mergeCell ref="AT71:AU71"/>
    <mergeCell ref="B74:C86"/>
    <mergeCell ref="AT101:AU101"/>
    <mergeCell ref="AT102:AU102"/>
    <mergeCell ref="AT103:AU103"/>
    <mergeCell ref="AT104:AU104"/>
    <mergeCell ref="AT105:AU105"/>
    <mergeCell ref="AT106:AU106"/>
    <mergeCell ref="AT95:AU95"/>
    <mergeCell ref="AT96:AU96"/>
    <mergeCell ref="AT97:AU97"/>
    <mergeCell ref="AT98:AU98"/>
    <mergeCell ref="AT99:AU99"/>
    <mergeCell ref="AT100:AU100"/>
    <mergeCell ref="AT113:AU113"/>
    <mergeCell ref="AT114:AU114"/>
    <mergeCell ref="AT115:AU115"/>
    <mergeCell ref="AT116:AU116"/>
    <mergeCell ref="AT117:AU117"/>
    <mergeCell ref="AT118:AU118"/>
    <mergeCell ref="AT107:AU107"/>
    <mergeCell ref="AT108:AU108"/>
    <mergeCell ref="AT109:AU109"/>
    <mergeCell ref="AT110:AU110"/>
    <mergeCell ref="AT111:AU111"/>
    <mergeCell ref="AT112:AU112"/>
    <mergeCell ref="AT138:AU138"/>
    <mergeCell ref="AT139:AU139"/>
    <mergeCell ref="AT140:AU140"/>
    <mergeCell ref="AT141:AU141"/>
    <mergeCell ref="AT142:AU142"/>
    <mergeCell ref="AT143:AU143"/>
    <mergeCell ref="AT119:AU119"/>
    <mergeCell ref="B122:C134"/>
    <mergeCell ref="AV124:AW124"/>
    <mergeCell ref="AV125:AW125"/>
    <mergeCell ref="AT136:AU136"/>
    <mergeCell ref="AT137:AU137"/>
    <mergeCell ref="AT150:AU150"/>
    <mergeCell ref="AT151:AU151"/>
    <mergeCell ref="AT152:AU152"/>
    <mergeCell ref="AT153:AU153"/>
    <mergeCell ref="AT154:AU154"/>
    <mergeCell ref="AT155:AU155"/>
    <mergeCell ref="AT144:AU144"/>
    <mergeCell ref="AT145:AU145"/>
    <mergeCell ref="AT146:AU146"/>
    <mergeCell ref="AT147:AU147"/>
    <mergeCell ref="AT148:AU148"/>
    <mergeCell ref="AT149:AU149"/>
    <mergeCell ref="AT162:AU162"/>
    <mergeCell ref="AT163:AU163"/>
    <mergeCell ref="AT164:AU164"/>
    <mergeCell ref="AT165:AU165"/>
    <mergeCell ref="AT166:AU166"/>
    <mergeCell ref="AT167:AU167"/>
    <mergeCell ref="AT156:AU156"/>
    <mergeCell ref="AT157:AU157"/>
    <mergeCell ref="AT158:AU158"/>
    <mergeCell ref="AT159:AU159"/>
    <mergeCell ref="AT160:AU160"/>
    <mergeCell ref="AT161:AU161"/>
    <mergeCell ref="AT187:AU187"/>
    <mergeCell ref="AT188:AU188"/>
    <mergeCell ref="AT189:AU189"/>
    <mergeCell ref="AT190:AU190"/>
    <mergeCell ref="AT191:AU191"/>
    <mergeCell ref="AT192:AU192"/>
    <mergeCell ref="B170:C182"/>
    <mergeCell ref="AV172:AW172"/>
    <mergeCell ref="AV173:AW173"/>
    <mergeCell ref="AT184:AU184"/>
    <mergeCell ref="AT185:AU185"/>
    <mergeCell ref="AT186:AU186"/>
    <mergeCell ref="AT199:AU199"/>
    <mergeCell ref="AT200:AU200"/>
    <mergeCell ref="AT201:AU201"/>
    <mergeCell ref="AT202:AU202"/>
    <mergeCell ref="AT203:AU203"/>
    <mergeCell ref="AT204:AU204"/>
    <mergeCell ref="AT193:AU193"/>
    <mergeCell ref="AT194:AU194"/>
    <mergeCell ref="AT195:AU195"/>
    <mergeCell ref="AT196:AU196"/>
    <mergeCell ref="AT197:AU197"/>
    <mergeCell ref="AT198:AU198"/>
    <mergeCell ref="AT211:AU211"/>
    <mergeCell ref="AT212:AU212"/>
    <mergeCell ref="AT213:AU213"/>
    <mergeCell ref="AT214:AU214"/>
    <mergeCell ref="AT215:AU215"/>
    <mergeCell ref="B218:C230"/>
    <mergeCell ref="AT205:AU205"/>
    <mergeCell ref="AT206:AU206"/>
    <mergeCell ref="AT207:AU207"/>
    <mergeCell ref="AT208:AU208"/>
    <mergeCell ref="AT209:AU209"/>
    <mergeCell ref="AT210:AU210"/>
    <mergeCell ref="AT236:AU236"/>
    <mergeCell ref="AT237:AU237"/>
    <mergeCell ref="AT238:AU238"/>
    <mergeCell ref="AT239:AU239"/>
    <mergeCell ref="AT240:AU240"/>
    <mergeCell ref="AT241:AU241"/>
    <mergeCell ref="AV220:AW220"/>
    <mergeCell ref="AV221:AW221"/>
    <mergeCell ref="AT232:AU232"/>
    <mergeCell ref="AT233:AU233"/>
    <mergeCell ref="AT234:AU234"/>
    <mergeCell ref="AT235:AU235"/>
    <mergeCell ref="AT248:AU248"/>
    <mergeCell ref="AT249:AU249"/>
    <mergeCell ref="AT250:AU250"/>
    <mergeCell ref="AT251:AU251"/>
    <mergeCell ref="AT252:AU252"/>
    <mergeCell ref="AT253:AU253"/>
    <mergeCell ref="AT242:AU242"/>
    <mergeCell ref="AT243:AU243"/>
    <mergeCell ref="AT244:AU244"/>
    <mergeCell ref="AT245:AU245"/>
    <mergeCell ref="AT246:AU246"/>
    <mergeCell ref="AT247:AU247"/>
    <mergeCell ref="AT260:AU260"/>
    <mergeCell ref="AT261:AU261"/>
    <mergeCell ref="AT262:AU262"/>
    <mergeCell ref="AT263:AU263"/>
    <mergeCell ref="B266:C278"/>
    <mergeCell ref="AV268:AW268"/>
    <mergeCell ref="AV269:AW269"/>
    <mergeCell ref="AT254:AU254"/>
    <mergeCell ref="AT255:AU255"/>
    <mergeCell ref="AT256:AU256"/>
    <mergeCell ref="AT257:AU257"/>
    <mergeCell ref="AT258:AU258"/>
    <mergeCell ref="AT259:AU259"/>
    <mergeCell ref="AT286:AU286"/>
    <mergeCell ref="AT287:AU287"/>
    <mergeCell ref="AT288:AU288"/>
    <mergeCell ref="AT289:AU289"/>
    <mergeCell ref="AT290:AU290"/>
    <mergeCell ref="AT291:AU291"/>
    <mergeCell ref="AT280:AU280"/>
    <mergeCell ref="AT281:AU281"/>
    <mergeCell ref="AT282:AU282"/>
    <mergeCell ref="AT283:AU283"/>
    <mergeCell ref="AT284:AU284"/>
    <mergeCell ref="AT285:AU285"/>
    <mergeCell ref="AT298:AU298"/>
    <mergeCell ref="AT299:AU299"/>
    <mergeCell ref="AT300:AU300"/>
    <mergeCell ref="AT301:AU301"/>
    <mergeCell ref="AT302:AU302"/>
    <mergeCell ref="AT303:AU303"/>
    <mergeCell ref="AT292:AU292"/>
    <mergeCell ref="AT293:AU293"/>
    <mergeCell ref="AT294:AU294"/>
    <mergeCell ref="AT295:AU295"/>
    <mergeCell ref="AT296:AU296"/>
    <mergeCell ref="AT297:AU297"/>
    <mergeCell ref="AV316:AW316"/>
    <mergeCell ref="AV317:AW317"/>
    <mergeCell ref="AT328:AU328"/>
    <mergeCell ref="AT304:AU304"/>
    <mergeCell ref="AT305:AU305"/>
    <mergeCell ref="AT306:AU306"/>
    <mergeCell ref="AT307:AU307"/>
    <mergeCell ref="AT308:AU308"/>
    <mergeCell ref="AT309:AU309"/>
    <mergeCell ref="AT329:AU329"/>
    <mergeCell ref="AT330:AU330"/>
    <mergeCell ref="AT331:AU331"/>
    <mergeCell ref="AT332:AU332"/>
    <mergeCell ref="AT333:AU333"/>
    <mergeCell ref="AT334:AU334"/>
    <mergeCell ref="AT310:AU310"/>
    <mergeCell ref="AT311:AU311"/>
    <mergeCell ref="B314:C326"/>
    <mergeCell ref="AT341:AU341"/>
    <mergeCell ref="AT342:AU342"/>
    <mergeCell ref="AT343:AU343"/>
    <mergeCell ref="AT344:AU344"/>
    <mergeCell ref="AT345:AU345"/>
    <mergeCell ref="AT346:AU346"/>
    <mergeCell ref="AT335:AU335"/>
    <mergeCell ref="AT336:AU336"/>
    <mergeCell ref="AT337:AU337"/>
    <mergeCell ref="AT338:AU338"/>
    <mergeCell ref="AT339:AU339"/>
    <mergeCell ref="AT340:AU340"/>
    <mergeCell ref="AT359:AU359"/>
    <mergeCell ref="AT353:AU353"/>
    <mergeCell ref="AT354:AU354"/>
    <mergeCell ref="AT355:AU355"/>
    <mergeCell ref="AT356:AU356"/>
    <mergeCell ref="AT357:AU357"/>
    <mergeCell ref="AT358:AU358"/>
    <mergeCell ref="AT347:AU347"/>
    <mergeCell ref="AT348:AU348"/>
    <mergeCell ref="AT349:AU349"/>
    <mergeCell ref="AT350:AU350"/>
    <mergeCell ref="AT351:AU351"/>
    <mergeCell ref="AT352:AU352"/>
  </mergeCells>
  <conditionalFormatting sqref="G41:J71">
    <cfRule type="expression" dxfId="64" priority="41">
      <formula>$O$3="Team-Based"</formula>
    </cfRule>
  </conditionalFormatting>
  <conditionalFormatting sqref="G89:J119">
    <cfRule type="expression" dxfId="63" priority="38">
      <formula>$O$3="Team-Based"</formula>
    </cfRule>
  </conditionalFormatting>
  <conditionalFormatting sqref="G137:J167">
    <cfRule type="expression" dxfId="62" priority="35">
      <formula>$O$3="Team-Based"</formula>
    </cfRule>
  </conditionalFormatting>
  <conditionalFormatting sqref="G185:J215">
    <cfRule type="expression" dxfId="61" priority="32">
      <formula>$O$3="Team-Based"</formula>
    </cfRule>
  </conditionalFormatting>
  <conditionalFormatting sqref="G233:J263">
    <cfRule type="expression" dxfId="60" priority="29">
      <formula>$O$3="Team-Based"</formula>
    </cfRule>
  </conditionalFormatting>
  <conditionalFormatting sqref="G281:J311">
    <cfRule type="expression" dxfId="59" priority="26">
      <formula>$O$3="Team-Based"</formula>
    </cfRule>
  </conditionalFormatting>
  <conditionalFormatting sqref="G329:J359">
    <cfRule type="expression" dxfId="58" priority="23">
      <formula>$O$3="Team-Based"</formula>
    </cfRule>
  </conditionalFormatting>
  <conditionalFormatting sqref="J40">
    <cfRule type="expression" dxfId="57" priority="39">
      <formula>$O$3="Team-Based"</formula>
    </cfRule>
  </conditionalFormatting>
  <conditionalFormatting sqref="J88">
    <cfRule type="expression" dxfId="56" priority="36">
      <formula>$O$3="Team-Based"</formula>
    </cfRule>
  </conditionalFormatting>
  <conditionalFormatting sqref="J136">
    <cfRule type="expression" dxfId="55" priority="33">
      <formula>$O$3="Team-Based"</formula>
    </cfRule>
  </conditionalFormatting>
  <conditionalFormatting sqref="J184">
    <cfRule type="expression" dxfId="54" priority="30">
      <formula>$O$3="Team-Based"</formula>
    </cfRule>
  </conditionalFormatting>
  <conditionalFormatting sqref="J232">
    <cfRule type="expression" dxfId="53" priority="27">
      <formula>$O$3="Team-Based"</formula>
    </cfRule>
  </conditionalFormatting>
  <conditionalFormatting sqref="J280">
    <cfRule type="expression" dxfId="52" priority="24">
      <formula>$O$3="Team-Based"</formula>
    </cfRule>
  </conditionalFormatting>
  <conditionalFormatting sqref="J328">
    <cfRule type="expression" dxfId="51" priority="21">
      <formula>$O$3="Team-Based"</formula>
    </cfRule>
  </conditionalFormatting>
  <conditionalFormatting sqref="O4 O33:O34">
    <cfRule type="expression" dxfId="50" priority="40">
      <formula>$O$3="By Hours"</formula>
    </cfRule>
  </conditionalFormatting>
  <conditionalFormatting sqref="O11">
    <cfRule type="expression" dxfId="49" priority="1">
      <formula>$O$3="By Hours"</formula>
    </cfRule>
  </conditionalFormatting>
  <conditionalFormatting sqref="O15">
    <cfRule type="expression" dxfId="48" priority="42">
      <formula>IF(AND($O$14&lt;&gt;0,ISBLANK($O$15)),TRUE,FALSE)</formula>
    </cfRule>
  </conditionalFormatting>
  <conditionalFormatting sqref="O81:O82">
    <cfRule type="expression" dxfId="47" priority="20">
      <formula>$O$3="By Hours"</formula>
    </cfRule>
  </conditionalFormatting>
  <conditionalFormatting sqref="O129:O130">
    <cfRule type="expression" dxfId="46" priority="34">
      <formula>$O$3="By Hours"</formula>
    </cfRule>
  </conditionalFormatting>
  <conditionalFormatting sqref="O177:O178">
    <cfRule type="expression" dxfId="45" priority="31">
      <formula>$O$3="By Hours"</formula>
    </cfRule>
  </conditionalFormatting>
  <conditionalFormatting sqref="O225:O226">
    <cfRule type="expression" dxfId="44" priority="28">
      <formula>$O$3="By Hours"</formula>
    </cfRule>
  </conditionalFormatting>
  <conditionalFormatting sqref="O273:O274">
    <cfRule type="expression" dxfId="43" priority="25">
      <formula>$O$3="By Hours"</formula>
    </cfRule>
  </conditionalFormatting>
  <conditionalFormatting sqref="O321:O322 Q329:S359">
    <cfRule type="expression" dxfId="42" priority="22">
      <formula>$O$3="By Hours"</formula>
    </cfRule>
  </conditionalFormatting>
  <conditionalFormatting sqref="Q41:S71">
    <cfRule type="expression" dxfId="41" priority="17">
      <formula>$O$3="By Hours"</formula>
    </cfRule>
  </conditionalFormatting>
  <conditionalFormatting sqref="Q89:S119">
    <cfRule type="expression" dxfId="40" priority="7">
      <formula>$O$3="By Hours"</formula>
    </cfRule>
  </conditionalFormatting>
  <conditionalFormatting sqref="Q137:S167">
    <cfRule type="expression" dxfId="39" priority="6">
      <formula>$O$3="By Hours"</formula>
    </cfRule>
  </conditionalFormatting>
  <conditionalFormatting sqref="Q185:S215">
    <cfRule type="expression" dxfId="38" priority="5">
      <formula>$O$3="By Hours"</formula>
    </cfRule>
  </conditionalFormatting>
  <conditionalFormatting sqref="Q233:S263">
    <cfRule type="expression" dxfId="37" priority="4">
      <formula>$O$3="By Hours"</formula>
    </cfRule>
  </conditionalFormatting>
  <conditionalFormatting sqref="Q281:S311">
    <cfRule type="expression" dxfId="36" priority="3">
      <formula>$O$3="By Hours"</formula>
    </cfRule>
  </conditionalFormatting>
  <dataValidations count="3">
    <dataValidation type="list" allowBlank="1" showInputMessage="1" showErrorMessage="1" sqref="P234:P263 P330:P359 P42:P71 P90:P119 P138:P167 P186:P215 P282:P311" xr:uid="{44CE4EEB-3B81-894D-B34E-3D4FDC196CF0}">
      <formula1>OFFSET(INDIRECT("FilterJP!" &amp; Y42 &amp; "$2"),0,0,COUNTA(INDIRECT("FilterJP!" &amp; Y42 &amp; "1:" &amp; Y42 &amp; "1048576"))-1,1)</formula1>
    </dataValidation>
    <dataValidation type="list" allowBlank="1" showInputMessage="1" showErrorMessage="1" sqref="O234:O263 O330:O359 O42:O71 O90:O119 O138:O167 O186:O215 O282:O311" xr:uid="{15C991B9-51B9-5E4E-8574-186E951FB3FE}">
      <formula1>OFFSET(INDIRECT("FilterSL!" &amp; X42 &amp; "$2"),0,0,COUNTA(INDIRECT("FilterSL!" &amp; X42 &amp; "1:" &amp; X42 &amp; "1048576"))-1,1)</formula1>
    </dataValidation>
    <dataValidation operator="equal" allowBlank="1" showInputMessage="1" showErrorMessage="1" sqref="O4" xr:uid="{8B938C70-BB65-F548-84B7-DA85FE4B2E87}"/>
  </dataValidations>
  <hyperlinks>
    <hyperlink ref="B12" r:id="rId1" xr:uid="{F9B7605A-FFB7-0544-9514-0C78258A4B6E}"/>
  </hyperlinks>
  <pageMargins left="0.7" right="0.7" top="0.75" bottom="0.75" header="0.3" footer="0.3"/>
  <pageSetup orientation="portrait"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CC92033A-80B7-7744-96E7-9F0F05E92C13}">
          <x14:formula1>
            <xm:f>Paramenters!$C$2:$C$12</xm:f>
          </x14:formula1>
          <xm:sqref>C9</xm:sqref>
        </x14:dataValidation>
        <x14:dataValidation type="list" allowBlank="1" showInputMessage="1" showErrorMessage="1" xr:uid="{B2F20BA0-2A4E-8847-9C6E-D25525DADF1D}">
          <x14:formula1>
            <xm:f>Paramenters!$G$2:$G$7</xm:f>
          </x14:formula1>
          <xm:sqref>I42:I71 I90:I119 I138:I167 I186:I215 I234:I263 I282:I311 I330:I359</xm:sqref>
        </x14:dataValidation>
        <x14:dataValidation type="list" allowBlank="1" showInputMessage="1" showErrorMessage="1" xr:uid="{A7522D96-1D2C-AD44-8695-6A2E3DFF9FF1}">
          <x14:formula1>
            <xm:f>Paramenters!$F$2:$F$7</xm:f>
          </x14:formula1>
          <xm:sqref>H42:H71 H90:H119 H138:H167 H186:H215 H234:H263 H282:H311 H330:H359</xm:sqref>
        </x14:dataValidation>
        <x14:dataValidation type="list" allowBlank="1" showInputMessage="1" showErrorMessage="1" xr:uid="{B83A6BCA-19F6-634F-9E07-B92CF27FD540}">
          <x14:formula1>
            <xm:f>Paramenters!$E$2:$E$4</xm:f>
          </x14:formula1>
          <xm:sqref>C10</xm:sqref>
        </x14:dataValidation>
        <x14:dataValidation type="list" allowBlank="1" showInputMessage="1" showErrorMessage="1" xr:uid="{E768A84E-3EBA-CD48-8746-78B67E6F9C50}">
          <x14:formula1>
            <xm:f>Paramenters!$D$2:$D$3</xm:f>
          </x14:formula1>
          <xm:sqref>O3</xm:sqref>
        </x14:dataValidation>
        <x14:dataValidation type="list" allowBlank="1" showInputMessage="1" showErrorMessage="1" xr:uid="{DB66000B-626F-1F44-9BD4-DEDAEB1AF2FA}">
          <x14:formula1>
            <xm:f>Paramenters!$B$2:$B$15</xm:f>
          </x14:formula1>
          <xm:sqref>C8</xm:sqref>
        </x14:dataValidation>
        <x14:dataValidation type="list" allowBlank="1" showInputMessage="1" showErrorMessage="1" xr:uid="{B6AD2E52-09BE-D946-801B-D79CBC436E5B}">
          <x14:formula1>
            <xm:f>Paramenters!$A$2:$A$22</xm:f>
          </x14:formula1>
          <xm:sqref>C3 O10</xm:sqref>
        </x14:dataValidation>
        <x14:dataValidation type="list" allowBlank="1" showInputMessage="1" xr:uid="{AFB10C98-58A7-F041-897F-4B9BD82358BF}">
          <x14:formula1>
            <xm:f>Users!$B$2:$B$60</xm:f>
          </x14:formula1>
          <xm:sqref>O6</xm:sqref>
        </x14:dataValidation>
        <x14:dataValidation type="list" allowBlank="1" showInputMessage="1" xr:uid="{A34C0EA1-2E15-5143-8C92-783E49FCB401}">
          <x14:formula1>
            <xm:f>Users!$B$61:$B$122</xm:f>
          </x14:formula1>
          <xm:sqref>O7</xm:sqref>
        </x14:dataValidation>
        <x14:dataValidation type="list" allowBlank="1" showInputMessage="1" xr:uid="{3DADB743-A18D-EE45-8DE7-0EFC2377633F}">
          <x14:formula1>
            <xm:f>Users!$B$61:$B$134</xm:f>
          </x14:formula1>
          <xm:sqref>O8</xm:sqref>
        </x14:dataValidation>
        <x14:dataValidation type="list" allowBlank="1" showInputMessage="1" showErrorMessage="1" xr:uid="{0B657C08-0D98-8E4D-8E00-B26E8EDC96F9}">
          <x14:formula1>
            <xm:f>OFFSET(FilterSL!$A$1,0,0,COUNTA(FilterSL!A:A),1)</xm:f>
          </x14:formula1>
          <xm:sqref>N330:N359 N282:N311 N186:N215 N90:N119 N42:N71 N138:N167 N234:N263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FFA83-5B7B-4951-B294-F2D10C55D1D2}">
  <sheetPr codeName="Sheet4"/>
  <dimension ref="A1:J85"/>
  <sheetViews>
    <sheetView zoomScale="110" zoomScaleNormal="110" workbookViewId="0"/>
  </sheetViews>
  <sheetFormatPr defaultColWidth="8.7109375" defaultRowHeight="14.45"/>
  <cols>
    <col min="1" max="1" width="22.42578125" customWidth="1"/>
    <col min="2" max="2" width="26.28515625" customWidth="1"/>
    <col min="3" max="3" width="19.42578125" customWidth="1"/>
    <col min="4" max="7" width="16.7109375" customWidth="1"/>
    <col min="8" max="9" width="17.42578125" customWidth="1"/>
    <col min="10" max="10" width="11.7109375" customWidth="1"/>
  </cols>
  <sheetData>
    <row r="1" spans="1:10">
      <c r="A1" s="1" t="s">
        <v>170</v>
      </c>
      <c r="B1" s="1" t="s">
        <v>188</v>
      </c>
      <c r="C1" s="1" t="s">
        <v>189</v>
      </c>
      <c r="D1" s="1" t="s">
        <v>190</v>
      </c>
      <c r="E1" s="1" t="s">
        <v>191</v>
      </c>
      <c r="F1" s="1" t="s">
        <v>103</v>
      </c>
      <c r="G1" s="1" t="s">
        <v>192</v>
      </c>
      <c r="H1" s="1" t="s">
        <v>193</v>
      </c>
      <c r="I1" s="1" t="s">
        <v>194</v>
      </c>
      <c r="J1" s="1" t="s">
        <v>195</v>
      </c>
    </row>
    <row r="2" spans="1:10">
      <c r="A2" s="47" t="s">
        <v>196</v>
      </c>
      <c r="B2" t="s">
        <v>197</v>
      </c>
      <c r="C2" t="s">
        <v>170</v>
      </c>
      <c r="D2" t="s">
        <v>12</v>
      </c>
      <c r="E2" t="s">
        <v>171</v>
      </c>
      <c r="F2" s="40">
        <v>0</v>
      </c>
      <c r="G2" s="40">
        <v>0</v>
      </c>
      <c r="H2" t="s">
        <v>198</v>
      </c>
      <c r="I2" t="s">
        <v>199</v>
      </c>
      <c r="J2" t="s">
        <v>200</v>
      </c>
    </row>
    <row r="3" spans="1:10">
      <c r="A3" s="47" t="s">
        <v>201</v>
      </c>
      <c r="B3" t="s">
        <v>38</v>
      </c>
      <c r="C3" t="s">
        <v>202</v>
      </c>
      <c r="D3" t="s">
        <v>168</v>
      </c>
      <c r="E3" t="s">
        <v>203</v>
      </c>
      <c r="F3" s="40">
        <v>0.05</v>
      </c>
      <c r="G3" s="40">
        <v>0.05</v>
      </c>
      <c r="H3" t="s">
        <v>204</v>
      </c>
      <c r="I3" t="s">
        <v>205</v>
      </c>
      <c r="J3" t="s">
        <v>172</v>
      </c>
    </row>
    <row r="4" spans="1:10">
      <c r="A4" s="47" t="s">
        <v>206</v>
      </c>
      <c r="B4" t="s">
        <v>169</v>
      </c>
      <c r="C4" t="s">
        <v>207</v>
      </c>
      <c r="E4" t="s">
        <v>208</v>
      </c>
      <c r="F4" s="40">
        <v>0.1</v>
      </c>
      <c r="G4" s="40">
        <v>0.1</v>
      </c>
      <c r="H4" t="s">
        <v>209</v>
      </c>
      <c r="I4" t="s">
        <v>210</v>
      </c>
      <c r="J4" t="s">
        <v>211</v>
      </c>
    </row>
    <row r="5" spans="1:10">
      <c r="A5" s="47" t="s">
        <v>212</v>
      </c>
      <c r="B5" t="s">
        <v>213</v>
      </c>
      <c r="C5" t="s">
        <v>214</v>
      </c>
      <c r="F5" s="40">
        <v>0.15</v>
      </c>
      <c r="G5" s="40">
        <v>0.15</v>
      </c>
      <c r="H5" t="s">
        <v>215</v>
      </c>
      <c r="J5" t="s">
        <v>216</v>
      </c>
    </row>
    <row r="6" spans="1:10">
      <c r="A6" s="47" t="s">
        <v>167</v>
      </c>
      <c r="B6" t="s">
        <v>217</v>
      </c>
      <c r="C6" t="s">
        <v>218</v>
      </c>
      <c r="F6" s="40">
        <v>0.2</v>
      </c>
      <c r="G6" s="40">
        <v>0.2</v>
      </c>
    </row>
    <row r="7" spans="1:10">
      <c r="A7" s="47" t="s">
        <v>219</v>
      </c>
      <c r="B7" t="s">
        <v>220</v>
      </c>
      <c r="C7" t="s">
        <v>221</v>
      </c>
      <c r="F7" s="40">
        <v>0.25</v>
      </c>
      <c r="G7" s="40">
        <v>0.25</v>
      </c>
    </row>
    <row r="8" spans="1:10">
      <c r="A8" t="s">
        <v>222</v>
      </c>
      <c r="B8" t="s">
        <v>223</v>
      </c>
      <c r="C8" t="s">
        <v>224</v>
      </c>
    </row>
    <row r="9" spans="1:10">
      <c r="A9" s="47" t="s">
        <v>225</v>
      </c>
      <c r="B9" t="s">
        <v>226</v>
      </c>
      <c r="C9" t="s">
        <v>227</v>
      </c>
    </row>
    <row r="10" spans="1:10">
      <c r="A10" t="s">
        <v>228</v>
      </c>
      <c r="B10" t="s">
        <v>229</v>
      </c>
      <c r="C10" t="s">
        <v>230</v>
      </c>
    </row>
    <row r="11" spans="1:10">
      <c r="A11" t="s">
        <v>231</v>
      </c>
      <c r="B11" t="s">
        <v>232</v>
      </c>
      <c r="C11" t="s">
        <v>233</v>
      </c>
    </row>
    <row r="12" spans="1:10">
      <c r="A12" t="s">
        <v>234</v>
      </c>
      <c r="B12" t="s">
        <v>235</v>
      </c>
      <c r="C12" t="s">
        <v>236</v>
      </c>
    </row>
    <row r="13" spans="1:10">
      <c r="A13" t="s">
        <v>237</v>
      </c>
      <c r="B13" t="s">
        <v>238</v>
      </c>
    </row>
    <row r="14" spans="1:10">
      <c r="A14" t="s">
        <v>239</v>
      </c>
      <c r="B14" t="s">
        <v>154</v>
      </c>
    </row>
    <row r="15" spans="1:10">
      <c r="A15" t="s">
        <v>10</v>
      </c>
      <c r="B15" t="s">
        <v>177</v>
      </c>
    </row>
    <row r="16" spans="1:10">
      <c r="A16" t="s">
        <v>240</v>
      </c>
    </row>
    <row r="17" spans="1:6">
      <c r="A17" t="s">
        <v>241</v>
      </c>
    </row>
    <row r="18" spans="1:6">
      <c r="A18" t="s">
        <v>242</v>
      </c>
    </row>
    <row r="19" spans="1:6">
      <c r="A19" t="s">
        <v>243</v>
      </c>
    </row>
    <row r="20" spans="1:6">
      <c r="A20" t="s">
        <v>244</v>
      </c>
    </row>
    <row r="21" spans="1:6">
      <c r="A21" t="s">
        <v>245</v>
      </c>
    </row>
    <row r="22" spans="1:6">
      <c r="A22" t="s">
        <v>246</v>
      </c>
    </row>
    <row r="26" spans="1:6">
      <c r="B26" s="516" t="s">
        <v>247</v>
      </c>
      <c r="C26" s="516"/>
      <c r="D26" s="517" t="s">
        <v>248</v>
      </c>
      <c r="E26" s="518"/>
      <c r="F26" s="518"/>
    </row>
    <row r="27" spans="1:6">
      <c r="A27" s="36" t="s">
        <v>249</v>
      </c>
      <c r="B27" s="36" t="s">
        <v>249</v>
      </c>
      <c r="C27" s="36" t="s">
        <v>250</v>
      </c>
      <c r="D27" s="471" t="s">
        <v>251</v>
      </c>
      <c r="E27" s="36" t="s">
        <v>252</v>
      </c>
      <c r="F27" s="36" t="s">
        <v>253</v>
      </c>
    </row>
    <row r="28" spans="1:6" ht="14.25" customHeight="1">
      <c r="A28" t="s">
        <v>254</v>
      </c>
      <c r="B28" t="s">
        <v>200</v>
      </c>
      <c r="C28" t="s">
        <v>255</v>
      </c>
      <c r="D28" s="48">
        <v>4.6929468964758785</v>
      </c>
      <c r="E28" s="48">
        <v>4.1446038180463391</v>
      </c>
      <c r="F28" s="48">
        <v>4.2507688670827548</v>
      </c>
    </row>
    <row r="29" spans="1:6">
      <c r="A29" t="s">
        <v>196</v>
      </c>
      <c r="B29" t="s">
        <v>200</v>
      </c>
      <c r="C29" t="s">
        <v>256</v>
      </c>
      <c r="D29" s="48">
        <v>1969.8023739676873</v>
      </c>
      <c r="E29" s="48">
        <v>1226.4280528247091</v>
      </c>
      <c r="F29" s="48">
        <v>445.26790411584346</v>
      </c>
    </row>
    <row r="30" spans="1:6">
      <c r="A30" t="s">
        <v>257</v>
      </c>
      <c r="B30" t="s">
        <v>200</v>
      </c>
      <c r="C30" t="s">
        <v>258</v>
      </c>
      <c r="D30" s="48">
        <v>1.9067242408488292</v>
      </c>
      <c r="E30" s="48">
        <v>1.8068441405836908</v>
      </c>
      <c r="F30" s="48">
        <v>1.7558581858638025</v>
      </c>
    </row>
    <row r="31" spans="1:6">
      <c r="A31" t="s">
        <v>259</v>
      </c>
      <c r="B31" t="s">
        <v>200</v>
      </c>
      <c r="C31" t="s">
        <v>260</v>
      </c>
      <c r="D31" s="48">
        <v>2.1265107001397952</v>
      </c>
      <c r="E31" s="48">
        <v>2.2264198647592424</v>
      </c>
      <c r="F31" s="48">
        <v>2.2127728116547969</v>
      </c>
    </row>
    <row r="32" spans="1:6">
      <c r="A32" t="s">
        <v>201</v>
      </c>
      <c r="B32" t="s">
        <v>200</v>
      </c>
      <c r="C32" t="s">
        <v>261</v>
      </c>
      <c r="D32" s="48">
        <v>9.2112094651795058</v>
      </c>
      <c r="E32" s="48">
        <v>8.1327158379070035</v>
      </c>
      <c r="F32" s="48">
        <v>8.3347045858547002</v>
      </c>
    </row>
    <row r="33" spans="1:6">
      <c r="A33" t="s">
        <v>206</v>
      </c>
      <c r="B33" t="s">
        <v>200</v>
      </c>
      <c r="C33" t="s">
        <v>262</v>
      </c>
      <c r="D33" s="48">
        <v>7.1698581297267721</v>
      </c>
      <c r="E33" s="48">
        <v>7.1284050145306832</v>
      </c>
      <c r="F33" s="48">
        <v>5.8459391998220083</v>
      </c>
    </row>
    <row r="34" spans="1:6">
      <c r="A34" t="s">
        <v>263</v>
      </c>
      <c r="B34" t="s">
        <v>200</v>
      </c>
      <c r="C34" t="s">
        <v>264</v>
      </c>
      <c r="D34" s="48">
        <v>1.7602694179661424</v>
      </c>
      <c r="E34" s="48">
        <v>1.6065675943450113</v>
      </c>
      <c r="F34" s="48">
        <v>1.5699002732462066</v>
      </c>
    </row>
    <row r="35" spans="1:6">
      <c r="A35" t="s">
        <v>265</v>
      </c>
      <c r="B35" t="s">
        <v>200</v>
      </c>
      <c r="C35" t="s">
        <v>200</v>
      </c>
      <c r="D35" s="48">
        <v>1</v>
      </c>
      <c r="E35" s="48">
        <v>1</v>
      </c>
      <c r="F35" s="48">
        <v>1</v>
      </c>
    </row>
    <row r="36" spans="1:6">
      <c r="A36" t="s">
        <v>212</v>
      </c>
      <c r="B36" t="s">
        <v>200</v>
      </c>
      <c r="C36" t="s">
        <v>266</v>
      </c>
      <c r="D36" s="48">
        <v>1129.4505500126602</v>
      </c>
      <c r="E36" s="48">
        <v>1140.9117253779841</v>
      </c>
      <c r="F36" s="48">
        <v>1030.5020638316118</v>
      </c>
    </row>
    <row r="37" spans="1:6">
      <c r="A37" t="s">
        <v>267</v>
      </c>
      <c r="B37" t="s">
        <v>200</v>
      </c>
      <c r="C37" t="s">
        <v>268</v>
      </c>
      <c r="D37" s="48">
        <v>8.8454721464176931</v>
      </c>
      <c r="E37" s="48">
        <v>8.1541681832739972</v>
      </c>
      <c r="F37" s="48">
        <v>8.1837123011780424</v>
      </c>
    </row>
    <row r="38" spans="1:6">
      <c r="A38" t="s">
        <v>167</v>
      </c>
      <c r="B38" t="s">
        <v>200</v>
      </c>
      <c r="C38" t="s">
        <v>269</v>
      </c>
      <c r="D38" s="48">
        <v>4919.6912460900639</v>
      </c>
      <c r="E38" s="48">
        <v>5015.0954372661718</v>
      </c>
      <c r="F38" s="48">
        <v>4776.5939941457173</v>
      </c>
    </row>
    <row r="39" spans="1:6">
      <c r="A39" t="s">
        <v>219</v>
      </c>
      <c r="B39" t="s">
        <v>200</v>
      </c>
      <c r="C39" t="s">
        <v>270</v>
      </c>
      <c r="D39" s="48">
        <v>663.52933955001538</v>
      </c>
      <c r="E39" s="48">
        <v>598.76223870015906</v>
      </c>
      <c r="F39" s="48">
        <v>641.01787108990254</v>
      </c>
    </row>
    <row r="40" spans="1:6">
      <c r="A40" t="s">
        <v>271</v>
      </c>
      <c r="B40" t="s">
        <v>200</v>
      </c>
      <c r="C40" t="s">
        <v>272</v>
      </c>
      <c r="D40" s="48">
        <v>26.518244665478235</v>
      </c>
      <c r="E40" s="48">
        <v>27.219137492491942</v>
      </c>
      <c r="F40" s="48">
        <v>26.302601053585462</v>
      </c>
    </row>
    <row r="41" spans="1:6">
      <c r="A41" t="s">
        <v>273</v>
      </c>
      <c r="B41" t="s">
        <v>200</v>
      </c>
      <c r="C41" t="s">
        <v>274</v>
      </c>
      <c r="D41" s="48">
        <v>8.1049180160157146</v>
      </c>
      <c r="E41" s="48">
        <v>8.0142759901066967</v>
      </c>
      <c r="F41" s="48">
        <v>7.9441965889417556</v>
      </c>
    </row>
    <row r="42" spans="1:6">
      <c r="A42" t="s">
        <v>222</v>
      </c>
      <c r="B42" t="s">
        <v>200</v>
      </c>
      <c r="C42" t="s">
        <v>275</v>
      </c>
      <c r="D42" s="48">
        <v>85.264110938614962</v>
      </c>
      <c r="E42" s="48">
        <v>72.329005551395838</v>
      </c>
      <c r="F42" s="48">
        <v>69.147629432718631</v>
      </c>
    </row>
    <row r="43" spans="1:6">
      <c r="A43" t="s">
        <v>243</v>
      </c>
      <c r="B43" t="s">
        <v>200</v>
      </c>
      <c r="C43" t="s">
        <v>211</v>
      </c>
      <c r="D43" s="11">
        <v>1.0872676562583634</v>
      </c>
      <c r="E43" s="11">
        <v>1.077153537070936</v>
      </c>
      <c r="F43" s="48">
        <v>1.0683430037878667</v>
      </c>
    </row>
    <row r="44" spans="1:6">
      <c r="A44" t="s">
        <v>276</v>
      </c>
      <c r="B44" t="s">
        <v>200</v>
      </c>
      <c r="C44" t="s">
        <v>277</v>
      </c>
      <c r="D44" s="48">
        <v>0.94982724714821443</v>
      </c>
      <c r="E44" s="48">
        <v>0.90315107576939258</v>
      </c>
      <c r="F44" s="48">
        <v>0.92389532284662235</v>
      </c>
    </row>
    <row r="45" spans="1:6">
      <c r="A45" t="s">
        <v>231</v>
      </c>
      <c r="B45" t="s">
        <v>200</v>
      </c>
      <c r="C45" t="s">
        <v>278</v>
      </c>
      <c r="D45" s="48">
        <v>10.2854029888156</v>
      </c>
      <c r="E45" s="48">
        <v>9.1404138214500783</v>
      </c>
      <c r="F45" s="48">
        <v>9.5173809154095554</v>
      </c>
    </row>
    <row r="46" spans="1:6">
      <c r="A46" t="s">
        <v>279</v>
      </c>
      <c r="B46" t="s">
        <v>200</v>
      </c>
      <c r="C46" t="s">
        <v>280</v>
      </c>
      <c r="D46" s="48">
        <v>9.9248397021926351</v>
      </c>
      <c r="E46" s="48">
        <v>8.7585815158422733</v>
      </c>
      <c r="F46" s="48">
        <v>9.0179684295180049</v>
      </c>
    </row>
    <row r="47" spans="1:6">
      <c r="A47" t="s">
        <v>234</v>
      </c>
      <c r="B47" t="s">
        <v>200</v>
      </c>
      <c r="C47" t="s">
        <v>281</v>
      </c>
      <c r="D47" s="48">
        <v>35.396019345713839</v>
      </c>
      <c r="E47" s="48">
        <v>30.047421441467357</v>
      </c>
      <c r="F47" s="48">
        <v>29.946532739716186</v>
      </c>
    </row>
    <row r="48" spans="1:6">
      <c r="A48" t="s">
        <v>282</v>
      </c>
      <c r="B48" t="s">
        <v>200</v>
      </c>
      <c r="C48" t="s">
        <v>283</v>
      </c>
      <c r="D48" s="48">
        <v>428.62879196707854</v>
      </c>
      <c r="E48" s="48">
        <v>456.09430935691159</v>
      </c>
      <c r="F48" s="48">
        <v>416.12952194660693</v>
      </c>
    </row>
    <row r="49" spans="1:6">
      <c r="A49" t="s">
        <v>284</v>
      </c>
      <c r="B49" t="s">
        <v>200</v>
      </c>
      <c r="C49" t="s">
        <v>285</v>
      </c>
      <c r="D49" s="48">
        <v>21712.775997401477</v>
      </c>
      <c r="E49" s="48">
        <v>18404.275681326286</v>
      </c>
      <c r="F49" s="48">
        <v>18172.309660493327</v>
      </c>
    </row>
    <row r="50" spans="1:6">
      <c r="A50" t="s">
        <v>286</v>
      </c>
      <c r="B50" t="s">
        <v>200</v>
      </c>
      <c r="C50" t="s">
        <v>287</v>
      </c>
      <c r="D50" s="48">
        <v>4.2217148220803038</v>
      </c>
      <c r="E50" s="48">
        <v>4.2986026571029976</v>
      </c>
      <c r="F50" s="48">
        <v>4.5193566778452716</v>
      </c>
    </row>
    <row r="51" spans="1:6">
      <c r="A51" t="s">
        <v>288</v>
      </c>
      <c r="B51" t="s">
        <v>200</v>
      </c>
      <c r="C51" t="s">
        <v>289</v>
      </c>
      <c r="D51" s="48">
        <v>117.1638221851654</v>
      </c>
      <c r="E51" s="48">
        <v>98.248581486980498</v>
      </c>
      <c r="F51" s="48">
        <v>97.335559783906049</v>
      </c>
    </row>
    <row r="52" spans="1:6">
      <c r="A52" t="s">
        <v>290</v>
      </c>
      <c r="B52" t="s">
        <v>200</v>
      </c>
      <c r="C52" t="s">
        <v>291</v>
      </c>
      <c r="D52" s="48">
        <v>199.12210255479027</v>
      </c>
      <c r="E52" s="48">
        <v>174.34362675540061</v>
      </c>
      <c r="F52" s="48">
        <v>163.18001571339508</v>
      </c>
    </row>
    <row r="53" spans="1:6">
      <c r="A53" t="s">
        <v>292</v>
      </c>
      <c r="B53" t="s">
        <v>200</v>
      </c>
      <c r="C53" t="s">
        <v>293</v>
      </c>
      <c r="D53" s="48">
        <v>1872.8691964776683</v>
      </c>
      <c r="E53" s="48">
        <v>1621.3841107599915</v>
      </c>
      <c r="F53" s="48">
        <v>1515.0215885361745</v>
      </c>
    </row>
    <row r="54" spans="1:6">
      <c r="A54" t="s">
        <v>294</v>
      </c>
      <c r="B54" t="s">
        <v>200</v>
      </c>
      <c r="C54" t="s">
        <v>295</v>
      </c>
      <c r="D54" s="48">
        <v>684.95950034655527</v>
      </c>
      <c r="E54" s="48">
        <v>626.43257299035736</v>
      </c>
      <c r="F54" s="48">
        <v>556.28373570903796</v>
      </c>
    </row>
    <row r="55" spans="1:6">
      <c r="A55" t="s">
        <v>296</v>
      </c>
      <c r="B55" t="s">
        <v>200</v>
      </c>
      <c r="C55" t="s">
        <v>297</v>
      </c>
      <c r="D55" s="48">
        <v>414.84011140921405</v>
      </c>
      <c r="E55" s="48">
        <v>350.02681205380333</v>
      </c>
      <c r="F55" s="48">
        <v>397.57149247124426</v>
      </c>
    </row>
    <row r="56" spans="1:6">
      <c r="A56" t="s">
        <v>239</v>
      </c>
      <c r="B56" t="s">
        <v>200</v>
      </c>
      <c r="C56" t="s">
        <v>298</v>
      </c>
      <c r="D56" s="48">
        <v>23.304500615103674</v>
      </c>
      <c r="E56" s="48">
        <v>23.608812366956965</v>
      </c>
      <c r="F56" s="48">
        <v>20.692200547419457</v>
      </c>
    </row>
    <row r="57" spans="1:6">
      <c r="A57" t="s">
        <v>299</v>
      </c>
      <c r="B57" t="s">
        <v>200</v>
      </c>
      <c r="C57" t="s">
        <v>300</v>
      </c>
      <c r="D57" s="48">
        <v>5.1439802962216525</v>
      </c>
      <c r="E57" s="48">
        <v>5.0223443598334558</v>
      </c>
      <c r="F57" s="48">
        <v>5.3423225695804426</v>
      </c>
    </row>
    <row r="58" spans="1:6">
      <c r="A58" t="s">
        <v>301</v>
      </c>
      <c r="B58" t="s">
        <v>200</v>
      </c>
      <c r="C58" t="s">
        <v>302</v>
      </c>
      <c r="D58" s="48">
        <v>49.144353706351303</v>
      </c>
      <c r="E58" s="48">
        <v>43.390291769338944</v>
      </c>
      <c r="F58" s="48">
        <v>44.532874137559418</v>
      </c>
    </row>
    <row r="59" spans="1:6">
      <c r="A59" t="s">
        <v>303</v>
      </c>
      <c r="B59" t="s">
        <v>200</v>
      </c>
      <c r="C59" t="s">
        <v>304</v>
      </c>
      <c r="D59" s="11">
        <v>12.876893585785863</v>
      </c>
      <c r="E59" s="11">
        <v>12.748480798601552</v>
      </c>
      <c r="F59" s="48">
        <v>12.532939030636486</v>
      </c>
    </row>
    <row r="60" spans="1:6">
      <c r="A60" t="s">
        <v>305</v>
      </c>
      <c r="B60" t="s">
        <v>200</v>
      </c>
      <c r="C60" t="s">
        <v>306</v>
      </c>
      <c r="D60" s="11">
        <v>2.2009032396542256</v>
      </c>
      <c r="E60" s="11">
        <v>1.9948434533533757</v>
      </c>
      <c r="F60" s="48">
        <v>1.8961986968739437</v>
      </c>
    </row>
    <row r="61" spans="1:6">
      <c r="A61" t="s">
        <v>241</v>
      </c>
      <c r="B61" t="s">
        <v>200</v>
      </c>
      <c r="C61" t="s">
        <v>307</v>
      </c>
      <c r="D61" s="11">
        <v>4.2607118833937356</v>
      </c>
      <c r="E61" s="11">
        <v>5.1841405962154639</v>
      </c>
      <c r="F61" s="48">
        <v>5.3907606163915283</v>
      </c>
    </row>
    <row r="62" spans="1:6">
      <c r="A62" t="s">
        <v>308</v>
      </c>
      <c r="B62" t="s">
        <v>200</v>
      </c>
      <c r="C62" t="s">
        <v>309</v>
      </c>
      <c r="D62" s="11">
        <v>75.935251706561033</v>
      </c>
      <c r="E62" s="11">
        <v>65.892725851600886</v>
      </c>
      <c r="F62" s="48">
        <v>64.271957615550235</v>
      </c>
    </row>
    <row r="63" spans="1:6">
      <c r="A63" t="s">
        <v>310</v>
      </c>
      <c r="B63" t="s">
        <v>200</v>
      </c>
      <c r="C63" t="s">
        <v>311</v>
      </c>
      <c r="D63" s="11">
        <v>4.6117647209270807</v>
      </c>
      <c r="E63" s="11">
        <v>4.6524599181622071</v>
      </c>
      <c r="F63" s="48">
        <v>4.6730918538329789</v>
      </c>
    </row>
    <row r="64" spans="1:6">
      <c r="A64" t="s">
        <v>312</v>
      </c>
      <c r="B64" t="s">
        <v>200</v>
      </c>
      <c r="C64" t="s">
        <v>313</v>
      </c>
      <c r="D64" s="11">
        <v>4.6657084178408201</v>
      </c>
      <c r="E64" s="11">
        <v>4.1156995412735951</v>
      </c>
      <c r="F64" s="48">
        <v>4.2272138389122063</v>
      </c>
    </row>
    <row r="65" spans="1:6">
      <c r="A65" t="s">
        <v>314</v>
      </c>
      <c r="B65" t="s">
        <v>200</v>
      </c>
      <c r="C65" t="s">
        <v>315</v>
      </c>
      <c r="D65" s="11">
        <v>5.6264197897138306</v>
      </c>
      <c r="E65" s="11">
        <v>5.4586623578460607</v>
      </c>
      <c r="F65" s="48">
        <v>5.3492603348019259</v>
      </c>
    </row>
    <row r="66" spans="1:6">
      <c r="A66" t="s">
        <v>316</v>
      </c>
      <c r="B66" t="s">
        <v>200</v>
      </c>
      <c r="C66" t="s">
        <v>317</v>
      </c>
      <c r="D66" s="11">
        <v>135.03955334010246</v>
      </c>
      <c r="E66" s="11">
        <v>133.19395917445317</v>
      </c>
      <c r="F66" s="48">
        <v>132.54005409301496</v>
      </c>
    </row>
    <row r="67" spans="1:6">
      <c r="A67" t="s">
        <v>318</v>
      </c>
      <c r="B67" t="s">
        <v>200</v>
      </c>
      <c r="C67" t="s">
        <v>319</v>
      </c>
      <c r="D67" s="11">
        <v>107.21563667705907</v>
      </c>
      <c r="E67" s="11">
        <v>130.64340308297528</v>
      </c>
      <c r="F67" s="48">
        <v>116.67717316485854</v>
      </c>
    </row>
    <row r="68" spans="1:6">
      <c r="A68" t="s">
        <v>320</v>
      </c>
      <c r="B68" t="s">
        <v>200</v>
      </c>
      <c r="C68" t="s">
        <v>321</v>
      </c>
      <c r="D68" s="11">
        <v>4.8160955111498733</v>
      </c>
      <c r="E68" s="11">
        <v>4.246219302212328</v>
      </c>
      <c r="F68" s="48">
        <v>4.3494584904479705</v>
      </c>
    </row>
    <row r="69" spans="1:6">
      <c r="A69" t="s">
        <v>322</v>
      </c>
      <c r="B69" t="s">
        <v>200</v>
      </c>
      <c r="C69" t="s">
        <v>323</v>
      </c>
      <c r="D69" s="11">
        <v>11.611384916788365</v>
      </c>
      <c r="E69" s="11">
        <v>12.342336220098808</v>
      </c>
      <c r="F69" s="48">
        <v>12.034633203469925</v>
      </c>
    </row>
    <row r="70" spans="1:6">
      <c r="A70" t="s">
        <v>324</v>
      </c>
      <c r="B70" t="s">
        <v>200</v>
      </c>
      <c r="C70" t="s">
        <v>325</v>
      </c>
      <c r="D70" s="11">
        <v>1.6236921054448825</v>
      </c>
      <c r="E70" s="11">
        <v>1.5277492381488849</v>
      </c>
      <c r="F70" s="48">
        <v>1.5407470583736402</v>
      </c>
    </row>
    <row r="71" spans="1:6">
      <c r="A71" t="s">
        <v>326</v>
      </c>
      <c r="B71" t="s">
        <v>200</v>
      </c>
      <c r="C71" t="s">
        <v>327</v>
      </c>
      <c r="D71" s="11">
        <v>39.526485264366698</v>
      </c>
      <c r="E71" s="11">
        <v>38.772042875675893</v>
      </c>
      <c r="F71" s="48">
        <v>40.529203043485317</v>
      </c>
    </row>
    <row r="72" spans="1:6">
      <c r="A72" t="s">
        <v>328</v>
      </c>
      <c r="B72" t="s">
        <v>200</v>
      </c>
      <c r="C72" t="s">
        <v>329</v>
      </c>
      <c r="D72" s="11">
        <v>62.86669642012221</v>
      </c>
      <c r="E72" s="11">
        <v>46.577475458910399</v>
      </c>
      <c r="F72" s="48">
        <v>38.777631124573851</v>
      </c>
    </row>
    <row r="73" spans="1:6">
      <c r="A73" t="s">
        <v>330</v>
      </c>
      <c r="B73" t="s">
        <v>200</v>
      </c>
      <c r="C73" t="s">
        <v>331</v>
      </c>
      <c r="D73" s="11">
        <v>40.559757129959515</v>
      </c>
      <c r="E73" s="11">
        <v>36.484878933138354</v>
      </c>
      <c r="F73" s="48">
        <v>35.648316604052575</v>
      </c>
    </row>
    <row r="74" spans="1:6">
      <c r="A74" t="s">
        <v>332</v>
      </c>
      <c r="B74" t="s">
        <v>200</v>
      </c>
      <c r="C74" t="s">
        <v>333</v>
      </c>
      <c r="D74" s="11">
        <v>60.160476839620351</v>
      </c>
      <c r="E74" s="11">
        <v>49.815848244586654</v>
      </c>
      <c r="F74" s="48">
        <v>47.982346765427756</v>
      </c>
    </row>
    <row r="75" spans="1:6">
      <c r="A75" t="s">
        <v>245</v>
      </c>
      <c r="B75" t="s">
        <v>200</v>
      </c>
      <c r="C75" t="s">
        <v>334</v>
      </c>
      <c r="D75" s="11">
        <v>52.125240734441462</v>
      </c>
      <c r="E75" s="11">
        <v>52.127625525146733</v>
      </c>
      <c r="F75" s="48">
        <v>47.611239480948093</v>
      </c>
    </row>
    <row r="76" spans="1:6">
      <c r="A76" t="s">
        <v>335</v>
      </c>
      <c r="B76" t="s">
        <v>200</v>
      </c>
      <c r="C76" t="s">
        <v>336</v>
      </c>
      <c r="D76" s="11">
        <v>35280.543541922962</v>
      </c>
      <c r="E76" s="11">
        <v>30064.97040103664</v>
      </c>
      <c r="F76" s="48">
        <v>29506.070979120654</v>
      </c>
    </row>
    <row r="77" spans="1:6">
      <c r="A77" t="s">
        <v>337</v>
      </c>
      <c r="B77" t="s">
        <v>200</v>
      </c>
      <c r="C77" t="s">
        <v>338</v>
      </c>
      <c r="D77" s="11">
        <v>21.222542206853866</v>
      </c>
      <c r="E77" s="11">
        <v>21.310132906397609</v>
      </c>
      <c r="F77" s="48">
        <v>22.307806405410226</v>
      </c>
    </row>
    <row r="78" spans="1:6">
      <c r="A78" s="9" t="s">
        <v>237</v>
      </c>
      <c r="B78" s="9" t="s">
        <v>200</v>
      </c>
      <c r="C78" s="9" t="s">
        <v>172</v>
      </c>
      <c r="D78" s="37">
        <v>1.2788018138524928</v>
      </c>
      <c r="E78" s="37">
        <v>1.1291</v>
      </c>
      <c r="F78" s="37">
        <v>1.1588049476336044</v>
      </c>
    </row>
    <row r="79" spans="1:6">
      <c r="A79" s="9" t="s">
        <v>244</v>
      </c>
      <c r="B79" s="9" t="s">
        <v>200</v>
      </c>
      <c r="C79" s="9" t="s">
        <v>172</v>
      </c>
      <c r="D79" s="37">
        <v>1.2788018138524928</v>
      </c>
      <c r="E79" s="37">
        <v>1.1291</v>
      </c>
      <c r="F79" s="37">
        <v>1.1588049476336044</v>
      </c>
    </row>
    <row r="80" spans="1:6">
      <c r="A80" s="9" t="s">
        <v>10</v>
      </c>
      <c r="B80" s="9" t="s">
        <v>200</v>
      </c>
      <c r="C80" s="9" t="s">
        <v>172</v>
      </c>
      <c r="D80" s="37">
        <v>1.2788018138524928</v>
      </c>
      <c r="E80" s="37">
        <v>1.1291</v>
      </c>
      <c r="F80" s="37">
        <v>1.1588049476336044</v>
      </c>
    </row>
    <row r="81" spans="1:6">
      <c r="A81" s="9" t="s">
        <v>246</v>
      </c>
      <c r="B81" s="9" t="s">
        <v>200</v>
      </c>
      <c r="C81" s="9" t="s">
        <v>172</v>
      </c>
      <c r="D81" s="37">
        <v>1.2788018138524928</v>
      </c>
      <c r="E81" s="37">
        <v>1.1291</v>
      </c>
      <c r="F81" s="37">
        <v>1.1588049476336044</v>
      </c>
    </row>
    <row r="82" spans="1:6">
      <c r="A82" s="9" t="s">
        <v>228</v>
      </c>
      <c r="B82" s="9" t="s">
        <v>200</v>
      </c>
      <c r="C82" s="9" t="s">
        <v>172</v>
      </c>
      <c r="D82" s="37">
        <v>1.2788018138524928</v>
      </c>
      <c r="E82" s="37">
        <v>1.1291</v>
      </c>
      <c r="F82" s="37">
        <v>1.1588049476336044</v>
      </c>
    </row>
    <row r="83" spans="1:6">
      <c r="A83" s="9" t="s">
        <v>225</v>
      </c>
      <c r="B83" s="9" t="s">
        <v>200</v>
      </c>
      <c r="C83" s="9" t="s">
        <v>172</v>
      </c>
      <c r="D83" s="37">
        <v>1.2788018138524928</v>
      </c>
      <c r="E83" s="37">
        <v>1.1291</v>
      </c>
      <c r="F83" s="37">
        <v>1.1588049476336044</v>
      </c>
    </row>
    <row r="84" spans="1:6">
      <c r="A84" s="9" t="s">
        <v>240</v>
      </c>
      <c r="B84" s="9" t="s">
        <v>200</v>
      </c>
      <c r="C84" s="9" t="s">
        <v>172</v>
      </c>
      <c r="D84" s="37">
        <v>1.2788018138524928</v>
      </c>
      <c r="E84" s="37">
        <v>1.1291</v>
      </c>
      <c r="F84" s="37">
        <v>1.1588049476336044</v>
      </c>
    </row>
    <row r="85" spans="1:6">
      <c r="A85" s="9" t="s">
        <v>242</v>
      </c>
      <c r="B85" s="9" t="s">
        <v>200</v>
      </c>
      <c r="C85" s="9" t="s">
        <v>172</v>
      </c>
      <c r="D85" s="37">
        <v>1.2788018138524928</v>
      </c>
      <c r="E85" s="37">
        <v>1.1291</v>
      </c>
      <c r="F85" s="37">
        <v>1.1588049476336044</v>
      </c>
    </row>
  </sheetData>
  <sheetProtection algorithmName="SHA-512" hashValue="WZvqxx+5VonOTb/eompDKFX+/Sl+1aUhB9Vgu6zZJp+33bxcfxz8XrVATjk7RuB7arSIt0p1QAbFxSAFxio25g==" saltValue="PuTYyxXDMPb3due/Zw93Vw==" spinCount="100000" sheet="1" objects="1" scenarios="1" selectLockedCells="1" autoFilter="0"/>
  <autoFilter ref="A27:C85" xr:uid="{C21FFA83-5B7B-4951-B294-F2D10C55D1D2}"/>
  <mergeCells count="2">
    <mergeCell ref="B26:C26"/>
    <mergeCell ref="D26:F26"/>
  </mergeCells>
  <phoneticPr fontId="35" type="noConversion"/>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08043-DD1C-4FEA-8BC8-29EDBE39AAA4}">
  <sheetPr codeName="Sheet6"/>
  <dimension ref="A1:O279"/>
  <sheetViews>
    <sheetView zoomScale="120" zoomScaleNormal="120" workbookViewId="0">
      <pane xSplit="3" ySplit="4" topLeftCell="K5" activePane="bottomRight" state="frozen"/>
      <selection pane="bottomRight" activeCell="A3" sqref="A3"/>
      <selection pane="bottomLeft" activeCell="A5" sqref="A5"/>
      <selection pane="topRight" activeCell="D1" sqref="D1"/>
    </sheetView>
  </sheetViews>
  <sheetFormatPr defaultColWidth="8.7109375" defaultRowHeight="14.45" outlineLevelCol="1"/>
  <cols>
    <col min="1" max="1" width="19.7109375" customWidth="1"/>
    <col min="2" max="2" width="25" customWidth="1"/>
    <col min="3" max="3" width="55" customWidth="1"/>
    <col min="4" max="4" width="17.42578125" style="20" customWidth="1"/>
    <col min="5" max="5" width="17.42578125" style="31" customWidth="1"/>
    <col min="6" max="6" width="17.42578125" style="107" customWidth="1"/>
    <col min="7" max="7" width="85.140625" style="11" customWidth="1"/>
    <col min="8" max="8" width="22.140625" style="11" customWidth="1"/>
    <col min="9" max="9" width="43" customWidth="1" outlineLevel="1"/>
    <col min="10" max="10" width="82.42578125" customWidth="1" outlineLevel="1"/>
    <col min="11" max="11" width="19.140625" customWidth="1" outlineLevel="1"/>
    <col min="12" max="12" width="19.140625" style="39" customWidth="1" outlineLevel="1"/>
    <col min="13" max="13" width="19.140625" customWidth="1" outlineLevel="1"/>
    <col min="14" max="15" width="19.140625" customWidth="1"/>
    <col min="16" max="16" width="24.7109375" customWidth="1"/>
    <col min="17" max="17" width="23.42578125" bestFit="1" customWidth="1"/>
  </cols>
  <sheetData>
    <row r="1" spans="1:15">
      <c r="A1" s="43" t="s">
        <v>339</v>
      </c>
      <c r="B1" s="43" t="s">
        <v>340</v>
      </c>
      <c r="C1" s="43" t="s">
        <v>341</v>
      </c>
      <c r="D1" s="43" t="s">
        <v>342</v>
      </c>
      <c r="E1" s="107"/>
      <c r="H1"/>
      <c r="J1" s="39"/>
      <c r="L1"/>
    </row>
    <row r="2" spans="1:15">
      <c r="A2" t="s">
        <v>343</v>
      </c>
      <c r="B2" s="106">
        <v>46082</v>
      </c>
      <c r="C2" t="s">
        <v>344</v>
      </c>
      <c r="D2" t="s">
        <v>200</v>
      </c>
      <c r="E2" s="107"/>
      <c r="H2"/>
      <c r="J2" s="39"/>
      <c r="L2"/>
    </row>
    <row r="3" spans="1:15">
      <c r="A3" s="11"/>
      <c r="B3" s="11"/>
      <c r="C3" s="11"/>
      <c r="D3" s="11"/>
      <c r="E3" s="107"/>
      <c r="G3"/>
      <c r="H3"/>
      <c r="J3" s="39"/>
      <c r="L3"/>
    </row>
    <row r="4" spans="1:15">
      <c r="A4" s="43" t="s">
        <v>345</v>
      </c>
      <c r="B4" s="43" t="s">
        <v>346</v>
      </c>
      <c r="C4" s="43" t="s">
        <v>347</v>
      </c>
      <c r="D4" s="43" t="s">
        <v>348</v>
      </c>
      <c r="E4" s="412" t="s">
        <v>349</v>
      </c>
      <c r="F4" s="412" t="s">
        <v>350</v>
      </c>
      <c r="G4" s="41" t="s">
        <v>351</v>
      </c>
      <c r="H4" s="41" t="s">
        <v>352</v>
      </c>
      <c r="I4" s="41" t="s">
        <v>353</v>
      </c>
      <c r="J4" s="42" t="s">
        <v>354</v>
      </c>
      <c r="K4" s="41" t="s">
        <v>355</v>
      </c>
      <c r="L4" s="41" t="s">
        <v>356</v>
      </c>
      <c r="M4" s="41" t="s">
        <v>357</v>
      </c>
      <c r="N4" s="41" t="s">
        <v>358</v>
      </c>
      <c r="O4" s="41" t="s">
        <v>359</v>
      </c>
    </row>
    <row r="5" spans="1:15">
      <c r="A5" s="472" t="s">
        <v>206</v>
      </c>
      <c r="B5" s="472" t="s">
        <v>197</v>
      </c>
      <c r="C5" s="472" t="s">
        <v>360</v>
      </c>
      <c r="D5" s="473">
        <v>57.545863999999995</v>
      </c>
      <c r="E5" s="472" t="b">
        <v>0</v>
      </c>
      <c r="F5" s="472" t="b">
        <v>1</v>
      </c>
      <c r="G5" t="str">
        <f>_xlfn.CONCAT(CostRateTbl[[#This Row],[Org Unit]],CostRateTbl[[#This Row],[Service Line]],CostRateTbl[[#This Row],[Role]],CostRateTbl[[#This Row],[BluePrint]])</f>
        <v>BrazilApplication ServicesLead Expert Application DevelopmentNA</v>
      </c>
      <c r="H5" s="38" t="str">
        <f>SUBSTITUTE(TRIM(CostRateTbl[[#This Row],[Org Unit]])," ","")</f>
        <v>Brazil</v>
      </c>
      <c r="I5" s="15" t="str">
        <f>_xlfn.CONCAT(H5,SUBSTITUTE(SUBSTITUTE(SUBSTITUTE(TRIM(CostRateTbl[[#This Row],[Service Line]]), "-", "")," ",""),"&amp;",""))</f>
        <v>BrazilApplicationServices</v>
      </c>
      <c r="J5" s="38" t="str">
        <f>_xlfn.CONCAT(I5,SUBSTITUTE(SUBSTITUTE(SUBSTITUTE(TRIM(CostRateTbl[[#This Row],[Role]]),"-", "")," ",""),"&amp;",""))</f>
        <v>BrazilApplicationServicesLeadExpertApplicationDevelopment</v>
      </c>
      <c r="K5" t="s">
        <v>361</v>
      </c>
      <c r="L5" t="s">
        <v>362</v>
      </c>
      <c r="M5" t="s">
        <v>362</v>
      </c>
      <c r="N5" t="s">
        <v>362</v>
      </c>
    </row>
    <row r="6" spans="1:15">
      <c r="A6" s="472" t="s">
        <v>206</v>
      </c>
      <c r="B6" s="472" t="s">
        <v>197</v>
      </c>
      <c r="C6" s="472" t="s">
        <v>363</v>
      </c>
      <c r="D6" s="473">
        <v>39.241565000000001</v>
      </c>
      <c r="E6" s="472" t="b">
        <v>0</v>
      </c>
      <c r="F6" s="472" t="b">
        <v>1</v>
      </c>
      <c r="G6" t="str">
        <f>_xlfn.CONCAT(CostRateTbl[[#This Row],[Org Unit]],CostRateTbl[[#This Row],[Service Line]],CostRateTbl[[#This Row],[Role]],CostRateTbl[[#This Row],[BluePrint]])</f>
        <v>BrazilApplication ServicesSr Expert Application DevelopmentNA</v>
      </c>
      <c r="H6" s="38" t="str">
        <f>SUBSTITUTE(TRIM(CostRateTbl[[#This Row],[Org Unit]])," ","")</f>
        <v>Brazil</v>
      </c>
      <c r="I6" s="15" t="str">
        <f>_xlfn.CONCAT(H6,SUBSTITUTE(SUBSTITUTE(SUBSTITUTE(TRIM(CostRateTbl[[#This Row],[Service Line]]), "-", "")," ",""),"&amp;",""))</f>
        <v>BrazilApplicationServices</v>
      </c>
      <c r="J6" s="38" t="str">
        <f>_xlfn.CONCAT(I6,SUBSTITUTE(SUBSTITUTE(SUBSTITUTE(TRIM(CostRateTbl[[#This Row],[Role]]),"-", "")," ",""),"&amp;",""))</f>
        <v>BrazilApplicationServicesSrExpertApplicationDevelopment</v>
      </c>
      <c r="K6" t="s">
        <v>361</v>
      </c>
      <c r="L6" t="s">
        <v>362</v>
      </c>
      <c r="M6" t="s">
        <v>362</v>
      </c>
      <c r="N6" t="s">
        <v>362</v>
      </c>
    </row>
    <row r="7" spans="1:15">
      <c r="A7" s="472" t="s">
        <v>206</v>
      </c>
      <c r="B7" s="472" t="s">
        <v>213</v>
      </c>
      <c r="C7" s="472" t="s">
        <v>132</v>
      </c>
      <c r="D7" s="473">
        <v>37.799664999999997</v>
      </c>
      <c r="E7" s="472" t="b">
        <v>0</v>
      </c>
      <c r="F7" s="472" t="b">
        <v>1</v>
      </c>
      <c r="G7" t="str">
        <f>_xlfn.CONCAT(CostRateTbl[[#This Row],[Org Unit]],CostRateTbl[[#This Row],[Service Line]],CostRateTbl[[#This Row],[Role]],CostRateTbl[[#This Row],[BluePrint]])</f>
        <v>BrazilCloud Services AWSSr Expert Technology Implementation &amp; Consulting (General)NA</v>
      </c>
      <c r="H7" s="38" t="str">
        <f>SUBSTITUTE(TRIM(CostRateTbl[[#This Row],[Org Unit]])," ","")</f>
        <v>Brazil</v>
      </c>
      <c r="I7" s="15" t="str">
        <f>_xlfn.CONCAT(H7,SUBSTITUTE(SUBSTITUTE(SUBSTITUTE(TRIM(CostRateTbl[[#This Row],[Service Line]]), "-", "")," ",""),"&amp;",""))</f>
        <v>BrazilCloudServicesAWS</v>
      </c>
      <c r="J7" s="38" t="str">
        <f>_xlfn.CONCAT(I7,SUBSTITUTE(SUBSTITUTE(SUBSTITUTE(TRIM(CostRateTbl[[#This Row],[Role]]),"-", "")," ",""),"&amp;",""))</f>
        <v>BrazilCloudServicesAWSSrExpertTechnologyImplementationConsulting(General)</v>
      </c>
      <c r="K7" t="s">
        <v>361</v>
      </c>
      <c r="L7" t="s">
        <v>362</v>
      </c>
      <c r="M7" t="s">
        <v>362</v>
      </c>
      <c r="N7" t="s">
        <v>362</v>
      </c>
    </row>
    <row r="8" spans="1:15">
      <c r="A8" s="472" t="s">
        <v>206</v>
      </c>
      <c r="B8" s="472" t="s">
        <v>169</v>
      </c>
      <c r="C8" s="472" t="s">
        <v>182</v>
      </c>
      <c r="D8" s="473">
        <v>22.588808000000004</v>
      </c>
      <c r="E8" s="472" t="b">
        <v>0</v>
      </c>
      <c r="F8" s="472" t="b">
        <v>1</v>
      </c>
      <c r="G8" t="str">
        <f>_xlfn.CONCAT(CostRateTbl[[#This Row],[Org Unit]],CostRateTbl[[#This Row],[Service Line]],CostRateTbl[[#This Row],[Role]],CostRateTbl[[#This Row],[BluePrint]])</f>
        <v>BrazilCloud Services AzureExpert Technology Implementation &amp; Consulting (General)NA</v>
      </c>
      <c r="H8" s="38" t="str">
        <f>SUBSTITUTE(TRIM(CostRateTbl[[#This Row],[Org Unit]])," ","")</f>
        <v>Brazil</v>
      </c>
      <c r="I8" s="15" t="str">
        <f>_xlfn.CONCAT(H8,SUBSTITUTE(SUBSTITUTE(SUBSTITUTE(TRIM(CostRateTbl[[#This Row],[Service Line]]), "-", "")," ",""),"&amp;",""))</f>
        <v>BrazilCloudServicesAzure</v>
      </c>
      <c r="J8" s="38" t="str">
        <f>_xlfn.CONCAT(I8,SUBSTITUTE(SUBSTITUTE(SUBSTITUTE(TRIM(CostRateTbl[[#This Row],[Role]]),"-", "")," ",""),"&amp;",""))</f>
        <v>BrazilCloudServicesAzureExpertTechnologyImplementationConsulting(General)</v>
      </c>
      <c r="K8" t="s">
        <v>361</v>
      </c>
      <c r="L8" t="s">
        <v>362</v>
      </c>
      <c r="M8" t="s">
        <v>362</v>
      </c>
      <c r="N8" t="s">
        <v>362</v>
      </c>
    </row>
    <row r="9" spans="1:15">
      <c r="A9" s="472" t="s">
        <v>206</v>
      </c>
      <c r="B9" s="472" t="s">
        <v>217</v>
      </c>
      <c r="C9" s="472" t="s">
        <v>182</v>
      </c>
      <c r="D9" s="473">
        <v>30.467709000000003</v>
      </c>
      <c r="E9" s="472" t="b">
        <v>0</v>
      </c>
      <c r="F9" s="472" t="b">
        <v>1</v>
      </c>
      <c r="G9" t="str">
        <f>_xlfn.CONCAT(CostRateTbl[[#This Row],[Org Unit]],CostRateTbl[[#This Row],[Service Line]],CostRateTbl[[#This Row],[Role]],CostRateTbl[[#This Row],[BluePrint]])</f>
        <v>BrazilCloud Services GCPExpert Technology Implementation &amp; Consulting (General)NA</v>
      </c>
      <c r="H9" s="38" t="str">
        <f>SUBSTITUTE(TRIM(CostRateTbl[[#This Row],[Org Unit]])," ","")</f>
        <v>Brazil</v>
      </c>
      <c r="I9" s="15" t="str">
        <f>_xlfn.CONCAT(H9,SUBSTITUTE(SUBSTITUTE(SUBSTITUTE(TRIM(CostRateTbl[[#This Row],[Service Line]]), "-", "")," ",""),"&amp;",""))</f>
        <v>BrazilCloudServicesGCP</v>
      </c>
      <c r="J9" s="38" t="str">
        <f>_xlfn.CONCAT(I9,SUBSTITUTE(SUBSTITUTE(SUBSTITUTE(TRIM(CostRateTbl[[#This Row],[Role]]),"-", "")," ",""),"&amp;",""))</f>
        <v>BrazilCloudServicesGCPExpertTechnologyImplementationConsulting(General)</v>
      </c>
      <c r="K9" t="s">
        <v>361</v>
      </c>
      <c r="L9" t="s">
        <v>362</v>
      </c>
      <c r="M9" t="s">
        <v>362</v>
      </c>
      <c r="N9" t="s">
        <v>362</v>
      </c>
    </row>
    <row r="10" spans="1:15">
      <c r="A10" s="472" t="s">
        <v>206</v>
      </c>
      <c r="B10" s="472" t="s">
        <v>217</v>
      </c>
      <c r="C10" s="472" t="s">
        <v>364</v>
      </c>
      <c r="D10" s="473">
        <v>26.302270000000004</v>
      </c>
      <c r="E10" s="472" t="b">
        <v>0</v>
      </c>
      <c r="F10" s="472" t="b">
        <v>1</v>
      </c>
      <c r="G10" t="str">
        <f>_xlfn.CONCAT(CostRateTbl[[#This Row],[Org Unit]],CostRateTbl[[#This Row],[Service Line]],CostRateTbl[[#This Row],[Role]],CostRateTbl[[#This Row],[BluePrint]])</f>
        <v>BrazilCloud Services GCPLead Expert Technology Implementation &amp; Consulting (General)NA</v>
      </c>
      <c r="H10" s="38" t="str">
        <f>SUBSTITUTE(TRIM(CostRateTbl[[#This Row],[Org Unit]])," ","")</f>
        <v>Brazil</v>
      </c>
      <c r="I10" s="15" t="str">
        <f>_xlfn.CONCAT(H10,SUBSTITUTE(SUBSTITUTE(SUBSTITUTE(TRIM(CostRateTbl[[#This Row],[Service Line]]), "-", "")," ",""),"&amp;",""))</f>
        <v>BrazilCloudServicesGCP</v>
      </c>
      <c r="J10" s="38" t="str">
        <f>_xlfn.CONCAT(I10,SUBSTITUTE(SUBSTITUTE(SUBSTITUTE(TRIM(CostRateTbl[[#This Row],[Role]]),"-", "")," ",""),"&amp;",""))</f>
        <v>BrazilCloudServicesGCPLeadExpertTechnologyImplementationConsulting(General)</v>
      </c>
      <c r="K10" t="s">
        <v>361</v>
      </c>
      <c r="L10" t="s">
        <v>362</v>
      </c>
      <c r="M10" t="s">
        <v>362</v>
      </c>
      <c r="N10" t="s">
        <v>362</v>
      </c>
    </row>
    <row r="11" spans="1:15">
      <c r="A11" s="472" t="s">
        <v>206</v>
      </c>
      <c r="B11" s="472" t="s">
        <v>223</v>
      </c>
      <c r="C11" s="472" t="s">
        <v>182</v>
      </c>
      <c r="D11" s="473">
        <v>24.651658999999999</v>
      </c>
      <c r="E11" s="472" t="b">
        <v>0</v>
      </c>
      <c r="F11" s="472" t="b">
        <v>1</v>
      </c>
      <c r="G11" t="str">
        <f>_xlfn.CONCAT(CostRateTbl[[#This Row],[Org Unit]],CostRateTbl[[#This Row],[Service Line]],CostRateTbl[[#This Row],[Role]],CostRateTbl[[#This Row],[BluePrint]])</f>
        <v>BrazilDigital WorkplaceExpert Technology Implementation &amp; Consulting (General)NA</v>
      </c>
      <c r="H11" s="38" t="str">
        <f>SUBSTITUTE(TRIM(CostRateTbl[[#This Row],[Org Unit]])," ","")</f>
        <v>Brazil</v>
      </c>
      <c r="I11" s="15" t="str">
        <f>_xlfn.CONCAT(H11,SUBSTITUTE(SUBSTITUTE(SUBSTITUTE(TRIM(CostRateTbl[[#This Row],[Service Line]]), "-", "")," ",""),"&amp;",""))</f>
        <v>BrazilDigitalWorkplace</v>
      </c>
      <c r="J11" s="38" t="str">
        <f>_xlfn.CONCAT(I11,SUBSTITUTE(SUBSTITUTE(SUBSTITUTE(TRIM(CostRateTbl[[#This Row],[Role]]),"-", "")," ",""),"&amp;",""))</f>
        <v>BrazilDigitalWorkplaceExpertTechnologyImplementationConsulting(General)</v>
      </c>
      <c r="K11" t="s">
        <v>361</v>
      </c>
      <c r="L11" t="s">
        <v>362</v>
      </c>
      <c r="M11" t="s">
        <v>362</v>
      </c>
      <c r="N11" t="s">
        <v>362</v>
      </c>
    </row>
    <row r="12" spans="1:15">
      <c r="A12" s="472" t="s">
        <v>206</v>
      </c>
      <c r="B12" s="472" t="s">
        <v>223</v>
      </c>
      <c r="C12" s="472" t="s">
        <v>132</v>
      </c>
      <c r="D12" s="473">
        <v>33.234732000000001</v>
      </c>
      <c r="E12" s="472" t="b">
        <v>0</v>
      </c>
      <c r="F12" s="472" t="b">
        <v>1</v>
      </c>
      <c r="G12" t="str">
        <f>_xlfn.CONCAT(CostRateTbl[[#This Row],[Org Unit]],CostRateTbl[[#This Row],[Service Line]],CostRateTbl[[#This Row],[Role]],CostRateTbl[[#This Row],[BluePrint]])</f>
        <v>BrazilDigital WorkplaceSr Expert Technology Implementation &amp; Consulting (General)NA</v>
      </c>
      <c r="H12" s="38" t="str">
        <f>SUBSTITUTE(TRIM(CostRateTbl[[#This Row],[Org Unit]])," ","")</f>
        <v>Brazil</v>
      </c>
      <c r="I12" s="15" t="str">
        <f>_xlfn.CONCAT(H12,SUBSTITUTE(SUBSTITUTE(SUBSTITUTE(TRIM(CostRateTbl[[#This Row],[Service Line]]), "-", "")," ",""),"&amp;",""))</f>
        <v>BrazilDigitalWorkplace</v>
      </c>
      <c r="J12" s="38" t="str">
        <f>_xlfn.CONCAT(I12,SUBSTITUTE(SUBSTITUTE(SUBSTITUTE(TRIM(CostRateTbl[[#This Row],[Role]]),"-", "")," ",""),"&amp;",""))</f>
        <v>BrazilDigitalWorkplaceSrExpertTechnologyImplementationConsulting(General)</v>
      </c>
      <c r="K12" t="s">
        <v>361</v>
      </c>
      <c r="L12" t="s">
        <v>362</v>
      </c>
      <c r="M12" t="s">
        <v>362</v>
      </c>
      <c r="N12" t="s">
        <v>362</v>
      </c>
    </row>
    <row r="13" spans="1:15">
      <c r="A13" s="472" t="s">
        <v>206</v>
      </c>
      <c r="B13" s="472" t="s">
        <v>232</v>
      </c>
      <c r="C13" s="472" t="s">
        <v>365</v>
      </c>
      <c r="D13" s="473">
        <v>8.8933370000000007</v>
      </c>
      <c r="E13" s="472" t="b">
        <v>0</v>
      </c>
      <c r="F13" s="472" t="b">
        <v>1</v>
      </c>
      <c r="G13" t="str">
        <f>_xlfn.CONCAT(CostRateTbl[[#This Row],[Org Unit]],CostRateTbl[[#This Row],[Service Line]],CostRateTbl[[#This Row],[Role]],CostRateTbl[[#This Row],[BluePrint]])</f>
        <v>BrazilITAM &amp; FinOpsAssociate Expert Business Consulting and AdvisoryNA</v>
      </c>
      <c r="H13" s="38" t="str">
        <f>SUBSTITUTE(TRIM(CostRateTbl[[#This Row],[Org Unit]])," ","")</f>
        <v>Brazil</v>
      </c>
      <c r="I13" s="15" t="str">
        <f>_xlfn.CONCAT(H13,SUBSTITUTE(SUBSTITUTE(SUBSTITUTE(TRIM(CostRateTbl[[#This Row],[Service Line]]), "-", "")," ",""),"&amp;",""))</f>
        <v>BrazilITAMFinOps</v>
      </c>
      <c r="J13" s="38" t="str">
        <f>_xlfn.CONCAT(I13,SUBSTITUTE(SUBSTITUTE(SUBSTITUTE(TRIM(CostRateTbl[[#This Row],[Role]]),"-", "")," ",""),"&amp;",""))</f>
        <v>BrazilITAMFinOpsAssociateExpertBusinessConsultingandAdvisory</v>
      </c>
      <c r="K13" t="s">
        <v>361</v>
      </c>
      <c r="L13" t="s">
        <v>362</v>
      </c>
      <c r="M13" t="s">
        <v>362</v>
      </c>
      <c r="N13" t="s">
        <v>362</v>
      </c>
    </row>
    <row r="14" spans="1:15">
      <c r="A14" s="472" t="s">
        <v>206</v>
      </c>
      <c r="B14" s="472" t="s">
        <v>232</v>
      </c>
      <c r="C14" s="472" t="s">
        <v>366</v>
      </c>
      <c r="D14" s="473">
        <v>19.970912000000002</v>
      </c>
      <c r="E14" s="472" t="b">
        <v>0</v>
      </c>
      <c r="F14" s="472" t="b">
        <v>1</v>
      </c>
      <c r="G14" t="str">
        <f>_xlfn.CONCAT(CostRateTbl[[#This Row],[Org Unit]],CostRateTbl[[#This Row],[Service Line]],CostRateTbl[[#This Row],[Role]],CostRateTbl[[#This Row],[BluePrint]])</f>
        <v>BrazilITAM &amp; FinOpsExpert Business Consulting and AdvisoryNA</v>
      </c>
      <c r="H14" s="38" t="str">
        <f>SUBSTITUTE(TRIM(CostRateTbl[[#This Row],[Org Unit]])," ","")</f>
        <v>Brazil</v>
      </c>
      <c r="I14" s="15" t="str">
        <f>_xlfn.CONCAT(H14,SUBSTITUTE(SUBSTITUTE(SUBSTITUTE(TRIM(CostRateTbl[[#This Row],[Service Line]]), "-", "")," ",""),"&amp;",""))</f>
        <v>BrazilITAMFinOps</v>
      </c>
      <c r="J14" s="38" t="str">
        <f>_xlfn.CONCAT(I14,SUBSTITUTE(SUBSTITUTE(SUBSTITUTE(TRIM(CostRateTbl[[#This Row],[Role]]),"-", "")," ",""),"&amp;",""))</f>
        <v>BrazilITAMFinOpsExpertBusinessConsultingandAdvisory</v>
      </c>
      <c r="K14" t="s">
        <v>361</v>
      </c>
      <c r="L14" t="s">
        <v>362</v>
      </c>
      <c r="M14" t="s">
        <v>362</v>
      </c>
      <c r="N14" t="s">
        <v>362</v>
      </c>
    </row>
    <row r="15" spans="1:15">
      <c r="A15" s="472" t="s">
        <v>206</v>
      </c>
      <c r="B15" s="472" t="s">
        <v>232</v>
      </c>
      <c r="C15" s="472" t="s">
        <v>367</v>
      </c>
      <c r="D15" s="473">
        <v>31.065721</v>
      </c>
      <c r="E15" s="472" t="b">
        <v>0</v>
      </c>
      <c r="F15" s="472" t="b">
        <v>1</v>
      </c>
      <c r="G15" t="str">
        <f>_xlfn.CONCAT(CostRateTbl[[#This Row],[Org Unit]],CostRateTbl[[#This Row],[Service Line]],CostRateTbl[[#This Row],[Role]],CostRateTbl[[#This Row],[BluePrint]])</f>
        <v>BrazilITAM &amp; FinOpsSr Expert Business Consulting and AdvisoryNA</v>
      </c>
      <c r="H15" s="38" t="str">
        <f>SUBSTITUTE(TRIM(CostRateTbl[[#This Row],[Org Unit]])," ","")</f>
        <v>Brazil</v>
      </c>
      <c r="I15" s="15" t="str">
        <f>_xlfn.CONCAT(H15,SUBSTITUTE(SUBSTITUTE(SUBSTITUTE(TRIM(CostRateTbl[[#This Row],[Service Line]]), "-", "")," ",""),"&amp;",""))</f>
        <v>BrazilITAMFinOps</v>
      </c>
      <c r="J15" s="38" t="str">
        <f>_xlfn.CONCAT(I15,SUBSTITUTE(SUBSTITUTE(SUBSTITUTE(TRIM(CostRateTbl[[#This Row],[Role]]),"-", "")," ",""),"&amp;",""))</f>
        <v>BrazilITAMFinOpsSrExpertBusinessConsultingandAdvisory</v>
      </c>
      <c r="K15" t="s">
        <v>361</v>
      </c>
      <c r="L15" t="s">
        <v>362</v>
      </c>
      <c r="M15" t="s">
        <v>362</v>
      </c>
      <c r="N15" t="s">
        <v>362</v>
      </c>
    </row>
    <row r="16" spans="1:15">
      <c r="A16" s="472" t="s">
        <v>206</v>
      </c>
      <c r="B16" s="472" t="s">
        <v>154</v>
      </c>
      <c r="C16" s="472" t="s">
        <v>368</v>
      </c>
      <c r="D16" s="473">
        <v>9.3456069999999993</v>
      </c>
      <c r="E16" s="472" t="b">
        <v>0</v>
      </c>
      <c r="F16" s="472" t="b">
        <v>1</v>
      </c>
      <c r="G16" t="str">
        <f>_xlfn.CONCAT(CostRateTbl[[#This Row],[Org Unit]],CostRateTbl[[#This Row],[Service Line]],CostRateTbl[[#This Row],[Role]],CostRateTbl[[#This Row],[BluePrint]])</f>
        <v>BrazilProject ManagementAssociate Expert Technology &amp; Consulting Project ManagementNA</v>
      </c>
      <c r="H16" s="38" t="str">
        <f>SUBSTITUTE(TRIM(CostRateTbl[[#This Row],[Org Unit]])," ","")</f>
        <v>Brazil</v>
      </c>
      <c r="I16" s="15" t="str">
        <f>_xlfn.CONCAT(H16,SUBSTITUTE(SUBSTITUTE(SUBSTITUTE(TRIM(CostRateTbl[[#This Row],[Service Line]]), "-", "")," ",""),"&amp;",""))</f>
        <v>BrazilProjectManagement</v>
      </c>
      <c r="J16" s="38" t="str">
        <f>_xlfn.CONCAT(I16,SUBSTITUTE(SUBSTITUTE(SUBSTITUTE(TRIM(CostRateTbl[[#This Row],[Role]]),"-", "")," ",""),"&amp;",""))</f>
        <v>BrazilProjectManagementAssociateExpertTechnologyConsultingProjectManagement</v>
      </c>
      <c r="K16" t="s">
        <v>361</v>
      </c>
      <c r="L16" t="s">
        <v>362</v>
      </c>
      <c r="M16" t="s">
        <v>362</v>
      </c>
      <c r="N16" t="s">
        <v>362</v>
      </c>
    </row>
    <row r="17" spans="1:14">
      <c r="A17" s="472" t="s">
        <v>206</v>
      </c>
      <c r="B17" s="472" t="s">
        <v>154</v>
      </c>
      <c r="C17" s="472" t="s">
        <v>178</v>
      </c>
      <c r="D17" s="473">
        <v>30.800043000000002</v>
      </c>
      <c r="E17" s="472" t="b">
        <v>0</v>
      </c>
      <c r="F17" s="472" t="b">
        <v>1</v>
      </c>
      <c r="G17" t="str">
        <f>_xlfn.CONCAT(CostRateTbl[[#This Row],[Org Unit]],CostRateTbl[[#This Row],[Service Line]],CostRateTbl[[#This Row],[Role]],CostRateTbl[[#This Row],[BluePrint]])</f>
        <v>BrazilProject ManagementExpert Technology &amp; Consulting Project ManagementNA</v>
      </c>
      <c r="H17" s="38" t="str">
        <f>SUBSTITUTE(TRIM(CostRateTbl[[#This Row],[Org Unit]])," ","")</f>
        <v>Brazil</v>
      </c>
      <c r="I17" s="15" t="str">
        <f>_xlfn.CONCAT(H17,SUBSTITUTE(SUBSTITUTE(SUBSTITUTE(TRIM(CostRateTbl[[#This Row],[Service Line]]), "-", "")," ",""),"&amp;",""))</f>
        <v>BrazilProjectManagement</v>
      </c>
      <c r="J17" s="38" t="str">
        <f>_xlfn.CONCAT(I17,SUBSTITUTE(SUBSTITUTE(SUBSTITUTE(TRIM(CostRateTbl[[#This Row],[Role]]),"-", "")," ",""),"&amp;",""))</f>
        <v>BrazilProjectManagementExpertTechnologyConsultingProjectManagement</v>
      </c>
      <c r="K17" t="s">
        <v>361</v>
      </c>
      <c r="L17" t="s">
        <v>362</v>
      </c>
      <c r="M17" t="s">
        <v>362</v>
      </c>
      <c r="N17" t="s">
        <v>362</v>
      </c>
    </row>
    <row r="18" spans="1:14">
      <c r="A18" s="472" t="s">
        <v>206</v>
      </c>
      <c r="B18" s="472" t="s">
        <v>154</v>
      </c>
      <c r="C18" s="472" t="s">
        <v>155</v>
      </c>
      <c r="D18" s="473">
        <v>47.068226000000003</v>
      </c>
      <c r="E18" s="472" t="b">
        <v>0</v>
      </c>
      <c r="F18" s="472" t="b">
        <v>1</v>
      </c>
      <c r="G18" t="str">
        <f>_xlfn.CONCAT(CostRateTbl[[#This Row],[Org Unit]],CostRateTbl[[#This Row],[Service Line]],CostRateTbl[[#This Row],[Role]],CostRateTbl[[#This Row],[BluePrint]])</f>
        <v>BrazilProject ManagementSr Expert Technology &amp; Consulting Project ManagementNA</v>
      </c>
      <c r="H18" s="38" t="str">
        <f>SUBSTITUTE(TRIM(CostRateTbl[[#This Row],[Org Unit]])," ","")</f>
        <v>Brazil</v>
      </c>
      <c r="I18" s="15" t="str">
        <f>_xlfn.CONCAT(H18,SUBSTITUTE(SUBSTITUTE(SUBSTITUTE(TRIM(CostRateTbl[[#This Row],[Service Line]]), "-", "")," ",""),"&amp;",""))</f>
        <v>BrazilProjectManagement</v>
      </c>
      <c r="J18" s="38" t="str">
        <f>_xlfn.CONCAT(I18,SUBSTITUTE(SUBSTITUTE(SUBSTITUTE(TRIM(CostRateTbl[[#This Row],[Role]]),"-", "")," ",""),"&amp;",""))</f>
        <v>BrazilProjectManagementSrExpertTechnologyConsultingProjectManagement</v>
      </c>
      <c r="K18" t="s">
        <v>361</v>
      </c>
      <c r="L18" t="s">
        <v>362</v>
      </c>
      <c r="M18" t="s">
        <v>362</v>
      </c>
      <c r="N18" t="s">
        <v>362</v>
      </c>
    </row>
    <row r="19" spans="1:14">
      <c r="A19" s="472" t="s">
        <v>212</v>
      </c>
      <c r="B19" s="472" t="s">
        <v>213</v>
      </c>
      <c r="C19" s="472" t="s">
        <v>132</v>
      </c>
      <c r="D19" s="473">
        <v>68.597927999999996</v>
      </c>
      <c r="E19" s="472" t="b">
        <v>0</v>
      </c>
      <c r="F19" s="472" t="b">
        <v>1</v>
      </c>
      <c r="G19" t="str">
        <f>_xlfn.CONCAT(CostRateTbl[[#This Row],[Org Unit]],CostRateTbl[[#This Row],[Service Line]],CostRateTbl[[#This Row],[Role]],CostRateTbl[[#This Row],[BluePrint]])</f>
        <v>ChileCloud Services AWSSr Expert Technology Implementation &amp; Consulting (General)NA</v>
      </c>
      <c r="H19" s="38" t="str">
        <f>SUBSTITUTE(TRIM(CostRateTbl[[#This Row],[Org Unit]])," ","")</f>
        <v>Chile</v>
      </c>
      <c r="I19" s="15" t="str">
        <f>_xlfn.CONCAT(H19,SUBSTITUTE(SUBSTITUTE(SUBSTITUTE(TRIM(CostRateTbl[[#This Row],[Service Line]]), "-", "")," ",""),"&amp;",""))</f>
        <v>ChileCloudServicesAWS</v>
      </c>
      <c r="J19" s="38" t="str">
        <f>_xlfn.CONCAT(I19,SUBSTITUTE(SUBSTITUTE(SUBSTITUTE(TRIM(CostRateTbl[[#This Row],[Role]]),"-", "")," ",""),"&amp;",""))</f>
        <v>ChileCloudServicesAWSSrExpertTechnologyImplementationConsulting(General)</v>
      </c>
      <c r="K19" t="s">
        <v>361</v>
      </c>
      <c r="L19" t="s">
        <v>362</v>
      </c>
      <c r="M19" t="s">
        <v>362</v>
      </c>
      <c r="N19" t="s">
        <v>362</v>
      </c>
    </row>
    <row r="20" spans="1:14">
      <c r="A20" s="472" t="s">
        <v>212</v>
      </c>
      <c r="B20" s="472" t="s">
        <v>154</v>
      </c>
      <c r="C20" s="472" t="s">
        <v>155</v>
      </c>
      <c r="D20" s="473">
        <v>43.177612999999994</v>
      </c>
      <c r="E20" s="472" t="b">
        <v>0</v>
      </c>
      <c r="F20" s="472" t="b">
        <v>0</v>
      </c>
      <c r="G20" t="str">
        <f>_xlfn.CONCAT(CostRateTbl[[#This Row],[Org Unit]],CostRateTbl[[#This Row],[Service Line]],CostRateTbl[[#This Row],[Role]],CostRateTbl[[#This Row],[BluePrint]])</f>
        <v>ChileProject ManagementSr Expert Technology &amp; Consulting Project ManagementNA</v>
      </c>
      <c r="H20" s="38" t="str">
        <f>SUBSTITUTE(TRIM(CostRateTbl[[#This Row],[Org Unit]])," ","")</f>
        <v>Chile</v>
      </c>
      <c r="I20" s="15" t="str">
        <f>_xlfn.CONCAT(H20,SUBSTITUTE(SUBSTITUTE(SUBSTITUTE(TRIM(CostRateTbl[[#This Row],[Service Line]]), "-", "")," ",""),"&amp;",""))</f>
        <v>ChileProjectManagement</v>
      </c>
      <c r="J20" s="38" t="str">
        <f>_xlfn.CONCAT(I20,SUBSTITUTE(SUBSTITUTE(SUBSTITUTE(TRIM(CostRateTbl[[#This Row],[Role]]),"-", "")," ",""),"&amp;",""))</f>
        <v>ChileProjectManagementSrExpertTechnologyConsultingProjectManagement</v>
      </c>
      <c r="K20" t="s">
        <v>361</v>
      </c>
      <c r="L20" t="s">
        <v>362</v>
      </c>
      <c r="M20" t="s">
        <v>362</v>
      </c>
      <c r="N20" t="s">
        <v>362</v>
      </c>
    </row>
    <row r="21" spans="1:14">
      <c r="A21" s="472" t="s">
        <v>167</v>
      </c>
      <c r="B21" s="472" t="s">
        <v>197</v>
      </c>
      <c r="C21" s="472" t="s">
        <v>369</v>
      </c>
      <c r="D21" s="473">
        <v>7.1605850000000002</v>
      </c>
      <c r="E21" s="472" t="b">
        <v>0</v>
      </c>
      <c r="F21" s="472" t="b">
        <v>1</v>
      </c>
      <c r="G21" t="str">
        <f>_xlfn.CONCAT(CostRateTbl[[#This Row],[Org Unit]],CostRateTbl[[#This Row],[Service Line]],CostRateTbl[[#This Row],[Role]],CostRateTbl[[#This Row],[BluePrint]])</f>
        <v>ColombiaApplication ServicesAssociate Expert Application DevelopmentNA</v>
      </c>
      <c r="H21" s="38" t="str">
        <f>SUBSTITUTE(TRIM(CostRateTbl[[#This Row],[Org Unit]])," ","")</f>
        <v>Colombia</v>
      </c>
      <c r="I21" s="15" t="str">
        <f>_xlfn.CONCAT(H21,SUBSTITUTE(SUBSTITUTE(SUBSTITUTE(TRIM(CostRateTbl[[#This Row],[Service Line]]), "-", "")," ",""),"&amp;",""))</f>
        <v>ColombiaApplicationServices</v>
      </c>
      <c r="J21" s="38" t="str">
        <f>_xlfn.CONCAT(I21,SUBSTITUTE(SUBSTITUTE(SUBSTITUTE(TRIM(CostRateTbl[[#This Row],[Role]]),"-", "")," ",""),"&amp;",""))</f>
        <v>ColombiaApplicationServicesAssociateExpertApplicationDevelopment</v>
      </c>
      <c r="K21" t="s">
        <v>361</v>
      </c>
      <c r="L21" t="s">
        <v>362</v>
      </c>
      <c r="M21" t="s">
        <v>362</v>
      </c>
      <c r="N21" t="s">
        <v>362</v>
      </c>
    </row>
    <row r="22" spans="1:14">
      <c r="A22" s="472" t="s">
        <v>167</v>
      </c>
      <c r="B22" s="472" t="s">
        <v>197</v>
      </c>
      <c r="C22" s="472" t="s">
        <v>365</v>
      </c>
      <c r="D22" s="473">
        <v>7.3869380000000007</v>
      </c>
      <c r="E22" s="472" t="b">
        <v>0</v>
      </c>
      <c r="F22" s="472" t="b">
        <v>1</v>
      </c>
      <c r="G22" t="str">
        <f>_xlfn.CONCAT(CostRateTbl[[#This Row],[Org Unit]],CostRateTbl[[#This Row],[Service Line]],CostRateTbl[[#This Row],[Role]],CostRateTbl[[#This Row],[BluePrint]])</f>
        <v>ColombiaApplication ServicesAssociate Expert Business Consulting and AdvisoryNA</v>
      </c>
      <c r="H22" s="38" t="str">
        <f>SUBSTITUTE(TRIM(CostRateTbl[[#This Row],[Org Unit]])," ","")</f>
        <v>Colombia</v>
      </c>
      <c r="I22" s="15" t="str">
        <f>_xlfn.CONCAT(H22,SUBSTITUTE(SUBSTITUTE(SUBSTITUTE(TRIM(CostRateTbl[[#This Row],[Service Line]]), "-", "")," ",""),"&amp;",""))</f>
        <v>ColombiaApplicationServices</v>
      </c>
      <c r="J22" s="38" t="str">
        <f>_xlfn.CONCAT(I22,SUBSTITUTE(SUBSTITUTE(SUBSTITUTE(TRIM(CostRateTbl[[#This Row],[Role]]),"-", "")," ",""),"&amp;",""))</f>
        <v>ColombiaApplicationServicesAssociateExpertBusinessConsultingandAdvisory</v>
      </c>
      <c r="K22" t="s">
        <v>361</v>
      </c>
      <c r="L22" t="s">
        <v>362</v>
      </c>
      <c r="M22" t="s">
        <v>362</v>
      </c>
      <c r="N22" t="s">
        <v>362</v>
      </c>
    </row>
    <row r="23" spans="1:14">
      <c r="A23" s="472" t="s">
        <v>167</v>
      </c>
      <c r="B23" s="472" t="s">
        <v>197</v>
      </c>
      <c r="C23" s="472" t="s">
        <v>184</v>
      </c>
      <c r="D23" s="473">
        <v>5.0794469999999992</v>
      </c>
      <c r="E23" s="472" t="b">
        <v>0</v>
      </c>
      <c r="F23" s="472" t="b">
        <v>1</v>
      </c>
      <c r="G23" t="str">
        <f>_xlfn.CONCAT(CostRateTbl[[#This Row],[Org Unit]],CostRateTbl[[#This Row],[Service Line]],CostRateTbl[[#This Row],[Role]],CostRateTbl[[#This Row],[BluePrint]])</f>
        <v>ColombiaApplication ServicesAssociate Expert Managed OperationsNA</v>
      </c>
      <c r="H23" s="38" t="str">
        <f>SUBSTITUTE(TRIM(CostRateTbl[[#This Row],[Org Unit]])," ","")</f>
        <v>Colombia</v>
      </c>
      <c r="I23" s="15" t="str">
        <f>_xlfn.CONCAT(H23,SUBSTITUTE(SUBSTITUTE(SUBSTITUTE(TRIM(CostRateTbl[[#This Row],[Service Line]]), "-", "")," ",""),"&amp;",""))</f>
        <v>ColombiaApplicationServices</v>
      </c>
      <c r="J23" s="38" t="str">
        <f>_xlfn.CONCAT(I23,SUBSTITUTE(SUBSTITUTE(SUBSTITUTE(TRIM(CostRateTbl[[#This Row],[Role]]),"-", "")," ",""),"&amp;",""))</f>
        <v>ColombiaApplicationServicesAssociateExpertManagedOperations</v>
      </c>
      <c r="K23" t="s">
        <v>361</v>
      </c>
      <c r="L23" t="s">
        <v>362</v>
      </c>
      <c r="M23" t="s">
        <v>362</v>
      </c>
      <c r="N23" t="s">
        <v>362</v>
      </c>
    </row>
    <row r="24" spans="1:14">
      <c r="A24" s="472" t="s">
        <v>167</v>
      </c>
      <c r="B24" s="472" t="s">
        <v>197</v>
      </c>
      <c r="C24" s="472" t="s">
        <v>368</v>
      </c>
      <c r="D24" s="473">
        <v>12.276442999999999</v>
      </c>
      <c r="E24" s="472" t="b">
        <v>0</v>
      </c>
      <c r="F24" s="472" t="b">
        <v>1</v>
      </c>
      <c r="G24" t="str">
        <f>_xlfn.CONCAT(CostRateTbl[[#This Row],[Org Unit]],CostRateTbl[[#This Row],[Service Line]],CostRateTbl[[#This Row],[Role]],CostRateTbl[[#This Row],[BluePrint]])</f>
        <v>ColombiaApplication ServicesAssociate Expert Technology &amp; Consulting Project ManagementNA</v>
      </c>
      <c r="H24" s="38" t="str">
        <f>SUBSTITUTE(TRIM(CostRateTbl[[#This Row],[Org Unit]])," ","")</f>
        <v>Colombia</v>
      </c>
      <c r="I24" s="15" t="str">
        <f>_xlfn.CONCAT(H24,SUBSTITUTE(SUBSTITUTE(SUBSTITUTE(TRIM(CostRateTbl[[#This Row],[Service Line]]), "-", "")," ",""),"&amp;",""))</f>
        <v>ColombiaApplicationServices</v>
      </c>
      <c r="J24" s="38" t="str">
        <f>_xlfn.CONCAT(I24,SUBSTITUTE(SUBSTITUTE(SUBSTITUTE(TRIM(CostRateTbl[[#This Row],[Role]]),"-", "")," ",""),"&amp;",""))</f>
        <v>ColombiaApplicationServicesAssociateExpertTechnologyConsultingProjectManagement</v>
      </c>
      <c r="K24" t="s">
        <v>361</v>
      </c>
      <c r="L24" t="s">
        <v>362</v>
      </c>
      <c r="M24" t="s">
        <v>362</v>
      </c>
      <c r="N24" t="s">
        <v>362</v>
      </c>
    </row>
    <row r="25" spans="1:14">
      <c r="A25" s="472" t="s">
        <v>167</v>
      </c>
      <c r="B25" s="472" t="s">
        <v>197</v>
      </c>
      <c r="C25" s="472" t="s">
        <v>370</v>
      </c>
      <c r="D25" s="473">
        <v>24.647219</v>
      </c>
      <c r="E25" s="472" t="b">
        <v>0</v>
      </c>
      <c r="F25" s="472" t="b">
        <v>1</v>
      </c>
      <c r="G25" t="str">
        <f>_xlfn.CONCAT(CostRateTbl[[#This Row],[Org Unit]],CostRateTbl[[#This Row],[Service Line]],CostRateTbl[[#This Row],[Role]],CostRateTbl[[#This Row],[BluePrint]])</f>
        <v>ColombiaApplication ServicesAssociate Expert Technology Implementation &amp; Consulting (General)NA</v>
      </c>
      <c r="H25" s="38" t="str">
        <f>SUBSTITUTE(TRIM(CostRateTbl[[#This Row],[Org Unit]])," ","")</f>
        <v>Colombia</v>
      </c>
      <c r="I25" s="15" t="str">
        <f>_xlfn.CONCAT(H25,SUBSTITUTE(SUBSTITUTE(SUBSTITUTE(TRIM(CostRateTbl[[#This Row],[Service Line]]), "-", "")," ",""),"&amp;",""))</f>
        <v>ColombiaApplicationServices</v>
      </c>
      <c r="J25" s="38" t="str">
        <f>_xlfn.CONCAT(I25,SUBSTITUTE(SUBSTITUTE(SUBSTITUTE(TRIM(CostRateTbl[[#This Row],[Role]]),"-", "")," ",""),"&amp;",""))</f>
        <v>ColombiaApplicationServicesAssociateExpertTechnologyImplementationConsulting(General)</v>
      </c>
      <c r="K25" t="s">
        <v>361</v>
      </c>
      <c r="L25" t="s">
        <v>362</v>
      </c>
      <c r="M25" t="s">
        <v>362</v>
      </c>
      <c r="N25" t="s">
        <v>362</v>
      </c>
    </row>
    <row r="26" spans="1:14">
      <c r="A26" s="472" t="s">
        <v>167</v>
      </c>
      <c r="B26" s="472" t="s">
        <v>197</v>
      </c>
      <c r="C26" s="472" t="s">
        <v>371</v>
      </c>
      <c r="D26" s="473">
        <v>13.463082</v>
      </c>
      <c r="E26" s="472" t="b">
        <v>0</v>
      </c>
      <c r="F26" s="472" t="b">
        <v>1</v>
      </c>
      <c r="G26" t="str">
        <f>_xlfn.CONCAT(CostRateTbl[[#This Row],[Org Unit]],CostRateTbl[[#This Row],[Service Line]],CostRateTbl[[#This Row],[Role]],CostRateTbl[[#This Row],[BluePrint]])</f>
        <v>ColombiaApplication ServicesExpert Application DevelopmentNA</v>
      </c>
      <c r="H26" s="38" t="str">
        <f>SUBSTITUTE(TRIM(CostRateTbl[[#This Row],[Org Unit]])," ","")</f>
        <v>Colombia</v>
      </c>
      <c r="I26" s="15" t="str">
        <f>_xlfn.CONCAT(H26,SUBSTITUTE(SUBSTITUTE(SUBSTITUTE(TRIM(CostRateTbl[[#This Row],[Service Line]]), "-", "")," ",""),"&amp;",""))</f>
        <v>ColombiaApplicationServices</v>
      </c>
      <c r="J26" s="38" t="str">
        <f>_xlfn.CONCAT(I26,SUBSTITUTE(SUBSTITUTE(SUBSTITUTE(TRIM(CostRateTbl[[#This Row],[Role]]),"-", "")," ",""),"&amp;",""))</f>
        <v>ColombiaApplicationServicesExpertApplicationDevelopment</v>
      </c>
      <c r="K26" t="s">
        <v>361</v>
      </c>
      <c r="L26" t="s">
        <v>362</v>
      </c>
      <c r="M26" t="s">
        <v>362</v>
      </c>
      <c r="N26" t="s">
        <v>362</v>
      </c>
    </row>
    <row r="27" spans="1:14">
      <c r="A27" s="472" t="s">
        <v>167</v>
      </c>
      <c r="B27" s="472" t="s">
        <v>197</v>
      </c>
      <c r="C27" s="472" t="s">
        <v>366</v>
      </c>
      <c r="D27" s="473">
        <v>9.8176819999999996</v>
      </c>
      <c r="E27" s="472" t="b">
        <v>0</v>
      </c>
      <c r="F27" s="472" t="b">
        <v>1</v>
      </c>
      <c r="G27" t="str">
        <f>_xlfn.CONCAT(CostRateTbl[[#This Row],[Org Unit]],CostRateTbl[[#This Row],[Service Line]],CostRateTbl[[#This Row],[Role]],CostRateTbl[[#This Row],[BluePrint]])</f>
        <v>ColombiaApplication ServicesExpert Business Consulting and AdvisoryNA</v>
      </c>
      <c r="H27" s="38" t="str">
        <f>SUBSTITUTE(TRIM(CostRateTbl[[#This Row],[Org Unit]])," ","")</f>
        <v>Colombia</v>
      </c>
      <c r="I27" s="15" t="str">
        <f>_xlfn.CONCAT(H27,SUBSTITUTE(SUBSTITUTE(SUBSTITUTE(TRIM(CostRateTbl[[#This Row],[Service Line]]), "-", "")," ",""),"&amp;",""))</f>
        <v>ColombiaApplicationServices</v>
      </c>
      <c r="J27" s="38" t="str">
        <f>_xlfn.CONCAT(I27,SUBSTITUTE(SUBSTITUTE(SUBSTITUTE(TRIM(CostRateTbl[[#This Row],[Role]]),"-", "")," ",""),"&amp;",""))</f>
        <v>ColombiaApplicationServicesExpertBusinessConsultingandAdvisory</v>
      </c>
      <c r="K27" t="s">
        <v>361</v>
      </c>
      <c r="L27" t="s">
        <v>362</v>
      </c>
      <c r="M27" t="s">
        <v>362</v>
      </c>
      <c r="N27" t="s">
        <v>362</v>
      </c>
    </row>
    <row r="28" spans="1:14">
      <c r="A28" s="472" t="s">
        <v>167</v>
      </c>
      <c r="B28" s="472" t="s">
        <v>197</v>
      </c>
      <c r="C28" s="472" t="s">
        <v>180</v>
      </c>
      <c r="D28" s="473">
        <v>6.5941749999999999</v>
      </c>
      <c r="E28" s="472" t="b">
        <v>0</v>
      </c>
      <c r="F28" s="472" t="b">
        <v>1</v>
      </c>
      <c r="G28" t="str">
        <f>_xlfn.CONCAT(CostRateTbl[[#This Row],[Org Unit]],CostRateTbl[[#This Row],[Service Line]],CostRateTbl[[#This Row],[Role]],CostRateTbl[[#This Row],[BluePrint]])</f>
        <v>ColombiaApplication ServicesExpert Managed OperationsNA</v>
      </c>
      <c r="H28" s="38" t="str">
        <f>SUBSTITUTE(TRIM(CostRateTbl[[#This Row],[Org Unit]])," ","")</f>
        <v>Colombia</v>
      </c>
      <c r="I28" s="15" t="str">
        <f>_xlfn.CONCAT(H28,SUBSTITUTE(SUBSTITUTE(SUBSTITUTE(TRIM(CostRateTbl[[#This Row],[Service Line]]), "-", "")," ",""),"&amp;",""))</f>
        <v>ColombiaApplicationServices</v>
      </c>
      <c r="J28" s="38" t="str">
        <f>_xlfn.CONCAT(I28,SUBSTITUTE(SUBSTITUTE(SUBSTITUTE(TRIM(CostRateTbl[[#This Row],[Role]]),"-", "")," ",""),"&amp;",""))</f>
        <v>ColombiaApplicationServicesExpertManagedOperations</v>
      </c>
      <c r="K28" t="s">
        <v>361</v>
      </c>
      <c r="L28" t="s">
        <v>362</v>
      </c>
      <c r="M28" t="s">
        <v>362</v>
      </c>
      <c r="N28" t="s">
        <v>362</v>
      </c>
    </row>
    <row r="29" spans="1:14">
      <c r="A29" s="472" t="s">
        <v>167</v>
      </c>
      <c r="B29" s="472" t="s">
        <v>197</v>
      </c>
      <c r="C29" s="472" t="s">
        <v>178</v>
      </c>
      <c r="D29" s="473">
        <v>17.314875000000001</v>
      </c>
      <c r="E29" s="472" t="b">
        <v>0</v>
      </c>
      <c r="F29" s="472" t="b">
        <v>1</v>
      </c>
      <c r="G29" t="str">
        <f>_xlfn.CONCAT(CostRateTbl[[#This Row],[Org Unit]],CostRateTbl[[#This Row],[Service Line]],CostRateTbl[[#This Row],[Role]],CostRateTbl[[#This Row],[BluePrint]])</f>
        <v>ColombiaApplication ServicesExpert Technology &amp; Consulting Project ManagementNA</v>
      </c>
      <c r="H29" s="38" t="str">
        <f>SUBSTITUTE(TRIM(CostRateTbl[[#This Row],[Org Unit]])," ","")</f>
        <v>Colombia</v>
      </c>
      <c r="I29" s="15" t="str">
        <f>_xlfn.CONCAT(H29,SUBSTITUTE(SUBSTITUTE(SUBSTITUTE(TRIM(CostRateTbl[[#This Row],[Service Line]]), "-", "")," ",""),"&amp;",""))</f>
        <v>ColombiaApplicationServices</v>
      </c>
      <c r="J29" s="38" t="str">
        <f>_xlfn.CONCAT(I29,SUBSTITUTE(SUBSTITUTE(SUBSTITUTE(TRIM(CostRateTbl[[#This Row],[Role]]),"-", "")," ",""),"&amp;",""))</f>
        <v>ColombiaApplicationServicesExpertTechnologyConsultingProjectManagement</v>
      </c>
      <c r="K29" t="s">
        <v>361</v>
      </c>
      <c r="L29" t="s">
        <v>362</v>
      </c>
      <c r="M29" t="s">
        <v>362</v>
      </c>
      <c r="N29" t="s">
        <v>362</v>
      </c>
    </row>
    <row r="30" spans="1:14">
      <c r="A30" s="472" t="s">
        <v>167</v>
      </c>
      <c r="B30" s="472" t="s">
        <v>197</v>
      </c>
      <c r="C30" s="472" t="s">
        <v>182</v>
      </c>
      <c r="D30" s="473">
        <v>24.344676</v>
      </c>
      <c r="E30" s="472" t="b">
        <v>0</v>
      </c>
      <c r="F30" s="472" t="b">
        <v>1</v>
      </c>
      <c r="G30" t="str">
        <f>_xlfn.CONCAT(CostRateTbl[[#This Row],[Org Unit]],CostRateTbl[[#This Row],[Service Line]],CostRateTbl[[#This Row],[Role]],CostRateTbl[[#This Row],[BluePrint]])</f>
        <v>ColombiaApplication ServicesExpert Technology Implementation &amp; Consulting (General)NA</v>
      </c>
      <c r="H30" s="38" t="str">
        <f>SUBSTITUTE(TRIM(CostRateTbl[[#This Row],[Org Unit]])," ","")</f>
        <v>Colombia</v>
      </c>
      <c r="I30" s="15" t="str">
        <f>_xlfn.CONCAT(H30,SUBSTITUTE(SUBSTITUTE(SUBSTITUTE(TRIM(CostRateTbl[[#This Row],[Service Line]]), "-", "")," ",""),"&amp;",""))</f>
        <v>ColombiaApplicationServices</v>
      </c>
      <c r="J30" s="38" t="str">
        <f>_xlfn.CONCAT(I30,SUBSTITUTE(SUBSTITUTE(SUBSTITUTE(TRIM(CostRateTbl[[#This Row],[Role]]),"-", "")," ",""),"&amp;",""))</f>
        <v>ColombiaApplicationServicesExpertTechnologyImplementationConsulting(General)</v>
      </c>
      <c r="K30" t="s">
        <v>361</v>
      </c>
      <c r="L30" t="s">
        <v>362</v>
      </c>
      <c r="M30" t="s">
        <v>362</v>
      </c>
      <c r="N30" t="s">
        <v>362</v>
      </c>
    </row>
    <row r="31" spans="1:14">
      <c r="A31" s="472" t="s">
        <v>167</v>
      </c>
      <c r="B31" s="472" t="s">
        <v>197</v>
      </c>
      <c r="C31" s="472" t="s">
        <v>364</v>
      </c>
      <c r="D31" s="473">
        <v>35.356263000000006</v>
      </c>
      <c r="E31" s="472" t="b">
        <v>0</v>
      </c>
      <c r="F31" s="472" t="b">
        <v>1</v>
      </c>
      <c r="G31" t="str">
        <f>_xlfn.CONCAT(CostRateTbl[[#This Row],[Org Unit]],CostRateTbl[[#This Row],[Service Line]],CostRateTbl[[#This Row],[Role]],CostRateTbl[[#This Row],[BluePrint]])</f>
        <v>ColombiaApplication ServicesLead Expert Technology Implementation &amp; Consulting (General)NA</v>
      </c>
      <c r="H31" s="38" t="str">
        <f>SUBSTITUTE(TRIM(CostRateTbl[[#This Row],[Org Unit]])," ","")</f>
        <v>Colombia</v>
      </c>
      <c r="I31" s="15" t="str">
        <f>_xlfn.CONCAT(H31,SUBSTITUTE(SUBSTITUTE(SUBSTITUTE(TRIM(CostRateTbl[[#This Row],[Service Line]]), "-", "")," ",""),"&amp;",""))</f>
        <v>ColombiaApplicationServices</v>
      </c>
      <c r="J31" s="38" t="str">
        <f>_xlfn.CONCAT(I31,SUBSTITUTE(SUBSTITUTE(SUBSTITUTE(TRIM(CostRateTbl[[#This Row],[Role]]),"-", "")," ",""),"&amp;",""))</f>
        <v>ColombiaApplicationServicesLeadExpertTechnologyImplementationConsulting(General)</v>
      </c>
      <c r="K31" t="s">
        <v>361</v>
      </c>
      <c r="L31" t="s">
        <v>362</v>
      </c>
      <c r="M31" t="s">
        <v>362</v>
      </c>
      <c r="N31" t="s">
        <v>362</v>
      </c>
    </row>
    <row r="32" spans="1:14">
      <c r="A32" s="472" t="s">
        <v>167</v>
      </c>
      <c r="B32" s="472" t="s">
        <v>197</v>
      </c>
      <c r="C32" s="472" t="s">
        <v>363</v>
      </c>
      <c r="D32" s="473">
        <v>19.530231000000001</v>
      </c>
      <c r="E32" s="472" t="b">
        <v>0</v>
      </c>
      <c r="F32" s="472" t="b">
        <v>1</v>
      </c>
      <c r="G32" t="str">
        <f>_xlfn.CONCAT(CostRateTbl[[#This Row],[Org Unit]],CostRateTbl[[#This Row],[Service Line]],CostRateTbl[[#This Row],[Role]],CostRateTbl[[#This Row],[BluePrint]])</f>
        <v>ColombiaApplication ServicesSr Expert Application DevelopmentNA</v>
      </c>
      <c r="H32" s="38" t="str">
        <f>SUBSTITUTE(TRIM(CostRateTbl[[#This Row],[Org Unit]])," ","")</f>
        <v>Colombia</v>
      </c>
      <c r="I32" s="15" t="str">
        <f>_xlfn.CONCAT(H32,SUBSTITUTE(SUBSTITUTE(SUBSTITUTE(TRIM(CostRateTbl[[#This Row],[Service Line]]), "-", "")," ",""),"&amp;",""))</f>
        <v>ColombiaApplicationServices</v>
      </c>
      <c r="J32" s="38" t="str">
        <f>_xlfn.CONCAT(I32,SUBSTITUTE(SUBSTITUTE(SUBSTITUTE(TRIM(CostRateTbl[[#This Row],[Role]]),"-", "")," ",""),"&amp;",""))</f>
        <v>ColombiaApplicationServicesSrExpertApplicationDevelopment</v>
      </c>
      <c r="K32" t="s">
        <v>361</v>
      </c>
      <c r="L32" t="s">
        <v>362</v>
      </c>
      <c r="M32" t="s">
        <v>362</v>
      </c>
      <c r="N32" t="s">
        <v>362</v>
      </c>
    </row>
    <row r="33" spans="1:14">
      <c r="A33" s="472" t="s">
        <v>167</v>
      </c>
      <c r="B33" s="472" t="s">
        <v>197</v>
      </c>
      <c r="C33" s="472" t="s">
        <v>367</v>
      </c>
      <c r="D33" s="473">
        <v>14.212524000000002</v>
      </c>
      <c r="E33" s="472" t="b">
        <v>0</v>
      </c>
      <c r="F33" s="472" t="b">
        <v>1</v>
      </c>
      <c r="G33" t="str">
        <f>_xlfn.CONCAT(CostRateTbl[[#This Row],[Org Unit]],CostRateTbl[[#This Row],[Service Line]],CostRateTbl[[#This Row],[Role]],CostRateTbl[[#This Row],[BluePrint]])</f>
        <v>ColombiaApplication ServicesSr Expert Business Consulting and AdvisoryNA</v>
      </c>
      <c r="H33" s="38" t="str">
        <f>SUBSTITUTE(TRIM(CostRateTbl[[#This Row],[Org Unit]])," ","")</f>
        <v>Colombia</v>
      </c>
      <c r="I33" s="15" t="str">
        <f>_xlfn.CONCAT(H33,SUBSTITUTE(SUBSTITUTE(SUBSTITUTE(TRIM(CostRateTbl[[#This Row],[Service Line]]), "-", "")," ",""),"&amp;",""))</f>
        <v>ColombiaApplicationServices</v>
      </c>
      <c r="J33" s="38" t="str">
        <f>_xlfn.CONCAT(I33,SUBSTITUTE(SUBSTITUTE(SUBSTITUTE(TRIM(CostRateTbl[[#This Row],[Role]]),"-", "")," ",""),"&amp;",""))</f>
        <v>ColombiaApplicationServicesSrExpertBusinessConsultingandAdvisory</v>
      </c>
      <c r="K33" t="s">
        <v>361</v>
      </c>
      <c r="L33" t="s">
        <v>362</v>
      </c>
      <c r="M33" t="s">
        <v>362</v>
      </c>
      <c r="N33" t="s">
        <v>362</v>
      </c>
    </row>
    <row r="34" spans="1:14">
      <c r="A34" s="472" t="s">
        <v>167</v>
      </c>
      <c r="B34" s="472" t="s">
        <v>197</v>
      </c>
      <c r="C34" s="472" t="s">
        <v>155</v>
      </c>
      <c r="D34" s="473">
        <v>26.110764000000003</v>
      </c>
      <c r="E34" s="472" t="b">
        <v>0</v>
      </c>
      <c r="F34" s="472" t="b">
        <v>1</v>
      </c>
      <c r="G34" t="str">
        <f>_xlfn.CONCAT(CostRateTbl[[#This Row],[Org Unit]],CostRateTbl[[#This Row],[Service Line]],CostRateTbl[[#This Row],[Role]],CostRateTbl[[#This Row],[BluePrint]])</f>
        <v>ColombiaApplication ServicesSr Expert Technology &amp; Consulting Project ManagementNA</v>
      </c>
      <c r="H34" s="38" t="str">
        <f>SUBSTITUTE(TRIM(CostRateTbl[[#This Row],[Org Unit]])," ","")</f>
        <v>Colombia</v>
      </c>
      <c r="I34" s="15" t="str">
        <f>_xlfn.CONCAT(H34,SUBSTITUTE(SUBSTITUTE(SUBSTITUTE(TRIM(CostRateTbl[[#This Row],[Service Line]]), "-", "")," ",""),"&amp;",""))</f>
        <v>ColombiaApplicationServices</v>
      </c>
      <c r="J34" s="38" t="str">
        <f>_xlfn.CONCAT(I34,SUBSTITUTE(SUBSTITUTE(SUBSTITUTE(TRIM(CostRateTbl[[#This Row],[Role]]),"-", "")," ",""),"&amp;",""))</f>
        <v>ColombiaApplicationServicesSrExpertTechnologyConsultingProjectManagement</v>
      </c>
      <c r="K34" t="s">
        <v>361</v>
      </c>
      <c r="L34" t="s">
        <v>362</v>
      </c>
      <c r="M34" t="s">
        <v>362</v>
      </c>
      <c r="N34" t="s">
        <v>362</v>
      </c>
    </row>
    <row r="35" spans="1:14">
      <c r="A35" s="472" t="s">
        <v>167</v>
      </c>
      <c r="B35" s="472" t="s">
        <v>197</v>
      </c>
      <c r="C35" s="472" t="s">
        <v>132</v>
      </c>
      <c r="D35" s="473">
        <v>35.175672999999996</v>
      </c>
      <c r="E35" s="472" t="b">
        <v>0</v>
      </c>
      <c r="F35" s="472" t="b">
        <v>1</v>
      </c>
      <c r="G35" t="str">
        <f>_xlfn.CONCAT(CostRateTbl[[#This Row],[Org Unit]],CostRateTbl[[#This Row],[Service Line]],CostRateTbl[[#This Row],[Role]],CostRateTbl[[#This Row],[BluePrint]])</f>
        <v>ColombiaApplication ServicesSr Expert Technology Implementation &amp; Consulting (General)NA</v>
      </c>
      <c r="H35" s="38" t="str">
        <f>SUBSTITUTE(TRIM(CostRateTbl[[#This Row],[Org Unit]])," ","")</f>
        <v>Colombia</v>
      </c>
      <c r="I35" s="15" t="str">
        <f>_xlfn.CONCAT(H35,SUBSTITUTE(SUBSTITUTE(SUBSTITUTE(TRIM(CostRateTbl[[#This Row],[Service Line]]), "-", "")," ",""),"&amp;",""))</f>
        <v>ColombiaApplicationServices</v>
      </c>
      <c r="J35" s="38" t="str">
        <f>_xlfn.CONCAT(I35,SUBSTITUTE(SUBSTITUTE(SUBSTITUTE(TRIM(CostRateTbl[[#This Row],[Role]]),"-", "")," ",""),"&amp;",""))</f>
        <v>ColombiaApplicationServicesSrExpertTechnologyImplementationConsulting(General)</v>
      </c>
      <c r="K35" t="s">
        <v>361</v>
      </c>
      <c r="L35" t="s">
        <v>362</v>
      </c>
      <c r="M35" t="s">
        <v>362</v>
      </c>
      <c r="N35" t="s">
        <v>362</v>
      </c>
    </row>
    <row r="36" spans="1:14">
      <c r="A36" s="472" t="s">
        <v>167</v>
      </c>
      <c r="B36" s="472" t="s">
        <v>169</v>
      </c>
      <c r="C36" s="472" t="s">
        <v>180</v>
      </c>
      <c r="D36" s="473">
        <v>19.308439</v>
      </c>
      <c r="E36" s="472" t="b">
        <v>0</v>
      </c>
      <c r="F36" s="472" t="b">
        <v>1</v>
      </c>
      <c r="G36" t="str">
        <f>_xlfn.CONCAT(CostRateTbl[[#This Row],[Org Unit]],CostRateTbl[[#This Row],[Service Line]],CostRateTbl[[#This Row],[Role]],CostRateTbl[[#This Row],[BluePrint]])</f>
        <v>ColombiaCloud Services AzureExpert Managed OperationsNA</v>
      </c>
      <c r="H36" s="38" t="str">
        <f>SUBSTITUTE(TRIM(CostRateTbl[[#This Row],[Org Unit]])," ","")</f>
        <v>Colombia</v>
      </c>
      <c r="I36" s="15" t="str">
        <f>_xlfn.CONCAT(H36,SUBSTITUTE(SUBSTITUTE(SUBSTITUTE(TRIM(CostRateTbl[[#This Row],[Service Line]]), "-", "")," ",""),"&amp;",""))</f>
        <v>ColombiaCloudServicesAzure</v>
      </c>
      <c r="J36" s="38" t="str">
        <f>_xlfn.CONCAT(I36,SUBSTITUTE(SUBSTITUTE(SUBSTITUTE(TRIM(CostRateTbl[[#This Row],[Role]]),"-", "")," ",""),"&amp;",""))</f>
        <v>ColombiaCloudServicesAzureExpertManagedOperations</v>
      </c>
      <c r="K36" t="s">
        <v>361</v>
      </c>
      <c r="L36" t="s">
        <v>362</v>
      </c>
      <c r="M36" t="s">
        <v>362</v>
      </c>
      <c r="N36" t="s">
        <v>362</v>
      </c>
    </row>
    <row r="37" spans="1:14">
      <c r="A37" s="472" t="s">
        <v>167</v>
      </c>
      <c r="B37" s="472" t="s">
        <v>169</v>
      </c>
      <c r="C37" s="472" t="s">
        <v>182</v>
      </c>
      <c r="D37" s="473">
        <v>19.623148999999998</v>
      </c>
      <c r="E37" s="472" t="b">
        <v>0</v>
      </c>
      <c r="F37" s="472" t="b">
        <v>1</v>
      </c>
      <c r="G37" t="str">
        <f>_xlfn.CONCAT(CostRateTbl[[#This Row],[Org Unit]],CostRateTbl[[#This Row],[Service Line]],CostRateTbl[[#This Row],[Role]],CostRateTbl[[#This Row],[BluePrint]])</f>
        <v>ColombiaCloud Services AzureExpert Technology Implementation &amp; Consulting (General)NA</v>
      </c>
      <c r="H37" s="38" t="str">
        <f>SUBSTITUTE(TRIM(CostRateTbl[[#This Row],[Org Unit]])," ","")</f>
        <v>Colombia</v>
      </c>
      <c r="I37" s="15" t="str">
        <f>_xlfn.CONCAT(H37,SUBSTITUTE(SUBSTITUTE(SUBSTITUTE(TRIM(CostRateTbl[[#This Row],[Service Line]]), "-", "")," ",""),"&amp;",""))</f>
        <v>ColombiaCloudServicesAzure</v>
      </c>
      <c r="J37" s="38" t="str">
        <f>_xlfn.CONCAT(I37,SUBSTITUTE(SUBSTITUTE(SUBSTITUTE(TRIM(CostRateTbl[[#This Row],[Role]]),"-", "")," ",""),"&amp;",""))</f>
        <v>ColombiaCloudServicesAzureExpertTechnologyImplementationConsulting(General)</v>
      </c>
      <c r="K37" t="s">
        <v>361</v>
      </c>
      <c r="L37" t="s">
        <v>362</v>
      </c>
      <c r="M37" t="s">
        <v>362</v>
      </c>
      <c r="N37" t="s">
        <v>362</v>
      </c>
    </row>
    <row r="38" spans="1:14">
      <c r="A38" s="472" t="s">
        <v>167</v>
      </c>
      <c r="B38" s="472" t="s">
        <v>131</v>
      </c>
      <c r="C38" s="472" t="s">
        <v>184</v>
      </c>
      <c r="D38" s="473">
        <v>9.6569310000000002</v>
      </c>
      <c r="E38" s="472" t="b">
        <v>0</v>
      </c>
      <c r="F38" s="472" t="b">
        <v>1</v>
      </c>
      <c r="G38" t="str">
        <f>_xlfn.CONCAT(CostRateTbl[[#This Row],[Org Unit]],CostRateTbl[[#This Row],[Service Line]],CostRateTbl[[#This Row],[Role]],CostRateTbl[[#This Row],[BluePrint]])</f>
        <v>ColombiaCybersecurityAssociate Expert Managed OperationsNA</v>
      </c>
      <c r="H38" s="38" t="str">
        <f>SUBSTITUTE(TRIM(CostRateTbl[[#This Row],[Org Unit]])," ","")</f>
        <v>Colombia</v>
      </c>
      <c r="I38" s="15" t="str">
        <f>_xlfn.CONCAT(H38,SUBSTITUTE(SUBSTITUTE(SUBSTITUTE(TRIM(CostRateTbl[[#This Row],[Service Line]]), "-", "")," ",""),"&amp;",""))</f>
        <v>ColombiaCybersecurity</v>
      </c>
      <c r="J38" s="38" t="str">
        <f>_xlfn.CONCAT(I38,SUBSTITUTE(SUBSTITUTE(SUBSTITUTE(TRIM(CostRateTbl[[#This Row],[Role]]),"-", "")," ",""),"&amp;",""))</f>
        <v>ColombiaCybersecurityAssociateExpertManagedOperations</v>
      </c>
      <c r="K38" t="s">
        <v>361</v>
      </c>
      <c r="L38" t="s">
        <v>362</v>
      </c>
      <c r="M38" t="s">
        <v>362</v>
      </c>
      <c r="N38" t="s">
        <v>362</v>
      </c>
    </row>
    <row r="39" spans="1:14">
      <c r="A39" s="472" t="s">
        <v>167</v>
      </c>
      <c r="B39" s="472" t="s">
        <v>131</v>
      </c>
      <c r="C39" s="472" t="s">
        <v>180</v>
      </c>
      <c r="D39" s="473">
        <v>13.809123</v>
      </c>
      <c r="E39" s="472" t="b">
        <v>0</v>
      </c>
      <c r="F39" s="472" t="b">
        <v>0</v>
      </c>
      <c r="G39" t="str">
        <f>_xlfn.CONCAT(CostRateTbl[[#This Row],[Org Unit]],CostRateTbl[[#This Row],[Service Line]],CostRateTbl[[#This Row],[Role]],CostRateTbl[[#This Row],[BluePrint]])</f>
        <v>ColombiaCybersecurityExpert Managed OperationsNA</v>
      </c>
      <c r="H39" s="38" t="str">
        <f>SUBSTITUTE(TRIM(CostRateTbl[[#This Row],[Org Unit]])," ","")</f>
        <v>Colombia</v>
      </c>
      <c r="I39" s="15" t="str">
        <f>_xlfn.CONCAT(H39,SUBSTITUTE(SUBSTITUTE(SUBSTITUTE(TRIM(CostRateTbl[[#This Row],[Service Line]]), "-", "")," ",""),"&amp;",""))</f>
        <v>ColombiaCybersecurity</v>
      </c>
      <c r="J39" s="38" t="str">
        <f>_xlfn.CONCAT(I39,SUBSTITUTE(SUBSTITUTE(SUBSTITUTE(TRIM(CostRateTbl[[#This Row],[Role]]),"-", "")," ",""),"&amp;",""))</f>
        <v>ColombiaCybersecurityExpertManagedOperations</v>
      </c>
      <c r="K39" t="s">
        <v>361</v>
      </c>
      <c r="L39" t="s">
        <v>362</v>
      </c>
      <c r="M39" t="s">
        <v>362</v>
      </c>
      <c r="N39" t="s">
        <v>362</v>
      </c>
    </row>
    <row r="40" spans="1:14">
      <c r="A40" s="472" t="s">
        <v>167</v>
      </c>
      <c r="B40" s="472" t="s">
        <v>131</v>
      </c>
      <c r="C40" s="472" t="s">
        <v>372</v>
      </c>
      <c r="D40" s="473">
        <v>25.707864999999998</v>
      </c>
      <c r="E40" s="472" t="b">
        <v>0</v>
      </c>
      <c r="F40" s="472" t="b">
        <v>0</v>
      </c>
      <c r="G40" t="str">
        <f>_xlfn.CONCAT(CostRateTbl[[#This Row],[Org Unit]],CostRateTbl[[#This Row],[Service Line]],CostRateTbl[[#This Row],[Role]],CostRateTbl[[#This Row],[BluePrint]])</f>
        <v>ColombiaCybersecuritySr Expert Managed OperationsNA</v>
      </c>
      <c r="H40" s="38" t="str">
        <f>SUBSTITUTE(TRIM(CostRateTbl[[#This Row],[Org Unit]])," ","")</f>
        <v>Colombia</v>
      </c>
      <c r="I40" s="15" t="str">
        <f>_xlfn.CONCAT(H40,SUBSTITUTE(SUBSTITUTE(SUBSTITUTE(TRIM(CostRateTbl[[#This Row],[Service Line]]), "-", "")," ",""),"&amp;",""))</f>
        <v>ColombiaCybersecurity</v>
      </c>
      <c r="J40" s="38" t="str">
        <f>_xlfn.CONCAT(I40,SUBSTITUTE(SUBSTITUTE(SUBSTITUTE(TRIM(CostRateTbl[[#This Row],[Role]]),"-", "")," ",""),"&amp;",""))</f>
        <v>ColombiaCybersecuritySrExpertManagedOperations</v>
      </c>
      <c r="K40" t="s">
        <v>361</v>
      </c>
      <c r="L40" t="s">
        <v>362</v>
      </c>
      <c r="M40" t="s">
        <v>362</v>
      </c>
      <c r="N40" t="s">
        <v>362</v>
      </c>
    </row>
    <row r="41" spans="1:14">
      <c r="A41" s="472" t="s">
        <v>167</v>
      </c>
      <c r="B41" s="472" t="s">
        <v>220</v>
      </c>
      <c r="C41" s="472" t="s">
        <v>373</v>
      </c>
      <c r="D41" s="473">
        <v>9.7395240000000012</v>
      </c>
      <c r="E41" s="472" t="b">
        <v>0</v>
      </c>
      <c r="F41" s="472" t="b">
        <v>1</v>
      </c>
      <c r="G41" t="str">
        <f>_xlfn.CONCAT(CostRateTbl[[#This Row],[Org Unit]],CostRateTbl[[#This Row],[Service Line]],CostRateTbl[[#This Row],[Role]],CostRateTbl[[#This Row],[BluePrint]])</f>
        <v>ColombiaData &amp; AIAssociate Expert Data EngineeringNA</v>
      </c>
      <c r="H41" s="38" t="str">
        <f>SUBSTITUTE(TRIM(CostRateTbl[[#This Row],[Org Unit]])," ","")</f>
        <v>Colombia</v>
      </c>
      <c r="I41" s="15" t="str">
        <f>_xlfn.CONCAT(H41,SUBSTITUTE(SUBSTITUTE(SUBSTITUTE(TRIM(CostRateTbl[[#This Row],[Service Line]]), "-", "")," ",""),"&amp;",""))</f>
        <v>ColombiaDataAI</v>
      </c>
      <c r="J41" s="38" t="str">
        <f>_xlfn.CONCAT(I41,SUBSTITUTE(SUBSTITUTE(SUBSTITUTE(TRIM(CostRateTbl[[#This Row],[Role]]),"-", "")," ",""),"&amp;",""))</f>
        <v>ColombiaDataAIAssociateExpertDataEngineering</v>
      </c>
      <c r="K41" t="s">
        <v>361</v>
      </c>
      <c r="L41" t="s">
        <v>362</v>
      </c>
      <c r="M41" t="s">
        <v>362</v>
      </c>
      <c r="N41" t="s">
        <v>362</v>
      </c>
    </row>
    <row r="42" spans="1:14">
      <c r="A42" s="472" t="s">
        <v>167</v>
      </c>
      <c r="B42" s="472" t="s">
        <v>220</v>
      </c>
      <c r="C42" s="472" t="s">
        <v>371</v>
      </c>
      <c r="D42" s="473">
        <v>14.037602</v>
      </c>
      <c r="E42" s="472" t="b">
        <v>0</v>
      </c>
      <c r="F42" s="472" t="b">
        <v>1</v>
      </c>
      <c r="G42" t="str">
        <f>_xlfn.CONCAT(CostRateTbl[[#This Row],[Org Unit]],CostRateTbl[[#This Row],[Service Line]],CostRateTbl[[#This Row],[Role]],CostRateTbl[[#This Row],[BluePrint]])</f>
        <v>ColombiaData &amp; AIExpert Application DevelopmentNA</v>
      </c>
      <c r="H42" s="38" t="str">
        <f>SUBSTITUTE(TRIM(CostRateTbl[[#This Row],[Org Unit]])," ","")</f>
        <v>Colombia</v>
      </c>
      <c r="I42" s="15" t="str">
        <f>_xlfn.CONCAT(H42,SUBSTITUTE(SUBSTITUTE(SUBSTITUTE(TRIM(CostRateTbl[[#This Row],[Service Line]]), "-", "")," ",""),"&amp;",""))</f>
        <v>ColombiaDataAI</v>
      </c>
      <c r="J42" s="38" t="str">
        <f>_xlfn.CONCAT(I42,SUBSTITUTE(SUBSTITUTE(SUBSTITUTE(TRIM(CostRateTbl[[#This Row],[Role]]),"-", "")," ",""),"&amp;",""))</f>
        <v>ColombiaDataAIExpertApplicationDevelopment</v>
      </c>
      <c r="K42" t="s">
        <v>361</v>
      </c>
      <c r="L42" t="s">
        <v>362</v>
      </c>
      <c r="M42" t="s">
        <v>362</v>
      </c>
      <c r="N42" t="s">
        <v>362</v>
      </c>
    </row>
    <row r="43" spans="1:14">
      <c r="A43" s="472" t="s">
        <v>167</v>
      </c>
      <c r="B43" s="472" t="s">
        <v>220</v>
      </c>
      <c r="C43" s="472" t="s">
        <v>374</v>
      </c>
      <c r="D43" s="473">
        <v>15.541838</v>
      </c>
      <c r="E43" s="472" t="b">
        <v>0</v>
      </c>
      <c r="F43" s="472" t="b">
        <v>1</v>
      </c>
      <c r="G43" t="str">
        <f>_xlfn.CONCAT(CostRateTbl[[#This Row],[Org Unit]],CostRateTbl[[#This Row],[Service Line]],CostRateTbl[[#This Row],[Role]],CostRateTbl[[#This Row],[BluePrint]])</f>
        <v>ColombiaData &amp; AIExpert Data EngineeringNA</v>
      </c>
      <c r="H43" s="38" t="str">
        <f>SUBSTITUTE(TRIM(CostRateTbl[[#This Row],[Org Unit]])," ","")</f>
        <v>Colombia</v>
      </c>
      <c r="I43" s="15" t="str">
        <f>_xlfn.CONCAT(H43,SUBSTITUTE(SUBSTITUTE(SUBSTITUTE(TRIM(CostRateTbl[[#This Row],[Service Line]]), "-", "")," ",""),"&amp;",""))</f>
        <v>ColombiaDataAI</v>
      </c>
      <c r="J43" s="38" t="str">
        <f>_xlfn.CONCAT(I43,SUBSTITUTE(SUBSTITUTE(SUBSTITUTE(TRIM(CostRateTbl[[#This Row],[Role]]),"-", "")," ",""),"&amp;",""))</f>
        <v>ColombiaDataAIExpertDataEngineering</v>
      </c>
      <c r="K43" t="s">
        <v>361</v>
      </c>
      <c r="L43" t="s">
        <v>362</v>
      </c>
      <c r="M43" t="s">
        <v>362</v>
      </c>
      <c r="N43" t="s">
        <v>362</v>
      </c>
    </row>
    <row r="44" spans="1:14">
      <c r="A44" s="472" t="s">
        <v>167</v>
      </c>
      <c r="B44" s="472" t="s">
        <v>220</v>
      </c>
      <c r="C44" s="472" t="s">
        <v>375</v>
      </c>
      <c r="D44" s="473">
        <v>20.112753999999999</v>
      </c>
      <c r="E44" s="472" t="b">
        <v>0</v>
      </c>
      <c r="F44" s="472" t="b">
        <v>0</v>
      </c>
      <c r="G44" t="str">
        <f>_xlfn.CONCAT(CostRateTbl[[#This Row],[Org Unit]],CostRateTbl[[#This Row],[Service Line]],CostRateTbl[[#This Row],[Role]],CostRateTbl[[#This Row],[BluePrint]])</f>
        <v>ColombiaData &amp; AIExpert Data Intelligence (General)NA</v>
      </c>
      <c r="H44" s="38" t="str">
        <f>SUBSTITUTE(TRIM(CostRateTbl[[#This Row],[Org Unit]])," ","")</f>
        <v>Colombia</v>
      </c>
      <c r="I44" s="15" t="str">
        <f>_xlfn.CONCAT(H44,SUBSTITUTE(SUBSTITUTE(SUBSTITUTE(TRIM(CostRateTbl[[#This Row],[Service Line]]), "-", "")," ",""),"&amp;",""))</f>
        <v>ColombiaDataAI</v>
      </c>
      <c r="J44" s="38" t="str">
        <f>_xlfn.CONCAT(I44,SUBSTITUTE(SUBSTITUTE(SUBSTITUTE(TRIM(CostRateTbl[[#This Row],[Role]]),"-", "")," ",""),"&amp;",""))</f>
        <v>ColombiaDataAIExpertDataIntelligence(General)</v>
      </c>
      <c r="K44" t="s">
        <v>361</v>
      </c>
      <c r="L44" t="s">
        <v>362</v>
      </c>
      <c r="M44" t="s">
        <v>362</v>
      </c>
      <c r="N44" t="s">
        <v>362</v>
      </c>
    </row>
    <row r="45" spans="1:14">
      <c r="A45" s="472" t="s">
        <v>167</v>
      </c>
      <c r="B45" s="472" t="s">
        <v>220</v>
      </c>
      <c r="C45" s="472" t="s">
        <v>364</v>
      </c>
      <c r="D45" s="473">
        <v>67.809625999999994</v>
      </c>
      <c r="E45" s="472" t="b">
        <v>0</v>
      </c>
      <c r="F45" s="472" t="b">
        <v>1</v>
      </c>
      <c r="G45" t="str">
        <f>_xlfn.CONCAT(CostRateTbl[[#This Row],[Org Unit]],CostRateTbl[[#This Row],[Service Line]],CostRateTbl[[#This Row],[Role]],CostRateTbl[[#This Row],[BluePrint]])</f>
        <v>ColombiaData &amp; AILead Expert Technology Implementation &amp; Consulting (General)NA</v>
      </c>
      <c r="H45" s="38" t="str">
        <f>SUBSTITUTE(TRIM(CostRateTbl[[#This Row],[Org Unit]])," ","")</f>
        <v>Colombia</v>
      </c>
      <c r="I45" s="15" t="str">
        <f>_xlfn.CONCAT(H45,SUBSTITUTE(SUBSTITUTE(SUBSTITUTE(TRIM(CostRateTbl[[#This Row],[Service Line]]), "-", "")," ",""),"&amp;",""))</f>
        <v>ColombiaDataAI</v>
      </c>
      <c r="J45" s="38" t="str">
        <f>_xlfn.CONCAT(I45,SUBSTITUTE(SUBSTITUTE(SUBSTITUTE(TRIM(CostRateTbl[[#This Row],[Role]]),"-", "")," ",""),"&amp;",""))</f>
        <v>ColombiaDataAILeadExpertTechnologyImplementationConsulting(General)</v>
      </c>
      <c r="K45" t="s">
        <v>361</v>
      </c>
      <c r="L45" t="s">
        <v>362</v>
      </c>
      <c r="M45" t="s">
        <v>362</v>
      </c>
      <c r="N45" t="s">
        <v>362</v>
      </c>
    </row>
    <row r="46" spans="1:14">
      <c r="A46" s="472" t="s">
        <v>167</v>
      </c>
      <c r="B46" s="472" t="s">
        <v>220</v>
      </c>
      <c r="C46" s="472" t="s">
        <v>376</v>
      </c>
      <c r="D46" s="473">
        <v>44.623353999999999</v>
      </c>
      <c r="E46" s="472" t="b">
        <v>0</v>
      </c>
      <c r="F46" s="472" t="b">
        <v>0</v>
      </c>
      <c r="G46" t="str">
        <f>_xlfn.CONCAT(CostRateTbl[[#This Row],[Org Unit]],CostRateTbl[[#This Row],[Service Line]],CostRateTbl[[#This Row],[Role]],CostRateTbl[[#This Row],[BluePrint]])</f>
        <v>ColombiaData &amp; AISr Expert  Expert Data Intelligence (General)NA</v>
      </c>
      <c r="H46" s="38" t="str">
        <f>SUBSTITUTE(TRIM(CostRateTbl[[#This Row],[Org Unit]])," ","")</f>
        <v>Colombia</v>
      </c>
      <c r="I46" s="15" t="str">
        <f>_xlfn.CONCAT(H46,SUBSTITUTE(SUBSTITUTE(SUBSTITUTE(TRIM(CostRateTbl[[#This Row],[Service Line]]), "-", "")," ",""),"&amp;",""))</f>
        <v>ColombiaDataAI</v>
      </c>
      <c r="J46" s="38" t="str">
        <f>_xlfn.CONCAT(I46,SUBSTITUTE(SUBSTITUTE(SUBSTITUTE(TRIM(CostRateTbl[[#This Row],[Role]]),"-", "")," ",""),"&amp;",""))</f>
        <v>ColombiaDataAISrExpertExpertDataIntelligence(General)</v>
      </c>
      <c r="K46" t="s">
        <v>361</v>
      </c>
      <c r="L46" t="s">
        <v>362</v>
      </c>
      <c r="M46" t="s">
        <v>362</v>
      </c>
      <c r="N46" t="s">
        <v>362</v>
      </c>
    </row>
    <row r="47" spans="1:14">
      <c r="A47" s="472" t="s">
        <v>167</v>
      </c>
      <c r="B47" s="472" t="s">
        <v>220</v>
      </c>
      <c r="C47" s="472" t="s">
        <v>363</v>
      </c>
      <c r="D47" s="473">
        <v>23.688652000000001</v>
      </c>
      <c r="E47" s="472" t="b">
        <v>0</v>
      </c>
      <c r="F47" s="472" t="b">
        <v>1</v>
      </c>
      <c r="G47" t="str">
        <f>_xlfn.CONCAT(CostRateTbl[[#This Row],[Org Unit]],CostRateTbl[[#This Row],[Service Line]],CostRateTbl[[#This Row],[Role]],CostRateTbl[[#This Row],[BluePrint]])</f>
        <v>ColombiaData &amp; AISr Expert Application DevelopmentNA</v>
      </c>
      <c r="H47" s="38" t="str">
        <f>SUBSTITUTE(TRIM(CostRateTbl[[#This Row],[Org Unit]])," ","")</f>
        <v>Colombia</v>
      </c>
      <c r="I47" s="15" t="str">
        <f>_xlfn.CONCAT(H47,SUBSTITUTE(SUBSTITUTE(SUBSTITUTE(TRIM(CostRateTbl[[#This Row],[Service Line]]), "-", "")," ",""),"&amp;",""))</f>
        <v>ColombiaDataAI</v>
      </c>
      <c r="J47" s="38" t="str">
        <f>_xlfn.CONCAT(I47,SUBSTITUTE(SUBSTITUTE(SUBSTITUTE(TRIM(CostRateTbl[[#This Row],[Role]]),"-", "")," ",""),"&amp;",""))</f>
        <v>ColombiaDataAISrExpertApplicationDevelopment</v>
      </c>
      <c r="K47" t="s">
        <v>361</v>
      </c>
      <c r="L47" t="s">
        <v>362</v>
      </c>
      <c r="M47" t="s">
        <v>362</v>
      </c>
      <c r="N47" t="s">
        <v>362</v>
      </c>
    </row>
    <row r="48" spans="1:14">
      <c r="A48" s="472" t="s">
        <v>167</v>
      </c>
      <c r="B48" s="472" t="s">
        <v>220</v>
      </c>
      <c r="C48" s="472" t="s">
        <v>377</v>
      </c>
      <c r="D48" s="473">
        <v>29.682669000000001</v>
      </c>
      <c r="E48" s="472" t="b">
        <v>0</v>
      </c>
      <c r="F48" s="472" t="b">
        <v>1</v>
      </c>
      <c r="G48" t="str">
        <f>_xlfn.CONCAT(CostRateTbl[[#This Row],[Org Unit]],CostRateTbl[[#This Row],[Service Line]],CostRateTbl[[#This Row],[Role]],CostRateTbl[[#This Row],[BluePrint]])</f>
        <v>ColombiaData &amp; AISr Expert Data EngineeringNA</v>
      </c>
      <c r="H48" s="38" t="str">
        <f>SUBSTITUTE(TRIM(CostRateTbl[[#This Row],[Org Unit]])," ","")</f>
        <v>Colombia</v>
      </c>
      <c r="I48" s="15" t="str">
        <f>_xlfn.CONCAT(H48,SUBSTITUTE(SUBSTITUTE(SUBSTITUTE(TRIM(CostRateTbl[[#This Row],[Service Line]]), "-", "")," ",""),"&amp;",""))</f>
        <v>ColombiaDataAI</v>
      </c>
      <c r="J48" s="38" t="str">
        <f>_xlfn.CONCAT(I48,SUBSTITUTE(SUBSTITUTE(SUBSTITUTE(TRIM(CostRateTbl[[#This Row],[Role]]),"-", "")," ",""),"&amp;",""))</f>
        <v>ColombiaDataAISrExpertDataEngineering</v>
      </c>
      <c r="K48" t="s">
        <v>361</v>
      </c>
      <c r="L48" t="s">
        <v>362</v>
      </c>
      <c r="M48" t="s">
        <v>362</v>
      </c>
      <c r="N48" t="s">
        <v>362</v>
      </c>
    </row>
    <row r="49" spans="1:14">
      <c r="A49" s="472" t="s">
        <v>167</v>
      </c>
      <c r="B49" s="472" t="s">
        <v>220</v>
      </c>
      <c r="C49" s="472" t="s">
        <v>132</v>
      </c>
      <c r="D49" s="473">
        <v>48.555728000000002</v>
      </c>
      <c r="E49" s="472" t="b">
        <v>0</v>
      </c>
      <c r="F49" s="472" t="b">
        <v>1</v>
      </c>
      <c r="G49" t="str">
        <f>_xlfn.CONCAT(CostRateTbl[[#This Row],[Org Unit]],CostRateTbl[[#This Row],[Service Line]],CostRateTbl[[#This Row],[Role]],CostRateTbl[[#This Row],[BluePrint]])</f>
        <v>ColombiaData &amp; AISr Expert Technology Implementation &amp; Consulting (General)NA</v>
      </c>
      <c r="H49" s="38" t="str">
        <f>SUBSTITUTE(TRIM(CostRateTbl[[#This Row],[Org Unit]])," ","")</f>
        <v>Colombia</v>
      </c>
      <c r="I49" s="15" t="str">
        <f>_xlfn.CONCAT(H49,SUBSTITUTE(SUBSTITUTE(SUBSTITUTE(TRIM(CostRateTbl[[#This Row],[Service Line]]), "-", "")," ",""),"&amp;",""))</f>
        <v>ColombiaDataAI</v>
      </c>
      <c r="J49" s="38" t="str">
        <f>_xlfn.CONCAT(I49,SUBSTITUTE(SUBSTITUTE(SUBSTITUTE(TRIM(CostRateTbl[[#This Row],[Role]]),"-", "")," ",""),"&amp;",""))</f>
        <v>ColombiaDataAISrExpertTechnologyImplementationConsulting(General)</v>
      </c>
      <c r="K49" t="s">
        <v>361</v>
      </c>
      <c r="L49" t="s">
        <v>362</v>
      </c>
      <c r="M49" t="s">
        <v>362</v>
      </c>
      <c r="N49" t="s">
        <v>362</v>
      </c>
    </row>
    <row r="50" spans="1:14">
      <c r="A50" s="472" t="s">
        <v>167</v>
      </c>
      <c r="B50" s="472" t="s">
        <v>223</v>
      </c>
      <c r="C50" s="472" t="s">
        <v>184</v>
      </c>
      <c r="D50" s="473">
        <v>7.3853230000000005</v>
      </c>
      <c r="E50" s="472" t="b">
        <v>0</v>
      </c>
      <c r="F50" s="472" t="b">
        <v>1</v>
      </c>
      <c r="G50" t="str">
        <f>_xlfn.CONCAT(CostRateTbl[[#This Row],[Org Unit]],CostRateTbl[[#This Row],[Service Line]],CostRateTbl[[#This Row],[Role]],CostRateTbl[[#This Row],[BluePrint]])</f>
        <v>ColombiaDigital WorkplaceAssociate Expert Managed OperationsNA</v>
      </c>
      <c r="H50" s="38" t="str">
        <f>SUBSTITUTE(TRIM(CostRateTbl[[#This Row],[Org Unit]])," ","")</f>
        <v>Colombia</v>
      </c>
      <c r="I50" s="15" t="str">
        <f>_xlfn.CONCAT(H50,SUBSTITUTE(SUBSTITUTE(SUBSTITUTE(TRIM(CostRateTbl[[#This Row],[Service Line]]), "-", "")," ",""),"&amp;",""))</f>
        <v>ColombiaDigitalWorkplace</v>
      </c>
      <c r="J50" s="38" t="str">
        <f>_xlfn.CONCAT(I50,SUBSTITUTE(SUBSTITUTE(SUBSTITUTE(TRIM(CostRateTbl[[#This Row],[Role]]),"-", "")," ",""),"&amp;",""))</f>
        <v>ColombiaDigitalWorkplaceAssociateExpertManagedOperations</v>
      </c>
      <c r="K50" t="s">
        <v>361</v>
      </c>
      <c r="L50" t="s">
        <v>362</v>
      </c>
      <c r="M50" t="s">
        <v>362</v>
      </c>
      <c r="N50" t="s">
        <v>362</v>
      </c>
    </row>
    <row r="51" spans="1:14">
      <c r="A51" s="472" t="s">
        <v>167</v>
      </c>
      <c r="B51" s="472" t="s">
        <v>223</v>
      </c>
      <c r="C51" s="472" t="s">
        <v>180</v>
      </c>
      <c r="D51" s="473">
        <v>12.785456</v>
      </c>
      <c r="E51" s="472" t="b">
        <v>0</v>
      </c>
      <c r="F51" s="472" t="b">
        <v>0</v>
      </c>
      <c r="G51" t="str">
        <f>_xlfn.CONCAT(CostRateTbl[[#This Row],[Org Unit]],CostRateTbl[[#This Row],[Service Line]],CostRateTbl[[#This Row],[Role]],CostRateTbl[[#This Row],[BluePrint]])</f>
        <v>ColombiaDigital WorkplaceExpert Managed OperationsNA</v>
      </c>
      <c r="H51" s="38" t="str">
        <f>SUBSTITUTE(TRIM(CostRateTbl[[#This Row],[Org Unit]])," ","")</f>
        <v>Colombia</v>
      </c>
      <c r="I51" s="15" t="str">
        <f>_xlfn.CONCAT(H51,SUBSTITUTE(SUBSTITUTE(SUBSTITUTE(TRIM(CostRateTbl[[#This Row],[Service Line]]), "-", "")," ",""),"&amp;",""))</f>
        <v>ColombiaDigitalWorkplace</v>
      </c>
      <c r="J51" s="38" t="str">
        <f>_xlfn.CONCAT(I51,SUBSTITUTE(SUBSTITUTE(SUBSTITUTE(TRIM(CostRateTbl[[#This Row],[Role]]),"-", "")," ",""),"&amp;",""))</f>
        <v>ColombiaDigitalWorkplaceExpertManagedOperations</v>
      </c>
      <c r="K51" t="s">
        <v>361</v>
      </c>
      <c r="L51" t="s">
        <v>362</v>
      </c>
      <c r="M51" t="s">
        <v>362</v>
      </c>
      <c r="N51" t="s">
        <v>362</v>
      </c>
    </row>
    <row r="52" spans="1:14">
      <c r="A52" s="472" t="s">
        <v>167</v>
      </c>
      <c r="B52" s="472" t="s">
        <v>223</v>
      </c>
      <c r="C52" s="472" t="s">
        <v>372</v>
      </c>
      <c r="D52" s="473">
        <v>20.989370000000001</v>
      </c>
      <c r="E52" s="472" t="b">
        <v>0</v>
      </c>
      <c r="F52" s="472" t="b">
        <v>0</v>
      </c>
      <c r="G52" t="str">
        <f>_xlfn.CONCAT(CostRateTbl[[#This Row],[Org Unit]],CostRateTbl[[#This Row],[Service Line]],CostRateTbl[[#This Row],[Role]],CostRateTbl[[#This Row],[BluePrint]])</f>
        <v>ColombiaDigital WorkplaceSr Expert Managed OperationsNA</v>
      </c>
      <c r="H52" s="38" t="str">
        <f>SUBSTITUTE(TRIM(CostRateTbl[[#This Row],[Org Unit]])," ","")</f>
        <v>Colombia</v>
      </c>
      <c r="I52" s="15" t="str">
        <f>_xlfn.CONCAT(H52,SUBSTITUTE(SUBSTITUTE(SUBSTITUTE(TRIM(CostRateTbl[[#This Row],[Service Line]]), "-", "")," ",""),"&amp;",""))</f>
        <v>ColombiaDigitalWorkplace</v>
      </c>
      <c r="J52" s="38" t="str">
        <f>_xlfn.CONCAT(I52,SUBSTITUTE(SUBSTITUTE(SUBSTITUTE(TRIM(CostRateTbl[[#This Row],[Role]]),"-", "")," ",""),"&amp;",""))</f>
        <v>ColombiaDigitalWorkplaceSrExpertManagedOperations</v>
      </c>
      <c r="K52" t="s">
        <v>361</v>
      </c>
      <c r="L52" t="s">
        <v>362</v>
      </c>
      <c r="M52" t="s">
        <v>362</v>
      </c>
      <c r="N52" t="s">
        <v>362</v>
      </c>
    </row>
    <row r="53" spans="1:14">
      <c r="A53" s="472" t="s">
        <v>167</v>
      </c>
      <c r="B53" s="472" t="s">
        <v>229</v>
      </c>
      <c r="C53" s="472" t="s">
        <v>369</v>
      </c>
      <c r="D53" s="473">
        <v>9.1929909999999992</v>
      </c>
      <c r="E53" s="472" t="b">
        <v>0</v>
      </c>
      <c r="F53" s="472" t="b">
        <v>1</v>
      </c>
      <c r="G53" t="str">
        <f>_xlfn.CONCAT(CostRateTbl[[#This Row],[Org Unit]],CostRateTbl[[#This Row],[Service Line]],CostRateTbl[[#This Row],[Role]],CostRateTbl[[#This Row],[BluePrint]])</f>
        <v>ColombiaHybrid Managed ServicesAssociate Expert Application DevelopmentNA</v>
      </c>
      <c r="H53" s="38" t="str">
        <f>SUBSTITUTE(TRIM(CostRateTbl[[#This Row],[Org Unit]])," ","")</f>
        <v>Colombia</v>
      </c>
      <c r="I53" s="15" t="str">
        <f>_xlfn.CONCAT(H53,SUBSTITUTE(SUBSTITUTE(SUBSTITUTE(TRIM(CostRateTbl[[#This Row],[Service Line]]), "-", "")," ",""),"&amp;",""))</f>
        <v>ColombiaHybridManagedServices</v>
      </c>
      <c r="J53" s="38" t="str">
        <f>_xlfn.CONCAT(I53,SUBSTITUTE(SUBSTITUTE(SUBSTITUTE(TRIM(CostRateTbl[[#This Row],[Role]]),"-", "")," ",""),"&amp;",""))</f>
        <v>ColombiaHybridManagedServicesAssociateExpertApplicationDevelopment</v>
      </c>
      <c r="K53" t="s">
        <v>361</v>
      </c>
      <c r="L53" t="s">
        <v>362</v>
      </c>
      <c r="M53" t="s">
        <v>362</v>
      </c>
      <c r="N53" t="s">
        <v>362</v>
      </c>
    </row>
    <row r="54" spans="1:14">
      <c r="A54" s="472" t="s">
        <v>167</v>
      </c>
      <c r="B54" s="472" t="s">
        <v>229</v>
      </c>
      <c r="C54" s="472" t="s">
        <v>184</v>
      </c>
      <c r="D54" s="473">
        <v>5.0145480000000004</v>
      </c>
      <c r="E54" s="472" t="b">
        <v>0</v>
      </c>
      <c r="F54" s="472" t="b">
        <v>1</v>
      </c>
      <c r="G54" t="str">
        <f>_xlfn.CONCAT(CostRateTbl[[#This Row],[Org Unit]],CostRateTbl[[#This Row],[Service Line]],CostRateTbl[[#This Row],[Role]],CostRateTbl[[#This Row],[BluePrint]])</f>
        <v>ColombiaHybrid Managed ServicesAssociate Expert Managed OperationsNA</v>
      </c>
      <c r="H54" s="38" t="str">
        <f>SUBSTITUTE(TRIM(CostRateTbl[[#This Row],[Org Unit]])," ","")</f>
        <v>Colombia</v>
      </c>
      <c r="I54" s="15" t="str">
        <f>_xlfn.CONCAT(H54,SUBSTITUTE(SUBSTITUTE(SUBSTITUTE(TRIM(CostRateTbl[[#This Row],[Service Line]]), "-", "")," ",""),"&amp;",""))</f>
        <v>ColombiaHybridManagedServices</v>
      </c>
      <c r="J54" s="38" t="str">
        <f>_xlfn.CONCAT(I54,SUBSTITUTE(SUBSTITUTE(SUBSTITUTE(TRIM(CostRateTbl[[#This Row],[Role]]),"-", "")," ",""),"&amp;",""))</f>
        <v>ColombiaHybridManagedServicesAssociateExpertManagedOperations</v>
      </c>
      <c r="K54" t="s">
        <v>361</v>
      </c>
      <c r="L54" t="s">
        <v>362</v>
      </c>
      <c r="M54" t="s">
        <v>362</v>
      </c>
      <c r="N54" t="s">
        <v>362</v>
      </c>
    </row>
    <row r="55" spans="1:14">
      <c r="A55" s="472" t="s">
        <v>167</v>
      </c>
      <c r="B55" s="472" t="s">
        <v>229</v>
      </c>
      <c r="C55" s="472" t="s">
        <v>370</v>
      </c>
      <c r="D55" s="473">
        <v>6.9393279999999997</v>
      </c>
      <c r="E55" s="472" t="b">
        <v>0</v>
      </c>
      <c r="F55" s="472" t="b">
        <v>1</v>
      </c>
      <c r="G55" t="str">
        <f>_xlfn.CONCAT(CostRateTbl[[#This Row],[Org Unit]],CostRateTbl[[#This Row],[Service Line]],CostRateTbl[[#This Row],[Role]],CostRateTbl[[#This Row],[BluePrint]])</f>
        <v>ColombiaHybrid Managed ServicesAssociate Expert Technology Implementation &amp; Consulting (General)NA</v>
      </c>
      <c r="H55" s="38" t="str">
        <f>SUBSTITUTE(TRIM(CostRateTbl[[#This Row],[Org Unit]])," ","")</f>
        <v>Colombia</v>
      </c>
      <c r="I55" s="15" t="str">
        <f>_xlfn.CONCAT(H55,SUBSTITUTE(SUBSTITUTE(SUBSTITUTE(TRIM(CostRateTbl[[#This Row],[Service Line]]), "-", "")," ",""),"&amp;",""))</f>
        <v>ColombiaHybridManagedServices</v>
      </c>
      <c r="J55" s="38" t="str">
        <f>_xlfn.CONCAT(I55,SUBSTITUTE(SUBSTITUTE(SUBSTITUTE(TRIM(CostRateTbl[[#This Row],[Role]]),"-", "")," ",""),"&amp;",""))</f>
        <v>ColombiaHybridManagedServicesAssociateExpertTechnologyImplementationConsulting(General)</v>
      </c>
      <c r="K55" t="s">
        <v>361</v>
      </c>
      <c r="L55" t="s">
        <v>362</v>
      </c>
      <c r="M55" t="s">
        <v>362</v>
      </c>
      <c r="N55" t="s">
        <v>362</v>
      </c>
    </row>
    <row r="56" spans="1:14">
      <c r="A56" s="472" t="s">
        <v>167</v>
      </c>
      <c r="B56" s="472" t="s">
        <v>229</v>
      </c>
      <c r="C56" s="472" t="s">
        <v>371</v>
      </c>
      <c r="D56" s="473">
        <v>16.369244999999999</v>
      </c>
      <c r="E56" s="472" t="b">
        <v>0</v>
      </c>
      <c r="F56" s="472" t="b">
        <v>0</v>
      </c>
      <c r="G56" t="str">
        <f>_xlfn.CONCAT(CostRateTbl[[#This Row],[Org Unit]],CostRateTbl[[#This Row],[Service Line]],CostRateTbl[[#This Row],[Role]],CostRateTbl[[#This Row],[BluePrint]])</f>
        <v>ColombiaHybrid Managed ServicesExpert Application DevelopmentNA</v>
      </c>
      <c r="H56" s="38" t="str">
        <f>SUBSTITUTE(TRIM(CostRateTbl[[#This Row],[Org Unit]])," ","")</f>
        <v>Colombia</v>
      </c>
      <c r="I56" s="15" t="str">
        <f>_xlfn.CONCAT(H56,SUBSTITUTE(SUBSTITUTE(SUBSTITUTE(TRIM(CostRateTbl[[#This Row],[Service Line]]), "-", "")," ",""),"&amp;",""))</f>
        <v>ColombiaHybridManagedServices</v>
      </c>
      <c r="J56" s="38" t="str">
        <f>_xlfn.CONCAT(I56,SUBSTITUTE(SUBSTITUTE(SUBSTITUTE(TRIM(CostRateTbl[[#This Row],[Role]]),"-", "")," ",""),"&amp;",""))</f>
        <v>ColombiaHybridManagedServicesExpertApplicationDevelopment</v>
      </c>
      <c r="K56" t="s">
        <v>361</v>
      </c>
      <c r="L56" t="s">
        <v>362</v>
      </c>
      <c r="M56" t="s">
        <v>362</v>
      </c>
      <c r="N56" t="s">
        <v>362</v>
      </c>
    </row>
    <row r="57" spans="1:14">
      <c r="A57" s="472" t="s">
        <v>167</v>
      </c>
      <c r="B57" s="472" t="s">
        <v>229</v>
      </c>
      <c r="C57" s="472" t="s">
        <v>180</v>
      </c>
      <c r="D57" s="473">
        <v>13.245566</v>
      </c>
      <c r="E57" s="472" t="b">
        <v>0</v>
      </c>
      <c r="F57" s="472" t="b">
        <v>1</v>
      </c>
      <c r="G57" t="str">
        <f>_xlfn.CONCAT(CostRateTbl[[#This Row],[Org Unit]],CostRateTbl[[#This Row],[Service Line]],CostRateTbl[[#This Row],[Role]],CostRateTbl[[#This Row],[BluePrint]])</f>
        <v>ColombiaHybrid Managed ServicesExpert Managed OperationsNA</v>
      </c>
      <c r="H57" s="38" t="str">
        <f>SUBSTITUTE(TRIM(CostRateTbl[[#This Row],[Org Unit]])," ","")</f>
        <v>Colombia</v>
      </c>
      <c r="I57" s="15" t="str">
        <f>_xlfn.CONCAT(H57,SUBSTITUTE(SUBSTITUTE(SUBSTITUTE(TRIM(CostRateTbl[[#This Row],[Service Line]]), "-", "")," ",""),"&amp;",""))</f>
        <v>ColombiaHybridManagedServices</v>
      </c>
      <c r="J57" s="38" t="str">
        <f>_xlfn.CONCAT(I57,SUBSTITUTE(SUBSTITUTE(SUBSTITUTE(TRIM(CostRateTbl[[#This Row],[Role]]),"-", "")," ",""),"&amp;",""))</f>
        <v>ColombiaHybridManagedServicesExpertManagedOperations</v>
      </c>
      <c r="K57" t="s">
        <v>361</v>
      </c>
      <c r="L57" t="s">
        <v>362</v>
      </c>
      <c r="M57" t="s">
        <v>362</v>
      </c>
      <c r="N57" t="s">
        <v>362</v>
      </c>
    </row>
    <row r="58" spans="1:14">
      <c r="A58" s="472" t="s">
        <v>167</v>
      </c>
      <c r="B58" s="472" t="s">
        <v>229</v>
      </c>
      <c r="C58" s="472" t="s">
        <v>178</v>
      </c>
      <c r="D58" s="473">
        <v>15.183942999999999</v>
      </c>
      <c r="E58" s="472" t="b">
        <v>0</v>
      </c>
      <c r="F58" s="472" t="b">
        <v>1</v>
      </c>
      <c r="G58" t="str">
        <f>_xlfn.CONCAT(CostRateTbl[[#This Row],[Org Unit]],CostRateTbl[[#This Row],[Service Line]],CostRateTbl[[#This Row],[Role]],CostRateTbl[[#This Row],[BluePrint]])</f>
        <v>ColombiaHybrid Managed ServicesExpert Technology &amp; Consulting Project ManagementNA</v>
      </c>
      <c r="H58" s="38" t="str">
        <f>SUBSTITUTE(TRIM(CostRateTbl[[#This Row],[Org Unit]])," ","")</f>
        <v>Colombia</v>
      </c>
      <c r="I58" s="15" t="str">
        <f>_xlfn.CONCAT(H58,SUBSTITUTE(SUBSTITUTE(SUBSTITUTE(TRIM(CostRateTbl[[#This Row],[Service Line]]), "-", "")," ",""),"&amp;",""))</f>
        <v>ColombiaHybridManagedServices</v>
      </c>
      <c r="J58" s="38" t="str">
        <f>_xlfn.CONCAT(I58,SUBSTITUTE(SUBSTITUTE(SUBSTITUTE(TRIM(CostRateTbl[[#This Row],[Role]]),"-", "")," ",""),"&amp;",""))</f>
        <v>ColombiaHybridManagedServicesExpertTechnologyConsultingProjectManagement</v>
      </c>
      <c r="K58" t="s">
        <v>361</v>
      </c>
      <c r="L58" t="s">
        <v>362</v>
      </c>
      <c r="M58" t="s">
        <v>362</v>
      </c>
      <c r="N58" t="s">
        <v>362</v>
      </c>
    </row>
    <row r="59" spans="1:14">
      <c r="A59" s="472" t="s">
        <v>167</v>
      </c>
      <c r="B59" s="472" t="s">
        <v>229</v>
      </c>
      <c r="C59" s="472" t="s">
        <v>182</v>
      </c>
      <c r="D59" s="473">
        <v>10.866734000000001</v>
      </c>
      <c r="E59" s="472" t="b">
        <v>0</v>
      </c>
      <c r="F59" s="472" t="b">
        <v>1</v>
      </c>
      <c r="G59" t="str">
        <f>_xlfn.CONCAT(CostRateTbl[[#This Row],[Org Unit]],CostRateTbl[[#This Row],[Service Line]],CostRateTbl[[#This Row],[Role]],CostRateTbl[[#This Row],[BluePrint]])</f>
        <v>ColombiaHybrid Managed ServicesExpert Technology Implementation &amp; Consulting (General)NA</v>
      </c>
      <c r="H59" s="38" t="str">
        <f>SUBSTITUTE(TRIM(CostRateTbl[[#This Row],[Org Unit]])," ","")</f>
        <v>Colombia</v>
      </c>
      <c r="I59" s="15" t="str">
        <f>_xlfn.CONCAT(H59,SUBSTITUTE(SUBSTITUTE(SUBSTITUTE(TRIM(CostRateTbl[[#This Row],[Service Line]]), "-", "")," ",""),"&amp;",""))</f>
        <v>ColombiaHybridManagedServices</v>
      </c>
      <c r="J59" s="38" t="str">
        <f>_xlfn.CONCAT(I59,SUBSTITUTE(SUBSTITUTE(SUBSTITUTE(TRIM(CostRateTbl[[#This Row],[Role]]),"-", "")," ",""),"&amp;",""))</f>
        <v>ColombiaHybridManagedServicesExpertTechnologyImplementationConsulting(General)</v>
      </c>
      <c r="K59" t="s">
        <v>361</v>
      </c>
      <c r="L59" t="s">
        <v>362</v>
      </c>
      <c r="M59" t="s">
        <v>362</v>
      </c>
      <c r="N59" t="s">
        <v>362</v>
      </c>
    </row>
    <row r="60" spans="1:14">
      <c r="A60" s="472" t="s">
        <v>167</v>
      </c>
      <c r="B60" s="472" t="s">
        <v>229</v>
      </c>
      <c r="C60" s="472" t="s">
        <v>378</v>
      </c>
      <c r="D60" s="473">
        <v>55.554724</v>
      </c>
      <c r="E60" s="472" t="b">
        <v>0</v>
      </c>
      <c r="F60" s="472" t="b">
        <v>0</v>
      </c>
      <c r="G60" t="str">
        <f>_xlfn.CONCAT(CostRateTbl[[#This Row],[Org Unit]],CostRateTbl[[#This Row],[Service Line]],CostRateTbl[[#This Row],[Role]],CostRateTbl[[#This Row],[BluePrint]])</f>
        <v>ColombiaHybrid Managed ServicesLead Expert Managed OperationsNA</v>
      </c>
      <c r="H60" s="38" t="str">
        <f>SUBSTITUTE(TRIM(CostRateTbl[[#This Row],[Org Unit]])," ","")</f>
        <v>Colombia</v>
      </c>
      <c r="I60" s="15" t="str">
        <f>_xlfn.CONCAT(H60,SUBSTITUTE(SUBSTITUTE(SUBSTITUTE(TRIM(CostRateTbl[[#This Row],[Service Line]]), "-", "")," ",""),"&amp;",""))</f>
        <v>ColombiaHybridManagedServices</v>
      </c>
      <c r="J60" s="38" t="str">
        <f>_xlfn.CONCAT(I60,SUBSTITUTE(SUBSTITUTE(SUBSTITUTE(TRIM(CostRateTbl[[#This Row],[Role]]),"-", "")," ",""),"&amp;",""))</f>
        <v>ColombiaHybridManagedServicesLeadExpertManagedOperations</v>
      </c>
      <c r="K60" t="s">
        <v>361</v>
      </c>
      <c r="L60" t="s">
        <v>362</v>
      </c>
      <c r="M60" t="s">
        <v>362</v>
      </c>
      <c r="N60" t="s">
        <v>362</v>
      </c>
    </row>
    <row r="61" spans="1:14">
      <c r="A61" s="472" t="s">
        <v>167</v>
      </c>
      <c r="B61" s="472" t="s">
        <v>229</v>
      </c>
      <c r="C61" s="472" t="s">
        <v>379</v>
      </c>
      <c r="D61" s="473">
        <v>38.528933000000002</v>
      </c>
      <c r="E61" s="472" t="b">
        <v>0</v>
      </c>
      <c r="F61" s="472" t="b">
        <v>1</v>
      </c>
      <c r="G61" t="str">
        <f>_xlfn.CONCAT(CostRateTbl[[#This Row],[Org Unit]],CostRateTbl[[#This Row],[Service Line]],CostRateTbl[[#This Row],[Role]],CostRateTbl[[#This Row],[BluePrint]])</f>
        <v>ColombiaHybrid Managed ServicesLead Expert Technology &amp; Consulting Project ManagementNA</v>
      </c>
      <c r="H61" s="38" t="str">
        <f>SUBSTITUTE(TRIM(CostRateTbl[[#This Row],[Org Unit]])," ","")</f>
        <v>Colombia</v>
      </c>
      <c r="I61" s="15" t="str">
        <f>_xlfn.CONCAT(H61,SUBSTITUTE(SUBSTITUTE(SUBSTITUTE(TRIM(CostRateTbl[[#This Row],[Service Line]]), "-", "")," ",""),"&amp;",""))</f>
        <v>ColombiaHybridManagedServices</v>
      </c>
      <c r="J61" s="38" t="str">
        <f>_xlfn.CONCAT(I61,SUBSTITUTE(SUBSTITUTE(SUBSTITUTE(TRIM(CostRateTbl[[#This Row],[Role]]),"-", "")," ",""),"&amp;",""))</f>
        <v>ColombiaHybridManagedServicesLeadExpertTechnologyConsultingProjectManagement</v>
      </c>
      <c r="K61" t="s">
        <v>361</v>
      </c>
      <c r="L61" t="s">
        <v>362</v>
      </c>
      <c r="M61" t="s">
        <v>362</v>
      </c>
      <c r="N61" t="s">
        <v>362</v>
      </c>
    </row>
    <row r="62" spans="1:14">
      <c r="A62" s="472" t="s">
        <v>167</v>
      </c>
      <c r="B62" s="472" t="s">
        <v>229</v>
      </c>
      <c r="C62" s="472" t="s">
        <v>372</v>
      </c>
      <c r="D62" s="473">
        <v>23.509741000000002</v>
      </c>
      <c r="E62" s="472" t="b">
        <v>0</v>
      </c>
      <c r="F62" s="472" t="b">
        <v>1</v>
      </c>
      <c r="G62" t="str">
        <f>_xlfn.CONCAT(CostRateTbl[[#This Row],[Org Unit]],CostRateTbl[[#This Row],[Service Line]],CostRateTbl[[#This Row],[Role]],CostRateTbl[[#This Row],[BluePrint]])</f>
        <v>ColombiaHybrid Managed ServicesSr Expert Managed OperationsNA</v>
      </c>
      <c r="H62" s="38" t="str">
        <f>SUBSTITUTE(TRIM(CostRateTbl[[#This Row],[Org Unit]])," ","")</f>
        <v>Colombia</v>
      </c>
      <c r="I62" s="15" t="str">
        <f>_xlfn.CONCAT(H62,SUBSTITUTE(SUBSTITUTE(SUBSTITUTE(TRIM(CostRateTbl[[#This Row],[Service Line]]), "-", "")," ",""),"&amp;",""))</f>
        <v>ColombiaHybridManagedServices</v>
      </c>
      <c r="J62" s="38" t="str">
        <f>_xlfn.CONCAT(I62,SUBSTITUTE(SUBSTITUTE(SUBSTITUTE(TRIM(CostRateTbl[[#This Row],[Role]]),"-", "")," ",""),"&amp;",""))</f>
        <v>ColombiaHybridManagedServicesSrExpertManagedOperations</v>
      </c>
      <c r="K62" t="s">
        <v>361</v>
      </c>
      <c r="L62" t="s">
        <v>362</v>
      </c>
      <c r="M62" t="s">
        <v>362</v>
      </c>
      <c r="N62" t="s">
        <v>362</v>
      </c>
    </row>
    <row r="63" spans="1:14">
      <c r="A63" s="472" t="s">
        <v>167</v>
      </c>
      <c r="B63" s="472" t="s">
        <v>229</v>
      </c>
      <c r="C63" s="472" t="s">
        <v>155</v>
      </c>
      <c r="D63" s="473">
        <v>22.373002000000003</v>
      </c>
      <c r="E63" s="472" t="b">
        <v>0</v>
      </c>
      <c r="F63" s="472" t="b">
        <v>1</v>
      </c>
      <c r="G63" t="str">
        <f>_xlfn.CONCAT(CostRateTbl[[#This Row],[Org Unit]],CostRateTbl[[#This Row],[Service Line]],CostRateTbl[[#This Row],[Role]],CostRateTbl[[#This Row],[BluePrint]])</f>
        <v>ColombiaHybrid Managed ServicesSr Expert Technology &amp; Consulting Project ManagementNA</v>
      </c>
      <c r="H63" s="38" t="str">
        <f>SUBSTITUTE(TRIM(CostRateTbl[[#This Row],[Org Unit]])," ","")</f>
        <v>Colombia</v>
      </c>
      <c r="I63" s="15" t="str">
        <f>_xlfn.CONCAT(H63,SUBSTITUTE(SUBSTITUTE(SUBSTITUTE(TRIM(CostRateTbl[[#This Row],[Service Line]]), "-", "")," ",""),"&amp;",""))</f>
        <v>ColombiaHybridManagedServices</v>
      </c>
      <c r="J63" s="38" t="str">
        <f>_xlfn.CONCAT(I63,SUBSTITUTE(SUBSTITUTE(SUBSTITUTE(TRIM(CostRateTbl[[#This Row],[Role]]),"-", "")," ",""),"&amp;",""))</f>
        <v>ColombiaHybridManagedServicesSrExpertTechnologyConsultingProjectManagement</v>
      </c>
      <c r="K63" t="s">
        <v>361</v>
      </c>
      <c r="L63" t="s">
        <v>362</v>
      </c>
      <c r="M63" t="s">
        <v>362</v>
      </c>
      <c r="N63" t="s">
        <v>362</v>
      </c>
    </row>
    <row r="64" spans="1:14">
      <c r="A64" s="472" t="s">
        <v>167</v>
      </c>
      <c r="B64" s="472" t="s">
        <v>177</v>
      </c>
      <c r="C64" s="472" t="s">
        <v>184</v>
      </c>
      <c r="D64" s="473">
        <v>4.0509560000000002</v>
      </c>
      <c r="E64" s="472" t="b">
        <v>0</v>
      </c>
      <c r="F64" s="472" t="b">
        <v>1</v>
      </c>
      <c r="G64" t="str">
        <f>_xlfn.CONCAT(CostRateTbl[[#This Row],[Org Unit]],CostRateTbl[[#This Row],[Service Line]],CostRateTbl[[#This Row],[Role]],CostRateTbl[[#This Row],[BluePrint]])</f>
        <v>ColombiaOther ServicesAssociate Expert Managed OperationsNA</v>
      </c>
      <c r="H64" s="38" t="str">
        <f>SUBSTITUTE(TRIM(CostRateTbl[[#This Row],[Org Unit]])," ","")</f>
        <v>Colombia</v>
      </c>
      <c r="I64" s="15" t="str">
        <f>_xlfn.CONCAT(H64,SUBSTITUTE(SUBSTITUTE(SUBSTITUTE(TRIM(CostRateTbl[[#This Row],[Service Line]]), "-", "")," ",""),"&amp;",""))</f>
        <v>ColombiaOtherServices</v>
      </c>
      <c r="J64" s="38" t="str">
        <f>_xlfn.CONCAT(I64,SUBSTITUTE(SUBSTITUTE(SUBSTITUTE(TRIM(CostRateTbl[[#This Row],[Role]]),"-", "")," ",""),"&amp;",""))</f>
        <v>ColombiaOtherServicesAssociateExpertManagedOperations</v>
      </c>
      <c r="K64" t="s">
        <v>361</v>
      </c>
      <c r="L64" t="s">
        <v>362</v>
      </c>
      <c r="M64" t="s">
        <v>362</v>
      </c>
      <c r="N64" t="s">
        <v>362</v>
      </c>
    </row>
    <row r="65" spans="1:14">
      <c r="A65" s="472" t="s">
        <v>167</v>
      </c>
      <c r="B65" s="472" t="s">
        <v>177</v>
      </c>
      <c r="C65" s="472" t="s">
        <v>368</v>
      </c>
      <c r="D65" s="473">
        <v>8.7269509999999997</v>
      </c>
      <c r="E65" s="472" t="b">
        <v>0</v>
      </c>
      <c r="F65" s="472" t="b">
        <v>1</v>
      </c>
      <c r="G65" t="str">
        <f>_xlfn.CONCAT(CostRateTbl[[#This Row],[Org Unit]],CostRateTbl[[#This Row],[Service Line]],CostRateTbl[[#This Row],[Role]],CostRateTbl[[#This Row],[BluePrint]])</f>
        <v>ColombiaOther ServicesAssociate Expert Technology &amp; Consulting Project ManagementNA</v>
      </c>
      <c r="H65" s="38" t="str">
        <f>SUBSTITUTE(TRIM(CostRateTbl[[#This Row],[Org Unit]])," ","")</f>
        <v>Colombia</v>
      </c>
      <c r="I65" s="15" t="str">
        <f>_xlfn.CONCAT(H65,SUBSTITUTE(SUBSTITUTE(SUBSTITUTE(TRIM(CostRateTbl[[#This Row],[Service Line]]), "-", "")," ",""),"&amp;",""))</f>
        <v>ColombiaOtherServices</v>
      </c>
      <c r="J65" s="38" t="str">
        <f>_xlfn.CONCAT(I65,SUBSTITUTE(SUBSTITUTE(SUBSTITUTE(TRIM(CostRateTbl[[#This Row],[Role]]),"-", "")," ",""),"&amp;",""))</f>
        <v>ColombiaOtherServicesAssociateExpertTechnologyConsultingProjectManagement</v>
      </c>
      <c r="K65" t="s">
        <v>361</v>
      </c>
      <c r="L65" t="s">
        <v>362</v>
      </c>
      <c r="M65" t="s">
        <v>362</v>
      </c>
      <c r="N65" t="s">
        <v>362</v>
      </c>
    </row>
    <row r="66" spans="1:14">
      <c r="A66" s="472" t="s">
        <v>167</v>
      </c>
      <c r="B66" s="472" t="s">
        <v>177</v>
      </c>
      <c r="C66" s="472" t="s">
        <v>180</v>
      </c>
      <c r="D66" s="473">
        <v>4.9966039999999996</v>
      </c>
      <c r="E66" s="472" t="b">
        <v>0</v>
      </c>
      <c r="F66" s="472" t="b">
        <v>1</v>
      </c>
      <c r="G66" t="str">
        <f>_xlfn.CONCAT(CostRateTbl[[#This Row],[Org Unit]],CostRateTbl[[#This Row],[Service Line]],CostRateTbl[[#This Row],[Role]],CostRateTbl[[#This Row],[BluePrint]])</f>
        <v>ColombiaOther ServicesExpert Managed OperationsNA</v>
      </c>
      <c r="H66" s="38" t="str">
        <f>SUBSTITUTE(TRIM(CostRateTbl[[#This Row],[Org Unit]])," ","")</f>
        <v>Colombia</v>
      </c>
      <c r="I66" s="15" t="str">
        <f>_xlfn.CONCAT(H66,SUBSTITUTE(SUBSTITUTE(SUBSTITUTE(TRIM(CostRateTbl[[#This Row],[Service Line]]), "-", "")," ",""),"&amp;",""))</f>
        <v>ColombiaOtherServices</v>
      </c>
      <c r="J66" s="38" t="str">
        <f>_xlfn.CONCAT(I66,SUBSTITUTE(SUBSTITUTE(SUBSTITUTE(TRIM(CostRateTbl[[#This Row],[Role]]),"-", "")," ",""),"&amp;",""))</f>
        <v>ColombiaOtherServicesExpertManagedOperations</v>
      </c>
      <c r="K66" t="s">
        <v>361</v>
      </c>
      <c r="L66" t="s">
        <v>362</v>
      </c>
      <c r="M66" t="s">
        <v>362</v>
      </c>
      <c r="N66" t="s">
        <v>362</v>
      </c>
    </row>
    <row r="67" spans="1:14">
      <c r="A67" s="472" t="s">
        <v>167</v>
      </c>
      <c r="B67" s="472" t="s">
        <v>177</v>
      </c>
      <c r="C67" s="472" t="s">
        <v>178</v>
      </c>
      <c r="D67" s="473">
        <v>15.92118</v>
      </c>
      <c r="E67" s="472" t="b">
        <v>0</v>
      </c>
      <c r="F67" s="472" t="b">
        <v>1</v>
      </c>
      <c r="G67" t="str">
        <f>_xlfn.CONCAT(CostRateTbl[[#This Row],[Org Unit]],CostRateTbl[[#This Row],[Service Line]],CostRateTbl[[#This Row],[Role]],CostRateTbl[[#This Row],[BluePrint]])</f>
        <v>ColombiaOther ServicesExpert Technology &amp; Consulting Project ManagementNA</v>
      </c>
      <c r="H67" s="38" t="str">
        <f>SUBSTITUTE(TRIM(CostRateTbl[[#This Row],[Org Unit]])," ","")</f>
        <v>Colombia</v>
      </c>
      <c r="I67" s="15" t="str">
        <f>_xlfn.CONCAT(H67,SUBSTITUTE(SUBSTITUTE(SUBSTITUTE(TRIM(CostRateTbl[[#This Row],[Service Line]]), "-", "")," ",""),"&amp;",""))</f>
        <v>ColombiaOtherServices</v>
      </c>
      <c r="J67" s="38" t="str">
        <f>_xlfn.CONCAT(I67,SUBSTITUTE(SUBSTITUTE(SUBSTITUTE(TRIM(CostRateTbl[[#This Row],[Role]]),"-", "")," ",""),"&amp;",""))</f>
        <v>ColombiaOtherServicesExpertTechnologyConsultingProjectManagement</v>
      </c>
      <c r="K67" t="s">
        <v>361</v>
      </c>
      <c r="L67" t="s">
        <v>362</v>
      </c>
      <c r="M67" t="s">
        <v>362</v>
      </c>
      <c r="N67" t="s">
        <v>362</v>
      </c>
    </row>
    <row r="68" spans="1:14">
      <c r="A68" s="472" t="s">
        <v>167</v>
      </c>
      <c r="B68" s="472" t="s">
        <v>177</v>
      </c>
      <c r="C68" s="472" t="s">
        <v>380</v>
      </c>
      <c r="D68" s="473">
        <v>3.921894</v>
      </c>
      <c r="E68" s="472" t="b">
        <v>0</v>
      </c>
      <c r="F68" s="472" t="b">
        <v>0</v>
      </c>
      <c r="G68" t="str">
        <f>_xlfn.CONCAT(CostRateTbl[[#This Row],[Org Unit]],CostRateTbl[[#This Row],[Service Line]],CostRateTbl[[#This Row],[Role]],CostRateTbl[[#This Row],[BluePrint]])</f>
        <v>ColombiaOther ServicesSpecialist Managed OperationsNA</v>
      </c>
      <c r="H68" s="38" t="str">
        <f>SUBSTITUTE(TRIM(CostRateTbl[[#This Row],[Org Unit]])," ","")</f>
        <v>Colombia</v>
      </c>
      <c r="I68" s="15" t="str">
        <f>_xlfn.CONCAT(H68,SUBSTITUTE(SUBSTITUTE(SUBSTITUTE(TRIM(CostRateTbl[[#This Row],[Service Line]]), "-", "")," ",""),"&amp;",""))</f>
        <v>ColombiaOtherServices</v>
      </c>
      <c r="J68" s="38" t="str">
        <f>_xlfn.CONCAT(I68,SUBSTITUTE(SUBSTITUTE(SUBSTITUTE(TRIM(CostRateTbl[[#This Row],[Role]]),"-", "")," ",""),"&amp;",""))</f>
        <v>ColombiaOtherServicesSpecialistManagedOperations</v>
      </c>
      <c r="K68" t="s">
        <v>361</v>
      </c>
      <c r="L68" t="s">
        <v>362</v>
      </c>
      <c r="M68" t="s">
        <v>362</v>
      </c>
      <c r="N68" t="s">
        <v>362</v>
      </c>
    </row>
    <row r="69" spans="1:14">
      <c r="A69" s="472" t="s">
        <v>167</v>
      </c>
      <c r="B69" s="472" t="s">
        <v>177</v>
      </c>
      <c r="C69" s="472" t="s">
        <v>372</v>
      </c>
      <c r="D69" s="473">
        <v>8.6422039999999996</v>
      </c>
      <c r="E69" s="472" t="b">
        <v>0</v>
      </c>
      <c r="F69" s="472" t="b">
        <v>1</v>
      </c>
      <c r="G69" t="str">
        <f>_xlfn.CONCAT(CostRateTbl[[#This Row],[Org Unit]],CostRateTbl[[#This Row],[Service Line]],CostRateTbl[[#This Row],[Role]],CostRateTbl[[#This Row],[BluePrint]])</f>
        <v>ColombiaOther ServicesSr Expert Managed OperationsNA</v>
      </c>
      <c r="H69" s="38" t="str">
        <f>SUBSTITUTE(TRIM(CostRateTbl[[#This Row],[Org Unit]])," ","")</f>
        <v>Colombia</v>
      </c>
      <c r="I69" s="15" t="str">
        <f>_xlfn.CONCAT(H69,SUBSTITUTE(SUBSTITUTE(SUBSTITUTE(TRIM(CostRateTbl[[#This Row],[Service Line]]), "-", "")," ",""),"&amp;",""))</f>
        <v>ColombiaOtherServices</v>
      </c>
      <c r="J69" s="38" t="str">
        <f>_xlfn.CONCAT(I69,SUBSTITUTE(SUBSTITUTE(SUBSTITUTE(TRIM(CostRateTbl[[#This Row],[Role]]),"-", "")," ",""),"&amp;",""))</f>
        <v>ColombiaOtherServicesSrExpertManagedOperations</v>
      </c>
      <c r="K69" t="s">
        <v>361</v>
      </c>
      <c r="L69" t="s">
        <v>362</v>
      </c>
      <c r="M69" t="s">
        <v>362</v>
      </c>
      <c r="N69" t="s">
        <v>362</v>
      </c>
    </row>
    <row r="70" spans="1:14">
      <c r="A70" s="472" t="s">
        <v>167</v>
      </c>
      <c r="B70" s="472" t="s">
        <v>177</v>
      </c>
      <c r="C70" s="472" t="s">
        <v>155</v>
      </c>
      <c r="D70" s="473">
        <v>26.468318</v>
      </c>
      <c r="E70" s="472" t="b">
        <v>0</v>
      </c>
      <c r="F70" s="472" t="b">
        <v>0</v>
      </c>
      <c r="G70" t="str">
        <f>_xlfn.CONCAT(CostRateTbl[[#This Row],[Org Unit]],CostRateTbl[[#This Row],[Service Line]],CostRateTbl[[#This Row],[Role]],CostRateTbl[[#This Row],[BluePrint]])</f>
        <v>ColombiaOther ServicesSr Expert Technology &amp; Consulting Project ManagementNA</v>
      </c>
      <c r="H70" s="38" t="str">
        <f>SUBSTITUTE(TRIM(CostRateTbl[[#This Row],[Org Unit]])," ","")</f>
        <v>Colombia</v>
      </c>
      <c r="I70" s="15" t="str">
        <f>_xlfn.CONCAT(H70,SUBSTITUTE(SUBSTITUTE(SUBSTITUTE(TRIM(CostRateTbl[[#This Row],[Service Line]]), "-", "")," ",""),"&amp;",""))</f>
        <v>ColombiaOtherServices</v>
      </c>
      <c r="J70" s="38" t="str">
        <f>_xlfn.CONCAT(I70,SUBSTITUTE(SUBSTITUTE(SUBSTITUTE(TRIM(CostRateTbl[[#This Row],[Role]]),"-", "")," ",""),"&amp;",""))</f>
        <v>ColombiaOtherServicesSrExpertTechnologyConsultingProjectManagement</v>
      </c>
      <c r="K70" t="s">
        <v>361</v>
      </c>
      <c r="L70" t="s">
        <v>362</v>
      </c>
      <c r="M70" t="s">
        <v>362</v>
      </c>
      <c r="N70" t="s">
        <v>362</v>
      </c>
    </row>
    <row r="71" spans="1:14">
      <c r="A71" s="472" t="s">
        <v>219</v>
      </c>
      <c r="B71" s="472" t="s">
        <v>169</v>
      </c>
      <c r="C71" s="472" t="s">
        <v>132</v>
      </c>
      <c r="D71" s="473">
        <v>43.837755000000001</v>
      </c>
      <c r="E71" s="472" t="b">
        <v>0</v>
      </c>
      <c r="F71" s="472" t="b">
        <v>1</v>
      </c>
      <c r="G71" t="str">
        <f>_xlfn.CONCAT(CostRateTbl[[#This Row],[Org Unit]],CostRateTbl[[#This Row],[Service Line]],CostRateTbl[[#This Row],[Role]],CostRateTbl[[#This Row],[BluePrint]])</f>
        <v>Costa RicaCloud Services AzureSr Expert Technology Implementation &amp; Consulting (General)NA</v>
      </c>
      <c r="H71" s="38" t="str">
        <f>SUBSTITUTE(TRIM(CostRateTbl[[#This Row],[Org Unit]])," ","")</f>
        <v>CostaRica</v>
      </c>
      <c r="I71" s="15" t="str">
        <f>_xlfn.CONCAT(H71,SUBSTITUTE(SUBSTITUTE(SUBSTITUTE(TRIM(CostRateTbl[[#This Row],[Service Line]]), "-", "")," ",""),"&amp;",""))</f>
        <v>CostaRicaCloudServicesAzure</v>
      </c>
      <c r="J71" s="38" t="str">
        <f>_xlfn.CONCAT(I71,SUBSTITUTE(SUBSTITUTE(SUBSTITUTE(TRIM(CostRateTbl[[#This Row],[Role]]),"-", "")," ",""),"&amp;",""))</f>
        <v>CostaRicaCloudServicesAzureSrExpertTechnologyImplementationConsulting(General)</v>
      </c>
      <c r="K71" t="s">
        <v>361</v>
      </c>
      <c r="L71" t="s">
        <v>362</v>
      </c>
      <c r="M71" t="s">
        <v>362</v>
      </c>
      <c r="N71" t="s">
        <v>362</v>
      </c>
    </row>
    <row r="72" spans="1:14">
      <c r="A72" s="472" t="s">
        <v>222</v>
      </c>
      <c r="B72" s="472" t="s">
        <v>229</v>
      </c>
      <c r="C72" s="472" t="s">
        <v>184</v>
      </c>
      <c r="D72" s="473">
        <v>5.2893150000000002</v>
      </c>
      <c r="E72" s="472" t="b">
        <v>0</v>
      </c>
      <c r="F72" s="472" t="b">
        <v>0</v>
      </c>
      <c r="G72" t="str">
        <f>_xlfn.CONCAT(CostRateTbl[[#This Row],[Org Unit]],CostRateTbl[[#This Row],[Service Line]],CostRateTbl[[#This Row],[Role]],CostRateTbl[[#This Row],[BluePrint]])</f>
        <v>Dominican RepublicHybrid Managed ServicesAssociate Expert Managed OperationsNA</v>
      </c>
      <c r="H72" s="38" t="str">
        <f>SUBSTITUTE(TRIM(CostRateTbl[[#This Row],[Org Unit]])," ","")</f>
        <v>DominicanRepublic</v>
      </c>
      <c r="I72" s="15" t="str">
        <f>_xlfn.CONCAT(H72,SUBSTITUTE(SUBSTITUTE(SUBSTITUTE(TRIM(CostRateTbl[[#This Row],[Service Line]]), "-", "")," ",""),"&amp;",""))</f>
        <v>DominicanRepublicHybridManagedServices</v>
      </c>
      <c r="J72" s="38" t="str">
        <f>_xlfn.CONCAT(I72,SUBSTITUTE(SUBSTITUTE(SUBSTITUTE(TRIM(CostRateTbl[[#This Row],[Role]]),"-", "")," ",""),"&amp;",""))</f>
        <v>DominicanRepublicHybridManagedServicesAssociateExpertManagedOperations</v>
      </c>
      <c r="K72" t="s">
        <v>361</v>
      </c>
      <c r="L72" t="s">
        <v>362</v>
      </c>
      <c r="M72" t="s">
        <v>362</v>
      </c>
      <c r="N72" t="s">
        <v>362</v>
      </c>
    </row>
    <row r="73" spans="1:14">
      <c r="A73" s="472" t="s">
        <v>222</v>
      </c>
      <c r="B73" s="472" t="s">
        <v>177</v>
      </c>
      <c r="C73" s="472" t="s">
        <v>184</v>
      </c>
      <c r="D73" s="473">
        <v>4.2048079999999999</v>
      </c>
      <c r="E73" s="472" t="b">
        <v>0</v>
      </c>
      <c r="F73" s="472" t="b">
        <v>1</v>
      </c>
      <c r="G73" t="str">
        <f>_xlfn.CONCAT(CostRateTbl[[#This Row],[Org Unit]],CostRateTbl[[#This Row],[Service Line]],CostRateTbl[[#This Row],[Role]],CostRateTbl[[#This Row],[BluePrint]])</f>
        <v>Dominican RepublicOther ServicesAssociate Expert Managed OperationsNA</v>
      </c>
      <c r="H73" s="38" t="str">
        <f>SUBSTITUTE(TRIM(CostRateTbl[[#This Row],[Org Unit]])," ","")</f>
        <v>DominicanRepublic</v>
      </c>
      <c r="I73" s="15" t="str">
        <f>_xlfn.CONCAT(H73,SUBSTITUTE(SUBSTITUTE(SUBSTITUTE(TRIM(CostRateTbl[[#This Row],[Service Line]]), "-", "")," ",""),"&amp;",""))</f>
        <v>DominicanRepublicOtherServices</v>
      </c>
      <c r="J73" s="38" t="str">
        <f>_xlfn.CONCAT(I73,SUBSTITUTE(SUBSTITUTE(SUBSTITUTE(TRIM(CostRateTbl[[#This Row],[Role]]),"-", "")," ",""),"&amp;",""))</f>
        <v>DominicanRepublicOtherServicesAssociateExpertManagedOperations</v>
      </c>
      <c r="K73" t="s">
        <v>361</v>
      </c>
      <c r="L73" t="s">
        <v>362</v>
      </c>
      <c r="M73" t="s">
        <v>362</v>
      </c>
      <c r="N73" t="s">
        <v>362</v>
      </c>
    </row>
    <row r="74" spans="1:14">
      <c r="A74" s="472" t="s">
        <v>222</v>
      </c>
      <c r="B74" s="472" t="s">
        <v>177</v>
      </c>
      <c r="C74" s="472" t="s">
        <v>368</v>
      </c>
      <c r="D74" s="473">
        <v>9.0281210000000005</v>
      </c>
      <c r="E74" s="472" t="b">
        <v>0</v>
      </c>
      <c r="F74" s="472" t="b">
        <v>0</v>
      </c>
      <c r="G74" t="str">
        <f>_xlfn.CONCAT(CostRateTbl[[#This Row],[Org Unit]],CostRateTbl[[#This Row],[Service Line]],CostRateTbl[[#This Row],[Role]],CostRateTbl[[#This Row],[BluePrint]])</f>
        <v>Dominican RepublicOther ServicesAssociate Expert Technology &amp; Consulting Project ManagementNA</v>
      </c>
      <c r="H74" s="38" t="str">
        <f>SUBSTITUTE(TRIM(CostRateTbl[[#This Row],[Org Unit]])," ","")</f>
        <v>DominicanRepublic</v>
      </c>
      <c r="I74" s="15" t="str">
        <f>_xlfn.CONCAT(H74,SUBSTITUTE(SUBSTITUTE(SUBSTITUTE(TRIM(CostRateTbl[[#This Row],[Service Line]]), "-", "")," ",""),"&amp;",""))</f>
        <v>DominicanRepublicOtherServices</v>
      </c>
      <c r="J74" s="38" t="str">
        <f>_xlfn.CONCAT(I74,SUBSTITUTE(SUBSTITUTE(SUBSTITUTE(TRIM(CostRateTbl[[#This Row],[Role]]),"-", "")," ",""),"&amp;",""))</f>
        <v>DominicanRepublicOtherServicesAssociateExpertTechnologyConsultingProjectManagement</v>
      </c>
      <c r="K74" t="s">
        <v>361</v>
      </c>
      <c r="L74" t="s">
        <v>362</v>
      </c>
      <c r="M74" t="s">
        <v>362</v>
      </c>
      <c r="N74" t="s">
        <v>362</v>
      </c>
    </row>
    <row r="75" spans="1:14">
      <c r="A75" s="472" t="s">
        <v>225</v>
      </c>
      <c r="B75" s="472" t="s">
        <v>177</v>
      </c>
      <c r="C75" s="472" t="s">
        <v>184</v>
      </c>
      <c r="D75" s="473">
        <v>7.4234870000000006</v>
      </c>
      <c r="E75" s="472" t="b">
        <v>0</v>
      </c>
      <c r="F75" s="472" t="b">
        <v>1</v>
      </c>
      <c r="G75" t="str">
        <f>_xlfn.CONCAT(CostRateTbl[[#This Row],[Org Unit]],CostRateTbl[[#This Row],[Service Line]],CostRateTbl[[#This Row],[Role]],CostRateTbl[[#This Row],[BluePrint]])</f>
        <v>EcuadorOther ServicesAssociate Expert Managed OperationsNA</v>
      </c>
      <c r="H75" s="21" t="str">
        <f>SUBSTITUTE(TRIM(CostRateTbl[[#This Row],[Org Unit]])," ","")</f>
        <v>Ecuador</v>
      </c>
      <c r="I75" s="15" t="str">
        <f>_xlfn.CONCAT(H75,SUBSTITUTE(SUBSTITUTE(SUBSTITUTE(TRIM(CostRateTbl[[#This Row],[Service Line]]), "-", "")," ",""),"&amp;",""))</f>
        <v>EcuadorOtherServices</v>
      </c>
      <c r="J75" s="21" t="str">
        <f>_xlfn.CONCAT(I75,SUBSTITUTE(SUBSTITUTE(SUBSTITUTE(TRIM(CostRateTbl[[#This Row],[Role]]),"-", "")," ",""),"&amp;",""))</f>
        <v>EcuadorOtherServicesAssociateExpertManagedOperations</v>
      </c>
      <c r="K75" t="s">
        <v>361</v>
      </c>
      <c r="L75" t="s">
        <v>362</v>
      </c>
      <c r="M75" t="s">
        <v>362</v>
      </c>
      <c r="N75" t="s">
        <v>362</v>
      </c>
    </row>
    <row r="76" spans="1:14">
      <c r="A76" s="472" t="s">
        <v>225</v>
      </c>
      <c r="B76" s="472" t="s">
        <v>177</v>
      </c>
      <c r="C76" s="472" t="s">
        <v>370</v>
      </c>
      <c r="D76" s="473">
        <v>9.8266880000000008</v>
      </c>
      <c r="E76" s="472" t="b">
        <v>0</v>
      </c>
      <c r="F76" s="472" t="b">
        <v>1</v>
      </c>
      <c r="G76" t="str">
        <f>_xlfn.CONCAT(CostRateTbl[[#This Row],[Org Unit]],CostRateTbl[[#This Row],[Service Line]],CostRateTbl[[#This Row],[Role]],CostRateTbl[[#This Row],[BluePrint]])</f>
        <v>EcuadorOther ServicesAssociate Expert Technology Implementation &amp; Consulting (General)NA</v>
      </c>
      <c r="H76" s="21" t="str">
        <f>SUBSTITUTE(TRIM(CostRateTbl[[#This Row],[Org Unit]])," ","")</f>
        <v>Ecuador</v>
      </c>
      <c r="I76" s="15" t="str">
        <f>_xlfn.CONCAT(H76,SUBSTITUTE(SUBSTITUTE(SUBSTITUTE(TRIM(CostRateTbl[[#This Row],[Service Line]]), "-", "")," ",""),"&amp;",""))</f>
        <v>EcuadorOtherServices</v>
      </c>
      <c r="J76" s="21" t="str">
        <f>_xlfn.CONCAT(I76,SUBSTITUTE(SUBSTITUTE(SUBSTITUTE(TRIM(CostRateTbl[[#This Row],[Role]]),"-", "")," ",""),"&amp;",""))</f>
        <v>EcuadorOtherServicesAssociateExpertTechnologyImplementationConsulting(General)</v>
      </c>
      <c r="K76" t="s">
        <v>361</v>
      </c>
      <c r="L76" t="s">
        <v>362</v>
      </c>
      <c r="M76" t="s">
        <v>362</v>
      </c>
      <c r="N76" t="s">
        <v>362</v>
      </c>
    </row>
    <row r="77" spans="1:14">
      <c r="A77" s="472" t="s">
        <v>225</v>
      </c>
      <c r="B77" s="472" t="s">
        <v>177</v>
      </c>
      <c r="C77" s="472" t="s">
        <v>180</v>
      </c>
      <c r="D77" s="473">
        <v>9.792527999999999</v>
      </c>
      <c r="E77" s="472" t="b">
        <v>0</v>
      </c>
      <c r="F77" s="472" t="b">
        <v>0</v>
      </c>
      <c r="G77" t="str">
        <f>_xlfn.CONCAT(CostRateTbl[[#This Row],[Org Unit]],CostRateTbl[[#This Row],[Service Line]],CostRateTbl[[#This Row],[Role]],CostRateTbl[[#This Row],[BluePrint]])</f>
        <v>EcuadorOther ServicesExpert Managed OperationsNA</v>
      </c>
      <c r="H77" s="21" t="str">
        <f>SUBSTITUTE(TRIM(CostRateTbl[[#This Row],[Org Unit]])," ","")</f>
        <v>Ecuador</v>
      </c>
      <c r="I77" s="15" t="str">
        <f>_xlfn.CONCAT(H77,SUBSTITUTE(SUBSTITUTE(SUBSTITUTE(TRIM(CostRateTbl[[#This Row],[Service Line]]), "-", "")," ",""),"&amp;",""))</f>
        <v>EcuadorOtherServices</v>
      </c>
      <c r="J77" s="21" t="str">
        <f>_xlfn.CONCAT(I77,SUBSTITUTE(SUBSTITUTE(SUBSTITUTE(TRIM(CostRateTbl[[#This Row],[Role]]),"-", "")," ",""),"&amp;",""))</f>
        <v>EcuadorOtherServicesExpertManagedOperations</v>
      </c>
      <c r="K77" t="s">
        <v>361</v>
      </c>
      <c r="L77" t="s">
        <v>362</v>
      </c>
      <c r="M77" t="s">
        <v>362</v>
      </c>
      <c r="N77" t="s">
        <v>362</v>
      </c>
    </row>
    <row r="78" spans="1:14">
      <c r="A78" s="472" t="s">
        <v>225</v>
      </c>
      <c r="B78" s="472" t="s">
        <v>177</v>
      </c>
      <c r="C78" s="472" t="s">
        <v>178</v>
      </c>
      <c r="D78" s="473">
        <v>21.006502000000001</v>
      </c>
      <c r="E78" s="472" t="b">
        <v>0</v>
      </c>
      <c r="F78" s="472" t="b">
        <v>1</v>
      </c>
      <c r="G78" t="str">
        <f>_xlfn.CONCAT(CostRateTbl[[#This Row],[Org Unit]],CostRateTbl[[#This Row],[Service Line]],CostRateTbl[[#This Row],[Role]],CostRateTbl[[#This Row],[BluePrint]])</f>
        <v>EcuadorOther ServicesExpert Technology &amp; Consulting Project ManagementNA</v>
      </c>
      <c r="H78" s="21" t="str">
        <f>SUBSTITUTE(TRIM(CostRateTbl[[#This Row],[Org Unit]])," ","")</f>
        <v>Ecuador</v>
      </c>
      <c r="I78" s="15" t="str">
        <f>_xlfn.CONCAT(H78,SUBSTITUTE(SUBSTITUTE(SUBSTITUTE(TRIM(CostRateTbl[[#This Row],[Service Line]]), "-", "")," ",""),"&amp;",""))</f>
        <v>EcuadorOtherServices</v>
      </c>
      <c r="J78" s="21" t="str">
        <f>_xlfn.CONCAT(I78,SUBSTITUTE(SUBSTITUTE(SUBSTITUTE(TRIM(CostRateTbl[[#This Row],[Role]]),"-", "")," ",""),"&amp;",""))</f>
        <v>EcuadorOtherServicesExpertTechnologyConsultingProjectManagement</v>
      </c>
      <c r="K78" t="s">
        <v>361</v>
      </c>
      <c r="L78" t="s">
        <v>362</v>
      </c>
      <c r="M78" t="s">
        <v>362</v>
      </c>
      <c r="N78" t="s">
        <v>362</v>
      </c>
    </row>
    <row r="79" spans="1:14">
      <c r="A79" s="472" t="s">
        <v>225</v>
      </c>
      <c r="B79" s="472" t="s">
        <v>177</v>
      </c>
      <c r="C79" s="472" t="s">
        <v>379</v>
      </c>
      <c r="D79" s="473">
        <v>43.612824000000003</v>
      </c>
      <c r="E79" s="472" t="b">
        <v>0</v>
      </c>
      <c r="F79" s="472" t="b">
        <v>1</v>
      </c>
      <c r="G79" t="str">
        <f>_xlfn.CONCAT(CostRateTbl[[#This Row],[Org Unit]],CostRateTbl[[#This Row],[Service Line]],CostRateTbl[[#This Row],[Role]],CostRateTbl[[#This Row],[BluePrint]])</f>
        <v>EcuadorOther ServicesLead Expert Technology &amp; Consulting Project ManagementNA</v>
      </c>
      <c r="H79" s="21" t="str">
        <f>SUBSTITUTE(TRIM(CostRateTbl[[#This Row],[Org Unit]])," ","")</f>
        <v>Ecuador</v>
      </c>
      <c r="I79" s="15" t="str">
        <f>_xlfn.CONCAT(H79,SUBSTITUTE(SUBSTITUTE(SUBSTITUTE(TRIM(CostRateTbl[[#This Row],[Service Line]]), "-", "")," ",""),"&amp;",""))</f>
        <v>EcuadorOtherServices</v>
      </c>
      <c r="J79" s="21" t="str">
        <f>_xlfn.CONCAT(I79,SUBSTITUTE(SUBSTITUTE(SUBSTITUTE(TRIM(CostRateTbl[[#This Row],[Role]]),"-", "")," ",""),"&amp;",""))</f>
        <v>EcuadorOtherServicesLeadExpertTechnologyConsultingProjectManagement</v>
      </c>
      <c r="K79" t="s">
        <v>361</v>
      </c>
      <c r="L79" t="s">
        <v>362</v>
      </c>
      <c r="M79" t="s">
        <v>362</v>
      </c>
      <c r="N79" t="s">
        <v>362</v>
      </c>
    </row>
    <row r="80" spans="1:14">
      <c r="A80" s="472" t="s">
        <v>225</v>
      </c>
      <c r="B80" s="472" t="s">
        <v>154</v>
      </c>
      <c r="C80" s="472" t="s">
        <v>155</v>
      </c>
      <c r="D80" s="473">
        <v>55.283597</v>
      </c>
      <c r="E80" s="472" t="b">
        <v>0</v>
      </c>
      <c r="F80" s="472" t="b">
        <v>1</v>
      </c>
      <c r="G80" t="str">
        <f>_xlfn.CONCAT(CostRateTbl[[#This Row],[Org Unit]],CostRateTbl[[#This Row],[Service Line]],CostRateTbl[[#This Row],[Role]],CostRateTbl[[#This Row],[BluePrint]])</f>
        <v>EcuadorProject ManagementSr Expert Technology &amp; Consulting Project ManagementNA</v>
      </c>
      <c r="H80" s="21" t="str">
        <f>SUBSTITUTE(TRIM(CostRateTbl[[#This Row],[Org Unit]])," ","")</f>
        <v>Ecuador</v>
      </c>
      <c r="I80" s="15" t="str">
        <f>_xlfn.CONCAT(H80,SUBSTITUTE(SUBSTITUTE(SUBSTITUTE(TRIM(CostRateTbl[[#This Row],[Service Line]]), "-", "")," ",""),"&amp;",""))</f>
        <v>EcuadorProjectManagement</v>
      </c>
      <c r="J80" s="21" t="str">
        <f>_xlfn.CONCAT(I80,SUBSTITUTE(SUBSTITUTE(SUBSTITUTE(TRIM(CostRateTbl[[#This Row],[Role]]),"-", "")," ",""),"&amp;",""))</f>
        <v>EcuadorProjectManagementSrExpertTechnologyConsultingProjectManagement</v>
      </c>
      <c r="K80" t="s">
        <v>361</v>
      </c>
      <c r="L80" t="s">
        <v>362</v>
      </c>
      <c r="M80" t="s">
        <v>362</v>
      </c>
      <c r="N80" t="s">
        <v>362</v>
      </c>
    </row>
    <row r="81" spans="1:14">
      <c r="A81" t="s">
        <v>239</v>
      </c>
      <c r="B81" t="s">
        <v>197</v>
      </c>
      <c r="C81" t="s">
        <v>368</v>
      </c>
      <c r="D81" s="474">
        <v>54.260320999999998</v>
      </c>
      <c r="E81" t="b">
        <v>0</v>
      </c>
      <c r="F81" t="b">
        <v>1</v>
      </c>
      <c r="G81" s="430" t="str">
        <f>_xlfn.CONCAT(CostRateTbl[[#This Row],[Org Unit]],CostRateTbl[[#This Row],[Service Line]],CostRateTbl[[#This Row],[Role]],CostRateTbl[[#This Row],[BluePrint]])</f>
        <v>MexicoApplication ServicesAssociate Expert Technology &amp; Consulting Project ManagementNA</v>
      </c>
      <c r="H81" s="21" t="str">
        <f>SUBSTITUTE(TRIM(CostRateTbl[[#This Row],[Org Unit]])," ","")</f>
        <v>Mexico</v>
      </c>
      <c r="I81" s="15" t="str">
        <f>_xlfn.CONCAT(H81,SUBSTITUTE(SUBSTITUTE(SUBSTITUTE(TRIM(CostRateTbl[[#This Row],[Service Line]]), "-", "")," ",""),"&amp;",""))</f>
        <v>MexicoApplicationServices</v>
      </c>
      <c r="J81" s="20" t="str">
        <f>_xlfn.CONCAT(I81,SUBSTITUTE(SUBSTITUTE(SUBSTITUTE(TRIM(CostRateTbl[[#This Row],[Role]]),"-", "")," ",""),"&amp;",""))</f>
        <v>MexicoApplicationServicesAssociateExpertTechnologyConsultingProjectManagement</v>
      </c>
      <c r="K81" t="s">
        <v>361</v>
      </c>
      <c r="L81" t="s">
        <v>362</v>
      </c>
      <c r="M81" t="s">
        <v>362</v>
      </c>
      <c r="N81" t="s">
        <v>362</v>
      </c>
    </row>
    <row r="82" spans="1:14">
      <c r="A82" t="s">
        <v>239</v>
      </c>
      <c r="B82" t="s">
        <v>213</v>
      </c>
      <c r="C82" t="s">
        <v>182</v>
      </c>
      <c r="D82" s="474">
        <v>42.251761999999999</v>
      </c>
      <c r="E82" t="b">
        <v>0</v>
      </c>
      <c r="F82" t="b">
        <v>1</v>
      </c>
      <c r="G82" s="430" t="str">
        <f>_xlfn.CONCAT(CostRateTbl[[#This Row],[Org Unit]],CostRateTbl[[#This Row],[Service Line]],CostRateTbl[[#This Row],[Role]],CostRateTbl[[#This Row],[BluePrint]])</f>
        <v>MexicoCloud Services AWSExpert Technology Implementation &amp; Consulting (General)NA</v>
      </c>
      <c r="H82" s="21" t="str">
        <f>SUBSTITUTE(TRIM(CostRateTbl[[#This Row],[Org Unit]])," ","")</f>
        <v>Mexico</v>
      </c>
      <c r="I82" s="15" t="str">
        <f>_xlfn.CONCAT(H82,SUBSTITUTE(SUBSTITUTE(SUBSTITUTE(TRIM(CostRateTbl[[#This Row],[Service Line]]), "-", "")," ",""),"&amp;",""))</f>
        <v>MexicoCloudServicesAWS</v>
      </c>
      <c r="J82" s="20" t="str">
        <f>_xlfn.CONCAT(I82,SUBSTITUTE(SUBSTITUTE(SUBSTITUTE(TRIM(CostRateTbl[[#This Row],[Role]]),"-", "")," ",""),"&amp;",""))</f>
        <v>MexicoCloudServicesAWSExpertTechnologyImplementationConsulting(General)</v>
      </c>
      <c r="K82" t="s">
        <v>361</v>
      </c>
      <c r="L82" t="s">
        <v>362</v>
      </c>
      <c r="M82" t="s">
        <v>362</v>
      </c>
      <c r="N82" t="s">
        <v>362</v>
      </c>
    </row>
    <row r="83" spans="1:14">
      <c r="A83" t="s">
        <v>239</v>
      </c>
      <c r="B83" t="s">
        <v>229</v>
      </c>
      <c r="C83" t="s">
        <v>381</v>
      </c>
      <c r="D83" s="474">
        <v>27.904805</v>
      </c>
      <c r="E83" t="b">
        <v>0</v>
      </c>
      <c r="F83" t="b">
        <v>1</v>
      </c>
      <c r="G83" s="430" t="str">
        <f>_xlfn.CONCAT(CostRateTbl[[#This Row],[Org Unit]],CostRateTbl[[#This Row],[Service Line]],CostRateTbl[[#This Row],[Role]],CostRateTbl[[#This Row],[BluePrint]])</f>
        <v>MexicoHybrid Managed ServicesAssociate Expert Information Technology (General)NA</v>
      </c>
      <c r="H83" s="21" t="str">
        <f>SUBSTITUTE(TRIM(CostRateTbl[[#This Row],[Org Unit]])," ","")</f>
        <v>Mexico</v>
      </c>
      <c r="I83" s="15" t="str">
        <f>_xlfn.CONCAT(H83,SUBSTITUTE(SUBSTITUTE(SUBSTITUTE(TRIM(CostRateTbl[[#This Row],[Service Line]]), "-", "")," ",""),"&amp;",""))</f>
        <v>MexicoHybridManagedServices</v>
      </c>
      <c r="J83" s="20" t="str">
        <f>_xlfn.CONCAT(I83,SUBSTITUTE(SUBSTITUTE(SUBSTITUTE(TRIM(CostRateTbl[[#This Row],[Role]]),"-", "")," ",""),"&amp;",""))</f>
        <v>MexicoHybridManagedServicesAssociateExpertInformationTechnology(General)</v>
      </c>
      <c r="K83" t="s">
        <v>361</v>
      </c>
      <c r="L83" t="s">
        <v>362</v>
      </c>
      <c r="M83" t="s">
        <v>362</v>
      </c>
      <c r="N83" t="s">
        <v>362</v>
      </c>
    </row>
    <row r="84" spans="1:14">
      <c r="A84" t="s">
        <v>239</v>
      </c>
      <c r="B84" t="s">
        <v>229</v>
      </c>
      <c r="C84" t="s">
        <v>184</v>
      </c>
      <c r="D84" s="474">
        <v>15.407605</v>
      </c>
      <c r="E84" t="b">
        <v>0</v>
      </c>
      <c r="F84" t="b">
        <v>0</v>
      </c>
      <c r="G84" s="430" t="str">
        <f>_xlfn.CONCAT(CostRateTbl[[#This Row],[Org Unit]],CostRateTbl[[#This Row],[Service Line]],CostRateTbl[[#This Row],[Role]],CostRateTbl[[#This Row],[BluePrint]])</f>
        <v>MexicoHybrid Managed ServicesAssociate Expert Managed OperationsNA</v>
      </c>
      <c r="H84" s="21" t="str">
        <f>SUBSTITUTE(TRIM(CostRateTbl[[#This Row],[Org Unit]])," ","")</f>
        <v>Mexico</v>
      </c>
      <c r="I84" s="15" t="str">
        <f>_xlfn.CONCAT(H84,SUBSTITUTE(SUBSTITUTE(SUBSTITUTE(TRIM(CostRateTbl[[#This Row],[Service Line]]), "-", "")," ",""),"&amp;",""))</f>
        <v>MexicoHybridManagedServices</v>
      </c>
      <c r="J84" s="20" t="str">
        <f>_xlfn.CONCAT(I84,SUBSTITUTE(SUBSTITUTE(SUBSTITUTE(TRIM(CostRateTbl[[#This Row],[Role]]),"-", "")," ",""),"&amp;",""))</f>
        <v>MexicoHybridManagedServicesAssociateExpertManagedOperations</v>
      </c>
      <c r="K84" t="s">
        <v>361</v>
      </c>
      <c r="L84" t="s">
        <v>362</v>
      </c>
      <c r="M84" t="s">
        <v>362</v>
      </c>
      <c r="N84" t="s">
        <v>362</v>
      </c>
    </row>
    <row r="85" spans="1:14">
      <c r="A85" t="s">
        <v>239</v>
      </c>
      <c r="B85" t="s">
        <v>229</v>
      </c>
      <c r="C85" t="s">
        <v>180</v>
      </c>
      <c r="D85" s="474">
        <v>11.987971</v>
      </c>
      <c r="E85" t="b">
        <v>0</v>
      </c>
      <c r="F85" t="b">
        <v>0</v>
      </c>
      <c r="G85" s="430" t="str">
        <f>_xlfn.CONCAT(CostRateTbl[[#This Row],[Org Unit]],CostRateTbl[[#This Row],[Service Line]],CostRateTbl[[#This Row],[Role]],CostRateTbl[[#This Row],[BluePrint]])</f>
        <v>MexicoHybrid Managed ServicesExpert Managed OperationsNA</v>
      </c>
      <c r="H85" s="21" t="str">
        <f>SUBSTITUTE(TRIM(CostRateTbl[[#This Row],[Org Unit]])," ","")</f>
        <v>Mexico</v>
      </c>
      <c r="I85" s="15" t="str">
        <f>_xlfn.CONCAT(H85,SUBSTITUTE(SUBSTITUTE(SUBSTITUTE(TRIM(CostRateTbl[[#This Row],[Service Line]]), "-", "")," ",""),"&amp;",""))</f>
        <v>MexicoHybridManagedServices</v>
      </c>
      <c r="J85" s="20" t="str">
        <f>_xlfn.CONCAT(I85,SUBSTITUTE(SUBSTITUTE(SUBSTITUTE(TRIM(CostRateTbl[[#This Row],[Role]]),"-", "")," ",""),"&amp;",""))</f>
        <v>MexicoHybridManagedServicesExpertManagedOperations</v>
      </c>
      <c r="K85" t="s">
        <v>361</v>
      </c>
      <c r="L85" t="s">
        <v>362</v>
      </c>
      <c r="M85" t="s">
        <v>362</v>
      </c>
      <c r="N85" t="s">
        <v>362</v>
      </c>
    </row>
    <row r="86" spans="1:14">
      <c r="A86" t="s">
        <v>239</v>
      </c>
      <c r="B86" t="s">
        <v>229</v>
      </c>
      <c r="C86" t="s">
        <v>379</v>
      </c>
      <c r="D86" s="474">
        <v>33.494667</v>
      </c>
      <c r="E86" t="b">
        <v>0</v>
      </c>
      <c r="F86" t="b">
        <v>1</v>
      </c>
      <c r="G86" s="430" t="str">
        <f>_xlfn.CONCAT(CostRateTbl[[#This Row],[Org Unit]],CostRateTbl[[#This Row],[Service Line]],CostRateTbl[[#This Row],[Role]],CostRateTbl[[#This Row],[BluePrint]])</f>
        <v>MexicoHybrid Managed ServicesLead Expert Technology &amp; Consulting Project ManagementNA</v>
      </c>
      <c r="H86" s="21" t="str">
        <f>SUBSTITUTE(TRIM(CostRateTbl[[#This Row],[Org Unit]])," ","")</f>
        <v>Mexico</v>
      </c>
      <c r="I86" s="15" t="str">
        <f>_xlfn.CONCAT(H86,SUBSTITUTE(SUBSTITUTE(SUBSTITUTE(TRIM(CostRateTbl[[#This Row],[Service Line]]), "-", "")," ",""),"&amp;",""))</f>
        <v>MexicoHybridManagedServices</v>
      </c>
      <c r="J86" s="20" t="str">
        <f>_xlfn.CONCAT(I86,SUBSTITUTE(SUBSTITUTE(SUBSTITUTE(TRIM(CostRateTbl[[#This Row],[Role]]),"-", "")," ",""),"&amp;",""))</f>
        <v>MexicoHybridManagedServicesLeadExpertTechnologyConsultingProjectManagement</v>
      </c>
      <c r="K86" t="s">
        <v>361</v>
      </c>
      <c r="L86" t="s">
        <v>362</v>
      </c>
      <c r="M86" t="s">
        <v>362</v>
      </c>
      <c r="N86" t="s">
        <v>362</v>
      </c>
    </row>
    <row r="87" spans="1:14">
      <c r="A87" t="s">
        <v>239</v>
      </c>
      <c r="B87" t="s">
        <v>177</v>
      </c>
      <c r="C87" t="s">
        <v>184</v>
      </c>
      <c r="D87" s="474">
        <v>8.3807899999999993</v>
      </c>
      <c r="E87" t="b">
        <v>0</v>
      </c>
      <c r="F87" t="b">
        <v>1</v>
      </c>
      <c r="G87" s="430" t="str">
        <f>_xlfn.CONCAT(CostRateTbl[[#This Row],[Org Unit]],CostRateTbl[[#This Row],[Service Line]],CostRateTbl[[#This Row],[Role]],CostRateTbl[[#This Row],[BluePrint]])</f>
        <v>MexicoOther ServicesAssociate Expert Managed OperationsNA</v>
      </c>
      <c r="H87" s="21" t="str">
        <f>SUBSTITUTE(TRIM(CostRateTbl[[#This Row],[Org Unit]])," ","")</f>
        <v>Mexico</v>
      </c>
      <c r="I87" s="15" t="str">
        <f>_xlfn.CONCAT(H87,SUBSTITUTE(SUBSTITUTE(SUBSTITUTE(TRIM(CostRateTbl[[#This Row],[Service Line]]), "-", "")," ",""),"&amp;",""))</f>
        <v>MexicoOtherServices</v>
      </c>
      <c r="J87" s="20" t="str">
        <f>_xlfn.CONCAT(I87,SUBSTITUTE(SUBSTITUTE(SUBSTITUTE(TRIM(CostRateTbl[[#This Row],[Role]]),"-", "")," ",""),"&amp;",""))</f>
        <v>MexicoOtherServicesAssociateExpertManagedOperations</v>
      </c>
      <c r="K87" t="s">
        <v>361</v>
      </c>
      <c r="L87" t="s">
        <v>362</v>
      </c>
      <c r="M87" t="s">
        <v>362</v>
      </c>
      <c r="N87" t="s">
        <v>362</v>
      </c>
    </row>
    <row r="88" spans="1:14">
      <c r="A88" t="s">
        <v>239</v>
      </c>
      <c r="B88" t="s">
        <v>177</v>
      </c>
      <c r="C88" t="s">
        <v>368</v>
      </c>
      <c r="D88" s="474">
        <v>7.7836029999999994</v>
      </c>
      <c r="E88" t="b">
        <v>0</v>
      </c>
      <c r="F88" t="b">
        <v>1</v>
      </c>
      <c r="G88" s="430" t="str">
        <f>_xlfn.CONCAT(CostRateTbl[[#This Row],[Org Unit]],CostRateTbl[[#This Row],[Service Line]],CostRateTbl[[#This Row],[Role]],CostRateTbl[[#This Row],[BluePrint]])</f>
        <v>MexicoOther ServicesAssociate Expert Technology &amp; Consulting Project ManagementNA</v>
      </c>
      <c r="H88" s="21" t="str">
        <f>SUBSTITUTE(TRIM(CostRateTbl[[#This Row],[Org Unit]])," ","")</f>
        <v>Mexico</v>
      </c>
      <c r="I88" s="15" t="str">
        <f>_xlfn.CONCAT(H88,SUBSTITUTE(SUBSTITUTE(SUBSTITUTE(TRIM(CostRateTbl[[#This Row],[Service Line]]), "-", "")," ",""),"&amp;",""))</f>
        <v>MexicoOtherServices</v>
      </c>
      <c r="J88" s="20" t="str">
        <f>_xlfn.CONCAT(I88,SUBSTITUTE(SUBSTITUTE(SUBSTITUTE(TRIM(CostRateTbl[[#This Row],[Role]]),"-", "")," ",""),"&amp;",""))</f>
        <v>MexicoOtherServicesAssociateExpertTechnologyConsultingProjectManagement</v>
      </c>
      <c r="K88" t="s">
        <v>361</v>
      </c>
      <c r="L88" t="s">
        <v>362</v>
      </c>
      <c r="M88" t="s">
        <v>362</v>
      </c>
      <c r="N88" t="s">
        <v>362</v>
      </c>
    </row>
    <row r="89" spans="1:14">
      <c r="A89" t="s">
        <v>241</v>
      </c>
      <c r="B89" t="s">
        <v>229</v>
      </c>
      <c r="C89" t="s">
        <v>184</v>
      </c>
      <c r="D89" s="474">
        <v>10.455457000000001</v>
      </c>
      <c r="E89" t="b">
        <v>0</v>
      </c>
      <c r="F89" t="b">
        <v>1</v>
      </c>
      <c r="G89" s="430" t="str">
        <f>_xlfn.CONCAT(CostRateTbl[[#This Row],[Org Unit]],CostRateTbl[[#This Row],[Service Line]],CostRateTbl[[#This Row],[Role]],CostRateTbl[[#This Row],[BluePrint]])</f>
        <v>PeruHybrid Managed ServicesAssociate Expert Managed OperationsNA</v>
      </c>
      <c r="H89" s="21" t="str">
        <f>SUBSTITUTE(TRIM(CostRateTbl[[#This Row],[Org Unit]])," ","")</f>
        <v>Peru</v>
      </c>
      <c r="I89" s="15" t="str">
        <f>_xlfn.CONCAT(H89,SUBSTITUTE(SUBSTITUTE(SUBSTITUTE(TRIM(CostRateTbl[[#This Row],[Service Line]]), "-", "")," ",""),"&amp;",""))</f>
        <v>PeruHybridManagedServices</v>
      </c>
      <c r="J89" s="20" t="str">
        <f>_xlfn.CONCAT(I89,SUBSTITUTE(SUBSTITUTE(SUBSTITUTE(TRIM(CostRateTbl[[#This Row],[Role]]),"-", "")," ",""),"&amp;",""))</f>
        <v>PeruHybridManagedServicesAssociateExpertManagedOperations</v>
      </c>
      <c r="K89" t="s">
        <v>361</v>
      </c>
      <c r="L89" t="s">
        <v>362</v>
      </c>
      <c r="M89" t="s">
        <v>362</v>
      </c>
      <c r="N89" t="s">
        <v>362</v>
      </c>
    </row>
    <row r="90" spans="1:14">
      <c r="A90" t="s">
        <v>241</v>
      </c>
      <c r="B90" t="s">
        <v>177</v>
      </c>
      <c r="C90" t="s">
        <v>184</v>
      </c>
      <c r="D90" s="474">
        <v>5.9916960000000001</v>
      </c>
      <c r="E90" t="b">
        <v>0</v>
      </c>
      <c r="F90" t="b">
        <v>1</v>
      </c>
      <c r="G90" s="430" t="str">
        <f>_xlfn.CONCAT(CostRateTbl[[#This Row],[Org Unit]],CostRateTbl[[#This Row],[Service Line]],CostRateTbl[[#This Row],[Role]],CostRateTbl[[#This Row],[BluePrint]])</f>
        <v>PeruOther ServicesAssociate Expert Managed OperationsNA</v>
      </c>
      <c r="H90" s="21" t="str">
        <f>SUBSTITUTE(TRIM(CostRateTbl[[#This Row],[Org Unit]])," ","")</f>
        <v>Peru</v>
      </c>
      <c r="I90" s="15" t="str">
        <f>_xlfn.CONCAT(H90,SUBSTITUTE(SUBSTITUTE(SUBSTITUTE(TRIM(CostRateTbl[[#This Row],[Service Line]]), "-", "")," ",""),"&amp;",""))</f>
        <v>PeruOtherServices</v>
      </c>
      <c r="J90" s="20" t="str">
        <f>_xlfn.CONCAT(I90,SUBSTITUTE(SUBSTITUTE(SUBSTITUTE(TRIM(CostRateTbl[[#This Row],[Role]]),"-", "")," ",""),"&amp;",""))</f>
        <v>PeruOtherServicesAssociateExpertManagedOperations</v>
      </c>
      <c r="K90" t="s">
        <v>361</v>
      </c>
      <c r="L90" t="s">
        <v>362</v>
      </c>
      <c r="M90" t="s">
        <v>362</v>
      </c>
      <c r="N90" t="s">
        <v>362</v>
      </c>
    </row>
    <row r="91" spans="1:14">
      <c r="A91" s="475" t="s">
        <v>243</v>
      </c>
      <c r="B91" t="s">
        <v>197</v>
      </c>
      <c r="C91" t="s">
        <v>369</v>
      </c>
      <c r="D91" s="477">
        <v>24.514409999999998</v>
      </c>
      <c r="E91" t="b">
        <v>0</v>
      </c>
      <c r="F91" t="b">
        <v>1</v>
      </c>
      <c r="G91" t="str">
        <f>_xlfn.CONCAT(CostRateTbl[[#This Row],[Org Unit]],CostRateTbl[[#This Row],[Service Line]],CostRateTbl[[#This Row],[Role]],CostRateTbl[[#This Row],[BluePrint]])</f>
        <v>SpainApplication ServicesAssociate Expert Application DevelopmentNA</v>
      </c>
      <c r="H91" s="21" t="str">
        <f>SUBSTITUTE(TRIM(CostRateTbl[[#This Row],[Org Unit]])," ","")</f>
        <v>Spain</v>
      </c>
      <c r="I91" s="15" t="str">
        <f>_xlfn.CONCAT(H91,SUBSTITUTE(SUBSTITUTE(SUBSTITUTE(TRIM(CostRateTbl[[#This Row],[Service Line]]), "-", "")," ",""),"&amp;",""))</f>
        <v>SpainApplicationServices</v>
      </c>
      <c r="J91" s="21" t="str">
        <f>_xlfn.CONCAT(I91,SUBSTITUTE(SUBSTITUTE(SUBSTITUTE(TRIM(CostRateTbl[[#This Row],[Role]]),"-", "")," ",""),"&amp;",""))</f>
        <v>SpainApplicationServicesAssociateExpertApplicationDevelopment</v>
      </c>
      <c r="K91" t="s">
        <v>361</v>
      </c>
      <c r="L91" t="s">
        <v>362</v>
      </c>
      <c r="M91" t="s">
        <v>362</v>
      </c>
      <c r="N91" t="s">
        <v>362</v>
      </c>
    </row>
    <row r="92" spans="1:14">
      <c r="A92" s="475" t="s">
        <v>243</v>
      </c>
      <c r="B92" t="s">
        <v>197</v>
      </c>
      <c r="C92" t="s">
        <v>382</v>
      </c>
      <c r="D92" s="477">
        <v>24.807139000000003</v>
      </c>
      <c r="E92" t="b">
        <v>0</v>
      </c>
      <c r="F92" t="b">
        <v>1</v>
      </c>
      <c r="G92" t="str">
        <f>_xlfn.CONCAT(CostRateTbl[[#This Row],[Org Unit]],CostRateTbl[[#This Row],[Service Line]],CostRateTbl[[#This Row],[Role]],CostRateTbl[[#This Row],[BluePrint]])</f>
        <v>SpainApplication ServicesAssociate Expert Data Intelligence (General)NA</v>
      </c>
      <c r="H92" s="21" t="str">
        <f>SUBSTITUTE(TRIM(CostRateTbl[[#This Row],[Org Unit]])," ","")</f>
        <v>Spain</v>
      </c>
      <c r="I92" s="15" t="str">
        <f>_xlfn.CONCAT(H92,SUBSTITUTE(SUBSTITUTE(SUBSTITUTE(TRIM(CostRateTbl[[#This Row],[Service Line]]), "-", "")," ",""),"&amp;",""))</f>
        <v>SpainApplicationServices</v>
      </c>
      <c r="J92" s="21" t="str">
        <f>_xlfn.CONCAT(I92,SUBSTITUTE(SUBSTITUTE(SUBSTITUTE(TRIM(CostRateTbl[[#This Row],[Role]]),"-", "")," ",""),"&amp;",""))</f>
        <v>SpainApplicationServicesAssociateExpertDataIntelligence(General)</v>
      </c>
      <c r="K92" t="s">
        <v>361</v>
      </c>
      <c r="L92" t="s">
        <v>362</v>
      </c>
      <c r="M92" t="s">
        <v>362</v>
      </c>
      <c r="N92" t="s">
        <v>362</v>
      </c>
    </row>
    <row r="93" spans="1:14">
      <c r="A93" s="475" t="s">
        <v>243</v>
      </c>
      <c r="B93" t="s">
        <v>197</v>
      </c>
      <c r="C93" t="s">
        <v>368</v>
      </c>
      <c r="D93" s="477">
        <v>58.373846000000007</v>
      </c>
      <c r="E93" t="b">
        <v>0</v>
      </c>
      <c r="F93" t="b">
        <v>1</v>
      </c>
      <c r="G93" t="str">
        <f>_xlfn.CONCAT(CostRateTbl[[#This Row],[Org Unit]],CostRateTbl[[#This Row],[Service Line]],CostRateTbl[[#This Row],[Role]],CostRateTbl[[#This Row],[BluePrint]])</f>
        <v>SpainApplication ServicesAssociate Expert Technology &amp; Consulting Project ManagementNA</v>
      </c>
      <c r="H93" s="21" t="str">
        <f>SUBSTITUTE(TRIM(CostRateTbl[[#This Row],[Org Unit]])," ","")</f>
        <v>Spain</v>
      </c>
      <c r="I93" s="15" t="str">
        <f>_xlfn.CONCAT(H93,SUBSTITUTE(SUBSTITUTE(SUBSTITUTE(TRIM(CostRateTbl[[#This Row],[Service Line]]), "-", "")," ",""),"&amp;",""))</f>
        <v>SpainApplicationServices</v>
      </c>
      <c r="J93" s="21" t="str">
        <f>_xlfn.CONCAT(I93,SUBSTITUTE(SUBSTITUTE(SUBSTITUTE(TRIM(CostRateTbl[[#This Row],[Role]]),"-", "")," ",""),"&amp;",""))</f>
        <v>SpainApplicationServicesAssociateExpertTechnologyConsultingProjectManagement</v>
      </c>
      <c r="K93" t="s">
        <v>361</v>
      </c>
      <c r="L93" t="s">
        <v>362</v>
      </c>
      <c r="M93" t="s">
        <v>362</v>
      </c>
      <c r="N93" t="s">
        <v>362</v>
      </c>
    </row>
    <row r="94" spans="1:14">
      <c r="A94" s="475" t="s">
        <v>243</v>
      </c>
      <c r="B94" t="s">
        <v>197</v>
      </c>
      <c r="C94" t="s">
        <v>383</v>
      </c>
      <c r="D94" s="477">
        <v>53.432706000000003</v>
      </c>
      <c r="E94" t="b">
        <v>0</v>
      </c>
      <c r="F94" t="b">
        <v>0</v>
      </c>
      <c r="G94" t="str">
        <f>_xlfn.CONCAT(CostRateTbl[[#This Row],[Org Unit]],CostRateTbl[[#This Row],[Service Line]],CostRateTbl[[#This Row],[Role]],CostRateTbl[[#This Row],[BluePrint]])</f>
        <v>SpainApplication ServicesAssociate Expert Technology And Consulting Project managerNA</v>
      </c>
      <c r="H94" s="21" t="str">
        <f>SUBSTITUTE(TRIM(CostRateTbl[[#This Row],[Org Unit]])," ","")</f>
        <v>Spain</v>
      </c>
      <c r="I94" s="15" t="str">
        <f>_xlfn.CONCAT(H94,SUBSTITUTE(SUBSTITUTE(SUBSTITUTE(TRIM(CostRateTbl[[#This Row],[Service Line]]), "-", "")," ",""),"&amp;",""))</f>
        <v>SpainApplicationServices</v>
      </c>
      <c r="J94" s="21" t="str">
        <f>_xlfn.CONCAT(I94,SUBSTITUTE(SUBSTITUTE(SUBSTITUTE(TRIM(CostRateTbl[[#This Row],[Role]]),"-", "")," ",""),"&amp;",""))</f>
        <v>SpainApplicationServicesAssociateExpertTechnologyAndConsultingProjectmanager</v>
      </c>
      <c r="K94" t="s">
        <v>361</v>
      </c>
      <c r="L94" t="s">
        <v>362</v>
      </c>
      <c r="M94" t="s">
        <v>362</v>
      </c>
      <c r="N94" t="s">
        <v>362</v>
      </c>
    </row>
    <row r="95" spans="1:14">
      <c r="A95" s="475" t="s">
        <v>243</v>
      </c>
      <c r="B95" t="s">
        <v>197</v>
      </c>
      <c r="C95" t="s">
        <v>370</v>
      </c>
      <c r="D95" s="477">
        <v>24.407411</v>
      </c>
      <c r="E95" t="b">
        <v>0</v>
      </c>
      <c r="F95" t="b">
        <v>1</v>
      </c>
      <c r="G95" t="str">
        <f>_xlfn.CONCAT(CostRateTbl[[#This Row],[Org Unit]],CostRateTbl[[#This Row],[Service Line]],CostRateTbl[[#This Row],[Role]],CostRateTbl[[#This Row],[BluePrint]])</f>
        <v>SpainApplication ServicesAssociate Expert Technology Implementation &amp; Consulting (General)NA</v>
      </c>
      <c r="H95" s="21" t="str">
        <f>SUBSTITUTE(TRIM(CostRateTbl[[#This Row],[Org Unit]])," ","")</f>
        <v>Spain</v>
      </c>
      <c r="I95" s="15" t="str">
        <f>_xlfn.CONCAT(H95,SUBSTITUTE(SUBSTITUTE(SUBSTITUTE(TRIM(CostRateTbl[[#This Row],[Service Line]]), "-", "")," ",""),"&amp;",""))</f>
        <v>SpainApplicationServices</v>
      </c>
      <c r="J95" s="21" t="str">
        <f>_xlfn.CONCAT(I95,SUBSTITUTE(SUBSTITUTE(SUBSTITUTE(TRIM(CostRateTbl[[#This Row],[Role]]),"-", "")," ",""),"&amp;",""))</f>
        <v>SpainApplicationServicesAssociateExpertTechnologyImplementationConsulting(General)</v>
      </c>
      <c r="K95" t="s">
        <v>361</v>
      </c>
      <c r="L95" t="s">
        <v>362</v>
      </c>
      <c r="M95" t="s">
        <v>362</v>
      </c>
      <c r="N95" t="s">
        <v>362</v>
      </c>
    </row>
    <row r="96" spans="1:14">
      <c r="A96" s="475" t="s">
        <v>243</v>
      </c>
      <c r="B96" t="s">
        <v>197</v>
      </c>
      <c r="C96" t="s">
        <v>371</v>
      </c>
      <c r="D96" s="477">
        <v>36.906587000000002</v>
      </c>
      <c r="E96" t="b">
        <v>0</v>
      </c>
      <c r="F96" t="b">
        <v>1</v>
      </c>
      <c r="G96" t="str">
        <f>_xlfn.CONCAT(CostRateTbl[[#This Row],[Org Unit]],CostRateTbl[[#This Row],[Service Line]],CostRateTbl[[#This Row],[Role]],CostRateTbl[[#This Row],[BluePrint]])</f>
        <v>SpainApplication ServicesExpert Application DevelopmentNA</v>
      </c>
      <c r="H96" s="21" t="str">
        <f>SUBSTITUTE(TRIM(CostRateTbl[[#This Row],[Org Unit]])," ","")</f>
        <v>Spain</v>
      </c>
      <c r="I96" s="15" t="str">
        <f>_xlfn.CONCAT(H96,SUBSTITUTE(SUBSTITUTE(SUBSTITUTE(TRIM(CostRateTbl[[#This Row],[Service Line]]), "-", "")," ",""),"&amp;",""))</f>
        <v>SpainApplicationServices</v>
      </c>
      <c r="J96" s="21" t="str">
        <f>_xlfn.CONCAT(I96,SUBSTITUTE(SUBSTITUTE(SUBSTITUTE(TRIM(CostRateTbl[[#This Row],[Role]]),"-", "")," ",""),"&amp;",""))</f>
        <v>SpainApplicationServicesExpertApplicationDevelopment</v>
      </c>
      <c r="K96" t="s">
        <v>361</v>
      </c>
      <c r="L96" t="s">
        <v>362</v>
      </c>
      <c r="M96" t="s">
        <v>362</v>
      </c>
      <c r="N96" t="s">
        <v>362</v>
      </c>
    </row>
    <row r="97" spans="1:14">
      <c r="A97" s="475" t="s">
        <v>243</v>
      </c>
      <c r="B97" t="s">
        <v>197</v>
      </c>
      <c r="C97" t="s">
        <v>366</v>
      </c>
      <c r="D97" s="477">
        <v>141.72931700000001</v>
      </c>
      <c r="E97" t="b">
        <v>0</v>
      </c>
      <c r="F97" t="b">
        <v>1</v>
      </c>
      <c r="G97" t="str">
        <f>_xlfn.CONCAT(CostRateTbl[[#This Row],[Org Unit]],CostRateTbl[[#This Row],[Service Line]],CostRateTbl[[#This Row],[Role]],CostRateTbl[[#This Row],[BluePrint]])</f>
        <v>SpainApplication ServicesExpert Business Consulting and AdvisoryNA</v>
      </c>
      <c r="H97" s="21" t="str">
        <f>SUBSTITUTE(TRIM(CostRateTbl[[#This Row],[Org Unit]])," ","")</f>
        <v>Spain</v>
      </c>
      <c r="I97" s="15" t="str">
        <f>_xlfn.CONCAT(H97,SUBSTITUTE(SUBSTITUTE(SUBSTITUTE(TRIM(CostRateTbl[[#This Row],[Service Line]]), "-", "")," ",""),"&amp;",""))</f>
        <v>SpainApplicationServices</v>
      </c>
      <c r="J97" s="21" t="str">
        <f>_xlfn.CONCAT(I97,SUBSTITUTE(SUBSTITUTE(SUBSTITUTE(TRIM(CostRateTbl[[#This Row],[Role]]),"-", "")," ",""),"&amp;",""))</f>
        <v>SpainApplicationServicesExpertBusinessConsultingandAdvisory</v>
      </c>
      <c r="K97" t="s">
        <v>361</v>
      </c>
      <c r="L97" t="s">
        <v>362</v>
      </c>
      <c r="M97" t="s">
        <v>362</v>
      </c>
      <c r="N97" t="s">
        <v>362</v>
      </c>
    </row>
    <row r="98" spans="1:14">
      <c r="A98" s="475" t="s">
        <v>243</v>
      </c>
      <c r="B98" t="s">
        <v>197</v>
      </c>
      <c r="C98" t="s">
        <v>182</v>
      </c>
      <c r="D98" s="477">
        <v>67.680443999999994</v>
      </c>
      <c r="E98" t="b">
        <v>0</v>
      </c>
      <c r="F98" t="b">
        <v>1</v>
      </c>
      <c r="G98" t="str">
        <f>_xlfn.CONCAT(CostRateTbl[[#This Row],[Org Unit]],CostRateTbl[[#This Row],[Service Line]],CostRateTbl[[#This Row],[Role]],CostRateTbl[[#This Row],[BluePrint]])</f>
        <v>SpainApplication ServicesExpert Technology Implementation &amp; Consulting (General)NA</v>
      </c>
      <c r="H98" s="21" t="str">
        <f>SUBSTITUTE(TRIM(CostRateTbl[[#This Row],[Org Unit]])," ","")</f>
        <v>Spain</v>
      </c>
      <c r="I98" s="15" t="str">
        <f>_xlfn.CONCAT(H98,SUBSTITUTE(SUBSTITUTE(SUBSTITUTE(TRIM(CostRateTbl[[#This Row],[Service Line]]), "-", "")," ",""),"&amp;",""))</f>
        <v>SpainApplicationServices</v>
      </c>
      <c r="J98" s="21" t="str">
        <f>_xlfn.CONCAT(I98,SUBSTITUTE(SUBSTITUTE(SUBSTITUTE(TRIM(CostRateTbl[[#This Row],[Role]]),"-", "")," ",""),"&amp;",""))</f>
        <v>SpainApplicationServicesExpertTechnologyImplementationConsulting(General)</v>
      </c>
      <c r="K98" t="s">
        <v>361</v>
      </c>
      <c r="L98" t="s">
        <v>362</v>
      </c>
      <c r="M98" t="s">
        <v>362</v>
      </c>
      <c r="N98" t="s">
        <v>362</v>
      </c>
    </row>
    <row r="99" spans="1:14">
      <c r="A99" s="475" t="s">
        <v>243</v>
      </c>
      <c r="B99" t="s">
        <v>197</v>
      </c>
      <c r="C99" t="s">
        <v>360</v>
      </c>
      <c r="D99" s="477">
        <v>98.914693</v>
      </c>
      <c r="E99" t="b">
        <v>0</v>
      </c>
      <c r="F99" t="b">
        <v>1</v>
      </c>
      <c r="G99" t="str">
        <f>_xlfn.CONCAT(CostRateTbl[[#This Row],[Org Unit]],CostRateTbl[[#This Row],[Service Line]],CostRateTbl[[#This Row],[Role]],CostRateTbl[[#This Row],[BluePrint]])</f>
        <v>SpainApplication ServicesLead Expert Application DevelopmentNA</v>
      </c>
      <c r="H99" s="21" t="str">
        <f>SUBSTITUTE(TRIM(CostRateTbl[[#This Row],[Org Unit]])," ","")</f>
        <v>Spain</v>
      </c>
      <c r="I99" s="15" t="str">
        <f>_xlfn.CONCAT(H99,SUBSTITUTE(SUBSTITUTE(SUBSTITUTE(TRIM(CostRateTbl[[#This Row],[Service Line]]), "-", "")," ",""),"&amp;",""))</f>
        <v>SpainApplicationServices</v>
      </c>
      <c r="J99" s="21" t="str">
        <f>_xlfn.CONCAT(I99,SUBSTITUTE(SUBSTITUTE(SUBSTITUTE(TRIM(CostRateTbl[[#This Row],[Role]]),"-", "")," ",""),"&amp;",""))</f>
        <v>SpainApplicationServicesLeadExpertApplicationDevelopment</v>
      </c>
      <c r="K99" t="s">
        <v>361</v>
      </c>
      <c r="L99" t="s">
        <v>362</v>
      </c>
      <c r="M99" t="s">
        <v>362</v>
      </c>
      <c r="N99" t="s">
        <v>362</v>
      </c>
    </row>
    <row r="100" spans="1:14">
      <c r="A100" s="475" t="s">
        <v>243</v>
      </c>
      <c r="B100" t="s">
        <v>197</v>
      </c>
      <c r="C100" t="s">
        <v>363</v>
      </c>
      <c r="D100" s="477">
        <v>56.654331000000006</v>
      </c>
      <c r="E100" t="b">
        <v>0</v>
      </c>
      <c r="F100" t="b">
        <v>1</v>
      </c>
      <c r="G100" s="430" t="str">
        <f>_xlfn.CONCAT(CostRateTbl[[#This Row],[Org Unit]],CostRateTbl[[#This Row],[Service Line]],CostRateTbl[[#This Row],[Role]],CostRateTbl[[#This Row],[BluePrint]])</f>
        <v>SpainApplication ServicesSr Expert Application DevelopmentNA</v>
      </c>
      <c r="H100" s="21" t="str">
        <f>SUBSTITUTE(TRIM(CostRateTbl[[#This Row],[Org Unit]])," ","")</f>
        <v>Spain</v>
      </c>
      <c r="I100" s="15" t="str">
        <f>_xlfn.CONCAT(H100,SUBSTITUTE(SUBSTITUTE(SUBSTITUTE(TRIM(CostRateTbl[[#This Row],[Service Line]]), "-", "")," ",""),"&amp;",""))</f>
        <v>SpainApplicationServices</v>
      </c>
      <c r="J100" s="20" t="str">
        <f>_xlfn.CONCAT(I100,SUBSTITUTE(SUBSTITUTE(SUBSTITUTE(TRIM(CostRateTbl[[#This Row],[Role]]),"-", "")," ",""),"&amp;",""))</f>
        <v>SpainApplicationServicesSrExpertApplicationDevelopment</v>
      </c>
      <c r="K100" t="s">
        <v>361</v>
      </c>
      <c r="L100" t="s">
        <v>362</v>
      </c>
      <c r="M100" t="s">
        <v>362</v>
      </c>
      <c r="N100" t="s">
        <v>362</v>
      </c>
    </row>
    <row r="101" spans="1:14">
      <c r="A101" s="475" t="s">
        <v>243</v>
      </c>
      <c r="B101" t="s">
        <v>197</v>
      </c>
      <c r="C101" t="s">
        <v>384</v>
      </c>
      <c r="D101" s="477">
        <v>59.536590000000004</v>
      </c>
      <c r="E101" t="b">
        <v>0</v>
      </c>
      <c r="F101" t="b">
        <v>1</v>
      </c>
      <c r="G101" s="430" t="str">
        <f>_xlfn.CONCAT(CostRateTbl[[#This Row],[Org Unit]],CostRateTbl[[#This Row],[Service Line]],CostRateTbl[[#This Row],[Role]],CostRateTbl[[#This Row],[BluePrint]])</f>
        <v>SpainApplication ServicesSr Expert Data AnalyticsNA</v>
      </c>
      <c r="H101" s="21" t="str">
        <f>SUBSTITUTE(TRIM(CostRateTbl[[#This Row],[Org Unit]])," ","")</f>
        <v>Spain</v>
      </c>
      <c r="I101" s="15" t="str">
        <f>_xlfn.CONCAT(H101,SUBSTITUTE(SUBSTITUTE(SUBSTITUTE(TRIM(CostRateTbl[[#This Row],[Service Line]]), "-", "")," ",""),"&amp;",""))</f>
        <v>SpainApplicationServices</v>
      </c>
      <c r="J101" s="20" t="str">
        <f>_xlfn.CONCAT(I101,SUBSTITUTE(SUBSTITUTE(SUBSTITUTE(TRIM(CostRateTbl[[#This Row],[Role]]),"-", "")," ",""),"&amp;",""))</f>
        <v>SpainApplicationServicesSrExpertDataAnalytics</v>
      </c>
      <c r="K101" t="s">
        <v>361</v>
      </c>
      <c r="L101" t="s">
        <v>362</v>
      </c>
      <c r="M101" t="s">
        <v>362</v>
      </c>
      <c r="N101" t="s">
        <v>362</v>
      </c>
    </row>
    <row r="102" spans="1:14">
      <c r="A102" s="475" t="s">
        <v>243</v>
      </c>
      <c r="B102" t="s">
        <v>197</v>
      </c>
      <c r="C102" t="s">
        <v>155</v>
      </c>
      <c r="D102" s="477">
        <v>70.182310999999999</v>
      </c>
      <c r="E102" t="b">
        <v>0</v>
      </c>
      <c r="F102" t="b">
        <v>1</v>
      </c>
      <c r="G102" s="430" t="str">
        <f>_xlfn.CONCAT(CostRateTbl[[#This Row],[Org Unit]],CostRateTbl[[#This Row],[Service Line]],CostRateTbl[[#This Row],[Role]],CostRateTbl[[#This Row],[BluePrint]])</f>
        <v>SpainApplication ServicesSr Expert Technology &amp; Consulting Project ManagementNA</v>
      </c>
      <c r="H102" s="21" t="str">
        <f>SUBSTITUTE(TRIM(CostRateTbl[[#This Row],[Org Unit]])," ","")</f>
        <v>Spain</v>
      </c>
      <c r="I102" s="15" t="str">
        <f>_xlfn.CONCAT(H102,SUBSTITUTE(SUBSTITUTE(SUBSTITUTE(TRIM(CostRateTbl[[#This Row],[Service Line]]), "-", "")," ",""),"&amp;",""))</f>
        <v>SpainApplicationServices</v>
      </c>
      <c r="J102" s="20" t="str">
        <f>_xlfn.CONCAT(I102,SUBSTITUTE(SUBSTITUTE(SUBSTITUTE(TRIM(CostRateTbl[[#This Row],[Role]]),"-", "")," ",""),"&amp;",""))</f>
        <v>SpainApplicationServicesSrExpertTechnologyConsultingProjectManagement</v>
      </c>
      <c r="K102" t="s">
        <v>361</v>
      </c>
      <c r="L102" t="s">
        <v>362</v>
      </c>
      <c r="M102" t="s">
        <v>362</v>
      </c>
      <c r="N102" t="s">
        <v>362</v>
      </c>
    </row>
    <row r="103" spans="1:14">
      <c r="A103" s="475" t="s">
        <v>243</v>
      </c>
      <c r="B103" t="s">
        <v>197</v>
      </c>
      <c r="C103" t="s">
        <v>385</v>
      </c>
      <c r="D103" s="477">
        <v>80.517662000000001</v>
      </c>
      <c r="E103" t="b">
        <v>0</v>
      </c>
      <c r="F103" t="b">
        <v>1</v>
      </c>
      <c r="G103" s="430" t="str">
        <f>_xlfn.CONCAT(CostRateTbl[[#This Row],[Org Unit]],CostRateTbl[[#This Row],[Service Line]],CostRateTbl[[#This Row],[Role]],CostRateTbl[[#This Row],[BluePrint]])</f>
        <v>SpainApplication ServicesSr Manager Application DevelopmentNA</v>
      </c>
      <c r="H103" s="21" t="str">
        <f>SUBSTITUTE(TRIM(CostRateTbl[[#This Row],[Org Unit]])," ","")</f>
        <v>Spain</v>
      </c>
      <c r="I103" s="15" t="str">
        <f>_xlfn.CONCAT(H103,SUBSTITUTE(SUBSTITUTE(SUBSTITUTE(TRIM(CostRateTbl[[#This Row],[Service Line]]), "-", "")," ",""),"&amp;",""))</f>
        <v>SpainApplicationServices</v>
      </c>
      <c r="J103" s="20" t="str">
        <f>_xlfn.CONCAT(I103,SUBSTITUTE(SUBSTITUTE(SUBSTITUTE(TRIM(CostRateTbl[[#This Row],[Role]]),"-", "")," ",""),"&amp;",""))</f>
        <v>SpainApplicationServicesSrManagerApplicationDevelopment</v>
      </c>
      <c r="K103" t="s">
        <v>361</v>
      </c>
      <c r="L103" t="s">
        <v>362</v>
      </c>
      <c r="M103" t="s">
        <v>362</v>
      </c>
      <c r="N103" t="s">
        <v>362</v>
      </c>
    </row>
    <row r="104" spans="1:14">
      <c r="A104" s="475" t="s">
        <v>243</v>
      </c>
      <c r="B104" t="s">
        <v>213</v>
      </c>
      <c r="C104" t="s">
        <v>370</v>
      </c>
      <c r="D104" s="477">
        <v>38.610840000000003</v>
      </c>
      <c r="E104" t="b">
        <v>0</v>
      </c>
      <c r="F104" t="b">
        <v>1</v>
      </c>
      <c r="G104" s="430" t="str">
        <f>_xlfn.CONCAT(CostRateTbl[[#This Row],[Org Unit]],CostRateTbl[[#This Row],[Service Line]],CostRateTbl[[#This Row],[Role]],CostRateTbl[[#This Row],[BluePrint]])</f>
        <v>SpainCloud Services AWSAssociate Expert Technology Implementation &amp; Consulting (General)NA</v>
      </c>
      <c r="H104" s="21" t="str">
        <f>SUBSTITUTE(TRIM(CostRateTbl[[#This Row],[Org Unit]])," ","")</f>
        <v>Spain</v>
      </c>
      <c r="I104" s="15" t="str">
        <f>_xlfn.CONCAT(H104,SUBSTITUTE(SUBSTITUTE(SUBSTITUTE(TRIM(CostRateTbl[[#This Row],[Service Line]]), "-", "")," ",""),"&amp;",""))</f>
        <v>SpainCloudServicesAWS</v>
      </c>
      <c r="J104" s="20" t="str">
        <f>_xlfn.CONCAT(I104,SUBSTITUTE(SUBSTITUTE(SUBSTITUTE(TRIM(CostRateTbl[[#This Row],[Role]]),"-", "")," ",""),"&amp;",""))</f>
        <v>SpainCloudServicesAWSAssociateExpertTechnologyImplementationConsulting(General)</v>
      </c>
      <c r="K104" t="s">
        <v>361</v>
      </c>
      <c r="L104" t="s">
        <v>362</v>
      </c>
      <c r="M104" t="s">
        <v>362</v>
      </c>
      <c r="N104" t="s">
        <v>362</v>
      </c>
    </row>
    <row r="105" spans="1:14">
      <c r="A105" s="475" t="s">
        <v>243</v>
      </c>
      <c r="B105" t="s">
        <v>213</v>
      </c>
      <c r="C105" t="s">
        <v>182</v>
      </c>
      <c r="D105" s="477">
        <v>91.157809</v>
      </c>
      <c r="E105" t="b">
        <v>0</v>
      </c>
      <c r="F105" t="b">
        <v>1</v>
      </c>
      <c r="G105" s="430" t="str">
        <f>_xlfn.CONCAT(CostRateTbl[[#This Row],[Org Unit]],CostRateTbl[[#This Row],[Service Line]],CostRateTbl[[#This Row],[Role]],CostRateTbl[[#This Row],[BluePrint]])</f>
        <v>SpainCloud Services AWSExpert Technology Implementation &amp; Consulting (General)NA</v>
      </c>
      <c r="H105" s="21" t="str">
        <f>SUBSTITUTE(TRIM(CostRateTbl[[#This Row],[Org Unit]])," ","")</f>
        <v>Spain</v>
      </c>
      <c r="I105" s="15" t="str">
        <f>_xlfn.CONCAT(H105,SUBSTITUTE(SUBSTITUTE(SUBSTITUTE(TRIM(CostRateTbl[[#This Row],[Service Line]]), "-", "")," ",""),"&amp;",""))</f>
        <v>SpainCloudServicesAWS</v>
      </c>
      <c r="J105" s="20" t="str">
        <f>_xlfn.CONCAT(I105,SUBSTITUTE(SUBSTITUTE(SUBSTITUTE(TRIM(CostRateTbl[[#This Row],[Role]]),"-", "")," ",""),"&amp;",""))</f>
        <v>SpainCloudServicesAWSExpertTechnologyImplementationConsulting(General)</v>
      </c>
      <c r="K105" t="s">
        <v>361</v>
      </c>
      <c r="L105" t="s">
        <v>362</v>
      </c>
      <c r="M105" t="s">
        <v>362</v>
      </c>
      <c r="N105" t="s">
        <v>362</v>
      </c>
    </row>
    <row r="106" spans="1:14">
      <c r="A106" s="475" t="s">
        <v>243</v>
      </c>
      <c r="B106" t="s">
        <v>213</v>
      </c>
      <c r="C106" t="s">
        <v>132</v>
      </c>
      <c r="D106" s="477">
        <v>89.649350999999996</v>
      </c>
      <c r="E106" t="b">
        <v>0</v>
      </c>
      <c r="F106" t="b">
        <v>0</v>
      </c>
      <c r="G106" s="430" t="str">
        <f>_xlfn.CONCAT(CostRateTbl[[#This Row],[Org Unit]],CostRateTbl[[#This Row],[Service Line]],CostRateTbl[[#This Row],[Role]],CostRateTbl[[#This Row],[BluePrint]])</f>
        <v>SpainCloud Services AWSSr Expert Technology Implementation &amp; Consulting (General)NA</v>
      </c>
      <c r="H106" s="21" t="str">
        <f>SUBSTITUTE(TRIM(CostRateTbl[[#This Row],[Org Unit]])," ","")</f>
        <v>Spain</v>
      </c>
      <c r="I106" s="15" t="str">
        <f>_xlfn.CONCAT(H106,SUBSTITUTE(SUBSTITUTE(SUBSTITUTE(TRIM(CostRateTbl[[#This Row],[Service Line]]), "-", "")," ",""),"&amp;",""))</f>
        <v>SpainCloudServicesAWS</v>
      </c>
      <c r="J106" s="20" t="str">
        <f>_xlfn.CONCAT(I106,SUBSTITUTE(SUBSTITUTE(SUBSTITUTE(TRIM(CostRateTbl[[#This Row],[Role]]),"-", "")," ",""),"&amp;",""))</f>
        <v>SpainCloudServicesAWSSrExpertTechnologyImplementationConsulting(General)</v>
      </c>
      <c r="K106" t="s">
        <v>361</v>
      </c>
      <c r="L106" t="s">
        <v>362</v>
      </c>
      <c r="M106" t="s">
        <v>362</v>
      </c>
      <c r="N106" t="s">
        <v>362</v>
      </c>
    </row>
    <row r="107" spans="1:14">
      <c r="A107" s="475" t="s">
        <v>243</v>
      </c>
      <c r="B107" t="s">
        <v>169</v>
      </c>
      <c r="C107" t="s">
        <v>370</v>
      </c>
      <c r="D107" s="477">
        <v>32.655397000000001</v>
      </c>
      <c r="E107" t="b">
        <v>0</v>
      </c>
      <c r="F107" t="b">
        <v>1</v>
      </c>
      <c r="G107" s="430" t="str">
        <f>_xlfn.CONCAT(CostRateTbl[[#This Row],[Org Unit]],CostRateTbl[[#This Row],[Service Line]],CostRateTbl[[#This Row],[Role]],CostRateTbl[[#This Row],[BluePrint]])</f>
        <v>SpainCloud Services AzureAssociate Expert Technology Implementation &amp; Consulting (General)NA</v>
      </c>
      <c r="H107" s="21" t="str">
        <f>SUBSTITUTE(TRIM(CostRateTbl[[#This Row],[Org Unit]])," ","")</f>
        <v>Spain</v>
      </c>
      <c r="I107" s="15" t="str">
        <f>_xlfn.CONCAT(H107,SUBSTITUTE(SUBSTITUTE(SUBSTITUTE(TRIM(CostRateTbl[[#This Row],[Service Line]]), "-", "")," ",""),"&amp;",""))</f>
        <v>SpainCloudServicesAzure</v>
      </c>
      <c r="J107" s="20" t="str">
        <f>_xlfn.CONCAT(I107,SUBSTITUTE(SUBSTITUTE(SUBSTITUTE(TRIM(CostRateTbl[[#This Row],[Role]]),"-", "")," ",""),"&amp;",""))</f>
        <v>SpainCloudServicesAzureAssociateExpertTechnologyImplementationConsulting(General)</v>
      </c>
      <c r="K107" t="s">
        <v>361</v>
      </c>
      <c r="L107" t="s">
        <v>362</v>
      </c>
      <c r="M107" t="s">
        <v>362</v>
      </c>
      <c r="N107" t="s">
        <v>362</v>
      </c>
    </row>
    <row r="108" spans="1:14">
      <c r="A108" s="475" t="s">
        <v>243</v>
      </c>
      <c r="B108" t="s">
        <v>169</v>
      </c>
      <c r="C108" t="s">
        <v>182</v>
      </c>
      <c r="D108" s="477">
        <v>74.461584000000002</v>
      </c>
      <c r="E108" t="b">
        <v>0</v>
      </c>
      <c r="F108" t="b">
        <v>1</v>
      </c>
      <c r="G108" s="430" t="str">
        <f>_xlfn.CONCAT(CostRateTbl[[#This Row],[Org Unit]],CostRateTbl[[#This Row],[Service Line]],CostRateTbl[[#This Row],[Role]],CostRateTbl[[#This Row],[BluePrint]])</f>
        <v>SpainCloud Services AzureExpert Technology Implementation &amp; Consulting (General)NA</v>
      </c>
      <c r="H108" s="21" t="str">
        <f>SUBSTITUTE(TRIM(CostRateTbl[[#This Row],[Org Unit]])," ","")</f>
        <v>Spain</v>
      </c>
      <c r="I108" s="15" t="str">
        <f>_xlfn.CONCAT(H108,SUBSTITUTE(SUBSTITUTE(SUBSTITUTE(TRIM(CostRateTbl[[#This Row],[Service Line]]), "-", "")," ",""),"&amp;",""))</f>
        <v>SpainCloudServicesAzure</v>
      </c>
      <c r="J108" s="20" t="str">
        <f>_xlfn.CONCAT(I108,SUBSTITUTE(SUBSTITUTE(SUBSTITUTE(TRIM(CostRateTbl[[#This Row],[Role]]),"-", "")," ",""),"&amp;",""))</f>
        <v>SpainCloudServicesAzureExpertTechnologyImplementationConsulting(General)</v>
      </c>
      <c r="K108" t="s">
        <v>361</v>
      </c>
      <c r="L108" t="s">
        <v>362</v>
      </c>
      <c r="M108" t="s">
        <v>362</v>
      </c>
      <c r="N108" t="s">
        <v>362</v>
      </c>
    </row>
    <row r="109" spans="1:14">
      <c r="A109" s="475" t="s">
        <v>243</v>
      </c>
      <c r="B109" t="s">
        <v>169</v>
      </c>
      <c r="C109" t="s">
        <v>132</v>
      </c>
      <c r="D109" s="477">
        <v>92.675790000000006</v>
      </c>
      <c r="E109" t="b">
        <v>0</v>
      </c>
      <c r="F109" t="b">
        <v>0</v>
      </c>
      <c r="G109" s="430" t="str">
        <f>_xlfn.CONCAT(CostRateTbl[[#This Row],[Org Unit]],CostRateTbl[[#This Row],[Service Line]],CostRateTbl[[#This Row],[Role]],CostRateTbl[[#This Row],[BluePrint]])</f>
        <v>SpainCloud Services AzureSr Expert Technology Implementation &amp; Consulting (General)NA</v>
      </c>
      <c r="H109" s="21" t="str">
        <f>SUBSTITUTE(TRIM(CostRateTbl[[#This Row],[Org Unit]])," ","")</f>
        <v>Spain</v>
      </c>
      <c r="I109" s="15" t="str">
        <f>_xlfn.CONCAT(H109,SUBSTITUTE(SUBSTITUTE(SUBSTITUTE(TRIM(CostRateTbl[[#This Row],[Service Line]]), "-", "")," ",""),"&amp;",""))</f>
        <v>SpainCloudServicesAzure</v>
      </c>
      <c r="J109" s="20" t="str">
        <f>_xlfn.CONCAT(I109,SUBSTITUTE(SUBSTITUTE(SUBSTITUTE(TRIM(CostRateTbl[[#This Row],[Role]]),"-", "")," ",""),"&amp;",""))</f>
        <v>SpainCloudServicesAzureSrExpertTechnologyImplementationConsulting(General)</v>
      </c>
      <c r="K109" t="s">
        <v>361</v>
      </c>
      <c r="L109" t="s">
        <v>362</v>
      </c>
      <c r="M109" t="s">
        <v>362</v>
      </c>
      <c r="N109" t="s">
        <v>362</v>
      </c>
    </row>
    <row r="110" spans="1:14">
      <c r="A110" s="475" t="s">
        <v>243</v>
      </c>
      <c r="B110" t="s">
        <v>217</v>
      </c>
      <c r="C110" t="s">
        <v>184</v>
      </c>
      <c r="D110" s="477">
        <v>41.174678</v>
      </c>
      <c r="E110" t="b">
        <v>0</v>
      </c>
      <c r="F110" t="b">
        <v>1</v>
      </c>
      <c r="G110" s="430" t="str">
        <f>_xlfn.CONCAT(CostRateTbl[[#This Row],[Org Unit]],CostRateTbl[[#This Row],[Service Line]],CostRateTbl[[#This Row],[Role]],CostRateTbl[[#This Row],[BluePrint]])</f>
        <v>SpainCloud Services GCPAssociate Expert Managed OperationsNA</v>
      </c>
      <c r="H110" s="21" t="str">
        <f>SUBSTITUTE(TRIM(CostRateTbl[[#This Row],[Org Unit]])," ","")</f>
        <v>Spain</v>
      </c>
      <c r="I110" s="15" t="str">
        <f>_xlfn.CONCAT(H110,SUBSTITUTE(SUBSTITUTE(SUBSTITUTE(TRIM(CostRateTbl[[#This Row],[Service Line]]), "-", "")," ",""),"&amp;",""))</f>
        <v>SpainCloudServicesGCP</v>
      </c>
      <c r="J110" s="20" t="str">
        <f>_xlfn.CONCAT(I110,SUBSTITUTE(SUBSTITUTE(SUBSTITUTE(TRIM(CostRateTbl[[#This Row],[Role]]),"-", "")," ",""),"&amp;",""))</f>
        <v>SpainCloudServicesGCPAssociateExpertManagedOperations</v>
      </c>
      <c r="K110" t="s">
        <v>361</v>
      </c>
      <c r="L110" t="s">
        <v>362</v>
      </c>
      <c r="M110" t="s">
        <v>362</v>
      </c>
      <c r="N110" t="s">
        <v>362</v>
      </c>
    </row>
    <row r="111" spans="1:14">
      <c r="A111" s="475" t="s">
        <v>243</v>
      </c>
      <c r="B111" t="s">
        <v>217</v>
      </c>
      <c r="C111" t="s">
        <v>370</v>
      </c>
      <c r="D111" s="477">
        <v>27.692923</v>
      </c>
      <c r="E111" t="b">
        <v>0</v>
      </c>
      <c r="F111" t="b">
        <v>1</v>
      </c>
      <c r="G111" s="430" t="str">
        <f>_xlfn.CONCAT(CostRateTbl[[#This Row],[Org Unit]],CostRateTbl[[#This Row],[Service Line]],CostRateTbl[[#This Row],[Role]],CostRateTbl[[#This Row],[BluePrint]])</f>
        <v>SpainCloud Services GCPAssociate Expert Technology Implementation &amp; Consulting (General)NA</v>
      </c>
      <c r="H111" s="21" t="str">
        <f>SUBSTITUTE(TRIM(CostRateTbl[[#This Row],[Org Unit]])," ","")</f>
        <v>Spain</v>
      </c>
      <c r="I111" s="15" t="str">
        <f>_xlfn.CONCAT(H111,SUBSTITUTE(SUBSTITUTE(SUBSTITUTE(TRIM(CostRateTbl[[#This Row],[Service Line]]), "-", "")," ",""),"&amp;",""))</f>
        <v>SpainCloudServicesGCP</v>
      </c>
      <c r="J111" s="20" t="str">
        <f>_xlfn.CONCAT(I111,SUBSTITUTE(SUBSTITUTE(SUBSTITUTE(TRIM(CostRateTbl[[#This Row],[Role]]),"-", "")," ",""),"&amp;",""))</f>
        <v>SpainCloudServicesGCPAssociateExpertTechnologyImplementationConsulting(General)</v>
      </c>
      <c r="K111" t="s">
        <v>361</v>
      </c>
      <c r="L111" t="s">
        <v>362</v>
      </c>
      <c r="M111" t="s">
        <v>362</v>
      </c>
      <c r="N111" t="s">
        <v>362</v>
      </c>
    </row>
    <row r="112" spans="1:14">
      <c r="A112" s="475" t="s">
        <v>243</v>
      </c>
      <c r="B112" t="s">
        <v>217</v>
      </c>
      <c r="C112" t="s">
        <v>132</v>
      </c>
      <c r="D112" s="477">
        <v>95.892030000000005</v>
      </c>
      <c r="E112" t="b">
        <v>0</v>
      </c>
      <c r="F112" t="b">
        <v>1</v>
      </c>
      <c r="G112" s="430" t="str">
        <f>_xlfn.CONCAT(CostRateTbl[[#This Row],[Org Unit]],CostRateTbl[[#This Row],[Service Line]],CostRateTbl[[#This Row],[Role]],CostRateTbl[[#This Row],[BluePrint]])</f>
        <v>SpainCloud Services GCPSr Expert Technology Implementation &amp; Consulting (General)NA</v>
      </c>
      <c r="H112" s="21" t="str">
        <f>SUBSTITUTE(TRIM(CostRateTbl[[#This Row],[Org Unit]])," ","")</f>
        <v>Spain</v>
      </c>
      <c r="I112" s="15" t="str">
        <f>_xlfn.CONCAT(H112,SUBSTITUTE(SUBSTITUTE(SUBSTITUTE(TRIM(CostRateTbl[[#This Row],[Service Line]]), "-", "")," ",""),"&amp;",""))</f>
        <v>SpainCloudServicesGCP</v>
      </c>
      <c r="J112" s="20" t="str">
        <f>_xlfn.CONCAT(I112,SUBSTITUTE(SUBSTITUTE(SUBSTITUTE(TRIM(CostRateTbl[[#This Row],[Role]]),"-", "")," ",""),"&amp;",""))</f>
        <v>SpainCloudServicesGCPSrExpertTechnologyImplementationConsulting(General)</v>
      </c>
      <c r="K112" t="s">
        <v>361</v>
      </c>
      <c r="L112" t="s">
        <v>362</v>
      </c>
      <c r="M112" t="s">
        <v>362</v>
      </c>
      <c r="N112" t="s">
        <v>362</v>
      </c>
    </row>
    <row r="113" spans="1:14">
      <c r="A113" s="475" t="s">
        <v>243</v>
      </c>
      <c r="B113" t="s">
        <v>220</v>
      </c>
      <c r="C113" t="s">
        <v>382</v>
      </c>
      <c r="D113" s="477">
        <v>35.281132999999997</v>
      </c>
      <c r="E113" t="b">
        <v>0</v>
      </c>
      <c r="F113" t="b">
        <v>1</v>
      </c>
      <c r="G113" s="430" t="str">
        <f>_xlfn.CONCAT(CostRateTbl[[#This Row],[Org Unit]],CostRateTbl[[#This Row],[Service Line]],CostRateTbl[[#This Row],[Role]],CostRateTbl[[#This Row],[BluePrint]])</f>
        <v>SpainData &amp; AIAssociate Expert Data Intelligence (General)NA</v>
      </c>
      <c r="H113" s="21" t="str">
        <f>SUBSTITUTE(TRIM(CostRateTbl[[#This Row],[Org Unit]])," ","")</f>
        <v>Spain</v>
      </c>
      <c r="I113" s="15" t="str">
        <f>_xlfn.CONCAT(H113,SUBSTITUTE(SUBSTITUTE(SUBSTITUTE(TRIM(CostRateTbl[[#This Row],[Service Line]]), "-", "")," ",""),"&amp;",""))</f>
        <v>SpainDataAI</v>
      </c>
      <c r="J113" s="20" t="str">
        <f>_xlfn.CONCAT(I113,SUBSTITUTE(SUBSTITUTE(SUBSTITUTE(TRIM(CostRateTbl[[#This Row],[Role]]),"-", "")," ",""),"&amp;",""))</f>
        <v>SpainDataAIAssociateExpertDataIntelligence(General)</v>
      </c>
      <c r="K113" t="s">
        <v>361</v>
      </c>
      <c r="L113" t="s">
        <v>362</v>
      </c>
      <c r="M113" t="s">
        <v>362</v>
      </c>
      <c r="N113" t="s">
        <v>362</v>
      </c>
    </row>
    <row r="114" spans="1:14">
      <c r="A114" s="475" t="s">
        <v>243</v>
      </c>
      <c r="B114" t="s">
        <v>220</v>
      </c>
      <c r="C114" t="s">
        <v>386</v>
      </c>
      <c r="D114" s="477">
        <v>64.017908000000006</v>
      </c>
      <c r="E114" t="b">
        <v>0</v>
      </c>
      <c r="F114" t="b">
        <v>1</v>
      </c>
      <c r="G114" s="430" t="str">
        <f>_xlfn.CONCAT(CostRateTbl[[#This Row],[Org Unit]],CostRateTbl[[#This Row],[Service Line]],CostRateTbl[[#This Row],[Role]],CostRateTbl[[#This Row],[BluePrint]])</f>
        <v>SpainData &amp; AIExpert Data AnalyticsNA</v>
      </c>
      <c r="H114" s="21" t="str">
        <f>SUBSTITUTE(TRIM(CostRateTbl[[#This Row],[Org Unit]])," ","")</f>
        <v>Spain</v>
      </c>
      <c r="I114" s="15" t="str">
        <f>_xlfn.CONCAT(H114,SUBSTITUTE(SUBSTITUTE(SUBSTITUTE(TRIM(CostRateTbl[[#This Row],[Service Line]]), "-", "")," ",""),"&amp;",""))</f>
        <v>SpainDataAI</v>
      </c>
      <c r="J114" s="20" t="str">
        <f>_xlfn.CONCAT(I114,SUBSTITUTE(SUBSTITUTE(SUBSTITUTE(TRIM(CostRateTbl[[#This Row],[Role]]),"-", "")," ",""),"&amp;",""))</f>
        <v>SpainDataAIExpertDataAnalytics</v>
      </c>
      <c r="K114" t="s">
        <v>361</v>
      </c>
      <c r="L114" t="s">
        <v>362</v>
      </c>
      <c r="M114" t="s">
        <v>362</v>
      </c>
      <c r="N114" t="s">
        <v>362</v>
      </c>
    </row>
    <row r="115" spans="1:14">
      <c r="A115" s="475" t="s">
        <v>243</v>
      </c>
      <c r="B115" t="s">
        <v>220</v>
      </c>
      <c r="C115" t="s">
        <v>375</v>
      </c>
      <c r="D115" s="477">
        <v>41.127413000000004</v>
      </c>
      <c r="E115" t="b">
        <v>0</v>
      </c>
      <c r="F115" t="b">
        <v>1</v>
      </c>
      <c r="G115" s="430" t="str">
        <f>_xlfn.CONCAT(CostRateTbl[[#This Row],[Org Unit]],CostRateTbl[[#This Row],[Service Line]],CostRateTbl[[#This Row],[Role]],CostRateTbl[[#This Row],[BluePrint]])</f>
        <v>SpainData &amp; AIExpert Data Intelligence (General)NA</v>
      </c>
      <c r="H115" s="21" t="str">
        <f>SUBSTITUTE(TRIM(CostRateTbl[[#This Row],[Org Unit]])," ","")</f>
        <v>Spain</v>
      </c>
      <c r="I115" s="15" t="str">
        <f>_xlfn.CONCAT(H115,SUBSTITUTE(SUBSTITUTE(SUBSTITUTE(TRIM(CostRateTbl[[#This Row],[Service Line]]), "-", "")," ",""),"&amp;",""))</f>
        <v>SpainDataAI</v>
      </c>
      <c r="J115" s="20" t="str">
        <f>_xlfn.CONCAT(I115,SUBSTITUTE(SUBSTITUTE(SUBSTITUTE(TRIM(CostRateTbl[[#This Row],[Role]]),"-", "")," ",""),"&amp;",""))</f>
        <v>SpainDataAIExpertDataIntelligence(General)</v>
      </c>
      <c r="K115" t="s">
        <v>361</v>
      </c>
      <c r="L115" t="s">
        <v>362</v>
      </c>
      <c r="M115" t="s">
        <v>362</v>
      </c>
      <c r="N115" t="s">
        <v>362</v>
      </c>
    </row>
    <row r="116" spans="1:14">
      <c r="A116" s="475" t="s">
        <v>243</v>
      </c>
      <c r="B116" t="s">
        <v>220</v>
      </c>
      <c r="C116" t="s">
        <v>182</v>
      </c>
      <c r="D116" s="477">
        <v>76.598882000000003</v>
      </c>
      <c r="E116" t="b">
        <v>0</v>
      </c>
      <c r="F116" t="b">
        <v>1</v>
      </c>
      <c r="G116" s="430" t="str">
        <f>_xlfn.CONCAT(CostRateTbl[[#This Row],[Org Unit]],CostRateTbl[[#This Row],[Service Line]],CostRateTbl[[#This Row],[Role]],CostRateTbl[[#This Row],[BluePrint]])</f>
        <v>SpainData &amp; AIExpert Technology Implementation &amp; Consulting (General)NA</v>
      </c>
      <c r="H116" s="21" t="str">
        <f>SUBSTITUTE(TRIM(CostRateTbl[[#This Row],[Org Unit]])," ","")</f>
        <v>Spain</v>
      </c>
      <c r="I116" s="15" t="str">
        <f>_xlfn.CONCAT(H116,SUBSTITUTE(SUBSTITUTE(SUBSTITUTE(TRIM(CostRateTbl[[#This Row],[Service Line]]), "-", "")," ",""),"&amp;",""))</f>
        <v>SpainDataAI</v>
      </c>
      <c r="J116" s="20" t="str">
        <f>_xlfn.CONCAT(I116,SUBSTITUTE(SUBSTITUTE(SUBSTITUTE(TRIM(CostRateTbl[[#This Row],[Role]]),"-", "")," ",""),"&amp;",""))</f>
        <v>SpainDataAIExpertTechnologyImplementationConsulting(General)</v>
      </c>
      <c r="K116" t="s">
        <v>361</v>
      </c>
      <c r="L116" t="s">
        <v>362</v>
      </c>
      <c r="M116" t="s">
        <v>362</v>
      </c>
      <c r="N116" t="s">
        <v>362</v>
      </c>
    </row>
    <row r="117" spans="1:14">
      <c r="A117" s="475" t="s">
        <v>243</v>
      </c>
      <c r="B117" t="s">
        <v>220</v>
      </c>
      <c r="C117" t="s">
        <v>132</v>
      </c>
      <c r="D117" s="477">
        <v>93.387754000000015</v>
      </c>
      <c r="E117" t="b">
        <v>0</v>
      </c>
      <c r="F117" t="b">
        <v>1</v>
      </c>
      <c r="G117" s="430" t="str">
        <f>_xlfn.CONCAT(CostRateTbl[[#This Row],[Org Unit]],CostRateTbl[[#This Row],[Service Line]],CostRateTbl[[#This Row],[Role]],CostRateTbl[[#This Row],[BluePrint]])</f>
        <v>SpainData &amp; AISr Expert Technology Implementation &amp; Consulting (General)NA</v>
      </c>
      <c r="H117" s="21" t="str">
        <f>SUBSTITUTE(TRIM(CostRateTbl[[#This Row],[Org Unit]])," ","")</f>
        <v>Spain</v>
      </c>
      <c r="I117" s="15" t="str">
        <f>_xlfn.CONCAT(H117,SUBSTITUTE(SUBSTITUTE(SUBSTITUTE(TRIM(CostRateTbl[[#This Row],[Service Line]]), "-", "")," ",""),"&amp;",""))</f>
        <v>SpainDataAI</v>
      </c>
      <c r="J117" s="20" t="str">
        <f>_xlfn.CONCAT(I117,SUBSTITUTE(SUBSTITUTE(SUBSTITUTE(TRIM(CostRateTbl[[#This Row],[Role]]),"-", "")," ",""),"&amp;",""))</f>
        <v>SpainDataAISrExpertTechnologyImplementationConsulting(General)</v>
      </c>
      <c r="K117" t="s">
        <v>361</v>
      </c>
      <c r="L117" t="s">
        <v>362</v>
      </c>
      <c r="M117" t="s">
        <v>362</v>
      </c>
      <c r="N117" t="s">
        <v>362</v>
      </c>
    </row>
    <row r="118" spans="1:14">
      <c r="A118" s="475" t="s">
        <v>243</v>
      </c>
      <c r="B118" t="s">
        <v>223</v>
      </c>
      <c r="C118" t="s">
        <v>370</v>
      </c>
      <c r="D118" s="477">
        <v>33.651009000000002</v>
      </c>
      <c r="E118" t="b">
        <v>0</v>
      </c>
      <c r="F118" t="b">
        <v>1</v>
      </c>
      <c r="G118" s="430" t="str">
        <f>_xlfn.CONCAT(CostRateTbl[[#This Row],[Org Unit]],CostRateTbl[[#This Row],[Service Line]],CostRateTbl[[#This Row],[Role]],CostRateTbl[[#This Row],[BluePrint]])</f>
        <v>SpainDigital WorkplaceAssociate Expert Technology Implementation &amp; Consulting (General)NA</v>
      </c>
      <c r="H118" s="21" t="str">
        <f>SUBSTITUTE(TRIM(CostRateTbl[[#This Row],[Org Unit]])," ","")</f>
        <v>Spain</v>
      </c>
      <c r="I118" s="15" t="str">
        <f>_xlfn.CONCAT(H118,SUBSTITUTE(SUBSTITUTE(SUBSTITUTE(TRIM(CostRateTbl[[#This Row],[Service Line]]), "-", "")," ",""),"&amp;",""))</f>
        <v>SpainDigitalWorkplace</v>
      </c>
      <c r="J118" s="20" t="str">
        <f>_xlfn.CONCAT(I118,SUBSTITUTE(SUBSTITUTE(SUBSTITUTE(TRIM(CostRateTbl[[#This Row],[Role]]),"-", "")," ",""),"&amp;",""))</f>
        <v>SpainDigitalWorkplaceAssociateExpertTechnologyImplementationConsulting(General)</v>
      </c>
      <c r="K118" t="s">
        <v>361</v>
      </c>
      <c r="L118" t="s">
        <v>362</v>
      </c>
      <c r="M118" t="s">
        <v>362</v>
      </c>
      <c r="N118" t="s">
        <v>362</v>
      </c>
    </row>
    <row r="119" spans="1:14">
      <c r="A119" s="475" t="s">
        <v>243</v>
      </c>
      <c r="B119" t="s">
        <v>223</v>
      </c>
      <c r="C119" t="s">
        <v>182</v>
      </c>
      <c r="D119" s="477">
        <v>60.602716000000001</v>
      </c>
      <c r="E119" t="b">
        <v>0</v>
      </c>
      <c r="F119" t="b">
        <v>1</v>
      </c>
      <c r="G119" s="430" t="str">
        <f>_xlfn.CONCAT(CostRateTbl[[#This Row],[Org Unit]],CostRateTbl[[#This Row],[Service Line]],CostRateTbl[[#This Row],[Role]],CostRateTbl[[#This Row],[BluePrint]])</f>
        <v>SpainDigital WorkplaceExpert Technology Implementation &amp; Consulting (General)NA</v>
      </c>
      <c r="H119" s="21" t="str">
        <f>SUBSTITUTE(TRIM(CostRateTbl[[#This Row],[Org Unit]])," ","")</f>
        <v>Spain</v>
      </c>
      <c r="I119" s="15" t="str">
        <f>_xlfn.CONCAT(H119,SUBSTITUTE(SUBSTITUTE(SUBSTITUTE(TRIM(CostRateTbl[[#This Row],[Service Line]]), "-", "")," ",""),"&amp;",""))</f>
        <v>SpainDigitalWorkplace</v>
      </c>
      <c r="J119" s="20" t="str">
        <f>_xlfn.CONCAT(I119,SUBSTITUTE(SUBSTITUTE(SUBSTITUTE(TRIM(CostRateTbl[[#This Row],[Role]]),"-", "")," ",""),"&amp;",""))</f>
        <v>SpainDigitalWorkplaceExpertTechnologyImplementationConsulting(General)</v>
      </c>
      <c r="K119" t="s">
        <v>361</v>
      </c>
      <c r="L119" t="s">
        <v>362</v>
      </c>
      <c r="M119" t="s">
        <v>362</v>
      </c>
      <c r="N119" t="s">
        <v>362</v>
      </c>
    </row>
    <row r="120" spans="1:14">
      <c r="A120" s="475" t="s">
        <v>243</v>
      </c>
      <c r="B120" t="s">
        <v>223</v>
      </c>
      <c r="C120" t="s">
        <v>132</v>
      </c>
      <c r="D120" s="477">
        <v>80.023703999999995</v>
      </c>
      <c r="E120" t="b">
        <v>0</v>
      </c>
      <c r="F120" t="b">
        <v>1</v>
      </c>
      <c r="G120" s="430" t="str">
        <f>_xlfn.CONCAT(CostRateTbl[[#This Row],[Org Unit]],CostRateTbl[[#This Row],[Service Line]],CostRateTbl[[#This Row],[Role]],CostRateTbl[[#This Row],[BluePrint]])</f>
        <v>SpainDigital WorkplaceSr Expert Technology Implementation &amp; Consulting (General)NA</v>
      </c>
      <c r="H120" s="21" t="str">
        <f>SUBSTITUTE(TRIM(CostRateTbl[[#This Row],[Org Unit]])," ","")</f>
        <v>Spain</v>
      </c>
      <c r="I120" s="15" t="str">
        <f>_xlfn.CONCAT(H120,SUBSTITUTE(SUBSTITUTE(SUBSTITUTE(TRIM(CostRateTbl[[#This Row],[Service Line]]), "-", "")," ",""),"&amp;",""))</f>
        <v>SpainDigitalWorkplace</v>
      </c>
      <c r="J120" s="20" t="str">
        <f>_xlfn.CONCAT(I120,SUBSTITUTE(SUBSTITUTE(SUBSTITUTE(TRIM(CostRateTbl[[#This Row],[Role]]),"-", "")," ",""),"&amp;",""))</f>
        <v>SpainDigitalWorkplaceSrExpertTechnologyImplementationConsulting(General)</v>
      </c>
      <c r="K120" t="s">
        <v>361</v>
      </c>
      <c r="L120" t="s">
        <v>362</v>
      </c>
      <c r="M120" t="s">
        <v>362</v>
      </c>
      <c r="N120" t="s">
        <v>362</v>
      </c>
    </row>
    <row r="121" spans="1:14">
      <c r="A121" s="475" t="s">
        <v>243</v>
      </c>
      <c r="B121" t="s">
        <v>232</v>
      </c>
      <c r="C121" t="s">
        <v>365</v>
      </c>
      <c r="D121" s="477">
        <v>32.116249000000003</v>
      </c>
      <c r="E121" t="b">
        <v>0</v>
      </c>
      <c r="F121" t="b">
        <v>0</v>
      </c>
      <c r="G121" s="430" t="str">
        <f>_xlfn.CONCAT(CostRateTbl[[#This Row],[Org Unit]],CostRateTbl[[#This Row],[Service Line]],CostRateTbl[[#This Row],[Role]],CostRateTbl[[#This Row],[BluePrint]])</f>
        <v>SpainITAM &amp; FinOpsAssociate Expert Business Consulting and AdvisoryNA</v>
      </c>
      <c r="H121" s="21" t="str">
        <f>SUBSTITUTE(TRIM(CostRateTbl[[#This Row],[Org Unit]])," ","")</f>
        <v>Spain</v>
      </c>
      <c r="I121" s="15" t="str">
        <f>_xlfn.CONCAT(H121,SUBSTITUTE(SUBSTITUTE(SUBSTITUTE(TRIM(CostRateTbl[[#This Row],[Service Line]]), "-", "")," ",""),"&amp;",""))</f>
        <v>SpainITAMFinOps</v>
      </c>
      <c r="J121" s="20" t="str">
        <f>_xlfn.CONCAT(I121,SUBSTITUTE(SUBSTITUTE(SUBSTITUTE(TRIM(CostRateTbl[[#This Row],[Role]]),"-", "")," ",""),"&amp;",""))</f>
        <v>SpainITAMFinOpsAssociateExpertBusinessConsultingandAdvisory</v>
      </c>
      <c r="K121" t="s">
        <v>361</v>
      </c>
      <c r="L121" t="s">
        <v>362</v>
      </c>
      <c r="M121" t="s">
        <v>362</v>
      </c>
      <c r="N121" t="s">
        <v>362</v>
      </c>
    </row>
    <row r="122" spans="1:14">
      <c r="A122" s="475" t="s">
        <v>243</v>
      </c>
      <c r="B122" t="s">
        <v>232</v>
      </c>
      <c r="C122" t="s">
        <v>370</v>
      </c>
      <c r="D122" s="477">
        <v>42.383322999999997</v>
      </c>
      <c r="E122" t="b">
        <v>0</v>
      </c>
      <c r="F122" t="b">
        <v>1</v>
      </c>
      <c r="G122" s="430" t="str">
        <f>_xlfn.CONCAT(CostRateTbl[[#This Row],[Org Unit]],CostRateTbl[[#This Row],[Service Line]],CostRateTbl[[#This Row],[Role]],CostRateTbl[[#This Row],[BluePrint]])</f>
        <v>SpainITAM &amp; FinOpsAssociate Expert Technology Implementation &amp; Consulting (General)NA</v>
      </c>
      <c r="H122" s="21" t="str">
        <f>SUBSTITUTE(TRIM(CostRateTbl[[#This Row],[Org Unit]])," ","")</f>
        <v>Spain</v>
      </c>
      <c r="I122" s="15" t="str">
        <f>_xlfn.CONCAT(H122,SUBSTITUTE(SUBSTITUTE(SUBSTITUTE(TRIM(CostRateTbl[[#This Row],[Service Line]]), "-", "")," ",""),"&amp;",""))</f>
        <v>SpainITAMFinOps</v>
      </c>
      <c r="J122" s="20" t="str">
        <f>_xlfn.CONCAT(I122,SUBSTITUTE(SUBSTITUTE(SUBSTITUTE(TRIM(CostRateTbl[[#This Row],[Role]]),"-", "")," ",""),"&amp;",""))</f>
        <v>SpainITAMFinOpsAssociateExpertTechnologyImplementationConsulting(General)</v>
      </c>
      <c r="K122" t="s">
        <v>361</v>
      </c>
      <c r="L122" t="s">
        <v>362</v>
      </c>
      <c r="M122" t="s">
        <v>362</v>
      </c>
      <c r="N122" t="s">
        <v>362</v>
      </c>
    </row>
    <row r="123" spans="1:14">
      <c r="A123" s="475" t="s">
        <v>243</v>
      </c>
      <c r="B123" t="s">
        <v>232</v>
      </c>
      <c r="C123" t="s">
        <v>366</v>
      </c>
      <c r="D123" s="477">
        <v>47.822887000000001</v>
      </c>
      <c r="E123" t="b">
        <v>0</v>
      </c>
      <c r="F123" t="b">
        <v>0</v>
      </c>
      <c r="G123" s="430" t="str">
        <f>_xlfn.CONCAT(CostRateTbl[[#This Row],[Org Unit]],CostRateTbl[[#This Row],[Service Line]],CostRateTbl[[#This Row],[Role]],CostRateTbl[[#This Row],[BluePrint]])</f>
        <v>SpainITAM &amp; FinOpsExpert Business Consulting and AdvisoryNA</v>
      </c>
      <c r="H123" s="21" t="str">
        <f>SUBSTITUTE(TRIM(CostRateTbl[[#This Row],[Org Unit]])," ","")</f>
        <v>Spain</v>
      </c>
      <c r="I123" s="15" t="str">
        <f>_xlfn.CONCAT(H123,SUBSTITUTE(SUBSTITUTE(SUBSTITUTE(TRIM(CostRateTbl[[#This Row],[Service Line]]), "-", "")," ",""),"&amp;",""))</f>
        <v>SpainITAMFinOps</v>
      </c>
      <c r="J123" s="20" t="str">
        <f>_xlfn.CONCAT(I123,SUBSTITUTE(SUBSTITUTE(SUBSTITUTE(TRIM(CostRateTbl[[#This Row],[Role]]),"-", "")," ",""),"&amp;",""))</f>
        <v>SpainITAMFinOpsExpertBusinessConsultingandAdvisory</v>
      </c>
      <c r="K123" t="s">
        <v>361</v>
      </c>
      <c r="L123" t="s">
        <v>362</v>
      </c>
      <c r="M123" t="s">
        <v>362</v>
      </c>
      <c r="N123" t="s">
        <v>362</v>
      </c>
    </row>
    <row r="124" spans="1:14">
      <c r="A124" s="475" t="s">
        <v>243</v>
      </c>
      <c r="B124" t="s">
        <v>232</v>
      </c>
      <c r="C124" t="s">
        <v>367</v>
      </c>
      <c r="D124" s="477">
        <v>71.543080000000003</v>
      </c>
      <c r="E124" t="b">
        <v>0</v>
      </c>
      <c r="F124" t="b">
        <v>1</v>
      </c>
      <c r="G124" s="430" t="str">
        <f>_xlfn.CONCAT(CostRateTbl[[#This Row],[Org Unit]],CostRateTbl[[#This Row],[Service Line]],CostRateTbl[[#This Row],[Role]],CostRateTbl[[#This Row],[BluePrint]])</f>
        <v>SpainITAM &amp; FinOpsSr Expert Business Consulting and AdvisoryNA</v>
      </c>
      <c r="H124" s="21" t="str">
        <f>SUBSTITUTE(TRIM(CostRateTbl[[#This Row],[Org Unit]])," ","")</f>
        <v>Spain</v>
      </c>
      <c r="I124" s="15" t="str">
        <f>_xlfn.CONCAT(H124,SUBSTITUTE(SUBSTITUTE(SUBSTITUTE(TRIM(CostRateTbl[[#This Row],[Service Line]]), "-", "")," ",""),"&amp;",""))</f>
        <v>SpainITAMFinOps</v>
      </c>
      <c r="J124" s="20" t="str">
        <f>_xlfn.CONCAT(I124,SUBSTITUTE(SUBSTITUTE(SUBSTITUTE(TRIM(CostRateTbl[[#This Row],[Role]]),"-", "")," ",""),"&amp;",""))</f>
        <v>SpainITAMFinOpsSrExpertBusinessConsultingandAdvisory</v>
      </c>
      <c r="K124" t="s">
        <v>361</v>
      </c>
      <c r="L124" t="s">
        <v>362</v>
      </c>
      <c r="M124" t="s">
        <v>362</v>
      </c>
      <c r="N124" t="s">
        <v>362</v>
      </c>
    </row>
    <row r="125" spans="1:14">
      <c r="A125" s="475" t="s">
        <v>243</v>
      </c>
      <c r="B125" t="s">
        <v>177</v>
      </c>
      <c r="C125" t="s">
        <v>381</v>
      </c>
      <c r="D125" s="477">
        <v>18.328451000000001</v>
      </c>
      <c r="E125" t="b">
        <v>0</v>
      </c>
      <c r="F125" t="b">
        <v>1</v>
      </c>
      <c r="G125" s="430" t="str">
        <f>_xlfn.CONCAT(CostRateTbl[[#This Row],[Org Unit]],CostRateTbl[[#This Row],[Service Line]],CostRateTbl[[#This Row],[Role]],CostRateTbl[[#This Row],[BluePrint]])</f>
        <v>SpainOther ServicesAssociate Expert Information Technology (General)NA</v>
      </c>
      <c r="H125" s="21" t="str">
        <f>SUBSTITUTE(TRIM(CostRateTbl[[#This Row],[Org Unit]])," ","")</f>
        <v>Spain</v>
      </c>
      <c r="I125" s="15" t="str">
        <f>_xlfn.CONCAT(H125,SUBSTITUTE(SUBSTITUTE(SUBSTITUTE(TRIM(CostRateTbl[[#This Row],[Service Line]]), "-", "")," ",""),"&amp;",""))</f>
        <v>SpainOtherServices</v>
      </c>
      <c r="J125" s="20" t="str">
        <f>_xlfn.CONCAT(I125,SUBSTITUTE(SUBSTITUTE(SUBSTITUTE(TRIM(CostRateTbl[[#This Row],[Role]]),"-", "")," ",""),"&amp;",""))</f>
        <v>SpainOtherServicesAssociateExpertInformationTechnology(General)</v>
      </c>
      <c r="K125" t="s">
        <v>361</v>
      </c>
      <c r="L125" t="s">
        <v>362</v>
      </c>
      <c r="M125" t="s">
        <v>362</v>
      </c>
      <c r="N125" t="s">
        <v>362</v>
      </c>
    </row>
    <row r="126" spans="1:14">
      <c r="A126" s="475" t="s">
        <v>243</v>
      </c>
      <c r="B126" t="s">
        <v>177</v>
      </c>
      <c r="C126" t="s">
        <v>184</v>
      </c>
      <c r="D126" s="477">
        <v>20.762283</v>
      </c>
      <c r="E126" t="b">
        <v>0</v>
      </c>
      <c r="F126" t="b">
        <v>1</v>
      </c>
      <c r="G126" s="430" t="str">
        <f>_xlfn.CONCAT(CostRateTbl[[#This Row],[Org Unit]],CostRateTbl[[#This Row],[Service Line]],CostRateTbl[[#This Row],[Role]],CostRateTbl[[#This Row],[BluePrint]])</f>
        <v>SpainOther ServicesAssociate Expert Managed OperationsNA</v>
      </c>
      <c r="H126" s="21" t="str">
        <f>SUBSTITUTE(TRIM(CostRateTbl[[#This Row],[Org Unit]])," ","")</f>
        <v>Spain</v>
      </c>
      <c r="I126" s="15" t="str">
        <f>_xlfn.CONCAT(H126,SUBSTITUTE(SUBSTITUTE(SUBSTITUTE(TRIM(CostRateTbl[[#This Row],[Service Line]]), "-", "")," ",""),"&amp;",""))</f>
        <v>SpainOtherServices</v>
      </c>
      <c r="J126" s="20" t="str">
        <f>_xlfn.CONCAT(I126,SUBSTITUTE(SUBSTITUTE(SUBSTITUTE(TRIM(CostRateTbl[[#This Row],[Role]]),"-", "")," ",""),"&amp;",""))</f>
        <v>SpainOtherServicesAssociateExpertManagedOperations</v>
      </c>
      <c r="K126" t="s">
        <v>361</v>
      </c>
      <c r="L126" t="s">
        <v>362</v>
      </c>
      <c r="M126" t="s">
        <v>362</v>
      </c>
      <c r="N126" t="s">
        <v>362</v>
      </c>
    </row>
    <row r="127" spans="1:14">
      <c r="A127" s="475" t="s">
        <v>243</v>
      </c>
      <c r="B127" t="s">
        <v>177</v>
      </c>
      <c r="C127" t="s">
        <v>370</v>
      </c>
      <c r="D127" s="477">
        <v>35.040965999999997</v>
      </c>
      <c r="E127" t="b">
        <v>0</v>
      </c>
      <c r="F127" t="b">
        <v>1</v>
      </c>
      <c r="G127" s="430" t="str">
        <f>_xlfn.CONCAT(CostRateTbl[[#This Row],[Org Unit]],CostRateTbl[[#This Row],[Service Line]],CostRateTbl[[#This Row],[Role]],CostRateTbl[[#This Row],[BluePrint]])</f>
        <v>SpainOther ServicesAssociate Expert Technology Implementation &amp; Consulting (General)NA</v>
      </c>
      <c r="H127" s="21" t="str">
        <f>SUBSTITUTE(TRIM(CostRateTbl[[#This Row],[Org Unit]])," ","")</f>
        <v>Spain</v>
      </c>
      <c r="I127" s="15" t="str">
        <f>_xlfn.CONCAT(H127,SUBSTITUTE(SUBSTITUTE(SUBSTITUTE(TRIM(CostRateTbl[[#This Row],[Service Line]]), "-", "")," ",""),"&amp;",""))</f>
        <v>SpainOtherServices</v>
      </c>
      <c r="J127" s="20" t="str">
        <f>_xlfn.CONCAT(I127,SUBSTITUTE(SUBSTITUTE(SUBSTITUTE(TRIM(CostRateTbl[[#This Row],[Role]]),"-", "")," ",""),"&amp;",""))</f>
        <v>SpainOtherServicesAssociateExpertTechnologyImplementationConsulting(General)</v>
      </c>
      <c r="K127" t="s">
        <v>361</v>
      </c>
      <c r="L127" t="s">
        <v>362</v>
      </c>
      <c r="M127" t="s">
        <v>362</v>
      </c>
      <c r="N127" t="s">
        <v>362</v>
      </c>
    </row>
    <row r="128" spans="1:14">
      <c r="A128" s="475" t="s">
        <v>243</v>
      </c>
      <c r="B128" t="s">
        <v>177</v>
      </c>
      <c r="C128" t="s">
        <v>180</v>
      </c>
      <c r="D128" s="477">
        <v>35.994011</v>
      </c>
      <c r="E128" t="b">
        <v>0</v>
      </c>
      <c r="F128" t="b">
        <v>1</v>
      </c>
      <c r="G128" s="430" t="str">
        <f>_xlfn.CONCAT(CostRateTbl[[#This Row],[Org Unit]],CostRateTbl[[#This Row],[Service Line]],CostRateTbl[[#This Row],[Role]],CostRateTbl[[#This Row],[BluePrint]])</f>
        <v>SpainOther ServicesExpert Managed OperationsNA</v>
      </c>
      <c r="H128" s="21" t="str">
        <f>SUBSTITUTE(TRIM(CostRateTbl[[#This Row],[Org Unit]])," ","")</f>
        <v>Spain</v>
      </c>
      <c r="I128" s="15" t="str">
        <f>_xlfn.CONCAT(H128,SUBSTITUTE(SUBSTITUTE(SUBSTITUTE(TRIM(CostRateTbl[[#This Row],[Service Line]]), "-", "")," ",""),"&amp;",""))</f>
        <v>SpainOtherServices</v>
      </c>
      <c r="J128" s="20" t="str">
        <f>_xlfn.CONCAT(I128,SUBSTITUTE(SUBSTITUTE(SUBSTITUTE(TRIM(CostRateTbl[[#This Row],[Role]]),"-", "")," ",""),"&amp;",""))</f>
        <v>SpainOtherServicesExpertManagedOperations</v>
      </c>
      <c r="K128" t="s">
        <v>361</v>
      </c>
      <c r="L128" t="s">
        <v>362</v>
      </c>
      <c r="M128" t="s">
        <v>362</v>
      </c>
      <c r="N128" t="s">
        <v>362</v>
      </c>
    </row>
    <row r="129" spans="1:14">
      <c r="A129" s="475" t="s">
        <v>243</v>
      </c>
      <c r="B129" t="s">
        <v>177</v>
      </c>
      <c r="C129" t="s">
        <v>182</v>
      </c>
      <c r="D129" s="477">
        <v>41.318992999999999</v>
      </c>
      <c r="E129" t="b">
        <v>0</v>
      </c>
      <c r="F129" t="b">
        <v>1</v>
      </c>
      <c r="G129" s="430" t="str">
        <f>_xlfn.CONCAT(CostRateTbl[[#This Row],[Org Unit]],CostRateTbl[[#This Row],[Service Line]],CostRateTbl[[#This Row],[Role]],CostRateTbl[[#This Row],[BluePrint]])</f>
        <v>SpainOther ServicesExpert Technology Implementation &amp; Consulting (General)NA</v>
      </c>
      <c r="H129" s="21" t="str">
        <f>SUBSTITUTE(TRIM(CostRateTbl[[#This Row],[Org Unit]])," ","")</f>
        <v>Spain</v>
      </c>
      <c r="I129" s="15" t="str">
        <f>_xlfn.CONCAT(H129,SUBSTITUTE(SUBSTITUTE(SUBSTITUTE(TRIM(CostRateTbl[[#This Row],[Service Line]]), "-", "")," ",""),"&amp;",""))</f>
        <v>SpainOtherServices</v>
      </c>
      <c r="J129" s="20" t="str">
        <f>_xlfn.CONCAT(I129,SUBSTITUTE(SUBSTITUTE(SUBSTITUTE(TRIM(CostRateTbl[[#This Row],[Role]]),"-", "")," ",""),"&amp;",""))</f>
        <v>SpainOtherServicesExpertTechnologyImplementationConsulting(General)</v>
      </c>
      <c r="K129" t="s">
        <v>361</v>
      </c>
      <c r="L129" t="s">
        <v>362</v>
      </c>
      <c r="M129" t="s">
        <v>362</v>
      </c>
      <c r="N129" t="s">
        <v>362</v>
      </c>
    </row>
    <row r="130" spans="1:14">
      <c r="A130" s="475" t="s">
        <v>243</v>
      </c>
      <c r="B130" t="s">
        <v>177</v>
      </c>
      <c r="C130" t="s">
        <v>387</v>
      </c>
      <c r="D130" s="477">
        <v>40.192367999999995</v>
      </c>
      <c r="E130" t="b">
        <v>0</v>
      </c>
      <c r="F130" t="b">
        <v>1</v>
      </c>
      <c r="G130" s="430" t="str">
        <f>_xlfn.CONCAT(CostRateTbl[[#This Row],[Org Unit]],CostRateTbl[[#This Row],[Service Line]],CostRateTbl[[#This Row],[Role]],CostRateTbl[[#This Row],[BluePrint]])</f>
        <v>SpainOther ServicesExpert Technology InfrastructureNA</v>
      </c>
      <c r="H130" s="21" t="str">
        <f>SUBSTITUTE(TRIM(CostRateTbl[[#This Row],[Org Unit]])," ","")</f>
        <v>Spain</v>
      </c>
      <c r="I130" s="15" t="str">
        <f>_xlfn.CONCAT(H130,SUBSTITUTE(SUBSTITUTE(SUBSTITUTE(TRIM(CostRateTbl[[#This Row],[Service Line]]), "-", "")," ",""),"&amp;",""))</f>
        <v>SpainOtherServices</v>
      </c>
      <c r="J130" s="20" t="str">
        <f>_xlfn.CONCAT(I130,SUBSTITUTE(SUBSTITUTE(SUBSTITUTE(TRIM(CostRateTbl[[#This Row],[Role]]),"-", "")," ",""),"&amp;",""))</f>
        <v>SpainOtherServicesExpertTechnologyInfrastructure</v>
      </c>
      <c r="K130" t="s">
        <v>361</v>
      </c>
      <c r="L130" t="s">
        <v>362</v>
      </c>
      <c r="M130" t="s">
        <v>362</v>
      </c>
      <c r="N130" t="s">
        <v>362</v>
      </c>
    </row>
    <row r="131" spans="1:14">
      <c r="A131" s="475" t="s">
        <v>243</v>
      </c>
      <c r="B131" t="s">
        <v>177</v>
      </c>
      <c r="C131" t="s">
        <v>388</v>
      </c>
      <c r="D131" s="477">
        <v>40.257949999999994</v>
      </c>
      <c r="E131" t="b">
        <v>0</v>
      </c>
      <c r="F131" t="b">
        <v>1</v>
      </c>
      <c r="G131" s="430" t="str">
        <f>_xlfn.CONCAT(CostRateTbl[[#This Row],[Org Unit]],CostRateTbl[[#This Row],[Service Line]],CostRateTbl[[#This Row],[Role]],CostRateTbl[[#This Row],[BluePrint]])</f>
        <v>SpainOther ServicesLead Expert Business Consulting and AdvisoryNA</v>
      </c>
      <c r="H131" s="21" t="str">
        <f>SUBSTITUTE(TRIM(CostRateTbl[[#This Row],[Org Unit]])," ","")</f>
        <v>Spain</v>
      </c>
      <c r="I131" s="15" t="str">
        <f>_xlfn.CONCAT(H131,SUBSTITUTE(SUBSTITUTE(SUBSTITUTE(TRIM(CostRateTbl[[#This Row],[Service Line]]), "-", "")," ",""),"&amp;",""))</f>
        <v>SpainOtherServices</v>
      </c>
      <c r="J131" s="20" t="str">
        <f>_xlfn.CONCAT(I131,SUBSTITUTE(SUBSTITUTE(SUBSTITUTE(TRIM(CostRateTbl[[#This Row],[Role]]),"-", "")," ",""),"&amp;",""))</f>
        <v>SpainOtherServicesLeadExpertBusinessConsultingandAdvisory</v>
      </c>
      <c r="K131" t="s">
        <v>361</v>
      </c>
      <c r="L131" t="s">
        <v>362</v>
      </c>
      <c r="M131" t="s">
        <v>362</v>
      </c>
      <c r="N131" t="s">
        <v>362</v>
      </c>
    </row>
    <row r="132" spans="1:14">
      <c r="A132" s="475" t="s">
        <v>243</v>
      </c>
      <c r="B132" t="s">
        <v>177</v>
      </c>
      <c r="C132" t="s">
        <v>372</v>
      </c>
      <c r="D132" s="477">
        <v>40.149031000000008</v>
      </c>
      <c r="E132" t="b">
        <v>0</v>
      </c>
      <c r="F132" t="b">
        <v>1</v>
      </c>
      <c r="G132" s="430" t="str">
        <f>_xlfn.CONCAT(CostRateTbl[[#This Row],[Org Unit]],CostRateTbl[[#This Row],[Service Line]],CostRateTbl[[#This Row],[Role]],CostRateTbl[[#This Row],[BluePrint]])</f>
        <v>SpainOther ServicesSr Expert Managed OperationsNA</v>
      </c>
      <c r="H132" s="21" t="str">
        <f>SUBSTITUTE(TRIM(CostRateTbl[[#This Row],[Org Unit]])," ","")</f>
        <v>Spain</v>
      </c>
      <c r="I132" s="15" t="str">
        <f>_xlfn.CONCAT(H132,SUBSTITUTE(SUBSTITUTE(SUBSTITUTE(TRIM(CostRateTbl[[#This Row],[Service Line]]), "-", "")," ",""),"&amp;",""))</f>
        <v>SpainOtherServices</v>
      </c>
      <c r="J132" s="20" t="str">
        <f>_xlfn.CONCAT(I132,SUBSTITUTE(SUBSTITUTE(SUBSTITUTE(TRIM(CostRateTbl[[#This Row],[Role]]),"-", "")," ",""),"&amp;",""))</f>
        <v>SpainOtherServicesSrExpertManagedOperations</v>
      </c>
      <c r="K132" t="s">
        <v>361</v>
      </c>
      <c r="L132" t="s">
        <v>362</v>
      </c>
      <c r="M132" t="s">
        <v>362</v>
      </c>
      <c r="N132" t="s">
        <v>362</v>
      </c>
    </row>
    <row r="133" spans="1:14">
      <c r="A133" s="475" t="s">
        <v>243</v>
      </c>
      <c r="B133" t="s">
        <v>154</v>
      </c>
      <c r="C133" t="s">
        <v>368</v>
      </c>
      <c r="D133" s="477">
        <v>46.334210999999996</v>
      </c>
      <c r="E133" t="b">
        <v>0</v>
      </c>
      <c r="F133" t="b">
        <v>1</v>
      </c>
      <c r="G133" s="430" t="str">
        <f>_xlfn.CONCAT(CostRateTbl[[#This Row],[Org Unit]],CostRateTbl[[#This Row],[Service Line]],CostRateTbl[[#This Row],[Role]],CostRateTbl[[#This Row],[BluePrint]])</f>
        <v>SpainProject ManagementAssociate Expert Technology &amp; Consulting Project ManagementNA</v>
      </c>
      <c r="H133" s="21" t="str">
        <f>SUBSTITUTE(TRIM(CostRateTbl[[#This Row],[Org Unit]])," ","")</f>
        <v>Spain</v>
      </c>
      <c r="I133" s="15" t="str">
        <f>_xlfn.CONCAT(H133,SUBSTITUTE(SUBSTITUTE(SUBSTITUTE(TRIM(CostRateTbl[[#This Row],[Service Line]]), "-", "")," ",""),"&amp;",""))</f>
        <v>SpainProjectManagement</v>
      </c>
      <c r="J133" s="20" t="str">
        <f>_xlfn.CONCAT(I133,SUBSTITUTE(SUBSTITUTE(SUBSTITUTE(TRIM(CostRateTbl[[#This Row],[Role]]),"-", "")," ",""),"&amp;",""))</f>
        <v>SpainProjectManagementAssociateExpertTechnologyConsultingProjectManagement</v>
      </c>
      <c r="K133" t="s">
        <v>361</v>
      </c>
      <c r="L133" t="s">
        <v>362</v>
      </c>
      <c r="M133" t="s">
        <v>362</v>
      </c>
      <c r="N133" t="s">
        <v>362</v>
      </c>
    </row>
    <row r="134" spans="1:14">
      <c r="A134" s="475" t="s">
        <v>243</v>
      </c>
      <c r="B134" t="s">
        <v>154</v>
      </c>
      <c r="C134" t="s">
        <v>178</v>
      </c>
      <c r="D134" s="477">
        <v>59.532633000000004</v>
      </c>
      <c r="E134" t="b">
        <v>0</v>
      </c>
      <c r="F134" t="b">
        <v>1</v>
      </c>
      <c r="G134" s="430" t="str">
        <f>_xlfn.CONCAT(CostRateTbl[[#This Row],[Org Unit]],CostRateTbl[[#This Row],[Service Line]],CostRateTbl[[#This Row],[Role]],CostRateTbl[[#This Row],[BluePrint]])</f>
        <v>SpainProject ManagementExpert Technology &amp; Consulting Project ManagementNA</v>
      </c>
      <c r="H134" s="21" t="str">
        <f>SUBSTITUTE(TRIM(CostRateTbl[[#This Row],[Org Unit]])," ","")</f>
        <v>Spain</v>
      </c>
      <c r="I134" s="15" t="str">
        <f>_xlfn.CONCAT(H134,SUBSTITUTE(SUBSTITUTE(SUBSTITUTE(TRIM(CostRateTbl[[#This Row],[Service Line]]), "-", "")," ",""),"&amp;",""))</f>
        <v>SpainProjectManagement</v>
      </c>
      <c r="J134" s="20" t="str">
        <f>_xlfn.CONCAT(I134,SUBSTITUTE(SUBSTITUTE(SUBSTITUTE(TRIM(CostRateTbl[[#This Row],[Role]]),"-", "")," ",""),"&amp;",""))</f>
        <v>SpainProjectManagementExpertTechnologyConsultingProjectManagement</v>
      </c>
      <c r="K134" t="s">
        <v>361</v>
      </c>
      <c r="L134" t="s">
        <v>362</v>
      </c>
      <c r="M134" t="s">
        <v>362</v>
      </c>
      <c r="N134" t="s">
        <v>362</v>
      </c>
    </row>
    <row r="135" spans="1:14">
      <c r="A135" s="475" t="s">
        <v>243</v>
      </c>
      <c r="B135" t="s">
        <v>154</v>
      </c>
      <c r="C135" t="s">
        <v>389</v>
      </c>
      <c r="D135" s="477">
        <v>88.006377000000001</v>
      </c>
      <c r="E135" t="b">
        <v>0</v>
      </c>
      <c r="F135" t="b">
        <v>1</v>
      </c>
      <c r="G135" s="430" t="str">
        <f>_xlfn.CONCAT(CostRateTbl[[#This Row],[Org Unit]],CostRateTbl[[#This Row],[Service Line]],CostRateTbl[[#This Row],[Role]],CostRateTbl[[#This Row],[BluePrint]])</f>
        <v>SpainProject ManagementSr Expert Project Management (General)NA</v>
      </c>
      <c r="H135" s="21" t="str">
        <f>SUBSTITUTE(TRIM(CostRateTbl[[#This Row],[Org Unit]])," ","")</f>
        <v>Spain</v>
      </c>
      <c r="I135" s="15" t="str">
        <f>_xlfn.CONCAT(H135,SUBSTITUTE(SUBSTITUTE(SUBSTITUTE(TRIM(CostRateTbl[[#This Row],[Service Line]]), "-", "")," ",""),"&amp;",""))</f>
        <v>SpainProjectManagement</v>
      </c>
      <c r="J135" s="20" t="str">
        <f>_xlfn.CONCAT(I135,SUBSTITUTE(SUBSTITUTE(SUBSTITUTE(TRIM(CostRateTbl[[#This Row],[Role]]),"-", "")," ",""),"&amp;",""))</f>
        <v>SpainProjectManagementSrExpertProjectManagement(General)</v>
      </c>
      <c r="K135" t="s">
        <v>361</v>
      </c>
      <c r="L135" t="s">
        <v>362</v>
      </c>
      <c r="M135" t="s">
        <v>362</v>
      </c>
      <c r="N135" t="s">
        <v>362</v>
      </c>
    </row>
    <row r="136" spans="1:14">
      <c r="A136" s="475" t="s">
        <v>243</v>
      </c>
      <c r="B136" t="s">
        <v>154</v>
      </c>
      <c r="C136" t="s">
        <v>155</v>
      </c>
      <c r="D136" s="477">
        <v>60.970860000000002</v>
      </c>
      <c r="E136" t="b">
        <v>0</v>
      </c>
      <c r="F136" t="b">
        <v>1</v>
      </c>
      <c r="G136" s="430" t="str">
        <f>_xlfn.CONCAT(CostRateTbl[[#This Row],[Org Unit]],CostRateTbl[[#This Row],[Service Line]],CostRateTbl[[#This Row],[Role]],CostRateTbl[[#This Row],[BluePrint]])</f>
        <v>SpainProject ManagementSr Expert Technology &amp; Consulting Project ManagementNA</v>
      </c>
      <c r="H136" s="21" t="str">
        <f>SUBSTITUTE(TRIM(CostRateTbl[[#This Row],[Org Unit]])," ","")</f>
        <v>Spain</v>
      </c>
      <c r="I136" s="15" t="str">
        <f>_xlfn.CONCAT(H136,SUBSTITUTE(SUBSTITUTE(SUBSTITUTE(TRIM(CostRateTbl[[#This Row],[Service Line]]), "-", "")," ",""),"&amp;",""))</f>
        <v>SpainProjectManagement</v>
      </c>
      <c r="J136" s="20" t="str">
        <f>_xlfn.CONCAT(I136,SUBSTITUTE(SUBSTITUTE(SUBSTITUTE(TRIM(CostRateTbl[[#This Row],[Role]]),"-", "")," ",""),"&amp;",""))</f>
        <v>SpainProjectManagementSrExpertTechnologyConsultingProjectManagement</v>
      </c>
      <c r="K136" t="s">
        <v>361</v>
      </c>
      <c r="L136" t="s">
        <v>362</v>
      </c>
      <c r="M136" t="s">
        <v>362</v>
      </c>
      <c r="N136" t="s">
        <v>362</v>
      </c>
    </row>
    <row r="137" spans="1:14">
      <c r="A137" s="475" t="s">
        <v>243</v>
      </c>
      <c r="B137" t="s">
        <v>235</v>
      </c>
      <c r="C137" t="s">
        <v>369</v>
      </c>
      <c r="D137" s="477">
        <v>30.729116999999999</v>
      </c>
      <c r="E137" t="b">
        <v>0</v>
      </c>
      <c r="F137" t="b">
        <v>1</v>
      </c>
      <c r="G137" s="430" t="str">
        <f>_xlfn.CONCAT(CostRateTbl[[#This Row],[Org Unit]],CostRateTbl[[#This Row],[Service Line]],CostRateTbl[[#This Row],[Role]],CostRateTbl[[#This Row],[BluePrint]])</f>
        <v>SpainSAP ServicesAssociate Expert Application DevelopmentNA</v>
      </c>
      <c r="H137" s="21" t="str">
        <f>SUBSTITUTE(TRIM(CostRateTbl[[#This Row],[Org Unit]])," ","")</f>
        <v>Spain</v>
      </c>
      <c r="I137" s="15" t="str">
        <f>_xlfn.CONCAT(H137,SUBSTITUTE(SUBSTITUTE(SUBSTITUTE(TRIM(CostRateTbl[[#This Row],[Service Line]]), "-", "")," ",""),"&amp;",""))</f>
        <v>SpainSAPServices</v>
      </c>
      <c r="J137" s="20" t="str">
        <f>_xlfn.CONCAT(I137,SUBSTITUTE(SUBSTITUTE(SUBSTITUTE(TRIM(CostRateTbl[[#This Row],[Role]]),"-", "")," ",""),"&amp;",""))</f>
        <v>SpainSAPServicesAssociateExpertApplicationDevelopment</v>
      </c>
      <c r="K137" t="s">
        <v>361</v>
      </c>
      <c r="L137" t="s">
        <v>362</v>
      </c>
      <c r="M137" t="s">
        <v>362</v>
      </c>
      <c r="N137" t="s">
        <v>362</v>
      </c>
    </row>
    <row r="138" spans="1:14">
      <c r="A138" s="475" t="s">
        <v>243</v>
      </c>
      <c r="B138" t="s">
        <v>235</v>
      </c>
      <c r="C138" t="s">
        <v>370</v>
      </c>
      <c r="D138" s="477">
        <v>26.461166000000002</v>
      </c>
      <c r="E138" t="b">
        <v>0</v>
      </c>
      <c r="F138" t="b">
        <v>1</v>
      </c>
      <c r="G138" s="430" t="str">
        <f>_xlfn.CONCAT(CostRateTbl[[#This Row],[Org Unit]],CostRateTbl[[#This Row],[Service Line]],CostRateTbl[[#This Row],[Role]],CostRateTbl[[#This Row],[BluePrint]])</f>
        <v>SpainSAP ServicesAssociate Expert Technology Implementation &amp; Consulting (General)NA</v>
      </c>
      <c r="H138" s="21" t="str">
        <f>SUBSTITUTE(TRIM(CostRateTbl[[#This Row],[Org Unit]])," ","")</f>
        <v>Spain</v>
      </c>
      <c r="I138" s="15" t="str">
        <f>_xlfn.CONCAT(H138,SUBSTITUTE(SUBSTITUTE(SUBSTITUTE(TRIM(CostRateTbl[[#This Row],[Service Line]]), "-", "")," ",""),"&amp;",""))</f>
        <v>SpainSAPServices</v>
      </c>
      <c r="J138" s="20" t="str">
        <f>_xlfn.CONCAT(I138,SUBSTITUTE(SUBSTITUTE(SUBSTITUTE(TRIM(CostRateTbl[[#This Row],[Role]]),"-", "")," ",""),"&amp;",""))</f>
        <v>SpainSAPServicesAssociateExpertTechnologyImplementationConsulting(General)</v>
      </c>
      <c r="K138" t="s">
        <v>361</v>
      </c>
      <c r="L138" t="s">
        <v>362</v>
      </c>
      <c r="M138" t="s">
        <v>362</v>
      </c>
      <c r="N138" t="s">
        <v>362</v>
      </c>
    </row>
    <row r="139" spans="1:14">
      <c r="A139" s="475" t="s">
        <v>243</v>
      </c>
      <c r="B139" t="s">
        <v>235</v>
      </c>
      <c r="C139" t="s">
        <v>371</v>
      </c>
      <c r="D139" s="477">
        <v>60.169620999999999</v>
      </c>
      <c r="E139" t="b">
        <v>0</v>
      </c>
      <c r="F139" t="b">
        <v>1</v>
      </c>
      <c r="G139" s="430" t="str">
        <f>_xlfn.CONCAT(CostRateTbl[[#This Row],[Org Unit]],CostRateTbl[[#This Row],[Service Line]],CostRateTbl[[#This Row],[Role]],CostRateTbl[[#This Row],[BluePrint]])</f>
        <v>SpainSAP ServicesExpert Application DevelopmentNA</v>
      </c>
      <c r="H139" s="21" t="str">
        <f>SUBSTITUTE(TRIM(CostRateTbl[[#This Row],[Org Unit]])," ","")</f>
        <v>Spain</v>
      </c>
      <c r="I139" s="15" t="str">
        <f>_xlfn.CONCAT(H139,SUBSTITUTE(SUBSTITUTE(SUBSTITUTE(TRIM(CostRateTbl[[#This Row],[Service Line]]), "-", "")," ",""),"&amp;",""))</f>
        <v>SpainSAPServices</v>
      </c>
      <c r="J139" s="20" t="str">
        <f>_xlfn.CONCAT(I139,SUBSTITUTE(SUBSTITUTE(SUBSTITUTE(TRIM(CostRateTbl[[#This Row],[Role]]),"-", "")," ",""),"&amp;",""))</f>
        <v>SpainSAPServicesExpertApplicationDevelopment</v>
      </c>
      <c r="K139" t="s">
        <v>361</v>
      </c>
      <c r="L139" t="s">
        <v>362</v>
      </c>
      <c r="M139" t="s">
        <v>362</v>
      </c>
      <c r="N139" t="s">
        <v>362</v>
      </c>
    </row>
    <row r="140" spans="1:14">
      <c r="A140" s="475" t="s">
        <v>243</v>
      </c>
      <c r="B140" t="s">
        <v>235</v>
      </c>
      <c r="C140" t="s">
        <v>182</v>
      </c>
      <c r="D140" s="477">
        <v>55.599727000000001</v>
      </c>
      <c r="E140" t="b">
        <v>0</v>
      </c>
      <c r="F140" t="b">
        <v>1</v>
      </c>
      <c r="G140" s="430" t="str">
        <f>_xlfn.CONCAT(CostRateTbl[[#This Row],[Org Unit]],CostRateTbl[[#This Row],[Service Line]],CostRateTbl[[#This Row],[Role]],CostRateTbl[[#This Row],[BluePrint]])</f>
        <v>SpainSAP ServicesExpert Technology Implementation &amp; Consulting (General)NA</v>
      </c>
      <c r="H140" s="21" t="str">
        <f>SUBSTITUTE(TRIM(CostRateTbl[[#This Row],[Org Unit]])," ","")</f>
        <v>Spain</v>
      </c>
      <c r="I140" s="15" t="str">
        <f>_xlfn.CONCAT(H140,SUBSTITUTE(SUBSTITUTE(SUBSTITUTE(TRIM(CostRateTbl[[#This Row],[Service Line]]), "-", "")," ",""),"&amp;",""))</f>
        <v>SpainSAPServices</v>
      </c>
      <c r="J140" s="20" t="str">
        <f>_xlfn.CONCAT(I140,SUBSTITUTE(SUBSTITUTE(SUBSTITUTE(TRIM(CostRateTbl[[#This Row],[Role]]),"-", "")," ",""),"&amp;",""))</f>
        <v>SpainSAPServicesExpertTechnologyImplementationConsulting(General)</v>
      </c>
      <c r="K140" t="s">
        <v>361</v>
      </c>
      <c r="L140" t="s">
        <v>362</v>
      </c>
      <c r="M140" t="s">
        <v>362</v>
      </c>
      <c r="N140" t="s">
        <v>362</v>
      </c>
    </row>
    <row r="141" spans="1:14">
      <c r="A141" s="475" t="s">
        <v>243</v>
      </c>
      <c r="B141" t="s">
        <v>235</v>
      </c>
      <c r="C141" t="s">
        <v>364</v>
      </c>
      <c r="D141" s="477">
        <v>125.201103</v>
      </c>
      <c r="E141" t="b">
        <v>0</v>
      </c>
      <c r="F141" t="b">
        <v>1</v>
      </c>
      <c r="G141" s="430" t="str">
        <f>_xlfn.CONCAT(CostRateTbl[[#This Row],[Org Unit]],CostRateTbl[[#This Row],[Service Line]],CostRateTbl[[#This Row],[Role]],CostRateTbl[[#This Row],[BluePrint]])</f>
        <v>SpainSAP ServicesLead Expert Technology Implementation &amp; Consulting (General)NA</v>
      </c>
      <c r="H141" s="21" t="str">
        <f>SUBSTITUTE(TRIM(CostRateTbl[[#This Row],[Org Unit]])," ","")</f>
        <v>Spain</v>
      </c>
      <c r="I141" s="15" t="str">
        <f>_xlfn.CONCAT(H141,SUBSTITUTE(SUBSTITUTE(SUBSTITUTE(TRIM(CostRateTbl[[#This Row],[Service Line]]), "-", "")," ",""),"&amp;",""))</f>
        <v>SpainSAPServices</v>
      </c>
      <c r="J141" s="20" t="str">
        <f>_xlfn.CONCAT(I141,SUBSTITUTE(SUBSTITUTE(SUBSTITUTE(TRIM(CostRateTbl[[#This Row],[Role]]),"-", "")," ",""),"&amp;",""))</f>
        <v>SpainSAPServicesLeadExpertTechnologyImplementationConsulting(General)</v>
      </c>
      <c r="K141" t="s">
        <v>361</v>
      </c>
      <c r="L141" t="s">
        <v>362</v>
      </c>
      <c r="M141" t="s">
        <v>362</v>
      </c>
      <c r="N141" t="s">
        <v>362</v>
      </c>
    </row>
    <row r="142" spans="1:14">
      <c r="A142" s="475" t="s">
        <v>243</v>
      </c>
      <c r="B142" t="s">
        <v>235</v>
      </c>
      <c r="C142" t="s">
        <v>363</v>
      </c>
      <c r="D142" s="477">
        <v>121.594977</v>
      </c>
      <c r="E142" t="b">
        <v>0</v>
      </c>
      <c r="F142" t="b">
        <v>1</v>
      </c>
      <c r="G142" s="430" t="str">
        <f>_xlfn.CONCAT(CostRateTbl[[#This Row],[Org Unit]],CostRateTbl[[#This Row],[Service Line]],CostRateTbl[[#This Row],[Role]],CostRateTbl[[#This Row],[BluePrint]])</f>
        <v>SpainSAP ServicesSr Expert Application DevelopmentNA</v>
      </c>
      <c r="H142" s="21" t="str">
        <f>SUBSTITUTE(TRIM(CostRateTbl[[#This Row],[Org Unit]])," ","")</f>
        <v>Spain</v>
      </c>
      <c r="I142" s="15" t="str">
        <f>_xlfn.CONCAT(H142,SUBSTITUTE(SUBSTITUTE(SUBSTITUTE(TRIM(CostRateTbl[[#This Row],[Service Line]]), "-", "")," ",""),"&amp;",""))</f>
        <v>SpainSAPServices</v>
      </c>
      <c r="J142" s="20" t="str">
        <f>_xlfn.CONCAT(I142,SUBSTITUTE(SUBSTITUTE(SUBSTITUTE(TRIM(CostRateTbl[[#This Row],[Role]]),"-", "")," ",""),"&amp;",""))</f>
        <v>SpainSAPServicesSrExpertApplicationDevelopment</v>
      </c>
      <c r="K142" t="s">
        <v>361</v>
      </c>
      <c r="L142" t="s">
        <v>362</v>
      </c>
      <c r="M142" t="s">
        <v>362</v>
      </c>
      <c r="N142" t="s">
        <v>362</v>
      </c>
    </row>
    <row r="143" spans="1:14">
      <c r="A143" s="475" t="s">
        <v>243</v>
      </c>
      <c r="B143" t="s">
        <v>235</v>
      </c>
      <c r="C143" t="s">
        <v>132</v>
      </c>
      <c r="D143" s="477">
        <v>89.251282000000003</v>
      </c>
      <c r="E143" t="b">
        <v>0</v>
      </c>
      <c r="F143" t="b">
        <v>1</v>
      </c>
      <c r="G143" s="430" t="str">
        <f>_xlfn.CONCAT(CostRateTbl[[#This Row],[Org Unit]],CostRateTbl[[#This Row],[Service Line]],CostRateTbl[[#This Row],[Role]],CostRateTbl[[#This Row],[BluePrint]])</f>
        <v>SpainSAP ServicesSr Expert Technology Implementation &amp; Consulting (General)NA</v>
      </c>
      <c r="H143" s="21" t="str">
        <f>SUBSTITUTE(TRIM(CostRateTbl[[#This Row],[Org Unit]])," ","")</f>
        <v>Spain</v>
      </c>
      <c r="I143" s="15" t="str">
        <f>_xlfn.CONCAT(H143,SUBSTITUTE(SUBSTITUTE(SUBSTITUTE(TRIM(CostRateTbl[[#This Row],[Service Line]]), "-", "")," ",""),"&amp;",""))</f>
        <v>SpainSAPServices</v>
      </c>
      <c r="J143" s="20" t="str">
        <f>_xlfn.CONCAT(I143,SUBSTITUTE(SUBSTITUTE(SUBSTITUTE(TRIM(CostRateTbl[[#This Row],[Role]]),"-", "")," ",""),"&amp;",""))</f>
        <v>SpainSAPServicesSrExpertTechnologyImplementationConsulting(General)</v>
      </c>
      <c r="K143" t="s">
        <v>361</v>
      </c>
      <c r="L143" t="s">
        <v>362</v>
      </c>
      <c r="M143" t="s">
        <v>362</v>
      </c>
      <c r="N143" t="s">
        <v>362</v>
      </c>
    </row>
    <row r="144" spans="1:14">
      <c r="A144" s="475" t="s">
        <v>243</v>
      </c>
      <c r="B144" t="s">
        <v>238</v>
      </c>
      <c r="C144" t="s">
        <v>390</v>
      </c>
      <c r="D144" s="477">
        <v>29.737296000000001</v>
      </c>
      <c r="E144" t="b">
        <v>0</v>
      </c>
      <c r="F144" t="b">
        <v>0</v>
      </c>
      <c r="G144" s="430" t="str">
        <f>_xlfn.CONCAT(CostRateTbl[[#This Row],[Org Unit]],CostRateTbl[[#This Row],[Service Line]],CostRateTbl[[#This Row],[Role]],CostRateTbl[[#This Row],[BluePrint]])</f>
        <v>SpainSupport ServicesAcademyNA</v>
      </c>
      <c r="H144" s="21" t="str">
        <f>SUBSTITUTE(TRIM(CostRateTbl[[#This Row],[Org Unit]])," ","")</f>
        <v>Spain</v>
      </c>
      <c r="I144" s="15" t="str">
        <f>_xlfn.CONCAT(H144,SUBSTITUTE(SUBSTITUTE(SUBSTITUTE(TRIM(CostRateTbl[[#This Row],[Service Line]]), "-", "")," ",""),"&amp;",""))</f>
        <v>SpainSupportServices</v>
      </c>
      <c r="J144" s="20" t="str">
        <f>_xlfn.CONCAT(I144,SUBSTITUTE(SUBSTITUTE(SUBSTITUTE(TRIM(CostRateTbl[[#This Row],[Role]]),"-", "")," ",""),"&amp;",""))</f>
        <v>SpainSupportServicesAcademy</v>
      </c>
      <c r="K144" t="s">
        <v>361</v>
      </c>
      <c r="L144" t="s">
        <v>362</v>
      </c>
      <c r="M144" t="s">
        <v>362</v>
      </c>
      <c r="N144" t="s">
        <v>362</v>
      </c>
    </row>
    <row r="145" spans="1:14">
      <c r="A145" s="475" t="s">
        <v>243</v>
      </c>
      <c r="B145" t="s">
        <v>238</v>
      </c>
      <c r="C145" t="s">
        <v>381</v>
      </c>
      <c r="D145" s="477">
        <v>34.312249000000001</v>
      </c>
      <c r="E145" t="b">
        <v>0</v>
      </c>
      <c r="F145" t="b">
        <v>0</v>
      </c>
      <c r="G145" s="430" t="str">
        <f>_xlfn.CONCAT(CostRateTbl[[#This Row],[Org Unit]],CostRateTbl[[#This Row],[Service Line]],CostRateTbl[[#This Row],[Role]],CostRateTbl[[#This Row],[BluePrint]])</f>
        <v>SpainSupport ServicesAssociate Expert Information Technology (General)NA</v>
      </c>
      <c r="H145" s="21" t="str">
        <f>SUBSTITUTE(TRIM(CostRateTbl[[#This Row],[Org Unit]])," ","")</f>
        <v>Spain</v>
      </c>
      <c r="I145" s="15" t="str">
        <f>_xlfn.CONCAT(H145,SUBSTITUTE(SUBSTITUTE(SUBSTITUTE(TRIM(CostRateTbl[[#This Row],[Service Line]]), "-", "")," ",""),"&amp;",""))</f>
        <v>SpainSupportServices</v>
      </c>
      <c r="J145" s="20" t="str">
        <f>_xlfn.CONCAT(I145,SUBSTITUTE(SUBSTITUTE(SUBSTITUTE(TRIM(CostRateTbl[[#This Row],[Role]]),"-", "")," ",""),"&amp;",""))</f>
        <v>SpainSupportServicesAssociateExpertInformationTechnology(General)</v>
      </c>
      <c r="K145" t="s">
        <v>361</v>
      </c>
      <c r="L145" t="s">
        <v>362</v>
      </c>
      <c r="M145" t="s">
        <v>362</v>
      </c>
      <c r="N145" t="s">
        <v>362</v>
      </c>
    </row>
    <row r="146" spans="1:14">
      <c r="A146" s="475" t="s">
        <v>243</v>
      </c>
      <c r="B146" t="s">
        <v>238</v>
      </c>
      <c r="C146" t="s">
        <v>184</v>
      </c>
      <c r="D146" s="477">
        <v>33.168390000000002</v>
      </c>
      <c r="E146" t="b">
        <v>0</v>
      </c>
      <c r="F146" t="b">
        <v>0</v>
      </c>
      <c r="G146" s="430" t="str">
        <f>_xlfn.CONCAT(CostRateTbl[[#This Row],[Org Unit]],CostRateTbl[[#This Row],[Service Line]],CostRateTbl[[#This Row],[Role]],CostRateTbl[[#This Row],[BluePrint]])</f>
        <v>SpainSupport ServicesAssociate Expert Managed OperationsNA</v>
      </c>
      <c r="H146" s="21" t="str">
        <f>SUBSTITUTE(TRIM(CostRateTbl[[#This Row],[Org Unit]])," ","")</f>
        <v>Spain</v>
      </c>
      <c r="I146" s="15" t="str">
        <f>_xlfn.CONCAT(H146,SUBSTITUTE(SUBSTITUTE(SUBSTITUTE(TRIM(CostRateTbl[[#This Row],[Service Line]]), "-", "")," ",""),"&amp;",""))</f>
        <v>SpainSupportServices</v>
      </c>
      <c r="J146" s="20" t="str">
        <f>_xlfn.CONCAT(I146,SUBSTITUTE(SUBSTITUTE(SUBSTITUTE(TRIM(CostRateTbl[[#This Row],[Role]]),"-", "")," ",""),"&amp;",""))</f>
        <v>SpainSupportServicesAssociateExpertManagedOperations</v>
      </c>
      <c r="K146" t="s">
        <v>361</v>
      </c>
      <c r="L146" t="s">
        <v>362</v>
      </c>
      <c r="M146" t="s">
        <v>362</v>
      </c>
      <c r="N146" t="s">
        <v>362</v>
      </c>
    </row>
    <row r="147" spans="1:14">
      <c r="A147" s="475" t="s">
        <v>391</v>
      </c>
      <c r="B147" t="s">
        <v>223</v>
      </c>
      <c r="C147" t="s">
        <v>184</v>
      </c>
      <c r="D147" s="477">
        <v>7.8434879999999998</v>
      </c>
      <c r="E147" t="b">
        <v>0</v>
      </c>
      <c r="F147" t="b">
        <v>1</v>
      </c>
      <c r="G147" s="430" t="str">
        <f>_xlfn.CONCAT(CostRateTbl[[#This Row],[Org Unit]],CostRateTbl[[#This Row],[Service Line]],CostRateTbl[[#This Row],[Role]],CostRateTbl[[#This Row],[BluePrint]])</f>
        <v>xDC Belo HorizonteDigital WorkplaceAssociate Expert Managed OperationsNA</v>
      </c>
      <c r="H147" s="21" t="str">
        <f>SUBSTITUTE(TRIM(CostRateTbl[[#This Row],[Org Unit]])," ","")</f>
        <v>xDCBeloHorizonte</v>
      </c>
      <c r="I147" s="15" t="str">
        <f>_xlfn.CONCAT(H147,SUBSTITUTE(SUBSTITUTE(SUBSTITUTE(TRIM(CostRateTbl[[#This Row],[Service Line]]), "-", "")," ",""),"&amp;",""))</f>
        <v>xDCBeloHorizonteDigitalWorkplace</v>
      </c>
      <c r="J147" s="20" t="str">
        <f>_xlfn.CONCAT(I147,SUBSTITUTE(SUBSTITUTE(SUBSTITUTE(TRIM(CostRateTbl[[#This Row],[Role]]),"-", "")," ",""),"&amp;",""))</f>
        <v>xDCBeloHorizonteDigitalWorkplaceAssociateExpertManagedOperations</v>
      </c>
      <c r="K147" t="s">
        <v>361</v>
      </c>
      <c r="L147" t="s">
        <v>362</v>
      </c>
      <c r="M147" t="s">
        <v>362</v>
      </c>
      <c r="N147" t="s">
        <v>362</v>
      </c>
    </row>
    <row r="148" spans="1:14">
      <c r="A148" s="475" t="s">
        <v>391</v>
      </c>
      <c r="B148" t="s">
        <v>235</v>
      </c>
      <c r="C148" t="s">
        <v>370</v>
      </c>
      <c r="D148" s="477">
        <v>6.9668009999999994</v>
      </c>
      <c r="E148" t="b">
        <v>0</v>
      </c>
      <c r="F148" t="b">
        <v>1</v>
      </c>
      <c r="G148" s="430" t="str">
        <f>_xlfn.CONCAT(CostRateTbl[[#This Row],[Org Unit]],CostRateTbl[[#This Row],[Service Line]],CostRateTbl[[#This Row],[Role]],CostRateTbl[[#This Row],[BluePrint]])</f>
        <v>xDC Belo HorizonteSAP ServicesAssociate Expert Technology Implementation &amp; Consulting (General)NA</v>
      </c>
      <c r="H148" s="21" t="str">
        <f>SUBSTITUTE(TRIM(CostRateTbl[[#This Row],[Org Unit]])," ","")</f>
        <v>xDCBeloHorizonte</v>
      </c>
      <c r="I148" s="15" t="str">
        <f>_xlfn.CONCAT(H148,SUBSTITUTE(SUBSTITUTE(SUBSTITUTE(TRIM(CostRateTbl[[#This Row],[Service Line]]), "-", "")," ",""),"&amp;",""))</f>
        <v>xDCBeloHorizonteSAPServices</v>
      </c>
      <c r="J148" s="20" t="str">
        <f>_xlfn.CONCAT(I148,SUBSTITUTE(SUBSTITUTE(SUBSTITUTE(TRIM(CostRateTbl[[#This Row],[Role]]),"-", "")," ",""),"&amp;",""))</f>
        <v>xDCBeloHorizonteSAPServicesAssociateExpertTechnologyImplementationConsulting(General)</v>
      </c>
      <c r="K148" t="s">
        <v>361</v>
      </c>
      <c r="L148" t="s">
        <v>362</v>
      </c>
      <c r="M148" t="s">
        <v>362</v>
      </c>
      <c r="N148" t="s">
        <v>362</v>
      </c>
    </row>
    <row r="149" spans="1:14">
      <c r="A149" s="475" t="s">
        <v>391</v>
      </c>
      <c r="B149" t="s">
        <v>235</v>
      </c>
      <c r="C149" t="s">
        <v>182</v>
      </c>
      <c r="D149" s="477">
        <v>12.568401</v>
      </c>
      <c r="E149" t="b">
        <v>0</v>
      </c>
      <c r="F149" t="b">
        <v>1</v>
      </c>
      <c r="G149" s="430" t="str">
        <f>_xlfn.CONCAT(CostRateTbl[[#This Row],[Org Unit]],CostRateTbl[[#This Row],[Service Line]],CostRateTbl[[#This Row],[Role]],CostRateTbl[[#This Row],[BluePrint]])</f>
        <v>xDC Belo HorizonteSAP ServicesExpert Technology Implementation &amp; Consulting (General)NA</v>
      </c>
      <c r="H149" s="21" t="str">
        <f>SUBSTITUTE(TRIM(CostRateTbl[[#This Row],[Org Unit]])," ","")</f>
        <v>xDCBeloHorizonte</v>
      </c>
      <c r="I149" s="15" t="str">
        <f>_xlfn.CONCAT(H149,SUBSTITUTE(SUBSTITUTE(SUBSTITUTE(TRIM(CostRateTbl[[#This Row],[Service Line]]), "-", "")," ",""),"&amp;",""))</f>
        <v>xDCBeloHorizonteSAPServices</v>
      </c>
      <c r="J149" s="20" t="str">
        <f>_xlfn.CONCAT(I149,SUBSTITUTE(SUBSTITUTE(SUBSTITUTE(TRIM(CostRateTbl[[#This Row],[Role]]),"-", "")," ",""),"&amp;",""))</f>
        <v>xDCBeloHorizonteSAPServicesExpertTechnologyImplementationConsulting(General)</v>
      </c>
      <c r="K149" t="s">
        <v>361</v>
      </c>
      <c r="L149" t="s">
        <v>362</v>
      </c>
      <c r="M149" t="s">
        <v>362</v>
      </c>
      <c r="N149" t="s">
        <v>362</v>
      </c>
    </row>
    <row r="150" spans="1:14">
      <c r="A150" s="475" t="s">
        <v>391</v>
      </c>
      <c r="B150" t="s">
        <v>235</v>
      </c>
      <c r="C150" t="s">
        <v>379</v>
      </c>
      <c r="D150" s="477">
        <v>49.632862000000003</v>
      </c>
      <c r="E150" t="b">
        <v>0</v>
      </c>
      <c r="F150" t="b">
        <v>0</v>
      </c>
      <c r="G150" s="430" t="str">
        <f>_xlfn.CONCAT(CostRateTbl[[#This Row],[Org Unit]],CostRateTbl[[#This Row],[Service Line]],CostRateTbl[[#This Row],[Role]],CostRateTbl[[#This Row],[BluePrint]])</f>
        <v>xDC Belo HorizonteSAP ServicesLead Expert Technology &amp; Consulting Project ManagementNA</v>
      </c>
      <c r="H150" s="21" t="str">
        <f>SUBSTITUTE(TRIM(CostRateTbl[[#This Row],[Org Unit]])," ","")</f>
        <v>xDCBeloHorizonte</v>
      </c>
      <c r="I150" s="15" t="str">
        <f>_xlfn.CONCAT(H150,SUBSTITUTE(SUBSTITUTE(SUBSTITUTE(TRIM(CostRateTbl[[#This Row],[Service Line]]), "-", "")," ",""),"&amp;",""))</f>
        <v>xDCBeloHorizonteSAPServices</v>
      </c>
      <c r="J150" s="20" t="str">
        <f>_xlfn.CONCAT(I150,SUBSTITUTE(SUBSTITUTE(SUBSTITUTE(TRIM(CostRateTbl[[#This Row],[Role]]),"-", "")," ",""),"&amp;",""))</f>
        <v>xDCBeloHorizonteSAPServicesLeadExpertTechnologyConsultingProjectManagement</v>
      </c>
      <c r="K150" t="s">
        <v>361</v>
      </c>
      <c r="L150" t="s">
        <v>362</v>
      </c>
      <c r="M150" t="s">
        <v>362</v>
      </c>
      <c r="N150" t="s">
        <v>362</v>
      </c>
    </row>
    <row r="151" spans="1:14">
      <c r="A151" s="475" t="s">
        <v>391</v>
      </c>
      <c r="B151" t="s">
        <v>235</v>
      </c>
      <c r="C151" t="s">
        <v>364</v>
      </c>
      <c r="D151" s="477">
        <v>49.294235</v>
      </c>
      <c r="E151" t="b">
        <v>0</v>
      </c>
      <c r="F151" t="b">
        <v>1</v>
      </c>
      <c r="G151" s="430" t="str">
        <f>_xlfn.CONCAT(CostRateTbl[[#This Row],[Org Unit]],CostRateTbl[[#This Row],[Service Line]],CostRateTbl[[#This Row],[Role]],CostRateTbl[[#This Row],[BluePrint]])</f>
        <v>xDC Belo HorizonteSAP ServicesLead Expert Technology Implementation &amp; Consulting (General)NA</v>
      </c>
      <c r="H151" s="21" t="str">
        <f>SUBSTITUTE(TRIM(CostRateTbl[[#This Row],[Org Unit]])," ","")</f>
        <v>xDCBeloHorizonte</v>
      </c>
      <c r="I151" s="15" t="str">
        <f>_xlfn.CONCAT(H151,SUBSTITUTE(SUBSTITUTE(SUBSTITUTE(TRIM(CostRateTbl[[#This Row],[Service Line]]), "-", "")," ",""),"&amp;",""))</f>
        <v>xDCBeloHorizonteSAPServices</v>
      </c>
      <c r="J151" s="20" t="str">
        <f>_xlfn.CONCAT(I151,SUBSTITUTE(SUBSTITUTE(SUBSTITUTE(TRIM(CostRateTbl[[#This Row],[Role]]),"-", "")," ",""),"&amp;",""))</f>
        <v>xDCBeloHorizonteSAPServicesLeadExpertTechnologyImplementationConsulting(General)</v>
      </c>
      <c r="K151" t="s">
        <v>361</v>
      </c>
      <c r="L151" t="s">
        <v>362</v>
      </c>
      <c r="M151" t="s">
        <v>362</v>
      </c>
      <c r="N151" t="s">
        <v>362</v>
      </c>
    </row>
    <row r="152" spans="1:14">
      <c r="A152" s="475" t="s">
        <v>391</v>
      </c>
      <c r="B152" t="s">
        <v>235</v>
      </c>
      <c r="C152" t="s">
        <v>132</v>
      </c>
      <c r="D152" s="477">
        <v>38.042237</v>
      </c>
      <c r="E152" t="b">
        <v>0</v>
      </c>
      <c r="F152" t="b">
        <v>1</v>
      </c>
      <c r="G152" s="430" t="str">
        <f>_xlfn.CONCAT(CostRateTbl[[#This Row],[Org Unit]],CostRateTbl[[#This Row],[Service Line]],CostRateTbl[[#This Row],[Role]],CostRateTbl[[#This Row],[BluePrint]])</f>
        <v>xDC Belo HorizonteSAP ServicesSr Expert Technology Implementation &amp; Consulting (General)NA</v>
      </c>
      <c r="H152" s="21" t="str">
        <f>SUBSTITUTE(TRIM(CostRateTbl[[#This Row],[Org Unit]])," ","")</f>
        <v>xDCBeloHorizonte</v>
      </c>
      <c r="I152" s="15" t="str">
        <f>_xlfn.CONCAT(H152,SUBSTITUTE(SUBSTITUTE(SUBSTITUTE(TRIM(CostRateTbl[[#This Row],[Service Line]]), "-", "")," ",""),"&amp;",""))</f>
        <v>xDCBeloHorizonteSAPServices</v>
      </c>
      <c r="J152" s="20" t="str">
        <f>_xlfn.CONCAT(I152,SUBSTITUTE(SUBSTITUTE(SUBSTITUTE(TRIM(CostRateTbl[[#This Row],[Role]]),"-", "")," ",""),"&amp;",""))</f>
        <v>xDCBeloHorizonteSAPServicesSrExpertTechnologyImplementationConsulting(General)</v>
      </c>
      <c r="K152" t="s">
        <v>361</v>
      </c>
      <c r="L152" t="s">
        <v>362</v>
      </c>
      <c r="M152" t="s">
        <v>362</v>
      </c>
      <c r="N152" t="s">
        <v>362</v>
      </c>
    </row>
    <row r="153" spans="1:14">
      <c r="A153" s="475" t="s">
        <v>391</v>
      </c>
      <c r="B153" t="s">
        <v>238</v>
      </c>
      <c r="C153" t="s">
        <v>184</v>
      </c>
      <c r="D153" s="477">
        <v>7.883419</v>
      </c>
      <c r="E153" t="b">
        <v>0</v>
      </c>
      <c r="F153" t="b">
        <v>1</v>
      </c>
      <c r="G153" s="430" t="str">
        <f>_xlfn.CONCAT(CostRateTbl[[#This Row],[Org Unit]],CostRateTbl[[#This Row],[Service Line]],CostRateTbl[[#This Row],[Role]],CostRateTbl[[#This Row],[BluePrint]])</f>
        <v>xDC Belo HorizonteSupport ServicesAssociate Expert Managed OperationsNA</v>
      </c>
      <c r="H153" s="21" t="str">
        <f>SUBSTITUTE(TRIM(CostRateTbl[[#This Row],[Org Unit]])," ","")</f>
        <v>xDCBeloHorizonte</v>
      </c>
      <c r="I153" s="15" t="str">
        <f>_xlfn.CONCAT(H153,SUBSTITUTE(SUBSTITUTE(SUBSTITUTE(TRIM(CostRateTbl[[#This Row],[Service Line]]), "-", "")," ",""),"&amp;",""))</f>
        <v>xDCBeloHorizonteSupportServices</v>
      </c>
      <c r="J153" s="20" t="str">
        <f>_xlfn.CONCAT(I153,SUBSTITUTE(SUBSTITUTE(SUBSTITUTE(TRIM(CostRateTbl[[#This Row],[Role]]),"-", "")," ",""),"&amp;",""))</f>
        <v>xDCBeloHorizonteSupportServicesAssociateExpertManagedOperations</v>
      </c>
      <c r="K153" t="s">
        <v>361</v>
      </c>
      <c r="L153" t="s">
        <v>362</v>
      </c>
      <c r="M153" t="s">
        <v>362</v>
      </c>
      <c r="N153" t="s">
        <v>362</v>
      </c>
    </row>
    <row r="154" spans="1:14">
      <c r="A154" s="475" t="s">
        <v>391</v>
      </c>
      <c r="B154" t="s">
        <v>238</v>
      </c>
      <c r="C154" t="s">
        <v>180</v>
      </c>
      <c r="D154" s="477">
        <v>17.817609000000001</v>
      </c>
      <c r="E154" t="b">
        <v>0</v>
      </c>
      <c r="F154" t="b">
        <v>1</v>
      </c>
      <c r="G154" s="430" t="str">
        <f>_xlfn.CONCAT(CostRateTbl[[#This Row],[Org Unit]],CostRateTbl[[#This Row],[Service Line]],CostRateTbl[[#This Row],[Role]],CostRateTbl[[#This Row],[BluePrint]])</f>
        <v>xDC Belo HorizonteSupport ServicesExpert Managed OperationsNA</v>
      </c>
      <c r="H154" s="21" t="str">
        <f>SUBSTITUTE(TRIM(CostRateTbl[[#This Row],[Org Unit]])," ","")</f>
        <v>xDCBeloHorizonte</v>
      </c>
      <c r="I154" s="15" t="str">
        <f>_xlfn.CONCAT(H154,SUBSTITUTE(SUBSTITUTE(SUBSTITUTE(TRIM(CostRateTbl[[#This Row],[Service Line]]), "-", "")," ",""),"&amp;",""))</f>
        <v>xDCBeloHorizonteSupportServices</v>
      </c>
      <c r="J154" s="20" t="str">
        <f>_xlfn.CONCAT(I154,SUBSTITUTE(SUBSTITUTE(SUBSTITUTE(TRIM(CostRateTbl[[#This Row],[Role]]),"-", "")," ",""),"&amp;",""))</f>
        <v>xDCBeloHorizonteSupportServicesExpertManagedOperations</v>
      </c>
      <c r="K154" t="s">
        <v>361</v>
      </c>
      <c r="L154" t="s">
        <v>362</v>
      </c>
      <c r="M154" t="s">
        <v>362</v>
      </c>
      <c r="N154" t="s">
        <v>362</v>
      </c>
    </row>
    <row r="155" spans="1:14">
      <c r="A155" s="475" t="s">
        <v>391</v>
      </c>
      <c r="B155" t="s">
        <v>238</v>
      </c>
      <c r="C155" t="s">
        <v>378</v>
      </c>
      <c r="D155" s="477">
        <v>11.091745</v>
      </c>
      <c r="E155" t="b">
        <v>0</v>
      </c>
      <c r="F155" t="b">
        <v>1</v>
      </c>
      <c r="G155" s="430" t="str">
        <f>_xlfn.CONCAT(CostRateTbl[[#This Row],[Org Unit]],CostRateTbl[[#This Row],[Service Line]],CostRateTbl[[#This Row],[Role]],CostRateTbl[[#This Row],[BluePrint]])</f>
        <v>xDC Belo HorizonteSupport ServicesLead Expert Managed OperationsNA</v>
      </c>
      <c r="H155" s="21" t="str">
        <f>SUBSTITUTE(TRIM(CostRateTbl[[#This Row],[Org Unit]])," ","")</f>
        <v>xDCBeloHorizonte</v>
      </c>
      <c r="I155" s="15" t="str">
        <f>_xlfn.CONCAT(H155,SUBSTITUTE(SUBSTITUTE(SUBSTITUTE(TRIM(CostRateTbl[[#This Row],[Service Line]]), "-", "")," ",""),"&amp;",""))</f>
        <v>xDCBeloHorizonteSupportServices</v>
      </c>
      <c r="J155" s="20" t="str">
        <f>_xlfn.CONCAT(I155,SUBSTITUTE(SUBSTITUTE(SUBSTITUTE(TRIM(CostRateTbl[[#This Row],[Role]]),"-", "")," ",""),"&amp;",""))</f>
        <v>xDCBeloHorizonteSupportServicesLeadExpertManagedOperations</v>
      </c>
      <c r="K155" t="s">
        <v>361</v>
      </c>
      <c r="L155" t="s">
        <v>362</v>
      </c>
      <c r="M155" t="s">
        <v>362</v>
      </c>
      <c r="N155" t="s">
        <v>362</v>
      </c>
    </row>
    <row r="156" spans="1:14">
      <c r="A156" s="475" t="s">
        <v>391</v>
      </c>
      <c r="B156" t="s">
        <v>238</v>
      </c>
      <c r="C156" t="s">
        <v>392</v>
      </c>
      <c r="D156" s="477">
        <v>39.416488000000001</v>
      </c>
      <c r="E156" t="b">
        <v>0</v>
      </c>
      <c r="F156" t="b">
        <v>1</v>
      </c>
      <c r="G156" s="430" t="str">
        <f>_xlfn.CONCAT(CostRateTbl[[#This Row],[Org Unit]],CostRateTbl[[#This Row],[Service Line]],CostRateTbl[[#This Row],[Role]],CostRateTbl[[#This Row],[BluePrint]])</f>
        <v>xDC Belo HorizonteSupport ServicesLead Expert Service Delivery &amp; SuccessNA</v>
      </c>
      <c r="H156" s="21" t="str">
        <f>SUBSTITUTE(TRIM(CostRateTbl[[#This Row],[Org Unit]])," ","")</f>
        <v>xDCBeloHorizonte</v>
      </c>
      <c r="I156" s="15" t="str">
        <f>_xlfn.CONCAT(H156,SUBSTITUTE(SUBSTITUTE(SUBSTITUTE(TRIM(CostRateTbl[[#This Row],[Service Line]]), "-", "")," ",""),"&amp;",""))</f>
        <v>xDCBeloHorizonteSupportServices</v>
      </c>
      <c r="J156" s="20" t="str">
        <f>_xlfn.CONCAT(I156,SUBSTITUTE(SUBSTITUTE(SUBSTITUTE(TRIM(CostRateTbl[[#This Row],[Role]]),"-", "")," ",""),"&amp;",""))</f>
        <v>xDCBeloHorizonteSupportServicesLeadExpertServiceDeliverySuccess</v>
      </c>
      <c r="K156" t="s">
        <v>361</v>
      </c>
      <c r="L156" t="s">
        <v>362</v>
      </c>
      <c r="M156" t="s">
        <v>362</v>
      </c>
      <c r="N156" t="s">
        <v>362</v>
      </c>
    </row>
    <row r="157" spans="1:14">
      <c r="A157" s="475" t="s">
        <v>391</v>
      </c>
      <c r="B157" t="s">
        <v>238</v>
      </c>
      <c r="C157" t="s">
        <v>372</v>
      </c>
      <c r="D157" s="477">
        <v>30.396259000000001</v>
      </c>
      <c r="E157" t="b">
        <v>0</v>
      </c>
      <c r="F157" t="b">
        <v>1</v>
      </c>
      <c r="G157" s="430" t="str">
        <f>_xlfn.CONCAT(CostRateTbl[[#This Row],[Org Unit]],CostRateTbl[[#This Row],[Service Line]],CostRateTbl[[#This Row],[Role]],CostRateTbl[[#This Row],[BluePrint]])</f>
        <v>xDC Belo HorizonteSupport ServicesSr Expert Managed OperationsNA</v>
      </c>
      <c r="H157" s="21" t="str">
        <f>SUBSTITUTE(TRIM(CostRateTbl[[#This Row],[Org Unit]])," ","")</f>
        <v>xDCBeloHorizonte</v>
      </c>
      <c r="I157" s="15" t="str">
        <f>_xlfn.CONCAT(H157,SUBSTITUTE(SUBSTITUTE(SUBSTITUTE(TRIM(CostRateTbl[[#This Row],[Service Line]]), "-", "")," ",""),"&amp;",""))</f>
        <v>xDCBeloHorizonteSupportServices</v>
      </c>
      <c r="J157" s="20" t="str">
        <f>_xlfn.CONCAT(I157,SUBSTITUTE(SUBSTITUTE(SUBSTITUTE(TRIM(CostRateTbl[[#This Row],[Role]]),"-", "")," ",""),"&amp;",""))</f>
        <v>xDCBeloHorizonteSupportServicesSrExpertManagedOperations</v>
      </c>
      <c r="K157" t="s">
        <v>361</v>
      </c>
      <c r="L157" t="s">
        <v>362</v>
      </c>
      <c r="M157" t="s">
        <v>362</v>
      </c>
      <c r="N157" t="s">
        <v>362</v>
      </c>
    </row>
    <row r="158" spans="1:14">
      <c r="A158" s="475" t="s">
        <v>391</v>
      </c>
      <c r="B158" t="s">
        <v>238</v>
      </c>
      <c r="C158" t="s">
        <v>393</v>
      </c>
      <c r="D158" s="477">
        <v>59.465986999999998</v>
      </c>
      <c r="E158" t="b">
        <v>0</v>
      </c>
      <c r="F158" t="b">
        <v>1</v>
      </c>
      <c r="G158" s="430" t="str">
        <f>_xlfn.CONCAT(CostRateTbl[[#This Row],[Org Unit]],CostRateTbl[[#This Row],[Service Line]],CostRateTbl[[#This Row],[Role]],CostRateTbl[[#This Row],[BluePrint]])</f>
        <v>xDC Belo HorizonteSupport ServicesSr Manager Managed OperationsNA</v>
      </c>
      <c r="H158" s="21" t="str">
        <f>SUBSTITUTE(TRIM(CostRateTbl[[#This Row],[Org Unit]])," ","")</f>
        <v>xDCBeloHorizonte</v>
      </c>
      <c r="I158" s="15" t="str">
        <f>_xlfn.CONCAT(H158,SUBSTITUTE(SUBSTITUTE(SUBSTITUTE(TRIM(CostRateTbl[[#This Row],[Service Line]]), "-", "")," ",""),"&amp;",""))</f>
        <v>xDCBeloHorizonteSupportServices</v>
      </c>
      <c r="J158" s="20" t="str">
        <f>_xlfn.CONCAT(I158,SUBSTITUTE(SUBSTITUTE(SUBSTITUTE(TRIM(CostRateTbl[[#This Row],[Role]]),"-", "")," ",""),"&amp;",""))</f>
        <v>xDCBeloHorizonteSupportServicesSrManagerManagedOperations</v>
      </c>
      <c r="K158" t="s">
        <v>361</v>
      </c>
      <c r="L158" t="s">
        <v>362</v>
      </c>
      <c r="M158" t="s">
        <v>362</v>
      </c>
      <c r="N158" t="s">
        <v>362</v>
      </c>
    </row>
    <row r="159" spans="1:14">
      <c r="A159" s="475" t="s">
        <v>394</v>
      </c>
      <c r="B159" t="s">
        <v>213</v>
      </c>
      <c r="C159" t="s">
        <v>132</v>
      </c>
      <c r="D159" s="477">
        <v>51.997082999999996</v>
      </c>
      <c r="E159" t="b">
        <v>0</v>
      </c>
      <c r="F159" t="b">
        <v>1</v>
      </c>
      <c r="G159" s="430" t="str">
        <f>_xlfn.CONCAT(CostRateTbl[[#This Row],[Org Unit]],CostRateTbl[[#This Row],[Service Line]],CostRateTbl[[#This Row],[Role]],CostRateTbl[[#This Row],[BluePrint]])</f>
        <v>xDC GuadalajaraCloud Services AWSSr Expert Technology Implementation &amp; Consulting (General)NA</v>
      </c>
      <c r="H159" s="21" t="str">
        <f>SUBSTITUTE(TRIM(CostRateTbl[[#This Row],[Org Unit]])," ","")</f>
        <v>xDCGuadalajara</v>
      </c>
      <c r="I159" s="15" t="str">
        <f>_xlfn.CONCAT(H159,SUBSTITUTE(SUBSTITUTE(SUBSTITUTE(TRIM(CostRateTbl[[#This Row],[Service Line]]), "-", "")," ",""),"&amp;",""))</f>
        <v>xDCGuadalajaraCloudServicesAWS</v>
      </c>
      <c r="J159" s="20" t="str">
        <f>_xlfn.CONCAT(I159,SUBSTITUTE(SUBSTITUTE(SUBSTITUTE(TRIM(CostRateTbl[[#This Row],[Role]]),"-", "")," ",""),"&amp;",""))</f>
        <v>xDCGuadalajaraCloudServicesAWSSrExpertTechnologyImplementationConsulting(General)</v>
      </c>
      <c r="K159" t="s">
        <v>361</v>
      </c>
      <c r="L159" t="s">
        <v>362</v>
      </c>
      <c r="M159" t="s">
        <v>362</v>
      </c>
      <c r="N159" t="s">
        <v>362</v>
      </c>
    </row>
    <row r="160" spans="1:14">
      <c r="A160" s="475" t="s">
        <v>394</v>
      </c>
      <c r="B160" t="s">
        <v>395</v>
      </c>
      <c r="C160" t="s">
        <v>370</v>
      </c>
      <c r="D160" s="477">
        <v>78.418241999999992</v>
      </c>
      <c r="E160" t="b">
        <v>0</v>
      </c>
      <c r="F160" t="b">
        <v>1</v>
      </c>
      <c r="G160" s="430" t="str">
        <f>_xlfn.CONCAT(CostRateTbl[[#This Row],[Org Unit]],CostRateTbl[[#This Row],[Service Line]],CostRateTbl[[#This Row],[Role]],CostRateTbl[[#This Row],[BluePrint]])</f>
        <v>xDC GuadalajaraCSP ServicesAssociate Expert Technology Implementation &amp; Consulting (General)NA</v>
      </c>
      <c r="H160" s="21" t="str">
        <f>SUBSTITUTE(TRIM(CostRateTbl[[#This Row],[Org Unit]])," ","")</f>
        <v>xDCGuadalajara</v>
      </c>
      <c r="I160" s="15" t="str">
        <f>_xlfn.CONCAT(H160,SUBSTITUTE(SUBSTITUTE(SUBSTITUTE(TRIM(CostRateTbl[[#This Row],[Service Line]]), "-", "")," ",""),"&amp;",""))</f>
        <v>xDCGuadalajaraCSPServices</v>
      </c>
      <c r="J160" s="20" t="str">
        <f>_xlfn.CONCAT(I160,SUBSTITUTE(SUBSTITUTE(SUBSTITUTE(TRIM(CostRateTbl[[#This Row],[Role]]),"-", "")," ",""),"&amp;",""))</f>
        <v>xDCGuadalajaraCSPServicesAssociateExpertTechnologyImplementationConsulting(General)</v>
      </c>
      <c r="K160" t="s">
        <v>361</v>
      </c>
      <c r="L160" t="s">
        <v>362</v>
      </c>
      <c r="M160" t="s">
        <v>362</v>
      </c>
      <c r="N160" t="s">
        <v>362</v>
      </c>
    </row>
    <row r="161" spans="1:14">
      <c r="A161" s="475" t="s">
        <v>394</v>
      </c>
      <c r="B161" t="s">
        <v>395</v>
      </c>
      <c r="C161" t="s">
        <v>396</v>
      </c>
      <c r="D161" s="477">
        <v>96.176743999999999</v>
      </c>
      <c r="E161" t="b">
        <v>0</v>
      </c>
      <c r="F161" t="b">
        <v>1</v>
      </c>
      <c r="G161" s="430" t="str">
        <f>_xlfn.CONCAT(CostRateTbl[[#This Row],[Org Unit]],CostRateTbl[[#This Row],[Service Line]],CostRateTbl[[#This Row],[Role]],CostRateTbl[[#This Row],[BluePrint]])</f>
        <v>xDC GuadalajaraCSP ServicesExpert Service &amp; Software EngineeringNA</v>
      </c>
      <c r="H161" s="21" t="str">
        <f>SUBSTITUTE(TRIM(CostRateTbl[[#This Row],[Org Unit]])," ","")</f>
        <v>xDCGuadalajara</v>
      </c>
      <c r="I161" s="15" t="str">
        <f>_xlfn.CONCAT(H161,SUBSTITUTE(SUBSTITUTE(SUBSTITUTE(TRIM(CostRateTbl[[#This Row],[Service Line]]), "-", "")," ",""),"&amp;",""))</f>
        <v>xDCGuadalajaraCSPServices</v>
      </c>
      <c r="J161" s="20" t="str">
        <f>_xlfn.CONCAT(I161,SUBSTITUTE(SUBSTITUTE(SUBSTITUTE(TRIM(CostRateTbl[[#This Row],[Role]]),"-", "")," ",""),"&amp;",""))</f>
        <v>xDCGuadalajaraCSPServicesExpertServiceSoftwareEngineering</v>
      </c>
      <c r="K161" t="s">
        <v>361</v>
      </c>
      <c r="L161" t="s">
        <v>362</v>
      </c>
      <c r="M161" t="s">
        <v>362</v>
      </c>
      <c r="N161" t="s">
        <v>362</v>
      </c>
    </row>
    <row r="162" spans="1:14">
      <c r="A162" s="475" t="s">
        <v>394</v>
      </c>
      <c r="B162" t="s">
        <v>223</v>
      </c>
      <c r="C162" t="s">
        <v>365</v>
      </c>
      <c r="D162" s="477">
        <v>32.733479000000003</v>
      </c>
      <c r="E162" t="b">
        <v>0</v>
      </c>
      <c r="F162" t="b">
        <v>1</v>
      </c>
      <c r="G162" s="430" t="str">
        <f>_xlfn.CONCAT(CostRateTbl[[#This Row],[Org Unit]],CostRateTbl[[#This Row],[Service Line]],CostRateTbl[[#This Row],[Role]],CostRateTbl[[#This Row],[BluePrint]])</f>
        <v>xDC GuadalajaraDigital WorkplaceAssociate Expert Business Consulting and AdvisoryNA</v>
      </c>
      <c r="H162" s="21" t="str">
        <f>SUBSTITUTE(TRIM(CostRateTbl[[#This Row],[Org Unit]])," ","")</f>
        <v>xDCGuadalajara</v>
      </c>
      <c r="I162" s="15" t="str">
        <f>_xlfn.CONCAT(H162,SUBSTITUTE(SUBSTITUTE(SUBSTITUTE(TRIM(CostRateTbl[[#This Row],[Service Line]]), "-", "")," ",""),"&amp;",""))</f>
        <v>xDCGuadalajaraDigitalWorkplace</v>
      </c>
      <c r="J162" s="20" t="str">
        <f>_xlfn.CONCAT(I162,SUBSTITUTE(SUBSTITUTE(SUBSTITUTE(TRIM(CostRateTbl[[#This Row],[Role]]),"-", "")," ",""),"&amp;",""))</f>
        <v>xDCGuadalajaraDigitalWorkplaceAssociateExpertBusinessConsultingandAdvisory</v>
      </c>
      <c r="K162" t="s">
        <v>361</v>
      </c>
      <c r="L162" t="s">
        <v>362</v>
      </c>
      <c r="M162" t="s">
        <v>362</v>
      </c>
      <c r="N162" t="s">
        <v>362</v>
      </c>
    </row>
    <row r="163" spans="1:14">
      <c r="A163" s="475" t="s">
        <v>394</v>
      </c>
      <c r="B163" t="s">
        <v>223</v>
      </c>
      <c r="C163" t="s">
        <v>182</v>
      </c>
      <c r="D163" s="477">
        <v>45.861165</v>
      </c>
      <c r="E163" t="b">
        <v>0</v>
      </c>
      <c r="F163" t="b">
        <v>1</v>
      </c>
      <c r="G163" s="430" t="str">
        <f>_xlfn.CONCAT(CostRateTbl[[#This Row],[Org Unit]],CostRateTbl[[#This Row],[Service Line]],CostRateTbl[[#This Row],[Role]],CostRateTbl[[#This Row],[BluePrint]])</f>
        <v>xDC GuadalajaraDigital WorkplaceExpert Technology Implementation &amp; Consulting (General)NA</v>
      </c>
      <c r="H163" s="21" t="str">
        <f>SUBSTITUTE(TRIM(CostRateTbl[[#This Row],[Org Unit]])," ","")</f>
        <v>xDCGuadalajara</v>
      </c>
      <c r="I163" s="15" t="str">
        <f>_xlfn.CONCAT(H163,SUBSTITUTE(SUBSTITUTE(SUBSTITUTE(TRIM(CostRateTbl[[#This Row],[Service Line]]), "-", "")," ",""),"&amp;",""))</f>
        <v>xDCGuadalajaraDigitalWorkplace</v>
      </c>
      <c r="J163" s="20" t="str">
        <f>_xlfn.CONCAT(I163,SUBSTITUTE(SUBSTITUTE(SUBSTITUTE(TRIM(CostRateTbl[[#This Row],[Role]]),"-", "")," ",""),"&amp;",""))</f>
        <v>xDCGuadalajaraDigitalWorkplaceExpertTechnologyImplementationConsulting(General)</v>
      </c>
      <c r="K163" t="s">
        <v>361</v>
      </c>
      <c r="L163" t="s">
        <v>362</v>
      </c>
      <c r="M163" t="s">
        <v>362</v>
      </c>
      <c r="N163" t="s">
        <v>362</v>
      </c>
    </row>
    <row r="164" spans="1:14">
      <c r="A164" s="475" t="s">
        <v>394</v>
      </c>
      <c r="B164" t="s">
        <v>223</v>
      </c>
      <c r="C164" t="s">
        <v>364</v>
      </c>
      <c r="D164" s="477">
        <v>53.269182999999998</v>
      </c>
      <c r="E164" t="b">
        <v>0</v>
      </c>
      <c r="F164" t="b">
        <v>1</v>
      </c>
      <c r="G164" s="430" t="str">
        <f>_xlfn.CONCAT(CostRateTbl[[#This Row],[Org Unit]],CostRateTbl[[#This Row],[Service Line]],CostRateTbl[[#This Row],[Role]],CostRateTbl[[#This Row],[BluePrint]])</f>
        <v>xDC GuadalajaraDigital WorkplaceLead Expert Technology Implementation &amp; Consulting (General)NA</v>
      </c>
      <c r="H164" s="21" t="str">
        <f>SUBSTITUTE(TRIM(CostRateTbl[[#This Row],[Org Unit]])," ","")</f>
        <v>xDCGuadalajara</v>
      </c>
      <c r="I164" s="15" t="str">
        <f>_xlfn.CONCAT(H164,SUBSTITUTE(SUBSTITUTE(SUBSTITUTE(TRIM(CostRateTbl[[#This Row],[Service Line]]), "-", "")," ",""),"&amp;",""))</f>
        <v>xDCGuadalajaraDigitalWorkplace</v>
      </c>
      <c r="J164" s="20" t="str">
        <f>_xlfn.CONCAT(I164,SUBSTITUTE(SUBSTITUTE(SUBSTITUTE(TRIM(CostRateTbl[[#This Row],[Role]]),"-", "")," ",""),"&amp;",""))</f>
        <v>xDCGuadalajaraDigitalWorkplaceLeadExpertTechnologyImplementationConsulting(General)</v>
      </c>
      <c r="K164" t="s">
        <v>361</v>
      </c>
      <c r="L164" t="s">
        <v>362</v>
      </c>
      <c r="M164" t="s">
        <v>362</v>
      </c>
      <c r="N164" t="s">
        <v>362</v>
      </c>
    </row>
    <row r="165" spans="1:14">
      <c r="A165" s="475" t="s">
        <v>394</v>
      </c>
      <c r="B165" t="s">
        <v>232</v>
      </c>
      <c r="C165" t="s">
        <v>365</v>
      </c>
      <c r="D165" s="477">
        <v>30.548940000000002</v>
      </c>
      <c r="E165" t="b">
        <v>0</v>
      </c>
      <c r="F165" t="b">
        <v>1</v>
      </c>
      <c r="G165" s="430" t="str">
        <f>_xlfn.CONCAT(CostRateTbl[[#This Row],[Org Unit]],CostRateTbl[[#This Row],[Service Line]],CostRateTbl[[#This Row],[Role]],CostRateTbl[[#This Row],[BluePrint]])</f>
        <v>xDC GuadalajaraITAM &amp; FinOpsAssociate Expert Business Consulting and AdvisoryNA</v>
      </c>
      <c r="H165" s="21" t="str">
        <f>SUBSTITUTE(TRIM(CostRateTbl[[#This Row],[Org Unit]])," ","")</f>
        <v>xDCGuadalajara</v>
      </c>
      <c r="I165" s="15" t="str">
        <f>_xlfn.CONCAT(H165,SUBSTITUTE(SUBSTITUTE(SUBSTITUTE(TRIM(CostRateTbl[[#This Row],[Service Line]]), "-", "")," ",""),"&amp;",""))</f>
        <v>xDCGuadalajaraITAMFinOps</v>
      </c>
      <c r="J165" s="20" t="str">
        <f>_xlfn.CONCAT(I165,SUBSTITUTE(SUBSTITUTE(SUBSTITUTE(TRIM(CostRateTbl[[#This Row],[Role]]),"-", "")," ",""),"&amp;",""))</f>
        <v>xDCGuadalajaraITAMFinOpsAssociateExpertBusinessConsultingandAdvisory</v>
      </c>
      <c r="K165" t="s">
        <v>361</v>
      </c>
      <c r="L165" t="s">
        <v>362</v>
      </c>
      <c r="M165" t="s">
        <v>362</v>
      </c>
      <c r="N165" t="s">
        <v>362</v>
      </c>
    </row>
    <row r="166" spans="1:14">
      <c r="A166" s="475" t="s">
        <v>394</v>
      </c>
      <c r="B166" t="s">
        <v>232</v>
      </c>
      <c r="C166" t="s">
        <v>366</v>
      </c>
      <c r="D166" s="477">
        <v>92.991176999999993</v>
      </c>
      <c r="E166" t="b">
        <v>0</v>
      </c>
      <c r="F166" t="b">
        <v>1</v>
      </c>
      <c r="G166" s="430" t="str">
        <f>_xlfn.CONCAT(CostRateTbl[[#This Row],[Org Unit]],CostRateTbl[[#This Row],[Service Line]],CostRateTbl[[#This Row],[Role]],CostRateTbl[[#This Row],[BluePrint]])</f>
        <v>xDC GuadalajaraITAM &amp; FinOpsExpert Business Consulting and AdvisoryNA</v>
      </c>
      <c r="H166" s="21" t="str">
        <f>SUBSTITUTE(TRIM(CostRateTbl[[#This Row],[Org Unit]])," ","")</f>
        <v>xDCGuadalajara</v>
      </c>
      <c r="I166" s="15" t="str">
        <f>_xlfn.CONCAT(H166,SUBSTITUTE(SUBSTITUTE(SUBSTITUTE(TRIM(CostRateTbl[[#This Row],[Service Line]]), "-", "")," ",""),"&amp;",""))</f>
        <v>xDCGuadalajaraITAMFinOps</v>
      </c>
      <c r="J166" s="20" t="str">
        <f>_xlfn.CONCAT(I166,SUBSTITUTE(SUBSTITUTE(SUBSTITUTE(TRIM(CostRateTbl[[#This Row],[Role]]),"-", "")," ",""),"&amp;",""))</f>
        <v>xDCGuadalajaraITAMFinOpsExpertBusinessConsultingandAdvisory</v>
      </c>
      <c r="K166" t="s">
        <v>361</v>
      </c>
      <c r="L166" t="s">
        <v>362</v>
      </c>
      <c r="M166" t="s">
        <v>362</v>
      </c>
      <c r="N166" t="s">
        <v>362</v>
      </c>
    </row>
    <row r="167" spans="1:14">
      <c r="A167" s="475" t="s">
        <v>394</v>
      </c>
      <c r="B167" t="s">
        <v>232</v>
      </c>
      <c r="C167" t="s">
        <v>364</v>
      </c>
      <c r="D167" s="477">
        <v>127.65468299999999</v>
      </c>
      <c r="E167" t="b">
        <v>0</v>
      </c>
      <c r="F167" t="b">
        <v>1</v>
      </c>
      <c r="G167" s="430" t="str">
        <f>_xlfn.CONCAT(CostRateTbl[[#This Row],[Org Unit]],CostRateTbl[[#This Row],[Service Line]],CostRateTbl[[#This Row],[Role]],CostRateTbl[[#This Row],[BluePrint]])</f>
        <v>xDC GuadalajaraITAM &amp; FinOpsLead Expert Technology Implementation &amp; Consulting (General)NA</v>
      </c>
      <c r="H167" s="21" t="str">
        <f>SUBSTITUTE(TRIM(CostRateTbl[[#This Row],[Org Unit]])," ","")</f>
        <v>xDCGuadalajara</v>
      </c>
      <c r="I167" s="15" t="str">
        <f>_xlfn.CONCAT(H167,SUBSTITUTE(SUBSTITUTE(SUBSTITUTE(TRIM(CostRateTbl[[#This Row],[Service Line]]), "-", "")," ",""),"&amp;",""))</f>
        <v>xDCGuadalajaraITAMFinOps</v>
      </c>
      <c r="J167" s="20" t="str">
        <f>_xlfn.CONCAT(I167,SUBSTITUTE(SUBSTITUTE(SUBSTITUTE(TRIM(CostRateTbl[[#This Row],[Role]]),"-", "")," ",""),"&amp;",""))</f>
        <v>xDCGuadalajaraITAMFinOpsLeadExpertTechnologyImplementationConsulting(General)</v>
      </c>
      <c r="K167" t="s">
        <v>361</v>
      </c>
      <c r="L167" t="s">
        <v>362</v>
      </c>
      <c r="M167" t="s">
        <v>362</v>
      </c>
      <c r="N167" t="s">
        <v>362</v>
      </c>
    </row>
    <row r="168" spans="1:14">
      <c r="A168" t="s">
        <v>397</v>
      </c>
      <c r="B168" t="s">
        <v>197</v>
      </c>
      <c r="C168" t="s">
        <v>369</v>
      </c>
      <c r="D168" s="477">
        <v>8.5241919999999993</v>
      </c>
      <c r="E168" t="b">
        <v>0</v>
      </c>
      <c r="F168" t="b">
        <v>1</v>
      </c>
      <c r="G168" t="str">
        <f>_xlfn.CONCAT(CostRateTbl[[#This Row],[Org Unit]],CostRateTbl[[#This Row],[Service Line]],CostRateTbl[[#This Row],[Role]],CostRateTbl[[#This Row],[BluePrint]])</f>
        <v>xDC GurugramApplication ServicesAssociate Expert Application DevelopmentNA</v>
      </c>
      <c r="H168" s="21" t="str">
        <f>SUBSTITUTE(TRIM(CostRateTbl[[#This Row],[Org Unit]])," ","")</f>
        <v>xDCGurugram</v>
      </c>
      <c r="I168" s="15" t="str">
        <f>_xlfn.CONCAT(H168,SUBSTITUTE(SUBSTITUTE(SUBSTITUTE(TRIM(CostRateTbl[[#This Row],[Service Line]]), "-", "")," ",""),"&amp;",""))</f>
        <v>xDCGurugramApplicationServices</v>
      </c>
      <c r="J168" s="21" t="str">
        <f>_xlfn.CONCAT(I168,SUBSTITUTE(SUBSTITUTE(SUBSTITUTE(TRIM(CostRateTbl[[#This Row],[Role]]),"-", "")," ",""),"&amp;",""))</f>
        <v>xDCGurugramApplicationServicesAssociateExpertApplicationDevelopment</v>
      </c>
      <c r="K168" t="s">
        <v>361</v>
      </c>
      <c r="L168" t="s">
        <v>362</v>
      </c>
      <c r="M168" t="s">
        <v>362</v>
      </c>
      <c r="N168" t="s">
        <v>362</v>
      </c>
    </row>
    <row r="169" spans="1:14">
      <c r="A169" t="s">
        <v>397</v>
      </c>
      <c r="B169" t="s">
        <v>197</v>
      </c>
      <c r="C169" t="s">
        <v>373</v>
      </c>
      <c r="D169" s="477">
        <v>14.064636</v>
      </c>
      <c r="E169" t="b">
        <v>0</v>
      </c>
      <c r="F169" t="b">
        <v>1</v>
      </c>
      <c r="G169" t="str">
        <f>_xlfn.CONCAT(CostRateTbl[[#This Row],[Org Unit]],CostRateTbl[[#This Row],[Service Line]],CostRateTbl[[#This Row],[Role]],CostRateTbl[[#This Row],[BluePrint]])</f>
        <v>xDC GurugramApplication ServicesAssociate Expert Data EngineeringNA</v>
      </c>
      <c r="H169" s="21" t="str">
        <f>SUBSTITUTE(TRIM(CostRateTbl[[#This Row],[Org Unit]])," ","")</f>
        <v>xDCGurugram</v>
      </c>
      <c r="I169" s="15" t="str">
        <f>_xlfn.CONCAT(H169,SUBSTITUTE(SUBSTITUTE(SUBSTITUTE(TRIM(CostRateTbl[[#This Row],[Service Line]]), "-", "")," ",""),"&amp;",""))</f>
        <v>xDCGurugramApplicationServices</v>
      </c>
      <c r="J169" s="21" t="str">
        <f>_xlfn.CONCAT(I169,SUBSTITUTE(SUBSTITUTE(SUBSTITUTE(TRIM(CostRateTbl[[#This Row],[Role]]),"-", "")," ",""),"&amp;",""))</f>
        <v>xDCGurugramApplicationServicesAssociateExpertDataEngineering</v>
      </c>
      <c r="K169" t="s">
        <v>361</v>
      </c>
      <c r="L169" t="s">
        <v>362</v>
      </c>
      <c r="M169" t="s">
        <v>362</v>
      </c>
      <c r="N169" t="s">
        <v>362</v>
      </c>
    </row>
    <row r="170" spans="1:14">
      <c r="A170" t="s">
        <v>397</v>
      </c>
      <c r="B170" t="s">
        <v>197</v>
      </c>
      <c r="C170" t="s">
        <v>371</v>
      </c>
      <c r="D170" s="477">
        <v>17.239067000000002</v>
      </c>
      <c r="E170" t="b">
        <v>0</v>
      </c>
      <c r="F170" t="b">
        <v>1</v>
      </c>
      <c r="G170" t="str">
        <f>_xlfn.CONCAT(CostRateTbl[[#This Row],[Org Unit]],CostRateTbl[[#This Row],[Service Line]],CostRateTbl[[#This Row],[Role]],CostRateTbl[[#This Row],[BluePrint]])</f>
        <v>xDC GurugramApplication ServicesExpert Application DevelopmentNA</v>
      </c>
      <c r="H170" s="21" t="str">
        <f>SUBSTITUTE(TRIM(CostRateTbl[[#This Row],[Org Unit]])," ","")</f>
        <v>xDCGurugram</v>
      </c>
      <c r="I170" s="15" t="str">
        <f>_xlfn.CONCAT(H170,SUBSTITUTE(SUBSTITUTE(SUBSTITUTE(TRIM(CostRateTbl[[#This Row],[Service Line]]), "-", "")," ",""),"&amp;",""))</f>
        <v>xDCGurugramApplicationServices</v>
      </c>
      <c r="J170" s="21" t="str">
        <f>_xlfn.CONCAT(I170,SUBSTITUTE(SUBSTITUTE(SUBSTITUTE(TRIM(CostRateTbl[[#This Row],[Role]]),"-", "")," ",""),"&amp;",""))</f>
        <v>xDCGurugramApplicationServicesExpertApplicationDevelopment</v>
      </c>
      <c r="K170" t="s">
        <v>361</v>
      </c>
      <c r="L170" t="s">
        <v>362</v>
      </c>
      <c r="M170" t="s">
        <v>362</v>
      </c>
      <c r="N170" t="s">
        <v>362</v>
      </c>
    </row>
    <row r="171" spans="1:14">
      <c r="A171" t="s">
        <v>397</v>
      </c>
      <c r="B171" t="s">
        <v>197</v>
      </c>
      <c r="C171" t="s">
        <v>363</v>
      </c>
      <c r="D171" s="477">
        <v>17.379982999999999</v>
      </c>
      <c r="E171" t="b">
        <v>0</v>
      </c>
      <c r="F171" t="b">
        <v>1</v>
      </c>
      <c r="G171" t="str">
        <f>_xlfn.CONCAT(CostRateTbl[[#This Row],[Org Unit]],CostRateTbl[[#This Row],[Service Line]],CostRateTbl[[#This Row],[Role]],CostRateTbl[[#This Row],[BluePrint]])</f>
        <v>xDC GurugramApplication ServicesSr Expert Application DevelopmentNA</v>
      </c>
      <c r="H171" s="21" t="str">
        <f>SUBSTITUTE(TRIM(CostRateTbl[[#This Row],[Org Unit]])," ","")</f>
        <v>xDCGurugram</v>
      </c>
      <c r="I171" s="15" t="str">
        <f>_xlfn.CONCAT(H171,SUBSTITUTE(SUBSTITUTE(SUBSTITUTE(TRIM(CostRateTbl[[#This Row],[Service Line]]), "-", "")," ",""),"&amp;",""))</f>
        <v>xDCGurugramApplicationServices</v>
      </c>
      <c r="J171" s="21" t="str">
        <f>_xlfn.CONCAT(I171,SUBSTITUTE(SUBSTITUTE(SUBSTITUTE(TRIM(CostRateTbl[[#This Row],[Role]]),"-", "")," ",""),"&amp;",""))</f>
        <v>xDCGurugramApplicationServicesSrExpertApplicationDevelopment</v>
      </c>
      <c r="K171" t="s">
        <v>361</v>
      </c>
      <c r="L171" t="s">
        <v>362</v>
      </c>
      <c r="M171" t="s">
        <v>362</v>
      </c>
      <c r="N171" t="s">
        <v>362</v>
      </c>
    </row>
    <row r="172" spans="1:14">
      <c r="A172" t="s">
        <v>397</v>
      </c>
      <c r="B172" t="s">
        <v>197</v>
      </c>
      <c r="C172" t="s">
        <v>398</v>
      </c>
      <c r="D172" s="477">
        <v>75.815252000000001</v>
      </c>
      <c r="E172" t="b">
        <v>0</v>
      </c>
      <c r="F172" t="b">
        <v>0</v>
      </c>
      <c r="G172" t="str">
        <f>_xlfn.CONCAT(CostRateTbl[[#This Row],[Org Unit]],CostRateTbl[[#This Row],[Service Line]],CostRateTbl[[#This Row],[Role]],CostRateTbl[[#This Row],[BluePrint]])</f>
        <v>xDC GurugramApplication ServicesSr. Expert Data EngineeringNA</v>
      </c>
      <c r="H172" s="21" t="str">
        <f>SUBSTITUTE(TRIM(CostRateTbl[[#This Row],[Org Unit]])," ","")</f>
        <v>xDCGurugram</v>
      </c>
      <c r="I172" s="15" t="str">
        <f>_xlfn.CONCAT(H172,SUBSTITUTE(SUBSTITUTE(SUBSTITUTE(TRIM(CostRateTbl[[#This Row],[Service Line]]), "-", "")," ",""),"&amp;",""))</f>
        <v>xDCGurugramApplicationServices</v>
      </c>
      <c r="J172" s="21" t="str">
        <f>_xlfn.CONCAT(I172,SUBSTITUTE(SUBSTITUTE(SUBSTITUTE(TRIM(CostRateTbl[[#This Row],[Role]]),"-", "")," ",""),"&amp;",""))</f>
        <v>xDCGurugramApplicationServicesSr.ExpertDataEngineering</v>
      </c>
      <c r="K172" t="s">
        <v>361</v>
      </c>
      <c r="L172" t="s">
        <v>362</v>
      </c>
      <c r="M172" t="s">
        <v>362</v>
      </c>
      <c r="N172" t="s">
        <v>362</v>
      </c>
    </row>
    <row r="173" spans="1:14">
      <c r="A173" t="s">
        <v>397</v>
      </c>
      <c r="B173" t="s">
        <v>213</v>
      </c>
      <c r="C173" t="s">
        <v>370</v>
      </c>
      <c r="D173" s="477">
        <v>8.6413430000000009</v>
      </c>
      <c r="E173" t="b">
        <v>0</v>
      </c>
      <c r="F173" t="b">
        <v>1</v>
      </c>
      <c r="G173" t="str">
        <f>_xlfn.CONCAT(CostRateTbl[[#This Row],[Org Unit]],CostRateTbl[[#This Row],[Service Line]],CostRateTbl[[#This Row],[Role]],CostRateTbl[[#This Row],[BluePrint]])</f>
        <v>xDC GurugramCloud Services AWSAssociate Expert Technology Implementation &amp; Consulting (General)NA</v>
      </c>
      <c r="H173" s="21" t="str">
        <f>SUBSTITUTE(TRIM(CostRateTbl[[#This Row],[Org Unit]])," ","")</f>
        <v>xDCGurugram</v>
      </c>
      <c r="I173" s="15" t="str">
        <f>_xlfn.CONCAT(H173,SUBSTITUTE(SUBSTITUTE(SUBSTITUTE(TRIM(CostRateTbl[[#This Row],[Service Line]]), "-", "")," ",""),"&amp;",""))</f>
        <v>xDCGurugramCloudServicesAWS</v>
      </c>
      <c r="J173" s="21" t="str">
        <f>_xlfn.CONCAT(I173,SUBSTITUTE(SUBSTITUTE(SUBSTITUTE(TRIM(CostRateTbl[[#This Row],[Role]]),"-", "")," ",""),"&amp;",""))</f>
        <v>xDCGurugramCloudServicesAWSAssociateExpertTechnologyImplementationConsulting(General)</v>
      </c>
      <c r="K173" t="s">
        <v>361</v>
      </c>
      <c r="L173" t="s">
        <v>362</v>
      </c>
      <c r="M173" t="s">
        <v>362</v>
      </c>
      <c r="N173" t="s">
        <v>362</v>
      </c>
    </row>
    <row r="174" spans="1:14">
      <c r="A174" t="s">
        <v>397</v>
      </c>
      <c r="B174" t="s">
        <v>213</v>
      </c>
      <c r="C174" t="s">
        <v>182</v>
      </c>
      <c r="D174" s="477">
        <v>12.611101</v>
      </c>
      <c r="E174" t="b">
        <v>0</v>
      </c>
      <c r="F174" t="b">
        <v>1</v>
      </c>
      <c r="G174" t="str">
        <f>_xlfn.CONCAT(CostRateTbl[[#This Row],[Org Unit]],CostRateTbl[[#This Row],[Service Line]],CostRateTbl[[#This Row],[Role]],CostRateTbl[[#This Row],[BluePrint]])</f>
        <v>xDC GurugramCloud Services AWSExpert Technology Implementation &amp; Consulting (General)NA</v>
      </c>
      <c r="H174" s="21" t="str">
        <f>SUBSTITUTE(TRIM(CostRateTbl[[#This Row],[Org Unit]])," ","")</f>
        <v>xDCGurugram</v>
      </c>
      <c r="I174" s="15" t="str">
        <f>_xlfn.CONCAT(H174,SUBSTITUTE(SUBSTITUTE(SUBSTITUTE(TRIM(CostRateTbl[[#This Row],[Service Line]]), "-", "")," ",""),"&amp;",""))</f>
        <v>xDCGurugramCloudServicesAWS</v>
      </c>
      <c r="J174" s="21" t="str">
        <f>_xlfn.CONCAT(I174,SUBSTITUTE(SUBSTITUTE(SUBSTITUTE(TRIM(CostRateTbl[[#This Row],[Role]]),"-", "")," ",""),"&amp;",""))</f>
        <v>xDCGurugramCloudServicesAWSExpertTechnologyImplementationConsulting(General)</v>
      </c>
      <c r="K174" t="s">
        <v>361</v>
      </c>
      <c r="L174" t="s">
        <v>362</v>
      </c>
      <c r="M174" t="s">
        <v>362</v>
      </c>
      <c r="N174" t="s">
        <v>362</v>
      </c>
    </row>
    <row r="175" spans="1:14">
      <c r="A175" t="s">
        <v>397</v>
      </c>
      <c r="B175" t="s">
        <v>169</v>
      </c>
      <c r="C175" t="s">
        <v>370</v>
      </c>
      <c r="D175" s="477">
        <v>9.6280859999999997</v>
      </c>
      <c r="E175" t="b">
        <v>0</v>
      </c>
      <c r="F175" t="b">
        <v>1</v>
      </c>
      <c r="G175" t="str">
        <f>_xlfn.CONCAT(CostRateTbl[[#This Row],[Org Unit]],CostRateTbl[[#This Row],[Service Line]],CostRateTbl[[#This Row],[Role]],CostRateTbl[[#This Row],[BluePrint]])</f>
        <v>xDC GurugramCloud Services AzureAssociate Expert Technology Implementation &amp; Consulting (General)NA</v>
      </c>
      <c r="H175" s="21" t="str">
        <f>SUBSTITUTE(TRIM(CostRateTbl[[#This Row],[Org Unit]])," ","")</f>
        <v>xDCGurugram</v>
      </c>
      <c r="I175" s="15" t="str">
        <f>_xlfn.CONCAT(H175,SUBSTITUTE(SUBSTITUTE(SUBSTITUTE(TRIM(CostRateTbl[[#This Row],[Service Line]]), "-", "")," ",""),"&amp;",""))</f>
        <v>xDCGurugramCloudServicesAzure</v>
      </c>
      <c r="J175" s="21" t="str">
        <f>_xlfn.CONCAT(I175,SUBSTITUTE(SUBSTITUTE(SUBSTITUTE(TRIM(CostRateTbl[[#This Row],[Role]]),"-", "")," ",""),"&amp;",""))</f>
        <v>xDCGurugramCloudServicesAzureAssociateExpertTechnologyImplementationConsulting(General)</v>
      </c>
      <c r="K175" t="s">
        <v>361</v>
      </c>
      <c r="L175" t="s">
        <v>362</v>
      </c>
      <c r="M175" t="s">
        <v>362</v>
      </c>
      <c r="N175" t="s">
        <v>362</v>
      </c>
    </row>
    <row r="176" spans="1:14">
      <c r="A176" t="s">
        <v>397</v>
      </c>
      <c r="B176" t="s">
        <v>169</v>
      </c>
      <c r="C176" t="s">
        <v>182</v>
      </c>
      <c r="D176" s="477">
        <v>23.320754999999998</v>
      </c>
      <c r="E176" t="b">
        <v>0</v>
      </c>
      <c r="F176" t="b">
        <v>1</v>
      </c>
      <c r="G176" t="str">
        <f>_xlfn.CONCAT(CostRateTbl[[#This Row],[Org Unit]],CostRateTbl[[#This Row],[Service Line]],CostRateTbl[[#This Row],[Role]],CostRateTbl[[#This Row],[BluePrint]])</f>
        <v>xDC GurugramCloud Services AzureExpert Technology Implementation &amp; Consulting (General)NA</v>
      </c>
      <c r="H176" s="21" t="str">
        <f>SUBSTITUTE(TRIM(CostRateTbl[[#This Row],[Org Unit]])," ","")</f>
        <v>xDCGurugram</v>
      </c>
      <c r="I176" s="15" t="str">
        <f>_xlfn.CONCAT(H176,SUBSTITUTE(SUBSTITUTE(SUBSTITUTE(TRIM(CostRateTbl[[#This Row],[Service Line]]), "-", "")," ",""),"&amp;",""))</f>
        <v>xDCGurugramCloudServicesAzure</v>
      </c>
      <c r="J176" s="21" t="str">
        <f>_xlfn.CONCAT(I176,SUBSTITUTE(SUBSTITUTE(SUBSTITUTE(TRIM(CostRateTbl[[#This Row],[Role]]),"-", "")," ",""),"&amp;",""))</f>
        <v>xDCGurugramCloudServicesAzureExpertTechnologyImplementationConsulting(General)</v>
      </c>
      <c r="K176" t="s">
        <v>361</v>
      </c>
      <c r="L176" t="s">
        <v>362</v>
      </c>
      <c r="M176" t="s">
        <v>362</v>
      </c>
      <c r="N176" t="s">
        <v>362</v>
      </c>
    </row>
    <row r="177" spans="1:14">
      <c r="A177" t="s">
        <v>397</v>
      </c>
      <c r="B177" t="s">
        <v>169</v>
      </c>
      <c r="C177" t="s">
        <v>399</v>
      </c>
      <c r="D177" s="477">
        <v>38.171588</v>
      </c>
      <c r="E177" t="b">
        <v>0</v>
      </c>
      <c r="F177" t="b">
        <v>1</v>
      </c>
      <c r="G177" t="str">
        <f>_xlfn.CONCAT(CostRateTbl[[#This Row],[Org Unit]],CostRateTbl[[#This Row],[Service Line]],CostRateTbl[[#This Row],[Role]],CostRateTbl[[#This Row],[BluePrint]])</f>
        <v>xDC GurugramCloud Services AzureLead Expert Technology InfrastructureNA</v>
      </c>
      <c r="H177" s="21" t="str">
        <f>SUBSTITUTE(TRIM(CostRateTbl[[#This Row],[Org Unit]])," ","")</f>
        <v>xDCGurugram</v>
      </c>
      <c r="I177" s="15" t="str">
        <f>_xlfn.CONCAT(H177,SUBSTITUTE(SUBSTITUTE(SUBSTITUTE(TRIM(CostRateTbl[[#This Row],[Service Line]]), "-", "")," ",""),"&amp;",""))</f>
        <v>xDCGurugramCloudServicesAzure</v>
      </c>
      <c r="J177" s="21" t="str">
        <f>_xlfn.CONCAT(I177,SUBSTITUTE(SUBSTITUTE(SUBSTITUTE(TRIM(CostRateTbl[[#This Row],[Role]]),"-", "")," ",""),"&amp;",""))</f>
        <v>xDCGurugramCloudServicesAzureLeadExpertTechnologyInfrastructure</v>
      </c>
      <c r="K177" t="s">
        <v>361</v>
      </c>
      <c r="L177" t="s">
        <v>362</v>
      </c>
      <c r="M177" t="s">
        <v>362</v>
      </c>
      <c r="N177" t="s">
        <v>362</v>
      </c>
    </row>
    <row r="178" spans="1:14">
      <c r="A178" t="s">
        <v>397</v>
      </c>
      <c r="B178" t="s">
        <v>169</v>
      </c>
      <c r="C178" t="s">
        <v>132</v>
      </c>
      <c r="D178" s="477">
        <v>45.623851000000002</v>
      </c>
      <c r="E178" t="b">
        <v>0</v>
      </c>
      <c r="F178" t="b">
        <v>1</v>
      </c>
      <c r="G178" t="str">
        <f>_xlfn.CONCAT(CostRateTbl[[#This Row],[Org Unit]],CostRateTbl[[#This Row],[Service Line]],CostRateTbl[[#This Row],[Role]],CostRateTbl[[#This Row],[BluePrint]])</f>
        <v>xDC GurugramCloud Services AzureSr Expert Technology Implementation &amp; Consulting (General)NA</v>
      </c>
      <c r="H178" s="21" t="str">
        <f>SUBSTITUTE(TRIM(CostRateTbl[[#This Row],[Org Unit]])," ","")</f>
        <v>xDCGurugram</v>
      </c>
      <c r="I178" s="15" t="str">
        <f>_xlfn.CONCAT(H178,SUBSTITUTE(SUBSTITUTE(SUBSTITUTE(TRIM(CostRateTbl[[#This Row],[Service Line]]), "-", "")," ",""),"&amp;",""))</f>
        <v>xDCGurugramCloudServicesAzure</v>
      </c>
      <c r="J178" s="21" t="str">
        <f>_xlfn.CONCAT(I178,SUBSTITUTE(SUBSTITUTE(SUBSTITUTE(TRIM(CostRateTbl[[#This Row],[Role]]),"-", "")," ",""),"&amp;",""))</f>
        <v>xDCGurugramCloudServicesAzureSrExpertTechnologyImplementationConsulting(General)</v>
      </c>
      <c r="K178" t="s">
        <v>361</v>
      </c>
      <c r="L178" t="s">
        <v>362</v>
      </c>
      <c r="M178" t="s">
        <v>362</v>
      </c>
      <c r="N178" t="s">
        <v>362</v>
      </c>
    </row>
    <row r="179" spans="1:14">
      <c r="A179" t="s">
        <v>397</v>
      </c>
      <c r="B179" t="s">
        <v>220</v>
      </c>
      <c r="C179" t="s">
        <v>369</v>
      </c>
      <c r="D179" s="477">
        <v>14.064636</v>
      </c>
      <c r="E179" t="b">
        <v>0</v>
      </c>
      <c r="F179" t="b">
        <v>0</v>
      </c>
      <c r="G179" t="str">
        <f>_xlfn.CONCAT(CostRateTbl[[#This Row],[Org Unit]],CostRateTbl[[#This Row],[Service Line]],CostRateTbl[[#This Row],[Role]],CostRateTbl[[#This Row],[BluePrint]])</f>
        <v>xDC GurugramData &amp; AIAssociate Expert Application DevelopmentNA</v>
      </c>
      <c r="H179" s="21" t="str">
        <f>SUBSTITUTE(TRIM(CostRateTbl[[#This Row],[Org Unit]])," ","")</f>
        <v>xDCGurugram</v>
      </c>
      <c r="I179" s="15" t="str">
        <f>_xlfn.CONCAT(H179,SUBSTITUTE(SUBSTITUTE(SUBSTITUTE(TRIM(CostRateTbl[[#This Row],[Service Line]]), "-", "")," ",""),"&amp;",""))</f>
        <v>xDCGurugramDataAI</v>
      </c>
      <c r="J179" s="21" t="str">
        <f>_xlfn.CONCAT(I179,SUBSTITUTE(SUBSTITUTE(SUBSTITUTE(TRIM(CostRateTbl[[#This Row],[Role]]),"-", "")," ",""),"&amp;",""))</f>
        <v>xDCGurugramDataAIAssociateExpertApplicationDevelopment</v>
      </c>
      <c r="K179" t="s">
        <v>361</v>
      </c>
      <c r="L179" t="s">
        <v>362</v>
      </c>
      <c r="M179" t="s">
        <v>362</v>
      </c>
      <c r="N179" t="s">
        <v>362</v>
      </c>
    </row>
    <row r="180" spans="1:14">
      <c r="A180" t="s">
        <v>397</v>
      </c>
      <c r="B180" t="s">
        <v>220</v>
      </c>
      <c r="C180" t="s">
        <v>373</v>
      </c>
      <c r="D180" s="477">
        <v>13.852898000000001</v>
      </c>
      <c r="E180" t="b">
        <v>0</v>
      </c>
      <c r="F180" t="b">
        <v>0</v>
      </c>
      <c r="G180" t="str">
        <f>_xlfn.CONCAT(CostRateTbl[[#This Row],[Org Unit]],CostRateTbl[[#This Row],[Service Line]],CostRateTbl[[#This Row],[Role]],CostRateTbl[[#This Row],[BluePrint]])</f>
        <v>xDC GurugramData &amp; AIAssociate Expert Data EngineeringNA</v>
      </c>
      <c r="H180" s="21" t="str">
        <f>SUBSTITUTE(TRIM(CostRateTbl[[#This Row],[Org Unit]])," ","")</f>
        <v>xDCGurugram</v>
      </c>
      <c r="I180" s="15" t="str">
        <f>_xlfn.CONCAT(H180,SUBSTITUTE(SUBSTITUTE(SUBSTITUTE(TRIM(CostRateTbl[[#This Row],[Service Line]]), "-", "")," ",""),"&amp;",""))</f>
        <v>xDCGurugramDataAI</v>
      </c>
      <c r="J180" s="21" t="str">
        <f>_xlfn.CONCAT(I180,SUBSTITUTE(SUBSTITUTE(SUBSTITUTE(TRIM(CostRateTbl[[#This Row],[Role]]),"-", "")," ",""),"&amp;",""))</f>
        <v>xDCGurugramDataAIAssociateExpertDataEngineering</v>
      </c>
      <c r="K180" t="s">
        <v>361</v>
      </c>
      <c r="L180" t="s">
        <v>362</v>
      </c>
      <c r="M180" t="s">
        <v>362</v>
      </c>
      <c r="N180" t="s">
        <v>362</v>
      </c>
    </row>
    <row r="181" spans="1:14">
      <c r="A181" t="s">
        <v>397</v>
      </c>
      <c r="B181" t="s">
        <v>220</v>
      </c>
      <c r="C181" t="s">
        <v>374</v>
      </c>
      <c r="D181" s="477">
        <v>26.471167000000001</v>
      </c>
      <c r="E181" t="b">
        <v>0</v>
      </c>
      <c r="F181" t="b">
        <v>0</v>
      </c>
      <c r="G181" t="str">
        <f>_xlfn.CONCAT(CostRateTbl[[#This Row],[Org Unit]],CostRateTbl[[#This Row],[Service Line]],CostRateTbl[[#This Row],[Role]],CostRateTbl[[#This Row],[BluePrint]])</f>
        <v>xDC GurugramData &amp; AIExpert Data EngineeringNA</v>
      </c>
      <c r="H181" s="21" t="str">
        <f>SUBSTITUTE(TRIM(CostRateTbl[[#This Row],[Org Unit]])," ","")</f>
        <v>xDCGurugram</v>
      </c>
      <c r="I181" s="15" t="str">
        <f>_xlfn.CONCAT(H181,SUBSTITUTE(SUBSTITUTE(SUBSTITUTE(TRIM(CostRateTbl[[#This Row],[Service Line]]), "-", "")," ",""),"&amp;",""))</f>
        <v>xDCGurugramDataAI</v>
      </c>
      <c r="J181" s="21" t="str">
        <f>_xlfn.CONCAT(I181,SUBSTITUTE(SUBSTITUTE(SUBSTITUTE(TRIM(CostRateTbl[[#This Row],[Role]]),"-", "")," ",""),"&amp;",""))</f>
        <v>xDCGurugramDataAIExpertDataEngineering</v>
      </c>
      <c r="K181" t="s">
        <v>361</v>
      </c>
      <c r="L181" t="s">
        <v>362</v>
      </c>
      <c r="M181" t="s">
        <v>362</v>
      </c>
      <c r="N181" t="s">
        <v>362</v>
      </c>
    </row>
    <row r="182" spans="1:14">
      <c r="A182" t="s">
        <v>397</v>
      </c>
      <c r="B182" t="s">
        <v>223</v>
      </c>
      <c r="C182" t="s">
        <v>370</v>
      </c>
      <c r="D182" s="477">
        <v>8.640644</v>
      </c>
      <c r="E182" t="b">
        <v>0</v>
      </c>
      <c r="F182" t="b">
        <v>1</v>
      </c>
      <c r="G182" t="str">
        <f>_xlfn.CONCAT(CostRateTbl[[#This Row],[Org Unit]],CostRateTbl[[#This Row],[Service Line]],CostRateTbl[[#This Row],[Role]],CostRateTbl[[#This Row],[BluePrint]])</f>
        <v>xDC GurugramDigital WorkplaceAssociate Expert Technology Implementation &amp; Consulting (General)NA</v>
      </c>
      <c r="H182" s="21" t="str">
        <f>SUBSTITUTE(TRIM(CostRateTbl[[#This Row],[Org Unit]])," ","")</f>
        <v>xDCGurugram</v>
      </c>
      <c r="I182" s="15" t="str">
        <f>_xlfn.CONCAT(H182,SUBSTITUTE(SUBSTITUTE(SUBSTITUTE(TRIM(CostRateTbl[[#This Row],[Service Line]]), "-", "")," ",""),"&amp;",""))</f>
        <v>xDCGurugramDigitalWorkplace</v>
      </c>
      <c r="J182" s="21" t="str">
        <f>_xlfn.CONCAT(I182,SUBSTITUTE(SUBSTITUTE(SUBSTITUTE(TRIM(CostRateTbl[[#This Row],[Role]]),"-", "")," ",""),"&amp;",""))</f>
        <v>xDCGurugramDigitalWorkplaceAssociateExpertTechnologyImplementationConsulting(General)</v>
      </c>
      <c r="K182" t="s">
        <v>361</v>
      </c>
      <c r="L182" t="s">
        <v>362</v>
      </c>
      <c r="M182" t="s">
        <v>362</v>
      </c>
      <c r="N182" t="s">
        <v>362</v>
      </c>
    </row>
    <row r="183" spans="1:14">
      <c r="A183" t="s">
        <v>397</v>
      </c>
      <c r="B183" t="s">
        <v>223</v>
      </c>
      <c r="C183" t="s">
        <v>182</v>
      </c>
      <c r="D183" s="477">
        <v>25.941867000000002</v>
      </c>
      <c r="E183" t="b">
        <v>0</v>
      </c>
      <c r="F183" t="b">
        <v>1</v>
      </c>
      <c r="G183" t="str">
        <f>_xlfn.CONCAT(CostRateTbl[[#This Row],[Org Unit]],CostRateTbl[[#This Row],[Service Line]],CostRateTbl[[#This Row],[Role]],CostRateTbl[[#This Row],[BluePrint]])</f>
        <v>xDC GurugramDigital WorkplaceExpert Technology Implementation &amp; Consulting (General)NA</v>
      </c>
      <c r="H183" s="21" t="str">
        <f>SUBSTITUTE(TRIM(CostRateTbl[[#This Row],[Org Unit]])," ","")</f>
        <v>xDCGurugram</v>
      </c>
      <c r="I183" s="15" t="str">
        <f>_xlfn.CONCAT(H183,SUBSTITUTE(SUBSTITUTE(SUBSTITUTE(TRIM(CostRateTbl[[#This Row],[Service Line]]), "-", "")," ",""),"&amp;",""))</f>
        <v>xDCGurugramDigitalWorkplace</v>
      </c>
      <c r="J183" s="21" t="str">
        <f>_xlfn.CONCAT(I183,SUBSTITUTE(SUBSTITUTE(SUBSTITUTE(TRIM(CostRateTbl[[#This Row],[Role]]),"-", "")," ",""),"&amp;",""))</f>
        <v>xDCGurugramDigitalWorkplaceExpertTechnologyImplementationConsulting(General)</v>
      </c>
      <c r="K183" t="s">
        <v>361</v>
      </c>
      <c r="L183" t="s">
        <v>362</v>
      </c>
      <c r="M183" t="s">
        <v>362</v>
      </c>
      <c r="N183" t="s">
        <v>362</v>
      </c>
    </row>
    <row r="184" spans="1:14">
      <c r="A184" t="s">
        <v>397</v>
      </c>
      <c r="B184" t="s">
        <v>223</v>
      </c>
      <c r="C184" t="s">
        <v>132</v>
      </c>
      <c r="D184" s="477">
        <v>36.255940000000002</v>
      </c>
      <c r="E184" t="b">
        <v>0</v>
      </c>
      <c r="F184" t="b">
        <v>1</v>
      </c>
      <c r="G184" t="str">
        <f>_xlfn.CONCAT(CostRateTbl[[#This Row],[Org Unit]],CostRateTbl[[#This Row],[Service Line]],CostRateTbl[[#This Row],[Role]],CostRateTbl[[#This Row],[BluePrint]])</f>
        <v>xDC GurugramDigital WorkplaceSr Expert Technology Implementation &amp; Consulting (General)NA</v>
      </c>
      <c r="H184" s="21" t="str">
        <f>SUBSTITUTE(TRIM(CostRateTbl[[#This Row],[Org Unit]])," ","")</f>
        <v>xDCGurugram</v>
      </c>
      <c r="I184" s="15" t="str">
        <f>_xlfn.CONCAT(H184,SUBSTITUTE(SUBSTITUTE(SUBSTITUTE(TRIM(CostRateTbl[[#This Row],[Service Line]]), "-", "")," ",""),"&amp;",""))</f>
        <v>xDCGurugramDigitalWorkplace</v>
      </c>
      <c r="J184" s="21" t="str">
        <f>_xlfn.CONCAT(I184,SUBSTITUTE(SUBSTITUTE(SUBSTITUTE(TRIM(CostRateTbl[[#This Row],[Role]]),"-", "")," ",""),"&amp;",""))</f>
        <v>xDCGurugramDigitalWorkplaceSrExpertTechnologyImplementationConsulting(General)</v>
      </c>
      <c r="K184" t="s">
        <v>361</v>
      </c>
      <c r="L184" t="s">
        <v>362</v>
      </c>
      <c r="M184" t="s">
        <v>362</v>
      </c>
      <c r="N184" t="s">
        <v>362</v>
      </c>
    </row>
    <row r="185" spans="1:14">
      <c r="A185" t="s">
        <v>397</v>
      </c>
      <c r="B185" t="s">
        <v>232</v>
      </c>
      <c r="C185" t="s">
        <v>365</v>
      </c>
      <c r="D185" s="477">
        <v>9.2206580000000002</v>
      </c>
      <c r="E185" t="b">
        <v>0</v>
      </c>
      <c r="F185" t="b">
        <v>1</v>
      </c>
      <c r="G185" t="str">
        <f>_xlfn.CONCAT(CostRateTbl[[#This Row],[Org Unit]],CostRateTbl[[#This Row],[Service Line]],CostRateTbl[[#This Row],[Role]],CostRateTbl[[#This Row],[BluePrint]])</f>
        <v>xDC GurugramITAM &amp; FinOpsAssociate Expert Business Consulting and AdvisoryNA</v>
      </c>
      <c r="H185" s="21" t="str">
        <f>SUBSTITUTE(TRIM(CostRateTbl[[#This Row],[Org Unit]])," ","")</f>
        <v>xDCGurugram</v>
      </c>
      <c r="I185" s="15" t="str">
        <f>_xlfn.CONCAT(H185,SUBSTITUTE(SUBSTITUTE(SUBSTITUTE(TRIM(CostRateTbl[[#This Row],[Service Line]]), "-", "")," ",""),"&amp;",""))</f>
        <v>xDCGurugramITAMFinOps</v>
      </c>
      <c r="J185" s="21" t="str">
        <f>_xlfn.CONCAT(I185,SUBSTITUTE(SUBSTITUTE(SUBSTITUTE(TRIM(CostRateTbl[[#This Row],[Role]]),"-", "")," ",""),"&amp;",""))</f>
        <v>xDCGurugramITAMFinOpsAssociateExpertBusinessConsultingandAdvisory</v>
      </c>
      <c r="K185" t="s">
        <v>361</v>
      </c>
      <c r="L185" t="s">
        <v>362</v>
      </c>
      <c r="M185" t="s">
        <v>362</v>
      </c>
      <c r="N185" t="s">
        <v>362</v>
      </c>
    </row>
    <row r="186" spans="1:14">
      <c r="A186" t="s">
        <v>397</v>
      </c>
      <c r="B186" t="s">
        <v>232</v>
      </c>
      <c r="C186" t="s">
        <v>366</v>
      </c>
      <c r="D186" s="477">
        <v>23.454688000000001</v>
      </c>
      <c r="E186" t="b">
        <v>0</v>
      </c>
      <c r="F186" t="b">
        <v>1</v>
      </c>
      <c r="G186" t="str">
        <f>_xlfn.CONCAT(CostRateTbl[[#This Row],[Org Unit]],CostRateTbl[[#This Row],[Service Line]],CostRateTbl[[#This Row],[Role]],CostRateTbl[[#This Row],[BluePrint]])</f>
        <v>xDC GurugramITAM &amp; FinOpsExpert Business Consulting and AdvisoryNA</v>
      </c>
      <c r="H186" s="21" t="str">
        <f>SUBSTITUTE(TRIM(CostRateTbl[[#This Row],[Org Unit]])," ","")</f>
        <v>xDCGurugram</v>
      </c>
      <c r="I186" s="15" t="str">
        <f>_xlfn.CONCAT(H186,SUBSTITUTE(SUBSTITUTE(SUBSTITUTE(TRIM(CostRateTbl[[#This Row],[Service Line]]), "-", "")," ",""),"&amp;",""))</f>
        <v>xDCGurugramITAMFinOps</v>
      </c>
      <c r="J186" s="21" t="str">
        <f>_xlfn.CONCAT(I186,SUBSTITUTE(SUBSTITUTE(SUBSTITUTE(TRIM(CostRateTbl[[#This Row],[Role]]),"-", "")," ",""),"&amp;",""))</f>
        <v>xDCGurugramITAMFinOpsExpertBusinessConsultingandAdvisory</v>
      </c>
      <c r="K186" t="s">
        <v>361</v>
      </c>
      <c r="L186" t="s">
        <v>362</v>
      </c>
      <c r="M186" t="s">
        <v>362</v>
      </c>
      <c r="N186" t="s">
        <v>362</v>
      </c>
    </row>
    <row r="187" spans="1:14">
      <c r="A187" t="s">
        <v>397</v>
      </c>
      <c r="B187" t="s">
        <v>232</v>
      </c>
      <c r="C187" t="s">
        <v>388</v>
      </c>
      <c r="D187" s="477">
        <v>35.124509000000003</v>
      </c>
      <c r="E187" t="b">
        <v>0</v>
      </c>
      <c r="F187" t="b">
        <v>1</v>
      </c>
      <c r="G187" t="str">
        <f>_xlfn.CONCAT(CostRateTbl[[#This Row],[Org Unit]],CostRateTbl[[#This Row],[Service Line]],CostRateTbl[[#This Row],[Role]],CostRateTbl[[#This Row],[BluePrint]])</f>
        <v>xDC GurugramITAM &amp; FinOpsLead Expert Business Consulting and AdvisoryNA</v>
      </c>
      <c r="H187" s="21" t="str">
        <f>SUBSTITUTE(TRIM(CostRateTbl[[#This Row],[Org Unit]])," ","")</f>
        <v>xDCGurugram</v>
      </c>
      <c r="I187" s="15" t="str">
        <f>_xlfn.CONCAT(H187,SUBSTITUTE(SUBSTITUTE(SUBSTITUTE(TRIM(CostRateTbl[[#This Row],[Service Line]]), "-", "")," ",""),"&amp;",""))</f>
        <v>xDCGurugramITAMFinOps</v>
      </c>
      <c r="J187" s="21" t="str">
        <f>_xlfn.CONCAT(I187,SUBSTITUTE(SUBSTITUTE(SUBSTITUTE(TRIM(CostRateTbl[[#This Row],[Role]]),"-", "")," ",""),"&amp;",""))</f>
        <v>xDCGurugramITAMFinOpsLeadExpertBusinessConsultingandAdvisory</v>
      </c>
      <c r="K187" t="s">
        <v>361</v>
      </c>
      <c r="L187" t="s">
        <v>362</v>
      </c>
      <c r="M187" t="s">
        <v>362</v>
      </c>
      <c r="N187" t="s">
        <v>362</v>
      </c>
    </row>
    <row r="188" spans="1:14">
      <c r="A188" t="s">
        <v>397</v>
      </c>
      <c r="B188" t="s">
        <v>232</v>
      </c>
      <c r="C188" t="s">
        <v>367</v>
      </c>
      <c r="D188" s="477">
        <v>34.513285000000003</v>
      </c>
      <c r="E188" t="b">
        <v>0</v>
      </c>
      <c r="F188" t="b">
        <v>1</v>
      </c>
      <c r="G188" t="str">
        <f>_xlfn.CONCAT(CostRateTbl[[#This Row],[Org Unit]],CostRateTbl[[#This Row],[Service Line]],CostRateTbl[[#This Row],[Role]],CostRateTbl[[#This Row],[BluePrint]])</f>
        <v>xDC GurugramITAM &amp; FinOpsSr Expert Business Consulting and AdvisoryNA</v>
      </c>
      <c r="H188" s="21" t="str">
        <f>SUBSTITUTE(TRIM(CostRateTbl[[#This Row],[Org Unit]])," ","")</f>
        <v>xDCGurugram</v>
      </c>
      <c r="I188" s="15" t="str">
        <f>_xlfn.CONCAT(H188,SUBSTITUTE(SUBSTITUTE(SUBSTITUTE(TRIM(CostRateTbl[[#This Row],[Service Line]]), "-", "")," ",""),"&amp;",""))</f>
        <v>xDCGurugramITAMFinOps</v>
      </c>
      <c r="J188" s="21" t="str">
        <f>_xlfn.CONCAT(I188,SUBSTITUTE(SUBSTITUTE(SUBSTITUTE(TRIM(CostRateTbl[[#This Row],[Role]]),"-", "")," ",""),"&amp;",""))</f>
        <v>xDCGurugramITAMFinOpsSrExpertBusinessConsultingandAdvisory</v>
      </c>
      <c r="K188" t="s">
        <v>361</v>
      </c>
      <c r="L188" t="s">
        <v>362</v>
      </c>
      <c r="M188" t="s">
        <v>362</v>
      </c>
      <c r="N188" t="s">
        <v>362</v>
      </c>
    </row>
    <row r="189" spans="1:14">
      <c r="A189" t="s">
        <v>397</v>
      </c>
      <c r="B189" t="s">
        <v>232</v>
      </c>
      <c r="C189" t="s">
        <v>400</v>
      </c>
      <c r="D189" s="477">
        <v>42.991481</v>
      </c>
      <c r="E189" t="b">
        <v>0</v>
      </c>
      <c r="F189" t="b">
        <v>1</v>
      </c>
      <c r="G189" t="str">
        <f>_xlfn.CONCAT(CostRateTbl[[#This Row],[Org Unit]],CostRateTbl[[#This Row],[Service Line]],CostRateTbl[[#This Row],[Role]],CostRateTbl[[#This Row],[BluePrint]])</f>
        <v>xDC GurugramITAM &amp; FinOpsSr Manager Business Consulting and AdvisoryNA</v>
      </c>
      <c r="H189" s="21" t="str">
        <f>SUBSTITUTE(TRIM(CostRateTbl[[#This Row],[Org Unit]])," ","")</f>
        <v>xDCGurugram</v>
      </c>
      <c r="I189" s="15" t="str">
        <f>_xlfn.CONCAT(H189,SUBSTITUTE(SUBSTITUTE(SUBSTITUTE(TRIM(CostRateTbl[[#This Row],[Service Line]]), "-", "")," ",""),"&amp;",""))</f>
        <v>xDCGurugramITAMFinOps</v>
      </c>
      <c r="J189" s="21" t="str">
        <f>_xlfn.CONCAT(I189,SUBSTITUTE(SUBSTITUTE(SUBSTITUTE(TRIM(CostRateTbl[[#This Row],[Role]]),"-", "")," ",""),"&amp;",""))</f>
        <v>xDCGurugramITAMFinOpsSrManagerBusinessConsultingandAdvisory</v>
      </c>
      <c r="K189" t="s">
        <v>361</v>
      </c>
      <c r="L189" t="s">
        <v>362</v>
      </c>
      <c r="M189" t="s">
        <v>362</v>
      </c>
      <c r="N189" t="s">
        <v>362</v>
      </c>
    </row>
    <row r="190" spans="1:14">
      <c r="A190" t="s">
        <v>397</v>
      </c>
      <c r="B190" t="s">
        <v>177</v>
      </c>
      <c r="C190" t="s">
        <v>370</v>
      </c>
      <c r="D190" s="477">
        <v>11.593555</v>
      </c>
      <c r="E190" t="b">
        <v>0</v>
      </c>
      <c r="F190" t="b">
        <v>1</v>
      </c>
      <c r="G190" t="str">
        <f>_xlfn.CONCAT(CostRateTbl[[#This Row],[Org Unit]],CostRateTbl[[#This Row],[Service Line]],CostRateTbl[[#This Row],[Role]],CostRateTbl[[#This Row],[BluePrint]])</f>
        <v>xDC GurugramOther ServicesAssociate Expert Technology Implementation &amp; Consulting (General)NA</v>
      </c>
      <c r="H190" s="21" t="str">
        <f>SUBSTITUTE(TRIM(CostRateTbl[[#This Row],[Org Unit]])," ","")</f>
        <v>xDCGurugram</v>
      </c>
      <c r="I190" s="15" t="str">
        <f>_xlfn.CONCAT(H190,SUBSTITUTE(SUBSTITUTE(SUBSTITUTE(TRIM(CostRateTbl[[#This Row],[Service Line]]), "-", "")," ",""),"&amp;",""))</f>
        <v>xDCGurugramOtherServices</v>
      </c>
      <c r="J190" s="21" t="str">
        <f>_xlfn.CONCAT(I190,SUBSTITUTE(SUBSTITUTE(SUBSTITUTE(TRIM(CostRateTbl[[#This Row],[Role]]),"-", "")," ",""),"&amp;",""))</f>
        <v>xDCGurugramOtherServicesAssociateExpertTechnologyImplementationConsulting(General)</v>
      </c>
      <c r="K190" t="s">
        <v>361</v>
      </c>
      <c r="L190" t="s">
        <v>362</v>
      </c>
      <c r="M190" t="s">
        <v>362</v>
      </c>
      <c r="N190" t="s">
        <v>362</v>
      </c>
    </row>
    <row r="191" spans="1:14">
      <c r="A191" t="s">
        <v>397</v>
      </c>
      <c r="B191" t="s">
        <v>177</v>
      </c>
      <c r="C191" t="s">
        <v>182</v>
      </c>
      <c r="D191" s="477">
        <v>22.975338000000001</v>
      </c>
      <c r="E191" t="b">
        <v>0</v>
      </c>
      <c r="F191" t="b">
        <v>1</v>
      </c>
      <c r="G191" t="str">
        <f>_xlfn.CONCAT(CostRateTbl[[#This Row],[Org Unit]],CostRateTbl[[#This Row],[Service Line]],CostRateTbl[[#This Row],[Role]],CostRateTbl[[#This Row],[BluePrint]])</f>
        <v>xDC GurugramOther ServicesExpert Technology Implementation &amp; Consulting (General)NA</v>
      </c>
      <c r="H191" s="21" t="str">
        <f>SUBSTITUTE(TRIM(CostRateTbl[[#This Row],[Org Unit]])," ","")</f>
        <v>xDCGurugram</v>
      </c>
      <c r="I191" s="15" t="str">
        <f>_xlfn.CONCAT(H191,SUBSTITUTE(SUBSTITUTE(SUBSTITUTE(TRIM(CostRateTbl[[#This Row],[Service Line]]), "-", "")," ",""),"&amp;",""))</f>
        <v>xDCGurugramOtherServices</v>
      </c>
      <c r="J191" s="21" t="str">
        <f>_xlfn.CONCAT(I191,SUBSTITUTE(SUBSTITUTE(SUBSTITUTE(TRIM(CostRateTbl[[#This Row],[Role]]),"-", "")," ",""),"&amp;",""))</f>
        <v>xDCGurugramOtherServicesExpertTechnologyImplementationConsulting(General)</v>
      </c>
      <c r="K191" t="s">
        <v>361</v>
      </c>
      <c r="L191" t="s">
        <v>362</v>
      </c>
      <c r="M191" t="s">
        <v>362</v>
      </c>
      <c r="N191" t="s">
        <v>362</v>
      </c>
    </row>
    <row r="192" spans="1:14">
      <c r="A192" t="s">
        <v>397</v>
      </c>
      <c r="B192" t="s">
        <v>154</v>
      </c>
      <c r="C192" t="s">
        <v>368</v>
      </c>
      <c r="D192" s="477">
        <v>9.8341600000000007</v>
      </c>
      <c r="E192" t="b">
        <v>0</v>
      </c>
      <c r="F192" t="b">
        <v>1</v>
      </c>
      <c r="G192" t="str">
        <f>_xlfn.CONCAT(CostRateTbl[[#This Row],[Org Unit]],CostRateTbl[[#This Row],[Service Line]],CostRateTbl[[#This Row],[Role]],CostRateTbl[[#This Row],[BluePrint]])</f>
        <v>xDC GurugramProject ManagementAssociate Expert Technology &amp; Consulting Project ManagementNA</v>
      </c>
      <c r="H192" s="21" t="str">
        <f>SUBSTITUTE(TRIM(CostRateTbl[[#This Row],[Org Unit]])," ","")</f>
        <v>xDCGurugram</v>
      </c>
      <c r="I192" s="15" t="str">
        <f>_xlfn.CONCAT(H192,SUBSTITUTE(SUBSTITUTE(SUBSTITUTE(TRIM(CostRateTbl[[#This Row],[Service Line]]), "-", "")," ",""),"&amp;",""))</f>
        <v>xDCGurugramProjectManagement</v>
      </c>
      <c r="J192" s="21" t="str">
        <f>_xlfn.CONCAT(I192,SUBSTITUTE(SUBSTITUTE(SUBSTITUTE(TRIM(CostRateTbl[[#This Row],[Role]]),"-", "")," ",""),"&amp;",""))</f>
        <v>xDCGurugramProjectManagementAssociateExpertTechnologyConsultingProjectManagement</v>
      </c>
      <c r="K192" t="s">
        <v>361</v>
      </c>
      <c r="L192" t="s">
        <v>362</v>
      </c>
      <c r="M192" t="s">
        <v>362</v>
      </c>
      <c r="N192" t="s">
        <v>362</v>
      </c>
    </row>
    <row r="193" spans="1:14">
      <c r="A193" t="s">
        <v>397</v>
      </c>
      <c r="B193" t="s">
        <v>154</v>
      </c>
      <c r="C193" t="s">
        <v>178</v>
      </c>
      <c r="D193" s="477">
        <v>25.003391000000001</v>
      </c>
      <c r="E193" t="b">
        <v>0</v>
      </c>
      <c r="F193" t="b">
        <v>1</v>
      </c>
      <c r="G193" t="str">
        <f>_xlfn.CONCAT(CostRateTbl[[#This Row],[Org Unit]],CostRateTbl[[#This Row],[Service Line]],CostRateTbl[[#This Row],[Role]],CostRateTbl[[#This Row],[BluePrint]])</f>
        <v>xDC GurugramProject ManagementExpert Technology &amp; Consulting Project ManagementNA</v>
      </c>
      <c r="H193" s="21" t="str">
        <f>SUBSTITUTE(TRIM(CostRateTbl[[#This Row],[Org Unit]])," ","")</f>
        <v>xDCGurugram</v>
      </c>
      <c r="I193" s="15" t="str">
        <f>_xlfn.CONCAT(H193,SUBSTITUTE(SUBSTITUTE(SUBSTITUTE(TRIM(CostRateTbl[[#This Row],[Service Line]]), "-", "")," ",""),"&amp;",""))</f>
        <v>xDCGurugramProjectManagement</v>
      </c>
      <c r="J193" s="21" t="str">
        <f>_xlfn.CONCAT(I193,SUBSTITUTE(SUBSTITUTE(SUBSTITUTE(TRIM(CostRateTbl[[#This Row],[Role]]),"-", "")," ",""),"&amp;",""))</f>
        <v>xDCGurugramProjectManagementExpertTechnologyConsultingProjectManagement</v>
      </c>
      <c r="K193" t="s">
        <v>361</v>
      </c>
      <c r="L193" t="s">
        <v>362</v>
      </c>
      <c r="M193" t="s">
        <v>362</v>
      </c>
      <c r="N193" t="s">
        <v>362</v>
      </c>
    </row>
    <row r="194" spans="1:14">
      <c r="A194" t="s">
        <v>397</v>
      </c>
      <c r="B194" t="s">
        <v>154</v>
      </c>
      <c r="C194" t="s">
        <v>155</v>
      </c>
      <c r="D194" s="477">
        <v>23.587547999999998</v>
      </c>
      <c r="E194" t="b">
        <v>0</v>
      </c>
      <c r="F194" t="b">
        <v>1</v>
      </c>
      <c r="G194" t="str">
        <f>_xlfn.CONCAT(CostRateTbl[[#This Row],[Org Unit]],CostRateTbl[[#This Row],[Service Line]],CostRateTbl[[#This Row],[Role]],CostRateTbl[[#This Row],[BluePrint]])</f>
        <v>xDC GurugramProject ManagementSr Expert Technology &amp; Consulting Project ManagementNA</v>
      </c>
      <c r="H194" s="21" t="str">
        <f>SUBSTITUTE(TRIM(CostRateTbl[[#This Row],[Org Unit]])," ","")</f>
        <v>xDCGurugram</v>
      </c>
      <c r="I194" s="15" t="str">
        <f>_xlfn.CONCAT(H194,SUBSTITUTE(SUBSTITUTE(SUBSTITUTE(TRIM(CostRateTbl[[#This Row],[Service Line]]), "-", "")," ",""),"&amp;",""))</f>
        <v>xDCGurugramProjectManagement</v>
      </c>
      <c r="J194" s="21" t="str">
        <f>_xlfn.CONCAT(I194,SUBSTITUTE(SUBSTITUTE(SUBSTITUTE(TRIM(CostRateTbl[[#This Row],[Role]]),"-", "")," ",""),"&amp;",""))</f>
        <v>xDCGurugramProjectManagementSrExpertTechnologyConsultingProjectManagement</v>
      </c>
      <c r="K194" t="s">
        <v>361</v>
      </c>
      <c r="L194" t="s">
        <v>362</v>
      </c>
      <c r="M194" t="s">
        <v>362</v>
      </c>
      <c r="N194" t="s">
        <v>362</v>
      </c>
    </row>
    <row r="195" spans="1:14">
      <c r="A195" t="s">
        <v>397</v>
      </c>
      <c r="B195" t="s">
        <v>238</v>
      </c>
      <c r="C195" t="s">
        <v>401</v>
      </c>
      <c r="D195" s="477">
        <v>11.409565000000001</v>
      </c>
      <c r="E195" t="b">
        <v>0</v>
      </c>
      <c r="F195" t="b">
        <v>1</v>
      </c>
      <c r="G195" t="str">
        <f>_xlfn.CONCAT(CostRateTbl[[#This Row],[Org Unit]],CostRateTbl[[#This Row],[Service Line]],CostRateTbl[[#This Row],[Role]],CostRateTbl[[#This Row],[BluePrint]])</f>
        <v>xDC GurugramSupport ServicesAssociate Expert Data AnalyticsNA</v>
      </c>
      <c r="H195" s="21" t="str">
        <f>SUBSTITUTE(TRIM(CostRateTbl[[#This Row],[Org Unit]])," ","")</f>
        <v>xDCGurugram</v>
      </c>
      <c r="I195" s="15" t="str">
        <f>_xlfn.CONCAT(H195,SUBSTITUTE(SUBSTITUTE(SUBSTITUTE(TRIM(CostRateTbl[[#This Row],[Service Line]]), "-", "")," ",""),"&amp;",""))</f>
        <v>xDCGurugramSupportServices</v>
      </c>
      <c r="J195" s="21" t="str">
        <f>_xlfn.CONCAT(I195,SUBSTITUTE(SUBSTITUTE(SUBSTITUTE(TRIM(CostRateTbl[[#This Row],[Role]]),"-", "")," ",""),"&amp;",""))</f>
        <v>xDCGurugramSupportServicesAssociateExpertDataAnalytics</v>
      </c>
      <c r="K195" t="s">
        <v>361</v>
      </c>
      <c r="L195" t="s">
        <v>362</v>
      </c>
      <c r="M195" t="s">
        <v>362</v>
      </c>
      <c r="N195" t="s">
        <v>362</v>
      </c>
    </row>
    <row r="196" spans="1:14">
      <c r="A196" t="s">
        <v>397</v>
      </c>
      <c r="B196" t="s">
        <v>238</v>
      </c>
      <c r="C196" t="s">
        <v>370</v>
      </c>
      <c r="D196" s="477">
        <v>11.192888999999999</v>
      </c>
      <c r="E196" t="b">
        <v>0</v>
      </c>
      <c r="F196" t="b">
        <v>1</v>
      </c>
      <c r="G196" t="str">
        <f>_xlfn.CONCAT(CostRateTbl[[#This Row],[Org Unit]],CostRateTbl[[#This Row],[Service Line]],CostRateTbl[[#This Row],[Role]],CostRateTbl[[#This Row],[BluePrint]])</f>
        <v>xDC GurugramSupport ServicesAssociate Expert Technology Implementation &amp; Consulting (General)NA</v>
      </c>
      <c r="H196" s="21" t="str">
        <f>SUBSTITUTE(TRIM(CostRateTbl[[#This Row],[Org Unit]])," ","")</f>
        <v>xDCGurugram</v>
      </c>
      <c r="I196" s="15" t="str">
        <f>_xlfn.CONCAT(H196,SUBSTITUTE(SUBSTITUTE(SUBSTITUTE(TRIM(CostRateTbl[[#This Row],[Service Line]]), "-", "")," ",""),"&amp;",""))</f>
        <v>xDCGurugramSupportServices</v>
      </c>
      <c r="J196" s="21" t="str">
        <f>_xlfn.CONCAT(I196,SUBSTITUTE(SUBSTITUTE(SUBSTITUTE(TRIM(CostRateTbl[[#This Row],[Role]]),"-", "")," ",""),"&amp;",""))</f>
        <v>xDCGurugramSupportServicesAssociateExpertTechnologyImplementationConsulting(General)</v>
      </c>
      <c r="K196" t="s">
        <v>361</v>
      </c>
      <c r="L196" t="s">
        <v>362</v>
      </c>
      <c r="M196" t="s">
        <v>362</v>
      </c>
      <c r="N196" t="s">
        <v>362</v>
      </c>
    </row>
    <row r="197" spans="1:14">
      <c r="A197" t="s">
        <v>397</v>
      </c>
      <c r="B197" t="s">
        <v>238</v>
      </c>
      <c r="C197" t="s">
        <v>386</v>
      </c>
      <c r="D197" s="477">
        <v>13.392588999999999</v>
      </c>
      <c r="E197" t="b">
        <v>0</v>
      </c>
      <c r="F197" t="b">
        <v>1</v>
      </c>
      <c r="G197" t="str">
        <f>_xlfn.CONCAT(CostRateTbl[[#This Row],[Org Unit]],CostRateTbl[[#This Row],[Service Line]],CostRateTbl[[#This Row],[Role]],CostRateTbl[[#This Row],[BluePrint]])</f>
        <v>xDC GurugramSupport ServicesExpert Data AnalyticsNA</v>
      </c>
      <c r="H197" s="21" t="str">
        <f>SUBSTITUTE(TRIM(CostRateTbl[[#This Row],[Org Unit]])," ","")</f>
        <v>xDCGurugram</v>
      </c>
      <c r="I197" s="15" t="str">
        <f>_xlfn.CONCAT(H197,SUBSTITUTE(SUBSTITUTE(SUBSTITUTE(TRIM(CostRateTbl[[#This Row],[Service Line]]), "-", "")," ",""),"&amp;",""))</f>
        <v>xDCGurugramSupportServices</v>
      </c>
      <c r="J197" s="21" t="str">
        <f>_xlfn.CONCAT(I197,SUBSTITUTE(SUBSTITUTE(SUBSTITUTE(TRIM(CostRateTbl[[#This Row],[Role]]),"-", "")," ",""),"&amp;",""))</f>
        <v>xDCGurugramSupportServicesExpertDataAnalytics</v>
      </c>
      <c r="K197" t="s">
        <v>361</v>
      </c>
      <c r="L197" t="s">
        <v>362</v>
      </c>
      <c r="M197" t="s">
        <v>362</v>
      </c>
      <c r="N197" t="s">
        <v>362</v>
      </c>
    </row>
    <row r="198" spans="1:14">
      <c r="A198" t="s">
        <v>397</v>
      </c>
      <c r="B198" t="s">
        <v>238</v>
      </c>
      <c r="C198" t="s">
        <v>182</v>
      </c>
      <c r="D198" s="477">
        <v>24.403106000000001</v>
      </c>
      <c r="E198" t="b">
        <v>0</v>
      </c>
      <c r="F198" t="b">
        <v>1</v>
      </c>
      <c r="G198" t="str">
        <f>_xlfn.CONCAT(CostRateTbl[[#This Row],[Org Unit]],CostRateTbl[[#This Row],[Service Line]],CostRateTbl[[#This Row],[Role]],CostRateTbl[[#This Row],[BluePrint]])</f>
        <v>xDC GurugramSupport ServicesExpert Technology Implementation &amp; Consulting (General)NA</v>
      </c>
      <c r="H198" s="21" t="str">
        <f>SUBSTITUTE(TRIM(CostRateTbl[[#This Row],[Org Unit]])," ","")</f>
        <v>xDCGurugram</v>
      </c>
      <c r="I198" s="15" t="str">
        <f>_xlfn.CONCAT(H198,SUBSTITUTE(SUBSTITUTE(SUBSTITUTE(TRIM(CostRateTbl[[#This Row],[Service Line]]), "-", "")," ",""),"&amp;",""))</f>
        <v>xDCGurugramSupportServices</v>
      </c>
      <c r="J198" s="21" t="str">
        <f>_xlfn.CONCAT(I198,SUBSTITUTE(SUBSTITUTE(SUBSTITUTE(TRIM(CostRateTbl[[#This Row],[Role]]),"-", "")," ",""),"&amp;",""))</f>
        <v>xDCGurugramSupportServicesExpertTechnologyImplementationConsulting(General)</v>
      </c>
      <c r="K198" t="s">
        <v>361</v>
      </c>
      <c r="L198" t="s">
        <v>362</v>
      </c>
      <c r="M198" t="s">
        <v>362</v>
      </c>
      <c r="N198" t="s">
        <v>362</v>
      </c>
    </row>
    <row r="199" spans="1:14">
      <c r="A199" t="s">
        <v>130</v>
      </c>
      <c r="B199" t="s">
        <v>197</v>
      </c>
      <c r="C199" t="s">
        <v>369</v>
      </c>
      <c r="D199" s="477">
        <v>7.1573950000000002</v>
      </c>
      <c r="E199" t="b">
        <v>0</v>
      </c>
      <c r="F199" t="b">
        <v>1</v>
      </c>
      <c r="G199" t="str">
        <f>_xlfn.CONCAT(CostRateTbl[[#This Row],[Org Unit]],CostRateTbl[[#This Row],[Service Line]],CostRateTbl[[#This Row],[Role]],CostRateTbl[[#This Row],[BluePrint]])</f>
        <v>xDC MedellinApplication ServicesAssociate Expert Application DevelopmentNA</v>
      </c>
      <c r="H199" s="21" t="str">
        <f>SUBSTITUTE(TRIM(CostRateTbl[[#This Row],[Org Unit]])," ","")</f>
        <v>xDCMedellin</v>
      </c>
      <c r="I199" s="15" t="str">
        <f>_xlfn.CONCAT(H199,SUBSTITUTE(SUBSTITUTE(SUBSTITUTE(TRIM(CostRateTbl[[#This Row],[Service Line]]), "-", "")," ",""),"&amp;",""))</f>
        <v>xDCMedellinApplicationServices</v>
      </c>
      <c r="J199" s="21" t="str">
        <f>_xlfn.CONCAT(I199,SUBSTITUTE(SUBSTITUTE(SUBSTITUTE(TRIM(CostRateTbl[[#This Row],[Role]]),"-", "")," ",""),"&amp;",""))</f>
        <v>xDCMedellinApplicationServicesAssociateExpertApplicationDevelopment</v>
      </c>
      <c r="K199" t="s">
        <v>361</v>
      </c>
      <c r="L199" t="s">
        <v>362</v>
      </c>
      <c r="M199" t="s">
        <v>362</v>
      </c>
      <c r="N199" t="s">
        <v>362</v>
      </c>
    </row>
    <row r="200" spans="1:14">
      <c r="A200" t="s">
        <v>130</v>
      </c>
      <c r="B200" t="s">
        <v>197</v>
      </c>
      <c r="C200" t="s">
        <v>370</v>
      </c>
      <c r="D200" s="477">
        <v>27.547367000000001</v>
      </c>
      <c r="E200" t="b">
        <v>0</v>
      </c>
      <c r="F200" t="b">
        <v>1</v>
      </c>
      <c r="G200" t="str">
        <f>_xlfn.CONCAT(CostRateTbl[[#This Row],[Org Unit]],CostRateTbl[[#This Row],[Service Line]],CostRateTbl[[#This Row],[Role]],CostRateTbl[[#This Row],[BluePrint]])</f>
        <v>xDC MedellinApplication ServicesAssociate Expert Technology Implementation &amp; Consulting (General)NA</v>
      </c>
      <c r="H200" s="21" t="str">
        <f>SUBSTITUTE(TRIM(CostRateTbl[[#This Row],[Org Unit]])," ","")</f>
        <v>xDCMedellin</v>
      </c>
      <c r="I200" s="15" t="str">
        <f>_xlfn.CONCAT(H200,SUBSTITUTE(SUBSTITUTE(SUBSTITUTE(TRIM(CostRateTbl[[#This Row],[Service Line]]), "-", "")," ",""),"&amp;",""))</f>
        <v>xDCMedellinApplicationServices</v>
      </c>
      <c r="J200" s="21" t="str">
        <f>_xlfn.CONCAT(I200,SUBSTITUTE(SUBSTITUTE(SUBSTITUTE(TRIM(CostRateTbl[[#This Row],[Role]]),"-", "")," ",""),"&amp;",""))</f>
        <v>xDCMedellinApplicationServicesAssociateExpertTechnologyImplementationConsulting(General)</v>
      </c>
      <c r="K200" t="s">
        <v>361</v>
      </c>
      <c r="L200" t="s">
        <v>362</v>
      </c>
      <c r="M200" t="s">
        <v>362</v>
      </c>
      <c r="N200" t="s">
        <v>362</v>
      </c>
    </row>
    <row r="201" spans="1:14">
      <c r="A201" t="s">
        <v>130</v>
      </c>
      <c r="B201" t="s">
        <v>197</v>
      </c>
      <c r="C201" t="s">
        <v>371</v>
      </c>
      <c r="D201" s="477">
        <v>16.837225999999998</v>
      </c>
      <c r="E201" t="b">
        <v>0</v>
      </c>
      <c r="F201" t="b">
        <v>1</v>
      </c>
      <c r="G201" t="str">
        <f>_xlfn.CONCAT(CostRateTbl[[#This Row],[Org Unit]],CostRateTbl[[#This Row],[Service Line]],CostRateTbl[[#This Row],[Role]],CostRateTbl[[#This Row],[BluePrint]])</f>
        <v>xDC MedellinApplication ServicesExpert Application DevelopmentNA</v>
      </c>
      <c r="H201" s="21" t="str">
        <f>SUBSTITUTE(TRIM(CostRateTbl[[#This Row],[Org Unit]])," ","")</f>
        <v>xDCMedellin</v>
      </c>
      <c r="I201" s="15" t="str">
        <f>_xlfn.CONCAT(H201,SUBSTITUTE(SUBSTITUTE(SUBSTITUTE(TRIM(CostRateTbl[[#This Row],[Service Line]]), "-", "")," ",""),"&amp;",""))</f>
        <v>xDCMedellinApplicationServices</v>
      </c>
      <c r="J201" s="21" t="str">
        <f>_xlfn.CONCAT(I201,SUBSTITUTE(SUBSTITUTE(SUBSTITUTE(TRIM(CostRateTbl[[#This Row],[Role]]),"-", "")," ",""),"&amp;",""))</f>
        <v>xDCMedellinApplicationServicesExpertApplicationDevelopment</v>
      </c>
      <c r="K201" t="s">
        <v>361</v>
      </c>
      <c r="L201" t="s">
        <v>362</v>
      </c>
      <c r="M201" t="s">
        <v>362</v>
      </c>
      <c r="N201" t="s">
        <v>362</v>
      </c>
    </row>
    <row r="202" spans="1:14">
      <c r="A202" t="s">
        <v>130</v>
      </c>
      <c r="B202" t="s">
        <v>197</v>
      </c>
      <c r="C202" t="s">
        <v>366</v>
      </c>
      <c r="D202" s="477">
        <v>11.399144999999999</v>
      </c>
      <c r="E202" t="b">
        <v>0</v>
      </c>
      <c r="F202" t="b">
        <v>1</v>
      </c>
      <c r="G202" t="str">
        <f>_xlfn.CONCAT(CostRateTbl[[#This Row],[Org Unit]],CostRateTbl[[#This Row],[Service Line]],CostRateTbl[[#This Row],[Role]],CostRateTbl[[#This Row],[BluePrint]])</f>
        <v>xDC MedellinApplication ServicesExpert Business Consulting and AdvisoryNA</v>
      </c>
      <c r="H202" s="21" t="str">
        <f>SUBSTITUTE(TRIM(CostRateTbl[[#This Row],[Org Unit]])," ","")</f>
        <v>xDCMedellin</v>
      </c>
      <c r="I202" s="15" t="str">
        <f>_xlfn.CONCAT(H202,SUBSTITUTE(SUBSTITUTE(SUBSTITUTE(TRIM(CostRateTbl[[#This Row],[Service Line]]), "-", "")," ",""),"&amp;",""))</f>
        <v>xDCMedellinApplicationServices</v>
      </c>
      <c r="J202" s="21" t="str">
        <f>_xlfn.CONCAT(I202,SUBSTITUTE(SUBSTITUTE(SUBSTITUTE(TRIM(CostRateTbl[[#This Row],[Role]]),"-", "")," ",""),"&amp;",""))</f>
        <v>xDCMedellinApplicationServicesExpertBusinessConsultingandAdvisory</v>
      </c>
      <c r="K202" t="s">
        <v>361</v>
      </c>
      <c r="L202" t="s">
        <v>362</v>
      </c>
      <c r="M202" t="s">
        <v>362</v>
      </c>
      <c r="N202" t="s">
        <v>362</v>
      </c>
    </row>
    <row r="203" spans="1:14">
      <c r="A203" t="s">
        <v>130</v>
      </c>
      <c r="B203" t="s">
        <v>197</v>
      </c>
      <c r="C203" t="s">
        <v>178</v>
      </c>
      <c r="D203" s="477">
        <v>16.422432999999998</v>
      </c>
      <c r="E203" t="b">
        <v>0</v>
      </c>
      <c r="F203" t="b">
        <v>1</v>
      </c>
      <c r="G203" t="str">
        <f>_xlfn.CONCAT(CostRateTbl[[#This Row],[Org Unit]],CostRateTbl[[#This Row],[Service Line]],CostRateTbl[[#This Row],[Role]],CostRateTbl[[#This Row],[BluePrint]])</f>
        <v>xDC MedellinApplication ServicesExpert Technology &amp; Consulting Project ManagementNA</v>
      </c>
      <c r="H203" s="21" t="str">
        <f>SUBSTITUTE(TRIM(CostRateTbl[[#This Row],[Org Unit]])," ","")</f>
        <v>xDCMedellin</v>
      </c>
      <c r="I203" s="15" t="str">
        <f>_xlfn.CONCAT(H203,SUBSTITUTE(SUBSTITUTE(SUBSTITUTE(TRIM(CostRateTbl[[#This Row],[Service Line]]), "-", "")," ",""),"&amp;",""))</f>
        <v>xDCMedellinApplicationServices</v>
      </c>
      <c r="J203" s="21" t="str">
        <f>_xlfn.CONCAT(I203,SUBSTITUTE(SUBSTITUTE(SUBSTITUTE(TRIM(CostRateTbl[[#This Row],[Role]]),"-", "")," ",""),"&amp;",""))</f>
        <v>xDCMedellinApplicationServicesExpertTechnologyConsultingProjectManagement</v>
      </c>
      <c r="K203" t="s">
        <v>361</v>
      </c>
      <c r="L203" t="s">
        <v>362</v>
      </c>
      <c r="M203" t="s">
        <v>362</v>
      </c>
      <c r="N203" t="s">
        <v>362</v>
      </c>
    </row>
    <row r="204" spans="1:14">
      <c r="A204" t="s">
        <v>130</v>
      </c>
      <c r="B204" t="s">
        <v>197</v>
      </c>
      <c r="C204" t="s">
        <v>182</v>
      </c>
      <c r="D204" s="477">
        <v>41.129632999999998</v>
      </c>
      <c r="E204" t="b">
        <v>0</v>
      </c>
      <c r="F204" t="b">
        <v>1</v>
      </c>
      <c r="G204" t="str">
        <f>_xlfn.CONCAT(CostRateTbl[[#This Row],[Org Unit]],CostRateTbl[[#This Row],[Service Line]],CostRateTbl[[#This Row],[Role]],CostRateTbl[[#This Row],[BluePrint]])</f>
        <v>xDC MedellinApplication ServicesExpert Technology Implementation &amp; Consulting (General)NA</v>
      </c>
      <c r="H204" s="21" t="str">
        <f>SUBSTITUTE(TRIM(CostRateTbl[[#This Row],[Org Unit]])," ","")</f>
        <v>xDCMedellin</v>
      </c>
      <c r="I204" s="15" t="str">
        <f>_xlfn.CONCAT(H204,SUBSTITUTE(SUBSTITUTE(SUBSTITUTE(TRIM(CostRateTbl[[#This Row],[Service Line]]), "-", "")," ",""),"&amp;",""))</f>
        <v>xDCMedellinApplicationServices</v>
      </c>
      <c r="J204" s="21" t="str">
        <f>_xlfn.CONCAT(I204,SUBSTITUTE(SUBSTITUTE(SUBSTITUTE(TRIM(CostRateTbl[[#This Row],[Role]]),"-", "")," ",""),"&amp;",""))</f>
        <v>xDCMedellinApplicationServicesExpertTechnologyImplementationConsulting(General)</v>
      </c>
      <c r="K204" t="s">
        <v>361</v>
      </c>
      <c r="L204" t="s">
        <v>362</v>
      </c>
      <c r="M204" t="s">
        <v>362</v>
      </c>
      <c r="N204" t="s">
        <v>362</v>
      </c>
    </row>
    <row r="205" spans="1:14">
      <c r="A205" t="s">
        <v>130</v>
      </c>
      <c r="B205" t="s">
        <v>197</v>
      </c>
      <c r="C205" t="s">
        <v>388</v>
      </c>
      <c r="D205" s="477">
        <v>99.821596</v>
      </c>
      <c r="E205" t="b">
        <v>0</v>
      </c>
      <c r="F205" t="b">
        <v>1</v>
      </c>
      <c r="G205" t="str">
        <f>_xlfn.CONCAT(CostRateTbl[[#This Row],[Org Unit]],CostRateTbl[[#This Row],[Service Line]],CostRateTbl[[#This Row],[Role]],CostRateTbl[[#This Row],[BluePrint]])</f>
        <v>xDC MedellinApplication ServicesLead Expert Business Consulting and AdvisoryNA</v>
      </c>
      <c r="H205" s="21" t="str">
        <f>SUBSTITUTE(TRIM(CostRateTbl[[#This Row],[Org Unit]])," ","")</f>
        <v>xDCMedellin</v>
      </c>
      <c r="I205" s="15" t="str">
        <f>_xlfn.CONCAT(H205,SUBSTITUTE(SUBSTITUTE(SUBSTITUTE(TRIM(CostRateTbl[[#This Row],[Service Line]]), "-", "")," ",""),"&amp;",""))</f>
        <v>xDCMedellinApplicationServices</v>
      </c>
      <c r="J205" s="21" t="str">
        <f>_xlfn.CONCAT(I205,SUBSTITUTE(SUBSTITUTE(SUBSTITUTE(TRIM(CostRateTbl[[#This Row],[Role]]),"-", "")," ",""),"&amp;",""))</f>
        <v>xDCMedellinApplicationServicesLeadExpertBusinessConsultingandAdvisory</v>
      </c>
      <c r="K205" t="s">
        <v>361</v>
      </c>
      <c r="L205" t="s">
        <v>362</v>
      </c>
      <c r="M205" t="s">
        <v>362</v>
      </c>
      <c r="N205" t="s">
        <v>362</v>
      </c>
    </row>
    <row r="206" spans="1:14">
      <c r="A206" t="s">
        <v>130</v>
      </c>
      <c r="B206" t="s">
        <v>197</v>
      </c>
      <c r="C206" t="s">
        <v>364</v>
      </c>
      <c r="D206" s="477">
        <v>50.796937000000007</v>
      </c>
      <c r="E206" t="b">
        <v>0</v>
      </c>
      <c r="F206" t="b">
        <v>1</v>
      </c>
      <c r="G206" t="str">
        <f>_xlfn.CONCAT(CostRateTbl[[#This Row],[Org Unit]],CostRateTbl[[#This Row],[Service Line]],CostRateTbl[[#This Row],[Role]],CostRateTbl[[#This Row],[BluePrint]])</f>
        <v>xDC MedellinApplication ServicesLead Expert Technology Implementation &amp; Consulting (General)NA</v>
      </c>
      <c r="H206" s="21" t="str">
        <f>SUBSTITUTE(TRIM(CostRateTbl[[#This Row],[Org Unit]])," ","")</f>
        <v>xDCMedellin</v>
      </c>
      <c r="I206" s="15" t="str">
        <f>_xlfn.CONCAT(H206,SUBSTITUTE(SUBSTITUTE(SUBSTITUTE(TRIM(CostRateTbl[[#This Row],[Service Line]]), "-", "")," ",""),"&amp;",""))</f>
        <v>xDCMedellinApplicationServices</v>
      </c>
      <c r="J206" s="21" t="str">
        <f>_xlfn.CONCAT(I206,SUBSTITUTE(SUBSTITUTE(SUBSTITUTE(TRIM(CostRateTbl[[#This Row],[Role]]),"-", "")," ",""),"&amp;",""))</f>
        <v>xDCMedellinApplicationServicesLeadExpertTechnologyImplementationConsulting(General)</v>
      </c>
      <c r="K206" t="s">
        <v>361</v>
      </c>
      <c r="L206" t="s">
        <v>362</v>
      </c>
      <c r="M206" t="s">
        <v>362</v>
      </c>
      <c r="N206" t="s">
        <v>362</v>
      </c>
    </row>
    <row r="207" spans="1:14">
      <c r="A207" t="s">
        <v>130</v>
      </c>
      <c r="B207" t="s">
        <v>197</v>
      </c>
      <c r="C207" t="s">
        <v>367</v>
      </c>
      <c r="D207" s="477">
        <v>19.686736999999997</v>
      </c>
      <c r="E207" t="b">
        <v>0</v>
      </c>
      <c r="F207" t="b">
        <v>1</v>
      </c>
      <c r="G207" t="str">
        <f>_xlfn.CONCAT(CostRateTbl[[#This Row],[Org Unit]],CostRateTbl[[#This Row],[Service Line]],CostRateTbl[[#This Row],[Role]],CostRateTbl[[#This Row],[BluePrint]])</f>
        <v>xDC MedellinApplication ServicesSr Expert Business Consulting and AdvisoryNA</v>
      </c>
      <c r="H207" s="21" t="str">
        <f>SUBSTITUTE(TRIM(CostRateTbl[[#This Row],[Org Unit]])," ","")</f>
        <v>xDCMedellin</v>
      </c>
      <c r="I207" s="15" t="str">
        <f>_xlfn.CONCAT(H207,SUBSTITUTE(SUBSTITUTE(SUBSTITUTE(TRIM(CostRateTbl[[#This Row],[Service Line]]), "-", "")," ",""),"&amp;",""))</f>
        <v>xDCMedellinApplicationServices</v>
      </c>
      <c r="J207" s="21" t="str">
        <f>_xlfn.CONCAT(I207,SUBSTITUTE(SUBSTITUTE(SUBSTITUTE(TRIM(CostRateTbl[[#This Row],[Role]]),"-", "")," ",""),"&amp;",""))</f>
        <v>xDCMedellinApplicationServicesSrExpertBusinessConsultingandAdvisory</v>
      </c>
      <c r="K207" t="s">
        <v>361</v>
      </c>
      <c r="L207" t="s">
        <v>362</v>
      </c>
      <c r="M207" t="s">
        <v>362</v>
      </c>
      <c r="N207" t="s">
        <v>362</v>
      </c>
    </row>
    <row r="208" spans="1:14">
      <c r="A208" t="s">
        <v>130</v>
      </c>
      <c r="B208" t="s">
        <v>197</v>
      </c>
      <c r="C208" t="s">
        <v>155</v>
      </c>
      <c r="D208" s="477">
        <v>35.707895000000001</v>
      </c>
      <c r="E208" t="b">
        <v>0</v>
      </c>
      <c r="F208" t="b">
        <v>1</v>
      </c>
      <c r="G208" t="str">
        <f>_xlfn.CONCAT(CostRateTbl[[#This Row],[Org Unit]],CostRateTbl[[#This Row],[Service Line]],CostRateTbl[[#This Row],[Role]],CostRateTbl[[#This Row],[BluePrint]])</f>
        <v>xDC MedellinApplication ServicesSr Expert Technology &amp; Consulting Project ManagementNA</v>
      </c>
      <c r="H208" s="21" t="str">
        <f>SUBSTITUTE(TRIM(CostRateTbl[[#This Row],[Org Unit]])," ","")</f>
        <v>xDCMedellin</v>
      </c>
      <c r="I208" s="15" t="str">
        <f>_xlfn.CONCAT(H208,SUBSTITUTE(SUBSTITUTE(SUBSTITUTE(TRIM(CostRateTbl[[#This Row],[Service Line]]), "-", "")," ",""),"&amp;",""))</f>
        <v>xDCMedellinApplicationServices</v>
      </c>
      <c r="J208" s="21" t="str">
        <f>_xlfn.CONCAT(I208,SUBSTITUTE(SUBSTITUTE(SUBSTITUTE(TRIM(CostRateTbl[[#This Row],[Role]]),"-", "")," ",""),"&amp;",""))</f>
        <v>xDCMedellinApplicationServicesSrExpertTechnologyConsultingProjectManagement</v>
      </c>
      <c r="K208" t="s">
        <v>361</v>
      </c>
      <c r="L208" t="s">
        <v>362</v>
      </c>
      <c r="M208" t="s">
        <v>362</v>
      </c>
      <c r="N208" t="s">
        <v>362</v>
      </c>
    </row>
    <row r="209" spans="1:14">
      <c r="A209" t="s">
        <v>130</v>
      </c>
      <c r="B209" t="s">
        <v>197</v>
      </c>
      <c r="C209" t="s">
        <v>132</v>
      </c>
      <c r="D209" s="477">
        <v>48.684885000000001</v>
      </c>
      <c r="E209" t="b">
        <v>0</v>
      </c>
      <c r="F209" t="b">
        <v>1</v>
      </c>
      <c r="G209" t="str">
        <f>_xlfn.CONCAT(CostRateTbl[[#This Row],[Org Unit]],CostRateTbl[[#This Row],[Service Line]],CostRateTbl[[#This Row],[Role]],CostRateTbl[[#This Row],[BluePrint]])</f>
        <v>xDC MedellinApplication ServicesSr Expert Technology Implementation &amp; Consulting (General)NA</v>
      </c>
      <c r="H209" s="21" t="str">
        <f>SUBSTITUTE(TRIM(CostRateTbl[[#This Row],[Org Unit]])," ","")</f>
        <v>xDCMedellin</v>
      </c>
      <c r="I209" s="15" t="str">
        <f>_xlfn.CONCAT(H209,SUBSTITUTE(SUBSTITUTE(SUBSTITUTE(TRIM(CostRateTbl[[#This Row],[Service Line]]), "-", "")," ",""),"&amp;",""))</f>
        <v>xDCMedellinApplicationServices</v>
      </c>
      <c r="J209" s="21" t="str">
        <f>_xlfn.CONCAT(I209,SUBSTITUTE(SUBSTITUTE(SUBSTITUTE(TRIM(CostRateTbl[[#This Row],[Role]]),"-", "")," ",""),"&amp;",""))</f>
        <v>xDCMedellinApplicationServicesSrExpertTechnologyImplementationConsulting(General)</v>
      </c>
      <c r="K209" t="s">
        <v>361</v>
      </c>
      <c r="L209" t="s">
        <v>362</v>
      </c>
      <c r="M209" t="s">
        <v>362</v>
      </c>
      <c r="N209" t="s">
        <v>362</v>
      </c>
    </row>
    <row r="210" spans="1:14">
      <c r="A210" t="s">
        <v>130</v>
      </c>
      <c r="B210" t="s">
        <v>213</v>
      </c>
      <c r="C210" t="s">
        <v>182</v>
      </c>
      <c r="D210" s="477">
        <v>20.731365</v>
      </c>
      <c r="E210" t="b">
        <v>0</v>
      </c>
      <c r="F210" t="b">
        <v>1</v>
      </c>
      <c r="G210" t="str">
        <f>_xlfn.CONCAT(CostRateTbl[[#This Row],[Org Unit]],CostRateTbl[[#This Row],[Service Line]],CostRateTbl[[#This Row],[Role]],CostRateTbl[[#This Row],[BluePrint]])</f>
        <v>xDC MedellinCloud Services AWSExpert Technology Implementation &amp; Consulting (General)NA</v>
      </c>
      <c r="H210" s="21" t="str">
        <f>SUBSTITUTE(TRIM(CostRateTbl[[#This Row],[Org Unit]])," ","")</f>
        <v>xDCMedellin</v>
      </c>
      <c r="I210" s="15" t="str">
        <f>_xlfn.CONCAT(H210,SUBSTITUTE(SUBSTITUTE(SUBSTITUTE(TRIM(CostRateTbl[[#This Row],[Service Line]]), "-", "")," ",""),"&amp;",""))</f>
        <v>xDCMedellinCloudServicesAWS</v>
      </c>
      <c r="J210" s="21" t="str">
        <f>_xlfn.CONCAT(I210,SUBSTITUTE(SUBSTITUTE(SUBSTITUTE(TRIM(CostRateTbl[[#This Row],[Role]]),"-", "")," ",""),"&amp;",""))</f>
        <v>xDCMedellinCloudServicesAWSExpertTechnologyImplementationConsulting(General)</v>
      </c>
      <c r="K210" t="s">
        <v>361</v>
      </c>
      <c r="L210" t="s">
        <v>362</v>
      </c>
      <c r="M210" t="s">
        <v>362</v>
      </c>
      <c r="N210" t="s">
        <v>362</v>
      </c>
    </row>
    <row r="211" spans="1:14">
      <c r="A211" t="s">
        <v>130</v>
      </c>
      <c r="B211" t="s">
        <v>213</v>
      </c>
      <c r="C211" t="s">
        <v>379</v>
      </c>
      <c r="D211" s="477">
        <v>50.130177000000003</v>
      </c>
      <c r="E211" t="b">
        <v>0</v>
      </c>
      <c r="F211" t="b">
        <v>1</v>
      </c>
      <c r="G211" t="str">
        <f>_xlfn.CONCAT(CostRateTbl[[#This Row],[Org Unit]],CostRateTbl[[#This Row],[Service Line]],CostRateTbl[[#This Row],[Role]],CostRateTbl[[#This Row],[BluePrint]])</f>
        <v>xDC MedellinCloud Services AWSLead Expert Technology &amp; Consulting Project ManagementNA</v>
      </c>
      <c r="H211" s="21" t="str">
        <f>SUBSTITUTE(TRIM(CostRateTbl[[#This Row],[Org Unit]])," ","")</f>
        <v>xDCMedellin</v>
      </c>
      <c r="I211" s="15" t="str">
        <f>_xlfn.CONCAT(H211,SUBSTITUTE(SUBSTITUTE(SUBSTITUTE(TRIM(CostRateTbl[[#This Row],[Service Line]]), "-", "")," ",""),"&amp;",""))</f>
        <v>xDCMedellinCloudServicesAWS</v>
      </c>
      <c r="J211" s="21" t="str">
        <f>_xlfn.CONCAT(I211,SUBSTITUTE(SUBSTITUTE(SUBSTITUTE(TRIM(CostRateTbl[[#This Row],[Role]]),"-", "")," ",""),"&amp;",""))</f>
        <v>xDCMedellinCloudServicesAWSLeadExpertTechnologyConsultingProjectManagement</v>
      </c>
      <c r="K211" t="s">
        <v>361</v>
      </c>
      <c r="L211" t="s">
        <v>362</v>
      </c>
      <c r="M211" t="s">
        <v>362</v>
      </c>
      <c r="N211" t="s">
        <v>362</v>
      </c>
    </row>
    <row r="212" spans="1:14">
      <c r="A212" t="s">
        <v>130</v>
      </c>
      <c r="B212" t="s">
        <v>213</v>
      </c>
      <c r="C212" t="s">
        <v>364</v>
      </c>
      <c r="D212" s="477">
        <v>78.760100999999992</v>
      </c>
      <c r="E212" t="b">
        <v>0</v>
      </c>
      <c r="F212" t="b">
        <v>1</v>
      </c>
      <c r="G212" t="str">
        <f>_xlfn.CONCAT(CostRateTbl[[#This Row],[Org Unit]],CostRateTbl[[#This Row],[Service Line]],CostRateTbl[[#This Row],[Role]],CostRateTbl[[#This Row],[BluePrint]])</f>
        <v>xDC MedellinCloud Services AWSLead Expert Technology Implementation &amp; Consulting (General)NA</v>
      </c>
      <c r="H212" s="21" t="str">
        <f>SUBSTITUTE(TRIM(CostRateTbl[[#This Row],[Org Unit]])," ","")</f>
        <v>xDCMedellin</v>
      </c>
      <c r="I212" s="15" t="str">
        <f>_xlfn.CONCAT(H212,SUBSTITUTE(SUBSTITUTE(SUBSTITUTE(TRIM(CostRateTbl[[#This Row],[Service Line]]), "-", "")," ",""),"&amp;",""))</f>
        <v>xDCMedellinCloudServicesAWS</v>
      </c>
      <c r="J212" s="21" t="str">
        <f>_xlfn.CONCAT(I212,SUBSTITUTE(SUBSTITUTE(SUBSTITUTE(TRIM(CostRateTbl[[#This Row],[Role]]),"-", "")," ",""),"&amp;",""))</f>
        <v>xDCMedellinCloudServicesAWSLeadExpertTechnologyImplementationConsulting(General)</v>
      </c>
      <c r="K212" t="s">
        <v>361</v>
      </c>
      <c r="L212" t="s">
        <v>362</v>
      </c>
      <c r="M212" t="s">
        <v>362</v>
      </c>
      <c r="N212" t="s">
        <v>362</v>
      </c>
    </row>
    <row r="213" spans="1:14">
      <c r="A213" t="s">
        <v>130</v>
      </c>
      <c r="B213" t="s">
        <v>213</v>
      </c>
      <c r="C213" t="s">
        <v>132</v>
      </c>
      <c r="D213" s="477">
        <v>48.122523000000001</v>
      </c>
      <c r="E213" t="b">
        <v>0</v>
      </c>
      <c r="F213" t="b">
        <v>1</v>
      </c>
      <c r="G213" t="str">
        <f>_xlfn.CONCAT(CostRateTbl[[#This Row],[Org Unit]],CostRateTbl[[#This Row],[Service Line]],CostRateTbl[[#This Row],[Role]],CostRateTbl[[#This Row],[BluePrint]])</f>
        <v>xDC MedellinCloud Services AWSSr Expert Technology Implementation &amp; Consulting (General)NA</v>
      </c>
      <c r="H213" s="21" t="str">
        <f>SUBSTITUTE(TRIM(CostRateTbl[[#This Row],[Org Unit]])," ","")</f>
        <v>xDCMedellin</v>
      </c>
      <c r="I213" s="15" t="str">
        <f>_xlfn.CONCAT(H213,SUBSTITUTE(SUBSTITUTE(SUBSTITUTE(TRIM(CostRateTbl[[#This Row],[Service Line]]), "-", "")," ",""),"&amp;",""))</f>
        <v>xDCMedellinCloudServicesAWS</v>
      </c>
      <c r="J213" s="21" t="str">
        <f>_xlfn.CONCAT(I213,SUBSTITUTE(SUBSTITUTE(SUBSTITUTE(TRIM(CostRateTbl[[#This Row],[Role]]),"-", "")," ",""),"&amp;",""))</f>
        <v>xDCMedellinCloudServicesAWSSrExpertTechnologyImplementationConsulting(General)</v>
      </c>
      <c r="K213" t="s">
        <v>361</v>
      </c>
      <c r="L213" t="s">
        <v>362</v>
      </c>
      <c r="M213" t="s">
        <v>362</v>
      </c>
      <c r="N213" t="s">
        <v>362</v>
      </c>
    </row>
    <row r="214" spans="1:14">
      <c r="A214" t="s">
        <v>130</v>
      </c>
      <c r="B214" t="s">
        <v>169</v>
      </c>
      <c r="C214" t="s">
        <v>182</v>
      </c>
      <c r="D214" s="477">
        <v>27.120697</v>
      </c>
      <c r="E214" t="b">
        <v>0</v>
      </c>
      <c r="F214" t="b">
        <v>1</v>
      </c>
      <c r="G214" t="str">
        <f>_xlfn.CONCAT(CostRateTbl[[#This Row],[Org Unit]],CostRateTbl[[#This Row],[Service Line]],CostRateTbl[[#This Row],[Role]],CostRateTbl[[#This Row],[BluePrint]])</f>
        <v>xDC MedellinCloud Services AzureExpert Technology Implementation &amp; Consulting (General)NA</v>
      </c>
      <c r="H214" s="21" t="str">
        <f>SUBSTITUTE(TRIM(CostRateTbl[[#This Row],[Org Unit]])," ","")</f>
        <v>xDCMedellin</v>
      </c>
      <c r="I214" s="15" t="str">
        <f>_xlfn.CONCAT(H214,SUBSTITUTE(SUBSTITUTE(SUBSTITUTE(TRIM(CostRateTbl[[#This Row],[Service Line]]), "-", "")," ",""),"&amp;",""))</f>
        <v>xDCMedellinCloudServicesAzure</v>
      </c>
      <c r="J214" s="21" t="str">
        <f>_xlfn.CONCAT(I214,SUBSTITUTE(SUBSTITUTE(SUBSTITUTE(TRIM(CostRateTbl[[#This Row],[Role]]),"-", "")," ",""),"&amp;",""))</f>
        <v>xDCMedellinCloudServicesAzureExpertTechnologyImplementationConsulting(General)</v>
      </c>
      <c r="K214" t="s">
        <v>361</v>
      </c>
      <c r="L214" t="s">
        <v>362</v>
      </c>
      <c r="M214" t="s">
        <v>362</v>
      </c>
      <c r="N214" t="s">
        <v>362</v>
      </c>
    </row>
    <row r="215" spans="1:14">
      <c r="A215" t="s">
        <v>130</v>
      </c>
      <c r="B215" t="s">
        <v>169</v>
      </c>
      <c r="C215" t="s">
        <v>364</v>
      </c>
      <c r="D215" s="477">
        <v>82.810510000000008</v>
      </c>
      <c r="E215" t="b">
        <v>0</v>
      </c>
      <c r="F215" t="b">
        <v>1</v>
      </c>
      <c r="G215" t="str">
        <f>_xlfn.CONCAT(CostRateTbl[[#This Row],[Org Unit]],CostRateTbl[[#This Row],[Service Line]],CostRateTbl[[#This Row],[Role]],CostRateTbl[[#This Row],[BluePrint]])</f>
        <v>xDC MedellinCloud Services AzureLead Expert Technology Implementation &amp; Consulting (General)NA</v>
      </c>
      <c r="H215" s="21" t="str">
        <f>SUBSTITUTE(TRIM(CostRateTbl[[#This Row],[Org Unit]])," ","")</f>
        <v>xDCMedellin</v>
      </c>
      <c r="I215" s="15" t="str">
        <f>_xlfn.CONCAT(H215,SUBSTITUTE(SUBSTITUTE(SUBSTITUTE(TRIM(CostRateTbl[[#This Row],[Service Line]]), "-", "")," ",""),"&amp;",""))</f>
        <v>xDCMedellinCloudServicesAzure</v>
      </c>
      <c r="J215" s="21" t="str">
        <f>_xlfn.CONCAT(I215,SUBSTITUTE(SUBSTITUTE(SUBSTITUTE(TRIM(CostRateTbl[[#This Row],[Role]]),"-", "")," ",""),"&amp;",""))</f>
        <v>xDCMedellinCloudServicesAzureLeadExpertTechnologyImplementationConsulting(General)</v>
      </c>
      <c r="K215" t="s">
        <v>361</v>
      </c>
      <c r="L215" t="s">
        <v>362</v>
      </c>
      <c r="M215" t="s">
        <v>362</v>
      </c>
      <c r="N215" t="s">
        <v>362</v>
      </c>
    </row>
    <row r="216" spans="1:14">
      <c r="A216" t="s">
        <v>130</v>
      </c>
      <c r="B216" t="s">
        <v>169</v>
      </c>
      <c r="C216" t="s">
        <v>132</v>
      </c>
      <c r="D216" s="477">
        <v>36.006177999999998</v>
      </c>
      <c r="E216" t="b">
        <v>0</v>
      </c>
      <c r="F216" t="b">
        <v>1</v>
      </c>
      <c r="G216" t="str">
        <f>_xlfn.CONCAT(CostRateTbl[[#This Row],[Org Unit]],CostRateTbl[[#This Row],[Service Line]],CostRateTbl[[#This Row],[Role]],CostRateTbl[[#This Row],[BluePrint]])</f>
        <v>xDC MedellinCloud Services AzureSr Expert Technology Implementation &amp; Consulting (General)NA</v>
      </c>
      <c r="H216" s="21" t="str">
        <f>SUBSTITUTE(TRIM(CostRateTbl[[#This Row],[Org Unit]])," ","")</f>
        <v>xDCMedellin</v>
      </c>
      <c r="I216" s="15" t="str">
        <f>_xlfn.CONCAT(H216,SUBSTITUTE(SUBSTITUTE(SUBSTITUTE(TRIM(CostRateTbl[[#This Row],[Service Line]]), "-", "")," ",""),"&amp;",""))</f>
        <v>xDCMedellinCloudServicesAzure</v>
      </c>
      <c r="J216" s="21" t="str">
        <f>_xlfn.CONCAT(I216,SUBSTITUTE(SUBSTITUTE(SUBSTITUTE(TRIM(CostRateTbl[[#This Row],[Role]]),"-", "")," ",""),"&amp;",""))</f>
        <v>xDCMedellinCloudServicesAzureSrExpertTechnologyImplementationConsulting(General)</v>
      </c>
      <c r="K216" t="s">
        <v>361</v>
      </c>
      <c r="L216" t="s">
        <v>362</v>
      </c>
      <c r="M216" t="s">
        <v>362</v>
      </c>
      <c r="N216" t="s">
        <v>362</v>
      </c>
    </row>
    <row r="217" spans="1:14">
      <c r="A217" t="s">
        <v>130</v>
      </c>
      <c r="B217" t="s">
        <v>131</v>
      </c>
      <c r="C217" t="s">
        <v>184</v>
      </c>
      <c r="D217" s="477">
        <v>6.6619220000000006</v>
      </c>
      <c r="E217" t="b">
        <v>0</v>
      </c>
      <c r="F217" t="b">
        <v>1</v>
      </c>
      <c r="G217" t="str">
        <f>_xlfn.CONCAT(CostRateTbl[[#This Row],[Org Unit]],CostRateTbl[[#This Row],[Service Line]],CostRateTbl[[#This Row],[Role]],CostRateTbl[[#This Row],[BluePrint]])</f>
        <v>xDC MedellinCybersecurityAssociate Expert Managed OperationsNA</v>
      </c>
      <c r="H217" s="21" t="str">
        <f>SUBSTITUTE(TRIM(CostRateTbl[[#This Row],[Org Unit]])," ","")</f>
        <v>xDCMedellin</v>
      </c>
      <c r="I217" s="15" t="str">
        <f>_xlfn.CONCAT(H217,SUBSTITUTE(SUBSTITUTE(SUBSTITUTE(TRIM(CostRateTbl[[#This Row],[Service Line]]), "-", "")," ",""),"&amp;",""))</f>
        <v>xDCMedellinCybersecurity</v>
      </c>
      <c r="J217" s="21" t="str">
        <f>_xlfn.CONCAT(I217,SUBSTITUTE(SUBSTITUTE(SUBSTITUTE(TRIM(CostRateTbl[[#This Row],[Role]]),"-", "")," ",""),"&amp;",""))</f>
        <v>xDCMedellinCybersecurityAssociateExpertManagedOperations</v>
      </c>
      <c r="K217" t="s">
        <v>361</v>
      </c>
      <c r="L217" t="s">
        <v>362</v>
      </c>
      <c r="M217" t="s">
        <v>362</v>
      </c>
      <c r="N217" t="s">
        <v>362</v>
      </c>
    </row>
    <row r="218" spans="1:14">
      <c r="A218" t="s">
        <v>130</v>
      </c>
      <c r="B218" t="s">
        <v>131</v>
      </c>
      <c r="C218" t="s">
        <v>180</v>
      </c>
      <c r="D218" s="477">
        <v>15.414085</v>
      </c>
      <c r="E218" t="b">
        <v>0</v>
      </c>
      <c r="F218" t="b">
        <v>1</v>
      </c>
      <c r="G218" t="str">
        <f>_xlfn.CONCAT(CostRateTbl[[#This Row],[Org Unit]],CostRateTbl[[#This Row],[Service Line]],CostRateTbl[[#This Row],[Role]],CostRateTbl[[#This Row],[BluePrint]])</f>
        <v>xDC MedellinCybersecurityExpert Managed OperationsNA</v>
      </c>
      <c r="H218" s="21" t="str">
        <f>SUBSTITUTE(TRIM(CostRateTbl[[#This Row],[Org Unit]])," ","")</f>
        <v>xDCMedellin</v>
      </c>
      <c r="I218" s="15" t="str">
        <f>_xlfn.CONCAT(H218,SUBSTITUTE(SUBSTITUTE(SUBSTITUTE(TRIM(CostRateTbl[[#This Row],[Service Line]]), "-", "")," ",""),"&amp;",""))</f>
        <v>xDCMedellinCybersecurity</v>
      </c>
      <c r="J218" s="21" t="str">
        <f>_xlfn.CONCAT(I218,SUBSTITUTE(SUBSTITUTE(SUBSTITUTE(TRIM(CostRateTbl[[#This Row],[Role]]),"-", "")," ",""),"&amp;",""))</f>
        <v>xDCMedellinCybersecurityExpertManagedOperations</v>
      </c>
      <c r="K218" t="s">
        <v>361</v>
      </c>
      <c r="L218" t="s">
        <v>362</v>
      </c>
      <c r="M218" t="s">
        <v>362</v>
      </c>
      <c r="N218" t="s">
        <v>362</v>
      </c>
    </row>
    <row r="219" spans="1:14">
      <c r="A219" t="s">
        <v>130</v>
      </c>
      <c r="B219" t="s">
        <v>131</v>
      </c>
      <c r="C219" t="s">
        <v>182</v>
      </c>
      <c r="D219" s="477">
        <v>21.264546999999997</v>
      </c>
      <c r="E219" t="b">
        <v>0</v>
      </c>
      <c r="F219" t="b">
        <v>1</v>
      </c>
      <c r="G219" t="str">
        <f>_xlfn.CONCAT(CostRateTbl[[#This Row],[Org Unit]],CostRateTbl[[#This Row],[Service Line]],CostRateTbl[[#This Row],[Role]],CostRateTbl[[#This Row],[BluePrint]])</f>
        <v>xDC MedellinCybersecurityExpert Technology Implementation &amp; Consulting (General)NA</v>
      </c>
      <c r="H219" s="21" t="str">
        <f>SUBSTITUTE(TRIM(CostRateTbl[[#This Row],[Org Unit]])," ","")</f>
        <v>xDCMedellin</v>
      </c>
      <c r="I219" s="15" t="str">
        <f>_xlfn.CONCAT(H219,SUBSTITUTE(SUBSTITUTE(SUBSTITUTE(TRIM(CostRateTbl[[#This Row],[Service Line]]), "-", "")," ",""),"&amp;",""))</f>
        <v>xDCMedellinCybersecurity</v>
      </c>
      <c r="J219" s="21" t="str">
        <f>_xlfn.CONCAT(I219,SUBSTITUTE(SUBSTITUTE(SUBSTITUTE(TRIM(CostRateTbl[[#This Row],[Role]]),"-", "")," ",""),"&amp;",""))</f>
        <v>xDCMedellinCybersecurityExpertTechnologyImplementationConsulting(General)</v>
      </c>
      <c r="K219" t="s">
        <v>361</v>
      </c>
      <c r="L219" t="s">
        <v>362</v>
      </c>
      <c r="M219" t="s">
        <v>362</v>
      </c>
      <c r="N219" t="s">
        <v>362</v>
      </c>
    </row>
    <row r="220" spans="1:14">
      <c r="A220" t="s">
        <v>130</v>
      </c>
      <c r="B220" t="s">
        <v>131</v>
      </c>
      <c r="C220" t="s">
        <v>372</v>
      </c>
      <c r="D220" s="477">
        <v>25.824632999999999</v>
      </c>
      <c r="E220" t="b">
        <v>0</v>
      </c>
      <c r="F220" t="b">
        <v>1</v>
      </c>
      <c r="G220" t="str">
        <f>_xlfn.CONCAT(CostRateTbl[[#This Row],[Org Unit]],CostRateTbl[[#This Row],[Service Line]],CostRateTbl[[#This Row],[Role]],CostRateTbl[[#This Row],[BluePrint]])</f>
        <v>xDC MedellinCybersecuritySr Expert Managed OperationsNA</v>
      </c>
      <c r="H220" s="21" t="str">
        <f>SUBSTITUTE(TRIM(CostRateTbl[[#This Row],[Org Unit]])," ","")</f>
        <v>xDCMedellin</v>
      </c>
      <c r="I220" s="15" t="str">
        <f>_xlfn.CONCAT(H220,SUBSTITUTE(SUBSTITUTE(SUBSTITUTE(TRIM(CostRateTbl[[#This Row],[Service Line]]), "-", "")," ",""),"&amp;",""))</f>
        <v>xDCMedellinCybersecurity</v>
      </c>
      <c r="J220" s="21" t="str">
        <f>_xlfn.CONCAT(I220,SUBSTITUTE(SUBSTITUTE(SUBSTITUTE(TRIM(CostRateTbl[[#This Row],[Role]]),"-", "")," ",""),"&amp;",""))</f>
        <v>xDCMedellinCybersecuritySrExpertManagedOperations</v>
      </c>
      <c r="K220" t="s">
        <v>361</v>
      </c>
      <c r="L220" t="s">
        <v>362</v>
      </c>
      <c r="M220" t="s">
        <v>362</v>
      </c>
      <c r="N220" t="s">
        <v>362</v>
      </c>
    </row>
    <row r="221" spans="1:14">
      <c r="A221" t="s">
        <v>130</v>
      </c>
      <c r="B221" t="s">
        <v>131</v>
      </c>
      <c r="C221" t="s">
        <v>132</v>
      </c>
      <c r="D221" s="477">
        <v>28.633347000000001</v>
      </c>
      <c r="E221" t="b">
        <v>0</v>
      </c>
      <c r="F221" t="b">
        <v>1</v>
      </c>
      <c r="G221" t="str">
        <f>_xlfn.CONCAT(CostRateTbl[[#This Row],[Org Unit]],CostRateTbl[[#This Row],[Service Line]],CostRateTbl[[#This Row],[Role]],CostRateTbl[[#This Row],[BluePrint]])</f>
        <v>xDC MedellinCybersecuritySr Expert Technology Implementation &amp; Consulting (General)NA</v>
      </c>
      <c r="H221" s="21" t="str">
        <f>SUBSTITUTE(TRIM(CostRateTbl[[#This Row],[Org Unit]])," ","")</f>
        <v>xDCMedellin</v>
      </c>
      <c r="I221" s="15" t="str">
        <f>_xlfn.CONCAT(H221,SUBSTITUTE(SUBSTITUTE(SUBSTITUTE(TRIM(CostRateTbl[[#This Row],[Service Line]]), "-", "")," ",""),"&amp;",""))</f>
        <v>xDCMedellinCybersecurity</v>
      </c>
      <c r="J221" s="21" t="str">
        <f>_xlfn.CONCAT(I221,SUBSTITUTE(SUBSTITUTE(SUBSTITUTE(TRIM(CostRateTbl[[#This Row],[Role]]),"-", "")," ",""),"&amp;",""))</f>
        <v>xDCMedellinCybersecuritySrExpertTechnologyImplementationConsulting(General)</v>
      </c>
      <c r="K221" t="s">
        <v>361</v>
      </c>
      <c r="L221" t="s">
        <v>362</v>
      </c>
      <c r="M221" t="s">
        <v>362</v>
      </c>
      <c r="N221" t="s">
        <v>362</v>
      </c>
    </row>
    <row r="222" spans="1:14">
      <c r="A222" t="s">
        <v>130</v>
      </c>
      <c r="B222" t="s">
        <v>220</v>
      </c>
      <c r="C222" t="s">
        <v>382</v>
      </c>
      <c r="D222" s="477">
        <v>24.355240999999999</v>
      </c>
      <c r="E222" t="b">
        <v>0</v>
      </c>
      <c r="F222" t="b">
        <v>0</v>
      </c>
      <c r="G222" t="str">
        <f>_xlfn.CONCAT(CostRateTbl[[#This Row],[Org Unit]],CostRateTbl[[#This Row],[Service Line]],CostRateTbl[[#This Row],[Role]],CostRateTbl[[#This Row],[BluePrint]])</f>
        <v>xDC MedellinData &amp; AIAssociate Expert Data Intelligence (General)NA</v>
      </c>
      <c r="H222" s="21" t="str">
        <f>SUBSTITUTE(TRIM(CostRateTbl[[#This Row],[Org Unit]])," ","")</f>
        <v>xDCMedellin</v>
      </c>
      <c r="I222" s="15" t="str">
        <f>_xlfn.CONCAT(H222,SUBSTITUTE(SUBSTITUTE(SUBSTITUTE(TRIM(CostRateTbl[[#This Row],[Service Line]]), "-", "")," ",""),"&amp;",""))</f>
        <v>xDCMedellinDataAI</v>
      </c>
      <c r="J222" s="21" t="str">
        <f>_xlfn.CONCAT(I222,SUBSTITUTE(SUBSTITUTE(SUBSTITUTE(TRIM(CostRateTbl[[#This Row],[Role]]),"-", "")," ",""),"&amp;",""))</f>
        <v>xDCMedellinDataAIAssociateExpertDataIntelligence(General)</v>
      </c>
      <c r="K222" t="s">
        <v>361</v>
      </c>
      <c r="L222" t="s">
        <v>362</v>
      </c>
      <c r="M222" t="s">
        <v>362</v>
      </c>
      <c r="N222" t="s">
        <v>362</v>
      </c>
    </row>
    <row r="223" spans="1:14">
      <c r="A223" t="s">
        <v>130</v>
      </c>
      <c r="B223" t="s">
        <v>220</v>
      </c>
      <c r="C223" t="s">
        <v>374</v>
      </c>
      <c r="D223" s="477">
        <v>11.962091000000001</v>
      </c>
      <c r="E223" t="b">
        <v>0</v>
      </c>
      <c r="F223" t="b">
        <v>0</v>
      </c>
      <c r="G223" t="str">
        <f>_xlfn.CONCAT(CostRateTbl[[#This Row],[Org Unit]],CostRateTbl[[#This Row],[Service Line]],CostRateTbl[[#This Row],[Role]],CostRateTbl[[#This Row],[BluePrint]])</f>
        <v>xDC MedellinData &amp; AIExpert Data EngineeringNA</v>
      </c>
      <c r="H223" s="21" t="str">
        <f>SUBSTITUTE(TRIM(CostRateTbl[[#This Row],[Org Unit]])," ","")</f>
        <v>xDCMedellin</v>
      </c>
      <c r="I223" s="15" t="str">
        <f>_xlfn.CONCAT(H223,SUBSTITUTE(SUBSTITUTE(SUBSTITUTE(TRIM(CostRateTbl[[#This Row],[Service Line]]), "-", "")," ",""),"&amp;",""))</f>
        <v>xDCMedellinDataAI</v>
      </c>
      <c r="J223" s="21" t="str">
        <f>_xlfn.CONCAT(I223,SUBSTITUTE(SUBSTITUTE(SUBSTITUTE(TRIM(CostRateTbl[[#This Row],[Role]]),"-", "")," ",""),"&amp;",""))</f>
        <v>xDCMedellinDataAIExpertDataEngineering</v>
      </c>
      <c r="K223" t="s">
        <v>361</v>
      </c>
      <c r="L223" t="s">
        <v>362</v>
      </c>
      <c r="M223" t="s">
        <v>362</v>
      </c>
      <c r="N223" t="s">
        <v>362</v>
      </c>
    </row>
    <row r="224" spans="1:14">
      <c r="A224" t="s">
        <v>130</v>
      </c>
      <c r="B224" t="s">
        <v>223</v>
      </c>
      <c r="C224" t="s">
        <v>370</v>
      </c>
      <c r="D224" s="477">
        <v>8.9112439999999999</v>
      </c>
      <c r="E224" t="b">
        <v>0</v>
      </c>
      <c r="F224" t="b">
        <v>1</v>
      </c>
      <c r="G224" t="str">
        <f>_xlfn.CONCAT(CostRateTbl[[#This Row],[Org Unit]],CostRateTbl[[#This Row],[Service Line]],CostRateTbl[[#This Row],[Role]],CostRateTbl[[#This Row],[BluePrint]])</f>
        <v>xDC MedellinDigital WorkplaceAssociate Expert Technology Implementation &amp; Consulting (General)NA</v>
      </c>
      <c r="H224" s="21" t="str">
        <f>SUBSTITUTE(TRIM(CostRateTbl[[#This Row],[Org Unit]])," ","")</f>
        <v>xDCMedellin</v>
      </c>
      <c r="I224" s="15" t="str">
        <f>_xlfn.CONCAT(H224,SUBSTITUTE(SUBSTITUTE(SUBSTITUTE(TRIM(CostRateTbl[[#This Row],[Service Line]]), "-", "")," ",""),"&amp;",""))</f>
        <v>xDCMedellinDigitalWorkplace</v>
      </c>
      <c r="J224" s="21" t="str">
        <f>_xlfn.CONCAT(I224,SUBSTITUTE(SUBSTITUTE(SUBSTITUTE(TRIM(CostRateTbl[[#This Row],[Role]]),"-", "")," ",""),"&amp;",""))</f>
        <v>xDCMedellinDigitalWorkplaceAssociateExpertTechnologyImplementationConsulting(General)</v>
      </c>
      <c r="K224" t="s">
        <v>361</v>
      </c>
      <c r="L224" t="s">
        <v>362</v>
      </c>
      <c r="M224" t="s">
        <v>362</v>
      </c>
      <c r="N224" t="s">
        <v>362</v>
      </c>
    </row>
    <row r="225" spans="1:14">
      <c r="A225" t="s">
        <v>130</v>
      </c>
      <c r="B225" t="s">
        <v>223</v>
      </c>
      <c r="C225" t="s">
        <v>182</v>
      </c>
      <c r="D225" s="477">
        <v>16.158799000000002</v>
      </c>
      <c r="E225" t="b">
        <v>0</v>
      </c>
      <c r="F225" t="b">
        <v>1</v>
      </c>
      <c r="G225" t="str">
        <f>_xlfn.CONCAT(CostRateTbl[[#This Row],[Org Unit]],CostRateTbl[[#This Row],[Service Line]],CostRateTbl[[#This Row],[Role]],CostRateTbl[[#This Row],[BluePrint]])</f>
        <v>xDC MedellinDigital WorkplaceExpert Technology Implementation &amp; Consulting (General)NA</v>
      </c>
      <c r="H225" s="21" t="str">
        <f>SUBSTITUTE(TRIM(CostRateTbl[[#This Row],[Org Unit]])," ","")</f>
        <v>xDCMedellin</v>
      </c>
      <c r="I225" s="15" t="str">
        <f>_xlfn.CONCAT(H225,SUBSTITUTE(SUBSTITUTE(SUBSTITUTE(TRIM(CostRateTbl[[#This Row],[Service Line]]), "-", "")," ",""),"&amp;",""))</f>
        <v>xDCMedellinDigitalWorkplace</v>
      </c>
      <c r="J225" s="21" t="str">
        <f>_xlfn.CONCAT(I225,SUBSTITUTE(SUBSTITUTE(SUBSTITUTE(TRIM(CostRateTbl[[#This Row],[Role]]),"-", "")," ",""),"&amp;",""))</f>
        <v>xDCMedellinDigitalWorkplaceExpertTechnologyImplementationConsulting(General)</v>
      </c>
      <c r="K225" t="s">
        <v>361</v>
      </c>
      <c r="L225" t="s">
        <v>362</v>
      </c>
      <c r="M225" t="s">
        <v>362</v>
      </c>
      <c r="N225" t="s">
        <v>362</v>
      </c>
    </row>
    <row r="226" spans="1:14">
      <c r="A226" t="s">
        <v>130</v>
      </c>
      <c r="B226" t="s">
        <v>223</v>
      </c>
      <c r="C226" t="s">
        <v>364</v>
      </c>
      <c r="D226" s="477">
        <v>45.942804000000002</v>
      </c>
      <c r="E226" t="b">
        <v>0</v>
      </c>
      <c r="F226" t="b">
        <v>1</v>
      </c>
      <c r="G226" t="str">
        <f>_xlfn.CONCAT(CostRateTbl[[#This Row],[Org Unit]],CostRateTbl[[#This Row],[Service Line]],CostRateTbl[[#This Row],[Role]],CostRateTbl[[#This Row],[BluePrint]])</f>
        <v>xDC MedellinDigital WorkplaceLead Expert Technology Implementation &amp; Consulting (General)NA</v>
      </c>
      <c r="H226" s="21" t="str">
        <f>SUBSTITUTE(TRIM(CostRateTbl[[#This Row],[Org Unit]])," ","")</f>
        <v>xDCMedellin</v>
      </c>
      <c r="I226" s="15" t="str">
        <f>_xlfn.CONCAT(H226,SUBSTITUTE(SUBSTITUTE(SUBSTITUTE(TRIM(CostRateTbl[[#This Row],[Service Line]]), "-", "")," ",""),"&amp;",""))</f>
        <v>xDCMedellinDigitalWorkplace</v>
      </c>
      <c r="J226" s="21" t="str">
        <f>_xlfn.CONCAT(I226,SUBSTITUTE(SUBSTITUTE(SUBSTITUTE(TRIM(CostRateTbl[[#This Row],[Role]]),"-", "")," ",""),"&amp;",""))</f>
        <v>xDCMedellinDigitalWorkplaceLeadExpertTechnologyImplementationConsulting(General)</v>
      </c>
      <c r="K226" t="s">
        <v>361</v>
      </c>
      <c r="L226" t="s">
        <v>362</v>
      </c>
      <c r="M226" t="s">
        <v>362</v>
      </c>
      <c r="N226" t="s">
        <v>362</v>
      </c>
    </row>
    <row r="227" spans="1:14">
      <c r="A227" t="s">
        <v>130</v>
      </c>
      <c r="B227" t="s">
        <v>223</v>
      </c>
      <c r="C227" t="s">
        <v>132</v>
      </c>
      <c r="D227" s="477">
        <v>30.911124000000001</v>
      </c>
      <c r="E227" t="b">
        <v>0</v>
      </c>
      <c r="F227" t="b">
        <v>1</v>
      </c>
      <c r="G227" t="str">
        <f>_xlfn.CONCAT(CostRateTbl[[#This Row],[Org Unit]],CostRateTbl[[#This Row],[Service Line]],CostRateTbl[[#This Row],[Role]],CostRateTbl[[#This Row],[BluePrint]])</f>
        <v>xDC MedellinDigital WorkplaceSr Expert Technology Implementation &amp; Consulting (General)NA</v>
      </c>
      <c r="H227" s="21" t="str">
        <f>SUBSTITUTE(TRIM(CostRateTbl[[#This Row],[Org Unit]])," ","")</f>
        <v>xDCMedellin</v>
      </c>
      <c r="I227" s="15" t="str">
        <f>_xlfn.CONCAT(H227,SUBSTITUTE(SUBSTITUTE(SUBSTITUTE(TRIM(CostRateTbl[[#This Row],[Service Line]]), "-", "")," ",""),"&amp;",""))</f>
        <v>xDCMedellinDigitalWorkplace</v>
      </c>
      <c r="J227" s="21" t="str">
        <f>_xlfn.CONCAT(I227,SUBSTITUTE(SUBSTITUTE(SUBSTITUTE(TRIM(CostRateTbl[[#This Row],[Role]]),"-", "")," ",""),"&amp;",""))</f>
        <v>xDCMedellinDigitalWorkplaceSrExpertTechnologyImplementationConsulting(General)</v>
      </c>
      <c r="K227" t="s">
        <v>361</v>
      </c>
      <c r="L227" t="s">
        <v>362</v>
      </c>
      <c r="M227" t="s">
        <v>362</v>
      </c>
      <c r="N227" t="s">
        <v>362</v>
      </c>
    </row>
    <row r="228" spans="1:14">
      <c r="A228" t="s">
        <v>130</v>
      </c>
      <c r="B228" t="s">
        <v>229</v>
      </c>
      <c r="C228" t="s">
        <v>184</v>
      </c>
      <c r="D228" s="477">
        <v>7.1316430000000004</v>
      </c>
      <c r="E228" t="b">
        <v>0</v>
      </c>
      <c r="F228" t="b">
        <v>0</v>
      </c>
      <c r="G228" t="str">
        <f>_xlfn.CONCAT(CostRateTbl[[#This Row],[Org Unit]],CostRateTbl[[#This Row],[Service Line]],CostRateTbl[[#This Row],[Role]],CostRateTbl[[#This Row],[BluePrint]])</f>
        <v>xDC MedellinHybrid Managed ServicesAssociate Expert Managed OperationsNA</v>
      </c>
      <c r="H228" s="21" t="str">
        <f>SUBSTITUTE(TRIM(CostRateTbl[[#This Row],[Org Unit]])," ","")</f>
        <v>xDCMedellin</v>
      </c>
      <c r="I228" s="15" t="str">
        <f>_xlfn.CONCAT(H228,SUBSTITUTE(SUBSTITUTE(SUBSTITUTE(TRIM(CostRateTbl[[#This Row],[Service Line]]), "-", "")," ",""),"&amp;",""))</f>
        <v>xDCMedellinHybridManagedServices</v>
      </c>
      <c r="J228" s="21" t="str">
        <f>_xlfn.CONCAT(I228,SUBSTITUTE(SUBSTITUTE(SUBSTITUTE(TRIM(CostRateTbl[[#This Row],[Role]]),"-", "")," ",""),"&amp;",""))</f>
        <v>xDCMedellinHybridManagedServicesAssociateExpertManagedOperations</v>
      </c>
      <c r="K228" t="s">
        <v>361</v>
      </c>
      <c r="L228" t="s">
        <v>362</v>
      </c>
      <c r="M228" t="s">
        <v>362</v>
      </c>
      <c r="N228" t="s">
        <v>362</v>
      </c>
    </row>
    <row r="229" spans="1:14">
      <c r="A229" t="s">
        <v>130</v>
      </c>
      <c r="B229" t="s">
        <v>229</v>
      </c>
      <c r="C229" t="s">
        <v>371</v>
      </c>
      <c r="D229" s="477">
        <v>19.267524000000002</v>
      </c>
      <c r="E229" t="b">
        <v>0</v>
      </c>
      <c r="F229" t="b">
        <v>0</v>
      </c>
      <c r="G229" t="str">
        <f>_xlfn.CONCAT(CostRateTbl[[#This Row],[Org Unit]],CostRateTbl[[#This Row],[Service Line]],CostRateTbl[[#This Row],[Role]],CostRateTbl[[#This Row],[BluePrint]])</f>
        <v>xDC MedellinHybrid Managed ServicesExpert Application DevelopmentNA</v>
      </c>
      <c r="H229" s="21" t="str">
        <f>SUBSTITUTE(TRIM(CostRateTbl[[#This Row],[Org Unit]])," ","")</f>
        <v>xDCMedellin</v>
      </c>
      <c r="I229" s="15" t="str">
        <f>_xlfn.CONCAT(H229,SUBSTITUTE(SUBSTITUTE(SUBSTITUTE(TRIM(CostRateTbl[[#This Row],[Service Line]]), "-", "")," ",""),"&amp;",""))</f>
        <v>xDCMedellinHybridManagedServices</v>
      </c>
      <c r="J229" s="21" t="str">
        <f>_xlfn.CONCAT(I229,SUBSTITUTE(SUBSTITUTE(SUBSTITUTE(TRIM(CostRateTbl[[#This Row],[Role]]),"-", "")," ",""),"&amp;",""))</f>
        <v>xDCMedellinHybridManagedServicesExpertApplicationDevelopment</v>
      </c>
      <c r="K229" t="s">
        <v>361</v>
      </c>
      <c r="L229" t="s">
        <v>362</v>
      </c>
      <c r="M229" t="s">
        <v>362</v>
      </c>
      <c r="N229" t="s">
        <v>362</v>
      </c>
    </row>
    <row r="230" spans="1:14">
      <c r="A230" t="s">
        <v>130</v>
      </c>
      <c r="B230" t="s">
        <v>229</v>
      </c>
      <c r="C230" t="s">
        <v>180</v>
      </c>
      <c r="D230" s="477">
        <v>14.464838000000002</v>
      </c>
      <c r="E230" t="b">
        <v>0</v>
      </c>
      <c r="F230" t="b">
        <v>1</v>
      </c>
      <c r="G230" t="str">
        <f>_xlfn.CONCAT(CostRateTbl[[#This Row],[Org Unit]],CostRateTbl[[#This Row],[Service Line]],CostRateTbl[[#This Row],[Role]],CostRateTbl[[#This Row],[BluePrint]])</f>
        <v>xDC MedellinHybrid Managed ServicesExpert Managed OperationsNA</v>
      </c>
      <c r="H230" s="21" t="str">
        <f>SUBSTITUTE(TRIM(CostRateTbl[[#This Row],[Org Unit]])," ","")</f>
        <v>xDCMedellin</v>
      </c>
      <c r="I230" s="15" t="str">
        <f>_xlfn.CONCAT(H230,SUBSTITUTE(SUBSTITUTE(SUBSTITUTE(TRIM(CostRateTbl[[#This Row],[Service Line]]), "-", "")," ",""),"&amp;",""))</f>
        <v>xDCMedellinHybridManagedServices</v>
      </c>
      <c r="J230" s="21" t="str">
        <f>_xlfn.CONCAT(I230,SUBSTITUTE(SUBSTITUTE(SUBSTITUTE(TRIM(CostRateTbl[[#This Row],[Role]]),"-", "")," ",""),"&amp;",""))</f>
        <v>xDCMedellinHybridManagedServicesExpertManagedOperations</v>
      </c>
      <c r="K230" t="s">
        <v>361</v>
      </c>
      <c r="L230" t="s">
        <v>362</v>
      </c>
      <c r="M230" t="s">
        <v>362</v>
      </c>
      <c r="N230" t="s">
        <v>362</v>
      </c>
    </row>
    <row r="231" spans="1:14">
      <c r="A231" t="s">
        <v>130</v>
      </c>
      <c r="B231" t="s">
        <v>229</v>
      </c>
      <c r="C231" t="s">
        <v>178</v>
      </c>
      <c r="D231" s="477">
        <v>13.147552000000001</v>
      </c>
      <c r="E231" t="b">
        <v>0</v>
      </c>
      <c r="F231" t="b">
        <v>1</v>
      </c>
      <c r="G231" t="str">
        <f>_xlfn.CONCAT(CostRateTbl[[#This Row],[Org Unit]],CostRateTbl[[#This Row],[Service Line]],CostRateTbl[[#This Row],[Role]],CostRateTbl[[#This Row],[BluePrint]])</f>
        <v>xDC MedellinHybrid Managed ServicesExpert Technology &amp; Consulting Project ManagementNA</v>
      </c>
      <c r="H231" s="21" t="str">
        <f>SUBSTITUTE(TRIM(CostRateTbl[[#This Row],[Org Unit]])," ","")</f>
        <v>xDCMedellin</v>
      </c>
      <c r="I231" s="15" t="str">
        <f>_xlfn.CONCAT(H231,SUBSTITUTE(SUBSTITUTE(SUBSTITUTE(TRIM(CostRateTbl[[#This Row],[Service Line]]), "-", "")," ",""),"&amp;",""))</f>
        <v>xDCMedellinHybridManagedServices</v>
      </c>
      <c r="J231" s="21" t="str">
        <f>_xlfn.CONCAT(I231,SUBSTITUTE(SUBSTITUTE(SUBSTITUTE(TRIM(CostRateTbl[[#This Row],[Role]]),"-", "")," ",""),"&amp;",""))</f>
        <v>xDCMedellinHybridManagedServicesExpertTechnologyConsultingProjectManagement</v>
      </c>
      <c r="K231" t="s">
        <v>361</v>
      </c>
      <c r="L231" t="s">
        <v>362</v>
      </c>
      <c r="M231" t="s">
        <v>362</v>
      </c>
      <c r="N231" t="s">
        <v>362</v>
      </c>
    </row>
    <row r="232" spans="1:14">
      <c r="A232" t="s">
        <v>130</v>
      </c>
      <c r="B232" t="s">
        <v>229</v>
      </c>
      <c r="C232" t="s">
        <v>372</v>
      </c>
      <c r="D232" s="477">
        <v>21.388967000000001</v>
      </c>
      <c r="E232" t="b">
        <v>0</v>
      </c>
      <c r="F232" t="b">
        <v>1</v>
      </c>
      <c r="G232" t="str">
        <f>_xlfn.CONCAT(CostRateTbl[[#This Row],[Org Unit]],CostRateTbl[[#This Row],[Service Line]],CostRateTbl[[#This Row],[Role]],CostRateTbl[[#This Row],[BluePrint]])</f>
        <v>xDC MedellinHybrid Managed ServicesSr Expert Managed OperationsNA</v>
      </c>
      <c r="H232" s="21" t="str">
        <f>SUBSTITUTE(TRIM(CostRateTbl[[#This Row],[Org Unit]])," ","")</f>
        <v>xDCMedellin</v>
      </c>
      <c r="I232" s="15" t="str">
        <f>_xlfn.CONCAT(H232,SUBSTITUTE(SUBSTITUTE(SUBSTITUTE(TRIM(CostRateTbl[[#This Row],[Service Line]]), "-", "")," ",""),"&amp;",""))</f>
        <v>xDCMedellinHybridManagedServices</v>
      </c>
      <c r="J232" s="21" t="str">
        <f>_xlfn.CONCAT(I232,SUBSTITUTE(SUBSTITUTE(SUBSTITUTE(TRIM(CostRateTbl[[#This Row],[Role]]),"-", "")," ",""),"&amp;",""))</f>
        <v>xDCMedellinHybridManagedServicesSrExpertManagedOperations</v>
      </c>
      <c r="K232" t="s">
        <v>361</v>
      </c>
      <c r="L232" t="s">
        <v>362</v>
      </c>
      <c r="M232" t="s">
        <v>362</v>
      </c>
      <c r="N232" t="s">
        <v>362</v>
      </c>
    </row>
    <row r="233" spans="1:14">
      <c r="A233" t="s">
        <v>130</v>
      </c>
      <c r="B233" t="s">
        <v>229</v>
      </c>
      <c r="C233" t="s">
        <v>155</v>
      </c>
      <c r="D233" s="477">
        <v>18.598103999999999</v>
      </c>
      <c r="E233" t="b">
        <v>0</v>
      </c>
      <c r="F233" t="b">
        <v>0</v>
      </c>
      <c r="G233" t="str">
        <f>_xlfn.CONCAT(CostRateTbl[[#This Row],[Org Unit]],CostRateTbl[[#This Row],[Service Line]],CostRateTbl[[#This Row],[Role]],CostRateTbl[[#This Row],[BluePrint]])</f>
        <v>xDC MedellinHybrid Managed ServicesSr Expert Technology &amp; Consulting Project ManagementNA</v>
      </c>
      <c r="H233" s="21" t="str">
        <f>SUBSTITUTE(TRIM(CostRateTbl[[#This Row],[Org Unit]])," ","")</f>
        <v>xDCMedellin</v>
      </c>
      <c r="I233" s="15" t="str">
        <f>_xlfn.CONCAT(H233,SUBSTITUTE(SUBSTITUTE(SUBSTITUTE(TRIM(CostRateTbl[[#This Row],[Service Line]]), "-", "")," ",""),"&amp;",""))</f>
        <v>xDCMedellinHybridManagedServices</v>
      </c>
      <c r="J233" s="21" t="str">
        <f>_xlfn.CONCAT(I233,SUBSTITUTE(SUBSTITUTE(SUBSTITUTE(TRIM(CostRateTbl[[#This Row],[Role]]),"-", "")," ",""),"&amp;",""))</f>
        <v>xDCMedellinHybridManagedServicesSrExpertTechnologyConsultingProjectManagement</v>
      </c>
      <c r="K233" t="s">
        <v>361</v>
      </c>
      <c r="L233" t="s">
        <v>362</v>
      </c>
      <c r="M233" t="s">
        <v>362</v>
      </c>
      <c r="N233" t="s">
        <v>362</v>
      </c>
    </row>
    <row r="234" spans="1:14">
      <c r="A234" t="s">
        <v>130</v>
      </c>
      <c r="B234" t="s">
        <v>232</v>
      </c>
      <c r="C234" t="s">
        <v>365</v>
      </c>
      <c r="D234" s="477">
        <v>8.5965769999999999</v>
      </c>
      <c r="E234" t="b">
        <v>0</v>
      </c>
      <c r="F234" t="b">
        <v>1</v>
      </c>
      <c r="G234" t="str">
        <f>_xlfn.CONCAT(CostRateTbl[[#This Row],[Org Unit]],CostRateTbl[[#This Row],[Service Line]],CostRateTbl[[#This Row],[Role]],CostRateTbl[[#This Row],[BluePrint]])</f>
        <v>xDC MedellinITAM &amp; FinOpsAssociate Expert Business Consulting and AdvisoryNA</v>
      </c>
      <c r="H234" s="21" t="str">
        <f>SUBSTITUTE(TRIM(CostRateTbl[[#This Row],[Org Unit]])," ","")</f>
        <v>xDCMedellin</v>
      </c>
      <c r="I234" s="15" t="str">
        <f>_xlfn.CONCAT(H234,SUBSTITUTE(SUBSTITUTE(SUBSTITUTE(TRIM(CostRateTbl[[#This Row],[Service Line]]), "-", "")," ",""),"&amp;",""))</f>
        <v>xDCMedellinITAMFinOps</v>
      </c>
      <c r="J234" s="21" t="str">
        <f>_xlfn.CONCAT(I234,SUBSTITUTE(SUBSTITUTE(SUBSTITUTE(TRIM(CostRateTbl[[#This Row],[Role]]),"-", "")," ",""),"&amp;",""))</f>
        <v>xDCMedellinITAMFinOpsAssociateExpertBusinessConsultingandAdvisory</v>
      </c>
      <c r="K234" t="s">
        <v>361</v>
      </c>
      <c r="L234" t="s">
        <v>362</v>
      </c>
      <c r="M234" t="s">
        <v>362</v>
      </c>
      <c r="N234" t="s">
        <v>362</v>
      </c>
    </row>
    <row r="235" spans="1:14">
      <c r="A235" t="s">
        <v>130</v>
      </c>
      <c r="B235" t="s">
        <v>232</v>
      </c>
      <c r="C235" t="s">
        <v>366</v>
      </c>
      <c r="D235" s="477">
        <v>18.296551999999998</v>
      </c>
      <c r="E235" t="b">
        <v>0</v>
      </c>
      <c r="F235" t="b">
        <v>1</v>
      </c>
      <c r="G235" t="str">
        <f>_xlfn.CONCAT(CostRateTbl[[#This Row],[Org Unit]],CostRateTbl[[#This Row],[Service Line]],CostRateTbl[[#This Row],[Role]],CostRateTbl[[#This Row],[BluePrint]])</f>
        <v>xDC MedellinITAM &amp; FinOpsExpert Business Consulting and AdvisoryNA</v>
      </c>
      <c r="H235" s="21" t="str">
        <f>SUBSTITUTE(TRIM(CostRateTbl[[#This Row],[Org Unit]])," ","")</f>
        <v>xDCMedellin</v>
      </c>
      <c r="I235" s="15" t="str">
        <f>_xlfn.CONCAT(H235,SUBSTITUTE(SUBSTITUTE(SUBSTITUTE(TRIM(CostRateTbl[[#This Row],[Service Line]]), "-", "")," ",""),"&amp;",""))</f>
        <v>xDCMedellinITAMFinOps</v>
      </c>
      <c r="J235" s="21" t="str">
        <f>_xlfn.CONCAT(I235,SUBSTITUTE(SUBSTITUTE(SUBSTITUTE(TRIM(CostRateTbl[[#This Row],[Role]]),"-", "")," ",""),"&amp;",""))</f>
        <v>xDCMedellinITAMFinOpsExpertBusinessConsultingandAdvisory</v>
      </c>
      <c r="K235" t="s">
        <v>361</v>
      </c>
      <c r="L235" t="s">
        <v>362</v>
      </c>
      <c r="M235" t="s">
        <v>362</v>
      </c>
      <c r="N235" t="s">
        <v>362</v>
      </c>
    </row>
    <row r="236" spans="1:14">
      <c r="A236" t="s">
        <v>130</v>
      </c>
      <c r="B236" t="s">
        <v>232</v>
      </c>
      <c r="C236" t="s">
        <v>388</v>
      </c>
      <c r="D236" s="477">
        <v>51.779203000000003</v>
      </c>
      <c r="E236" t="b">
        <v>0</v>
      </c>
      <c r="F236" t="b">
        <v>1</v>
      </c>
      <c r="G236" t="str">
        <f>_xlfn.CONCAT(CostRateTbl[[#This Row],[Org Unit]],CostRateTbl[[#This Row],[Service Line]],CostRateTbl[[#This Row],[Role]],CostRateTbl[[#This Row],[BluePrint]])</f>
        <v>xDC MedellinITAM &amp; FinOpsLead Expert Business Consulting and AdvisoryNA</v>
      </c>
      <c r="H236" s="21" t="str">
        <f>SUBSTITUTE(TRIM(CostRateTbl[[#This Row],[Org Unit]])," ","")</f>
        <v>xDCMedellin</v>
      </c>
      <c r="I236" s="15" t="str">
        <f>_xlfn.CONCAT(H236,SUBSTITUTE(SUBSTITUTE(SUBSTITUTE(TRIM(CostRateTbl[[#This Row],[Service Line]]), "-", "")," ",""),"&amp;",""))</f>
        <v>xDCMedellinITAMFinOps</v>
      </c>
      <c r="J236" s="21" t="str">
        <f>_xlfn.CONCAT(I236,SUBSTITUTE(SUBSTITUTE(SUBSTITUTE(TRIM(CostRateTbl[[#This Row],[Role]]),"-", "")," ",""),"&amp;",""))</f>
        <v>xDCMedellinITAMFinOpsLeadExpertBusinessConsultingandAdvisory</v>
      </c>
      <c r="K236" t="s">
        <v>361</v>
      </c>
      <c r="L236" t="s">
        <v>362</v>
      </c>
      <c r="M236" t="s">
        <v>362</v>
      </c>
      <c r="N236" t="s">
        <v>362</v>
      </c>
    </row>
    <row r="237" spans="1:14">
      <c r="A237" t="s">
        <v>130</v>
      </c>
      <c r="B237" t="s">
        <v>232</v>
      </c>
      <c r="C237" t="s">
        <v>367</v>
      </c>
      <c r="D237" s="477">
        <v>36.973920999999997</v>
      </c>
      <c r="E237" t="b">
        <v>0</v>
      </c>
      <c r="F237" t="b">
        <v>1</v>
      </c>
      <c r="G237" t="str">
        <f>_xlfn.CONCAT(CostRateTbl[[#This Row],[Org Unit]],CostRateTbl[[#This Row],[Service Line]],CostRateTbl[[#This Row],[Role]],CostRateTbl[[#This Row],[BluePrint]])</f>
        <v>xDC MedellinITAM &amp; FinOpsSr Expert Business Consulting and AdvisoryNA</v>
      </c>
      <c r="H237" s="21" t="str">
        <f>SUBSTITUTE(TRIM(CostRateTbl[[#This Row],[Org Unit]])," ","")</f>
        <v>xDCMedellin</v>
      </c>
      <c r="I237" s="15" t="str">
        <f>_xlfn.CONCAT(H237,SUBSTITUTE(SUBSTITUTE(SUBSTITUTE(TRIM(CostRateTbl[[#This Row],[Service Line]]), "-", "")," ",""),"&amp;",""))</f>
        <v>xDCMedellinITAMFinOps</v>
      </c>
      <c r="J237" s="21" t="str">
        <f>_xlfn.CONCAT(I237,SUBSTITUTE(SUBSTITUTE(SUBSTITUTE(TRIM(CostRateTbl[[#This Row],[Role]]),"-", "")," ",""),"&amp;",""))</f>
        <v>xDCMedellinITAMFinOpsSrExpertBusinessConsultingandAdvisory</v>
      </c>
      <c r="K237" t="s">
        <v>361</v>
      </c>
      <c r="L237" t="s">
        <v>362</v>
      </c>
      <c r="M237" t="s">
        <v>362</v>
      </c>
      <c r="N237" t="s">
        <v>362</v>
      </c>
    </row>
    <row r="238" spans="1:14">
      <c r="A238" t="s">
        <v>130</v>
      </c>
      <c r="B238" t="s">
        <v>177</v>
      </c>
      <c r="C238" t="s">
        <v>184</v>
      </c>
      <c r="D238" s="477">
        <v>9.471445000000001</v>
      </c>
      <c r="E238" t="b">
        <v>0</v>
      </c>
      <c r="F238" t="b">
        <v>1</v>
      </c>
      <c r="G238" t="str">
        <f>_xlfn.CONCAT(CostRateTbl[[#This Row],[Org Unit]],CostRateTbl[[#This Row],[Service Line]],CostRateTbl[[#This Row],[Role]],CostRateTbl[[#This Row],[BluePrint]])</f>
        <v>xDC MedellinOther ServicesAssociate Expert Managed OperationsNA</v>
      </c>
      <c r="H238" s="21" t="str">
        <f>SUBSTITUTE(TRIM(CostRateTbl[[#This Row],[Org Unit]])," ","")</f>
        <v>xDCMedellin</v>
      </c>
      <c r="I238" s="15" t="str">
        <f>_xlfn.CONCAT(H238,SUBSTITUTE(SUBSTITUTE(SUBSTITUTE(TRIM(CostRateTbl[[#This Row],[Service Line]]), "-", "")," ",""),"&amp;",""))</f>
        <v>xDCMedellinOtherServices</v>
      </c>
      <c r="J238" s="21" t="str">
        <f>_xlfn.CONCAT(I238,SUBSTITUTE(SUBSTITUTE(SUBSTITUTE(TRIM(CostRateTbl[[#This Row],[Role]]),"-", "")," ",""),"&amp;",""))</f>
        <v>xDCMedellinOtherServicesAssociateExpertManagedOperations</v>
      </c>
      <c r="K238" t="s">
        <v>361</v>
      </c>
      <c r="L238" t="s">
        <v>362</v>
      </c>
      <c r="M238" t="s">
        <v>362</v>
      </c>
      <c r="N238" t="s">
        <v>362</v>
      </c>
    </row>
    <row r="239" spans="1:14">
      <c r="A239" t="s">
        <v>130</v>
      </c>
      <c r="B239" t="s">
        <v>177</v>
      </c>
      <c r="C239" t="s">
        <v>402</v>
      </c>
      <c r="D239" s="477">
        <v>7.5549310000000007</v>
      </c>
      <c r="E239" t="b">
        <v>0</v>
      </c>
      <c r="F239" t="b">
        <v>1</v>
      </c>
      <c r="G239" t="str">
        <f>_xlfn.CONCAT(CostRateTbl[[#This Row],[Org Unit]],CostRateTbl[[#This Row],[Service Line]],CostRateTbl[[#This Row],[Role]],CostRateTbl[[#This Row],[BluePrint]])</f>
        <v>xDC MedellinOther ServicesAssociate Specialist Managed OperationsNA</v>
      </c>
      <c r="H239" s="21" t="str">
        <f>SUBSTITUTE(TRIM(CostRateTbl[[#This Row],[Org Unit]])," ","")</f>
        <v>xDCMedellin</v>
      </c>
      <c r="I239" s="15" t="str">
        <f>_xlfn.CONCAT(H239,SUBSTITUTE(SUBSTITUTE(SUBSTITUTE(TRIM(CostRateTbl[[#This Row],[Service Line]]), "-", "")," ",""),"&amp;",""))</f>
        <v>xDCMedellinOtherServices</v>
      </c>
      <c r="J239" s="21" t="str">
        <f>_xlfn.CONCAT(I239,SUBSTITUTE(SUBSTITUTE(SUBSTITUTE(TRIM(CostRateTbl[[#This Row],[Role]]),"-", "")," ",""),"&amp;",""))</f>
        <v>xDCMedellinOtherServicesAssociateSpecialistManagedOperations</v>
      </c>
      <c r="K239" t="s">
        <v>361</v>
      </c>
      <c r="L239" t="s">
        <v>362</v>
      </c>
      <c r="M239" t="s">
        <v>362</v>
      </c>
      <c r="N239" t="s">
        <v>362</v>
      </c>
    </row>
    <row r="240" spans="1:14">
      <c r="A240" t="s">
        <v>130</v>
      </c>
      <c r="B240" t="s">
        <v>154</v>
      </c>
      <c r="C240" t="s">
        <v>178</v>
      </c>
      <c r="D240" s="477">
        <v>31.985925000000002</v>
      </c>
      <c r="E240" t="b">
        <v>0</v>
      </c>
      <c r="F240" t="b">
        <v>1</v>
      </c>
      <c r="G240" t="str">
        <f>_xlfn.CONCAT(CostRateTbl[[#This Row],[Org Unit]],CostRateTbl[[#This Row],[Service Line]],CostRateTbl[[#This Row],[Role]],CostRateTbl[[#This Row],[BluePrint]])</f>
        <v>xDC MedellinProject ManagementExpert Technology &amp; Consulting Project ManagementNA</v>
      </c>
      <c r="H240" s="21" t="str">
        <f>SUBSTITUTE(TRIM(CostRateTbl[[#This Row],[Org Unit]])," ","")</f>
        <v>xDCMedellin</v>
      </c>
      <c r="I240" s="15" t="str">
        <f>_xlfn.CONCAT(H240,SUBSTITUTE(SUBSTITUTE(SUBSTITUTE(TRIM(CostRateTbl[[#This Row],[Service Line]]), "-", "")," ",""),"&amp;",""))</f>
        <v>xDCMedellinProjectManagement</v>
      </c>
      <c r="J240" s="21" t="str">
        <f>_xlfn.CONCAT(I240,SUBSTITUTE(SUBSTITUTE(SUBSTITUTE(TRIM(CostRateTbl[[#This Row],[Role]]),"-", "")," ",""),"&amp;",""))</f>
        <v>xDCMedellinProjectManagementExpertTechnologyConsultingProjectManagement</v>
      </c>
      <c r="K240" t="s">
        <v>361</v>
      </c>
      <c r="L240" t="s">
        <v>362</v>
      </c>
      <c r="M240" t="s">
        <v>362</v>
      </c>
      <c r="N240" t="s">
        <v>362</v>
      </c>
    </row>
    <row r="241" spans="1:14">
      <c r="A241" t="s">
        <v>130</v>
      </c>
      <c r="B241" t="s">
        <v>154</v>
      </c>
      <c r="C241" t="s">
        <v>155</v>
      </c>
      <c r="D241" s="477">
        <v>37.061512</v>
      </c>
      <c r="E241" t="b">
        <v>0</v>
      </c>
      <c r="F241" t="b">
        <v>1</v>
      </c>
      <c r="G241" t="str">
        <f>_xlfn.CONCAT(CostRateTbl[[#This Row],[Org Unit]],CostRateTbl[[#This Row],[Service Line]],CostRateTbl[[#This Row],[Role]],CostRateTbl[[#This Row],[BluePrint]])</f>
        <v>xDC MedellinProject ManagementSr Expert Technology &amp; Consulting Project ManagementNA</v>
      </c>
      <c r="H241" s="21" t="str">
        <f>SUBSTITUTE(TRIM(CostRateTbl[[#This Row],[Org Unit]])," ","")</f>
        <v>xDCMedellin</v>
      </c>
      <c r="I241" s="15" t="str">
        <f>_xlfn.CONCAT(H241,SUBSTITUTE(SUBSTITUTE(SUBSTITUTE(TRIM(CostRateTbl[[#This Row],[Service Line]]), "-", "")," ",""),"&amp;",""))</f>
        <v>xDCMedellinProjectManagement</v>
      </c>
      <c r="J241" s="21" t="str">
        <f>_xlfn.CONCAT(I241,SUBSTITUTE(SUBSTITUTE(SUBSTITUTE(TRIM(CostRateTbl[[#This Row],[Role]]),"-", "")," ",""),"&amp;",""))</f>
        <v>xDCMedellinProjectManagementSrExpertTechnologyConsultingProjectManagement</v>
      </c>
      <c r="K241" t="s">
        <v>361</v>
      </c>
      <c r="L241" t="s">
        <v>362</v>
      </c>
      <c r="M241" t="s">
        <v>362</v>
      </c>
      <c r="N241" t="s">
        <v>362</v>
      </c>
    </row>
    <row r="242" spans="1:14">
      <c r="A242" t="s">
        <v>130</v>
      </c>
      <c r="B242" t="s">
        <v>238</v>
      </c>
      <c r="C242" t="s">
        <v>178</v>
      </c>
      <c r="D242" s="477">
        <v>12.570404999999999</v>
      </c>
      <c r="E242" t="b">
        <v>0</v>
      </c>
      <c r="F242" t="b">
        <v>1</v>
      </c>
      <c r="G242" t="str">
        <f>_xlfn.CONCAT(CostRateTbl[[#This Row],[Org Unit]],CostRateTbl[[#This Row],[Service Line]],CostRateTbl[[#This Row],[Role]],CostRateTbl[[#This Row],[BluePrint]])</f>
        <v>xDC MedellinSupport ServicesExpert Technology &amp; Consulting Project ManagementNA</v>
      </c>
      <c r="H242" s="21" t="str">
        <f>SUBSTITUTE(TRIM(CostRateTbl[[#This Row],[Org Unit]])," ","")</f>
        <v>xDCMedellin</v>
      </c>
      <c r="I242" s="15" t="str">
        <f>_xlfn.CONCAT(H242,SUBSTITUTE(SUBSTITUTE(SUBSTITUTE(TRIM(CostRateTbl[[#This Row],[Service Line]]), "-", "")," ",""),"&amp;",""))</f>
        <v>xDCMedellinSupportServices</v>
      </c>
      <c r="J242" s="21" t="str">
        <f>_xlfn.CONCAT(I242,SUBSTITUTE(SUBSTITUTE(SUBSTITUTE(TRIM(CostRateTbl[[#This Row],[Role]]),"-", "")," ",""),"&amp;",""))</f>
        <v>xDCMedellinSupportServicesExpertTechnologyConsultingProjectManagement</v>
      </c>
      <c r="K242" t="s">
        <v>361</v>
      </c>
      <c r="L242" t="s">
        <v>362</v>
      </c>
      <c r="M242" t="s">
        <v>362</v>
      </c>
      <c r="N242" t="s">
        <v>362</v>
      </c>
    </row>
    <row r="243" spans="1:14">
      <c r="A243" s="472" t="s">
        <v>403</v>
      </c>
      <c r="B243" t="s">
        <v>213</v>
      </c>
      <c r="C243" t="s">
        <v>132</v>
      </c>
      <c r="D243" s="477">
        <v>117.580066</v>
      </c>
      <c r="E243" t="b">
        <v>0</v>
      </c>
      <c r="F243" t="b">
        <v>1</v>
      </c>
      <c r="G243" t="str">
        <f>_xlfn.CONCAT(CostRateTbl[[#This Row],[Org Unit]],CostRateTbl[[#This Row],[Service Line]],CostRateTbl[[#This Row],[Role]],CostRateTbl[[#This Row],[BluePrint]])</f>
        <v>xDC San JoseCloud Services AWSSr Expert Technology Implementation &amp; Consulting (General)NA</v>
      </c>
      <c r="H243" s="21" t="str">
        <f>SUBSTITUTE(TRIM(CostRateTbl[[#This Row],[Org Unit]])," ","")</f>
        <v>xDCSanJose</v>
      </c>
      <c r="I243" s="15" t="str">
        <f>_xlfn.CONCAT(H243,SUBSTITUTE(SUBSTITUTE(SUBSTITUTE(TRIM(CostRateTbl[[#This Row],[Service Line]]), "-", "")," ",""),"&amp;",""))</f>
        <v>xDCSanJoseCloudServicesAWS</v>
      </c>
      <c r="J243" s="21" t="str">
        <f>_xlfn.CONCAT(I243,SUBSTITUTE(SUBSTITUTE(SUBSTITUTE(TRIM(CostRateTbl[[#This Row],[Role]]),"-", "")," ",""),"&amp;",""))</f>
        <v>xDCSanJoseCloudServicesAWSSrExpertTechnologyImplementationConsulting(General)</v>
      </c>
      <c r="K243" t="s">
        <v>361</v>
      </c>
      <c r="L243" t="s">
        <v>362</v>
      </c>
      <c r="M243" t="s">
        <v>362</v>
      </c>
      <c r="N243" t="s">
        <v>362</v>
      </c>
    </row>
    <row r="244" spans="1:14">
      <c r="A244" s="472" t="s">
        <v>403</v>
      </c>
      <c r="B244" t="s">
        <v>169</v>
      </c>
      <c r="C244" t="s">
        <v>182</v>
      </c>
      <c r="D244" s="477">
        <v>52.602297</v>
      </c>
      <c r="E244" t="b">
        <v>0</v>
      </c>
      <c r="F244" t="b">
        <v>1</v>
      </c>
      <c r="G244" t="str">
        <f>_xlfn.CONCAT(CostRateTbl[[#This Row],[Org Unit]],CostRateTbl[[#This Row],[Service Line]],CostRateTbl[[#This Row],[Role]],CostRateTbl[[#This Row],[BluePrint]])</f>
        <v>xDC San JoseCloud Services AzureExpert Technology Implementation &amp; Consulting (General)NA</v>
      </c>
      <c r="H244" s="21" t="str">
        <f>SUBSTITUTE(TRIM(CostRateTbl[[#This Row],[Org Unit]])," ","")</f>
        <v>xDCSanJose</v>
      </c>
      <c r="I244" s="15" t="str">
        <f>_xlfn.CONCAT(H244,SUBSTITUTE(SUBSTITUTE(SUBSTITUTE(TRIM(CostRateTbl[[#This Row],[Service Line]]), "-", "")," ",""),"&amp;",""))</f>
        <v>xDCSanJoseCloudServicesAzure</v>
      </c>
      <c r="J244" s="21" t="str">
        <f>_xlfn.CONCAT(I244,SUBSTITUTE(SUBSTITUTE(SUBSTITUTE(TRIM(CostRateTbl[[#This Row],[Role]]),"-", "")," ",""),"&amp;",""))</f>
        <v>xDCSanJoseCloudServicesAzureExpertTechnologyImplementationConsulting(General)</v>
      </c>
      <c r="K244" t="s">
        <v>361</v>
      </c>
      <c r="L244" t="s">
        <v>362</v>
      </c>
      <c r="M244" t="s">
        <v>362</v>
      </c>
      <c r="N244" t="s">
        <v>362</v>
      </c>
    </row>
    <row r="245" spans="1:14">
      <c r="A245" s="472" t="s">
        <v>403</v>
      </c>
      <c r="B245" t="s">
        <v>395</v>
      </c>
      <c r="C245" t="s">
        <v>182</v>
      </c>
      <c r="D245" s="477">
        <v>118.315145</v>
      </c>
      <c r="E245" t="b">
        <v>0</v>
      </c>
      <c r="F245" t="b">
        <v>1</v>
      </c>
      <c r="G245" t="str">
        <f>_xlfn.CONCAT(CostRateTbl[[#This Row],[Org Unit]],CostRateTbl[[#This Row],[Service Line]],CostRateTbl[[#This Row],[Role]],CostRateTbl[[#This Row],[BluePrint]])</f>
        <v>xDC San JoseCSP ServicesExpert Technology Implementation &amp; Consulting (General)NA</v>
      </c>
      <c r="H245" s="21" t="str">
        <f>SUBSTITUTE(TRIM(CostRateTbl[[#This Row],[Org Unit]])," ","")</f>
        <v>xDCSanJose</v>
      </c>
      <c r="I245" s="15" t="str">
        <f>_xlfn.CONCAT(H245,SUBSTITUTE(SUBSTITUTE(SUBSTITUTE(TRIM(CostRateTbl[[#This Row],[Service Line]]), "-", "")," ",""),"&amp;",""))</f>
        <v>xDCSanJoseCSPServices</v>
      </c>
      <c r="J245" s="21" t="str">
        <f>_xlfn.CONCAT(I245,SUBSTITUTE(SUBSTITUTE(SUBSTITUTE(TRIM(CostRateTbl[[#This Row],[Role]]),"-", "")," ",""),"&amp;",""))</f>
        <v>xDCSanJoseCSPServicesExpertTechnologyImplementationConsulting(General)</v>
      </c>
      <c r="K245" t="s">
        <v>361</v>
      </c>
      <c r="L245" t="s">
        <v>362</v>
      </c>
      <c r="M245" t="s">
        <v>362</v>
      </c>
      <c r="N245" t="s">
        <v>362</v>
      </c>
    </row>
    <row r="246" spans="1:14">
      <c r="A246" s="472" t="s">
        <v>403</v>
      </c>
      <c r="B246" t="s">
        <v>226</v>
      </c>
      <c r="C246" t="s">
        <v>366</v>
      </c>
      <c r="D246" s="477">
        <v>42.562289000000007</v>
      </c>
      <c r="E246" t="b">
        <v>0</v>
      </c>
      <c r="F246" t="b">
        <v>1</v>
      </c>
      <c r="G246" t="str">
        <f>_xlfn.CONCAT(CostRateTbl[[#This Row],[Org Unit]],CostRateTbl[[#This Row],[Service Line]],CostRateTbl[[#This Row],[Role]],CostRateTbl[[#This Row],[BluePrint]])</f>
        <v>xDC San JoseDSC &amp; ProcurementExpert Business Consulting and AdvisoryNA</v>
      </c>
      <c r="H246" s="21" t="str">
        <f>SUBSTITUTE(TRIM(CostRateTbl[[#This Row],[Org Unit]])," ","")</f>
        <v>xDCSanJose</v>
      </c>
      <c r="I246" s="15" t="str">
        <f>_xlfn.CONCAT(H246,SUBSTITUTE(SUBSTITUTE(SUBSTITUTE(TRIM(CostRateTbl[[#This Row],[Service Line]]), "-", "")," ",""),"&amp;",""))</f>
        <v>xDCSanJoseDSCProcurement</v>
      </c>
      <c r="J246" s="21" t="str">
        <f>_xlfn.CONCAT(I246,SUBSTITUTE(SUBSTITUTE(SUBSTITUTE(TRIM(CostRateTbl[[#This Row],[Role]]),"-", "")," ",""),"&amp;",""))</f>
        <v>xDCSanJoseDSCProcurementExpertBusinessConsultingandAdvisory</v>
      </c>
      <c r="K246" t="s">
        <v>361</v>
      </c>
      <c r="L246" t="s">
        <v>362</v>
      </c>
      <c r="M246" t="s">
        <v>362</v>
      </c>
      <c r="N246" t="s">
        <v>362</v>
      </c>
    </row>
    <row r="247" spans="1:14">
      <c r="A247" s="472" t="s">
        <v>403</v>
      </c>
      <c r="B247" t="s">
        <v>226</v>
      </c>
      <c r="C247" t="s">
        <v>367</v>
      </c>
      <c r="D247" s="477">
        <v>61.610098000000001</v>
      </c>
      <c r="E247" t="b">
        <v>0</v>
      </c>
      <c r="F247" t="b">
        <v>1</v>
      </c>
      <c r="G247" t="str">
        <f>_xlfn.CONCAT(CostRateTbl[[#This Row],[Org Unit]],CostRateTbl[[#This Row],[Service Line]],CostRateTbl[[#This Row],[Role]],CostRateTbl[[#This Row],[BluePrint]])</f>
        <v>xDC San JoseDSC &amp; ProcurementSr Expert Business Consulting and AdvisoryNA</v>
      </c>
      <c r="H247" s="21" t="str">
        <f>SUBSTITUTE(TRIM(CostRateTbl[[#This Row],[Org Unit]])," ","")</f>
        <v>xDCSanJose</v>
      </c>
      <c r="I247" s="15" t="str">
        <f>_xlfn.CONCAT(H247,SUBSTITUTE(SUBSTITUTE(SUBSTITUTE(TRIM(CostRateTbl[[#This Row],[Service Line]]), "-", "")," ",""),"&amp;",""))</f>
        <v>xDCSanJoseDSCProcurement</v>
      </c>
      <c r="J247" s="21" t="str">
        <f>_xlfn.CONCAT(I247,SUBSTITUTE(SUBSTITUTE(SUBSTITUTE(TRIM(CostRateTbl[[#This Row],[Role]]),"-", "")," ",""),"&amp;",""))</f>
        <v>xDCSanJoseDSCProcurementSrExpertBusinessConsultingandAdvisory</v>
      </c>
      <c r="K247" t="s">
        <v>361</v>
      </c>
      <c r="L247" t="s">
        <v>362</v>
      </c>
      <c r="M247" t="s">
        <v>362</v>
      </c>
      <c r="N247" t="s">
        <v>362</v>
      </c>
    </row>
    <row r="248" spans="1:14">
      <c r="A248" s="472" t="s">
        <v>403</v>
      </c>
      <c r="B248" t="s">
        <v>232</v>
      </c>
      <c r="C248" t="s">
        <v>365</v>
      </c>
      <c r="D248" s="477">
        <v>45.399763999999998</v>
      </c>
      <c r="E248" t="b">
        <v>0</v>
      </c>
      <c r="F248" t="b">
        <v>1</v>
      </c>
      <c r="G248" t="str">
        <f>_xlfn.CONCAT(CostRateTbl[[#This Row],[Org Unit]],CostRateTbl[[#This Row],[Service Line]],CostRateTbl[[#This Row],[Role]],CostRateTbl[[#This Row],[BluePrint]])</f>
        <v>xDC San JoseITAM &amp; FinOpsAssociate Expert Business Consulting and AdvisoryNA</v>
      </c>
      <c r="H248" s="21" t="str">
        <f>SUBSTITUTE(TRIM(CostRateTbl[[#This Row],[Org Unit]])," ","")</f>
        <v>xDCSanJose</v>
      </c>
      <c r="I248" s="15" t="str">
        <f>_xlfn.CONCAT(H248,SUBSTITUTE(SUBSTITUTE(SUBSTITUTE(TRIM(CostRateTbl[[#This Row],[Service Line]]), "-", "")," ",""),"&amp;",""))</f>
        <v>xDCSanJoseITAMFinOps</v>
      </c>
      <c r="J248" s="21" t="str">
        <f>_xlfn.CONCAT(I248,SUBSTITUTE(SUBSTITUTE(SUBSTITUTE(TRIM(CostRateTbl[[#This Row],[Role]]),"-", "")," ",""),"&amp;",""))</f>
        <v>xDCSanJoseITAMFinOpsAssociateExpertBusinessConsultingandAdvisory</v>
      </c>
      <c r="K248" t="s">
        <v>361</v>
      </c>
      <c r="L248" t="s">
        <v>362</v>
      </c>
      <c r="M248" t="s">
        <v>362</v>
      </c>
      <c r="N248" t="s">
        <v>362</v>
      </c>
    </row>
    <row r="249" spans="1:14">
      <c r="A249" s="472" t="s">
        <v>403</v>
      </c>
      <c r="B249" t="s">
        <v>232</v>
      </c>
      <c r="C249" t="s">
        <v>366</v>
      </c>
      <c r="D249" s="477">
        <v>54.679296999999998</v>
      </c>
      <c r="E249" t="b">
        <v>0</v>
      </c>
      <c r="F249" t="b">
        <v>1</v>
      </c>
      <c r="G249" t="str">
        <f>_xlfn.CONCAT(CostRateTbl[[#This Row],[Org Unit]],CostRateTbl[[#This Row],[Service Line]],CostRateTbl[[#This Row],[Role]],CostRateTbl[[#This Row],[BluePrint]])</f>
        <v>xDC San JoseITAM &amp; FinOpsExpert Business Consulting and AdvisoryNA</v>
      </c>
      <c r="H249" s="21" t="str">
        <f>SUBSTITUTE(TRIM(CostRateTbl[[#This Row],[Org Unit]])," ","")</f>
        <v>xDCSanJose</v>
      </c>
      <c r="I249" s="15" t="str">
        <f>_xlfn.CONCAT(H249,SUBSTITUTE(SUBSTITUTE(SUBSTITUTE(TRIM(CostRateTbl[[#This Row],[Service Line]]), "-", "")," ",""),"&amp;",""))</f>
        <v>xDCSanJoseITAMFinOps</v>
      </c>
      <c r="J249" s="21" t="str">
        <f>_xlfn.CONCAT(I249,SUBSTITUTE(SUBSTITUTE(SUBSTITUTE(TRIM(CostRateTbl[[#This Row],[Role]]),"-", "")," ",""),"&amp;",""))</f>
        <v>xDCSanJoseITAMFinOpsExpertBusinessConsultingandAdvisory</v>
      </c>
      <c r="K249" t="s">
        <v>361</v>
      </c>
      <c r="L249" t="s">
        <v>362</v>
      </c>
      <c r="M249" t="s">
        <v>362</v>
      </c>
      <c r="N249" t="s">
        <v>362</v>
      </c>
    </row>
    <row r="250" spans="1:14">
      <c r="A250" s="472" t="s">
        <v>403</v>
      </c>
      <c r="B250" t="s">
        <v>232</v>
      </c>
      <c r="C250" t="s">
        <v>388</v>
      </c>
      <c r="D250" s="477">
        <v>88.869862999999995</v>
      </c>
      <c r="E250" t="b">
        <v>0</v>
      </c>
      <c r="F250" t="b">
        <v>1</v>
      </c>
      <c r="G250" t="str">
        <f>_xlfn.CONCAT(CostRateTbl[[#This Row],[Org Unit]],CostRateTbl[[#This Row],[Service Line]],CostRateTbl[[#This Row],[Role]],CostRateTbl[[#This Row],[BluePrint]])</f>
        <v>xDC San JoseITAM &amp; FinOpsLead Expert Business Consulting and AdvisoryNA</v>
      </c>
      <c r="H250" s="21" t="str">
        <f>SUBSTITUTE(TRIM(CostRateTbl[[#This Row],[Org Unit]])," ","")</f>
        <v>xDCSanJose</v>
      </c>
      <c r="I250" s="15" t="str">
        <f>_xlfn.CONCAT(H250,SUBSTITUTE(SUBSTITUTE(SUBSTITUTE(TRIM(CostRateTbl[[#This Row],[Service Line]]), "-", "")," ",""),"&amp;",""))</f>
        <v>xDCSanJoseITAMFinOps</v>
      </c>
      <c r="J250" s="21" t="str">
        <f>_xlfn.CONCAT(I250,SUBSTITUTE(SUBSTITUTE(SUBSTITUTE(TRIM(CostRateTbl[[#This Row],[Role]]),"-", "")," ",""),"&amp;",""))</f>
        <v>xDCSanJoseITAMFinOpsLeadExpertBusinessConsultingandAdvisory</v>
      </c>
      <c r="K250" t="s">
        <v>361</v>
      </c>
      <c r="L250" t="s">
        <v>362</v>
      </c>
      <c r="M250" t="s">
        <v>362</v>
      </c>
      <c r="N250" t="s">
        <v>362</v>
      </c>
    </row>
    <row r="251" spans="1:14">
      <c r="A251" s="472" t="s">
        <v>403</v>
      </c>
      <c r="B251" t="s">
        <v>232</v>
      </c>
      <c r="C251" t="s">
        <v>367</v>
      </c>
      <c r="D251" s="477">
        <v>65.202917999999997</v>
      </c>
      <c r="E251" t="b">
        <v>0</v>
      </c>
      <c r="F251" t="b">
        <v>1</v>
      </c>
      <c r="G251" t="str">
        <f>_xlfn.CONCAT(CostRateTbl[[#This Row],[Org Unit]],CostRateTbl[[#This Row],[Service Line]],CostRateTbl[[#This Row],[Role]],CostRateTbl[[#This Row],[BluePrint]])</f>
        <v>xDC San JoseITAM &amp; FinOpsSr Expert Business Consulting and AdvisoryNA</v>
      </c>
      <c r="H251" s="21" t="str">
        <f>SUBSTITUTE(TRIM(CostRateTbl[[#This Row],[Org Unit]])," ","")</f>
        <v>xDCSanJose</v>
      </c>
      <c r="I251" s="15" t="str">
        <f>_xlfn.CONCAT(H251,SUBSTITUTE(SUBSTITUTE(SUBSTITUTE(TRIM(CostRateTbl[[#This Row],[Service Line]]), "-", "")," ",""),"&amp;",""))</f>
        <v>xDCSanJoseITAMFinOps</v>
      </c>
      <c r="J251" s="21" t="str">
        <f>_xlfn.CONCAT(I251,SUBSTITUTE(SUBSTITUTE(SUBSTITUTE(TRIM(CostRateTbl[[#This Row],[Role]]),"-", "")," ",""),"&amp;",""))</f>
        <v>xDCSanJoseITAMFinOpsSrExpertBusinessConsultingandAdvisory</v>
      </c>
      <c r="K251" t="s">
        <v>361</v>
      </c>
      <c r="L251" t="s">
        <v>362</v>
      </c>
      <c r="M251" t="s">
        <v>362</v>
      </c>
      <c r="N251" t="s">
        <v>362</v>
      </c>
    </row>
    <row r="252" spans="1:14">
      <c r="A252" s="472" t="s">
        <v>403</v>
      </c>
      <c r="B252" t="s">
        <v>154</v>
      </c>
      <c r="C252" t="s">
        <v>178</v>
      </c>
      <c r="D252" s="477">
        <v>77.647882999999993</v>
      </c>
      <c r="E252" t="b">
        <v>0</v>
      </c>
      <c r="F252" t="b">
        <v>1</v>
      </c>
      <c r="G252" t="str">
        <f>_xlfn.CONCAT(CostRateTbl[[#This Row],[Org Unit]],CostRateTbl[[#This Row],[Service Line]],CostRateTbl[[#This Row],[Role]],CostRateTbl[[#This Row],[BluePrint]])</f>
        <v>xDC San JoseProject ManagementExpert Technology &amp; Consulting Project ManagementNA</v>
      </c>
      <c r="H252" s="21" t="str">
        <f>SUBSTITUTE(TRIM(CostRateTbl[[#This Row],[Org Unit]])," ","")</f>
        <v>xDCSanJose</v>
      </c>
      <c r="I252" s="15" t="str">
        <f>_xlfn.CONCAT(H252,SUBSTITUTE(SUBSTITUTE(SUBSTITUTE(TRIM(CostRateTbl[[#This Row],[Service Line]]), "-", "")," ",""),"&amp;",""))</f>
        <v>xDCSanJoseProjectManagement</v>
      </c>
      <c r="J252" s="21" t="str">
        <f>_xlfn.CONCAT(I252,SUBSTITUTE(SUBSTITUTE(SUBSTITUTE(TRIM(CostRateTbl[[#This Row],[Role]]),"-", "")," ",""),"&amp;",""))</f>
        <v>xDCSanJoseProjectManagementExpertTechnologyConsultingProjectManagement</v>
      </c>
      <c r="K252" t="s">
        <v>361</v>
      </c>
      <c r="L252" t="s">
        <v>362</v>
      </c>
      <c r="M252" t="s">
        <v>362</v>
      </c>
      <c r="N252" t="s">
        <v>362</v>
      </c>
    </row>
    <row r="253" spans="1:14">
      <c r="A253" s="472" t="s">
        <v>403</v>
      </c>
      <c r="B253" t="s">
        <v>154</v>
      </c>
      <c r="C253" t="s">
        <v>364</v>
      </c>
      <c r="D253" s="477">
        <v>120.431285</v>
      </c>
      <c r="E253" t="b">
        <v>0</v>
      </c>
      <c r="F253" t="b">
        <v>1</v>
      </c>
      <c r="G253" t="str">
        <f>_xlfn.CONCAT(CostRateTbl[[#This Row],[Org Unit]],CostRateTbl[[#This Row],[Service Line]],CostRateTbl[[#This Row],[Role]],CostRateTbl[[#This Row],[BluePrint]])</f>
        <v>xDC San JoseProject ManagementLead Expert Technology Implementation &amp; Consulting (General)NA</v>
      </c>
      <c r="H253" s="21" t="str">
        <f>SUBSTITUTE(TRIM(CostRateTbl[[#This Row],[Org Unit]])," ","")</f>
        <v>xDCSanJose</v>
      </c>
      <c r="I253" s="15" t="str">
        <f>_xlfn.CONCAT(H253,SUBSTITUTE(SUBSTITUTE(SUBSTITUTE(TRIM(CostRateTbl[[#This Row],[Service Line]]), "-", "")," ",""),"&amp;",""))</f>
        <v>xDCSanJoseProjectManagement</v>
      </c>
      <c r="J253" s="21" t="str">
        <f>_xlfn.CONCAT(I253,SUBSTITUTE(SUBSTITUTE(SUBSTITUTE(TRIM(CostRateTbl[[#This Row],[Role]]),"-", "")," ",""),"&amp;",""))</f>
        <v>xDCSanJoseProjectManagementLeadExpertTechnologyImplementationConsulting(General)</v>
      </c>
      <c r="K253" t="s">
        <v>361</v>
      </c>
      <c r="L253" t="s">
        <v>362</v>
      </c>
      <c r="M253" t="s">
        <v>362</v>
      </c>
      <c r="N253" t="s">
        <v>362</v>
      </c>
    </row>
    <row r="254" spans="1:14">
      <c r="A254" s="472" t="s">
        <v>403</v>
      </c>
      <c r="B254" t="s">
        <v>154</v>
      </c>
      <c r="C254" t="s">
        <v>155</v>
      </c>
      <c r="D254" s="477">
        <v>119.814044</v>
      </c>
      <c r="E254" t="b">
        <v>0</v>
      </c>
      <c r="F254" t="b">
        <v>1</v>
      </c>
      <c r="G254" t="str">
        <f>_xlfn.CONCAT(CostRateTbl[[#This Row],[Org Unit]],CostRateTbl[[#This Row],[Service Line]],CostRateTbl[[#This Row],[Role]],CostRateTbl[[#This Row],[BluePrint]])</f>
        <v>xDC San JoseProject ManagementSr Expert Technology &amp; Consulting Project ManagementNA</v>
      </c>
      <c r="H254" s="21" t="str">
        <f>SUBSTITUTE(TRIM(CostRateTbl[[#This Row],[Org Unit]])," ","")</f>
        <v>xDCSanJose</v>
      </c>
      <c r="I254" s="15" t="str">
        <f>_xlfn.CONCAT(H254,SUBSTITUTE(SUBSTITUTE(SUBSTITUTE(TRIM(CostRateTbl[[#This Row],[Service Line]]), "-", "")," ",""),"&amp;",""))</f>
        <v>xDCSanJoseProjectManagement</v>
      </c>
      <c r="J254" s="21" t="str">
        <f>_xlfn.CONCAT(I254,SUBSTITUTE(SUBSTITUTE(SUBSTITUTE(TRIM(CostRateTbl[[#This Row],[Role]]),"-", "")," ",""),"&amp;",""))</f>
        <v>xDCSanJoseProjectManagementSrExpertTechnologyConsultingProjectManagement</v>
      </c>
      <c r="K254" t="s">
        <v>361</v>
      </c>
      <c r="L254" t="s">
        <v>362</v>
      </c>
      <c r="M254" t="s">
        <v>362</v>
      </c>
      <c r="N254" t="s">
        <v>362</v>
      </c>
    </row>
    <row r="255" spans="1:14">
      <c r="A255" t="s">
        <v>404</v>
      </c>
      <c r="B255" t="s">
        <v>197</v>
      </c>
      <c r="C255" t="s">
        <v>369</v>
      </c>
      <c r="D255" s="477">
        <v>29.890229000000001</v>
      </c>
      <c r="E255" t="b">
        <v>0</v>
      </c>
      <c r="F255" t="b">
        <v>1</v>
      </c>
      <c r="G255" t="str">
        <f>_xlfn.CONCAT(CostRateTbl[[#This Row],[Org Unit]],CostRateTbl[[#This Row],[Service Line]],CostRateTbl[[#This Row],[Role]],CostRateTbl[[#This Row],[BluePrint]])</f>
        <v>xDC WarsawApplication ServicesAssociate Expert Application DevelopmentNA</v>
      </c>
      <c r="H255" s="21" t="str">
        <f>SUBSTITUTE(TRIM(CostRateTbl[[#This Row],[Org Unit]])," ","")</f>
        <v>xDCWarsaw</v>
      </c>
      <c r="I255" s="15" t="str">
        <f>_xlfn.CONCAT(H255,SUBSTITUTE(SUBSTITUTE(SUBSTITUTE(TRIM(CostRateTbl[[#This Row],[Service Line]]), "-", "")," ",""),"&amp;",""))</f>
        <v>xDCWarsawApplicationServices</v>
      </c>
      <c r="J255" s="21" t="str">
        <f>_xlfn.CONCAT(I255,SUBSTITUTE(SUBSTITUTE(SUBSTITUTE(TRIM(CostRateTbl[[#This Row],[Role]]),"-", "")," ",""),"&amp;",""))</f>
        <v>xDCWarsawApplicationServicesAssociateExpertApplicationDevelopment</v>
      </c>
      <c r="K255" t="s">
        <v>361</v>
      </c>
      <c r="L255" t="s">
        <v>362</v>
      </c>
      <c r="M255" t="s">
        <v>362</v>
      </c>
      <c r="N255" t="s">
        <v>362</v>
      </c>
    </row>
    <row r="256" spans="1:14">
      <c r="A256" t="s">
        <v>404</v>
      </c>
      <c r="B256" t="s">
        <v>197</v>
      </c>
      <c r="C256" t="s">
        <v>371</v>
      </c>
      <c r="D256" s="477">
        <v>41.468636000000004</v>
      </c>
      <c r="E256" t="b">
        <v>0</v>
      </c>
      <c r="F256" t="b">
        <v>1</v>
      </c>
      <c r="G256" t="str">
        <f>_xlfn.CONCAT(CostRateTbl[[#This Row],[Org Unit]],CostRateTbl[[#This Row],[Service Line]],CostRateTbl[[#This Row],[Role]],CostRateTbl[[#This Row],[BluePrint]])</f>
        <v>xDC WarsawApplication ServicesExpert Application DevelopmentNA</v>
      </c>
      <c r="H256" s="21" t="str">
        <f>SUBSTITUTE(TRIM(CostRateTbl[[#This Row],[Org Unit]])," ","")</f>
        <v>xDCWarsaw</v>
      </c>
      <c r="I256" s="15" t="str">
        <f>_xlfn.CONCAT(H256,SUBSTITUTE(SUBSTITUTE(SUBSTITUTE(TRIM(CostRateTbl[[#This Row],[Service Line]]), "-", "")," ",""),"&amp;",""))</f>
        <v>xDCWarsawApplicationServices</v>
      </c>
      <c r="J256" s="21" t="str">
        <f>_xlfn.CONCAT(I256,SUBSTITUTE(SUBSTITUTE(SUBSTITUTE(TRIM(CostRateTbl[[#This Row],[Role]]),"-", "")," ",""),"&amp;",""))</f>
        <v>xDCWarsawApplicationServicesExpertApplicationDevelopment</v>
      </c>
      <c r="K256" t="s">
        <v>361</v>
      </c>
      <c r="L256" t="s">
        <v>362</v>
      </c>
      <c r="M256" t="s">
        <v>362</v>
      </c>
      <c r="N256" t="s">
        <v>362</v>
      </c>
    </row>
    <row r="257" spans="1:14">
      <c r="A257" t="s">
        <v>404</v>
      </c>
      <c r="B257" t="s">
        <v>197</v>
      </c>
      <c r="C257" t="s">
        <v>360</v>
      </c>
      <c r="D257" s="477">
        <v>77.319190000000006</v>
      </c>
      <c r="E257" t="b">
        <v>0</v>
      </c>
      <c r="F257" t="b">
        <v>1</v>
      </c>
      <c r="G257" t="str">
        <f>_xlfn.CONCAT(CostRateTbl[[#This Row],[Org Unit]],CostRateTbl[[#This Row],[Service Line]],CostRateTbl[[#This Row],[Role]],CostRateTbl[[#This Row],[BluePrint]])</f>
        <v>xDC WarsawApplication ServicesLead Expert Application DevelopmentNA</v>
      </c>
      <c r="H257" s="21" t="str">
        <f>SUBSTITUTE(TRIM(CostRateTbl[[#This Row],[Org Unit]])," ","")</f>
        <v>xDCWarsaw</v>
      </c>
      <c r="I257" s="15" t="str">
        <f>_xlfn.CONCAT(H257,SUBSTITUTE(SUBSTITUTE(SUBSTITUTE(TRIM(CostRateTbl[[#This Row],[Service Line]]), "-", "")," ",""),"&amp;",""))</f>
        <v>xDCWarsawApplicationServices</v>
      </c>
      <c r="J257" s="21" t="str">
        <f>_xlfn.CONCAT(I257,SUBSTITUTE(SUBSTITUTE(SUBSTITUTE(TRIM(CostRateTbl[[#This Row],[Role]]),"-", "")," ",""),"&amp;",""))</f>
        <v>xDCWarsawApplicationServicesLeadExpertApplicationDevelopment</v>
      </c>
      <c r="K257" t="s">
        <v>361</v>
      </c>
      <c r="L257" t="s">
        <v>362</v>
      </c>
      <c r="M257" t="s">
        <v>362</v>
      </c>
      <c r="N257" t="s">
        <v>362</v>
      </c>
    </row>
    <row r="258" spans="1:14">
      <c r="A258" t="s">
        <v>404</v>
      </c>
      <c r="B258" t="s">
        <v>197</v>
      </c>
      <c r="C258" t="s">
        <v>363</v>
      </c>
      <c r="D258" s="477">
        <v>61.735869999999998</v>
      </c>
      <c r="E258" t="b">
        <v>0</v>
      </c>
      <c r="F258" t="b">
        <v>1</v>
      </c>
      <c r="G258" s="430" t="str">
        <f>_xlfn.CONCAT(CostRateTbl[[#This Row],[Org Unit]],CostRateTbl[[#This Row],[Service Line]],CostRateTbl[[#This Row],[Role]],CostRateTbl[[#This Row],[BluePrint]])</f>
        <v>xDC WarsawApplication ServicesSr Expert Application DevelopmentNA</v>
      </c>
      <c r="H258" s="21" t="str">
        <f>SUBSTITUTE(TRIM(CostRateTbl[[#This Row],[Org Unit]])," ","")</f>
        <v>xDCWarsaw</v>
      </c>
      <c r="I258" s="15" t="str">
        <f>_xlfn.CONCAT(H258,SUBSTITUTE(SUBSTITUTE(SUBSTITUTE(TRIM(CostRateTbl[[#This Row],[Service Line]]), "-", "")," ",""),"&amp;",""))</f>
        <v>xDCWarsawApplicationServices</v>
      </c>
      <c r="J258" s="20" t="str">
        <f>_xlfn.CONCAT(I258,SUBSTITUTE(SUBSTITUTE(SUBSTITUTE(TRIM(CostRateTbl[[#This Row],[Role]]),"-", "")," ",""),"&amp;",""))</f>
        <v>xDCWarsawApplicationServicesSrExpertApplicationDevelopment</v>
      </c>
      <c r="K258" t="s">
        <v>361</v>
      </c>
      <c r="L258" t="s">
        <v>362</v>
      </c>
      <c r="M258" t="s">
        <v>362</v>
      </c>
      <c r="N258" t="s">
        <v>362</v>
      </c>
    </row>
    <row r="259" spans="1:14">
      <c r="A259" t="s">
        <v>404</v>
      </c>
      <c r="B259" t="s">
        <v>213</v>
      </c>
      <c r="C259" t="s">
        <v>132</v>
      </c>
      <c r="D259" s="477">
        <v>91.091705000000005</v>
      </c>
      <c r="E259" t="b">
        <v>0</v>
      </c>
      <c r="F259" t="b">
        <v>0</v>
      </c>
      <c r="G259" s="430" t="str">
        <f>_xlfn.CONCAT(CostRateTbl[[#This Row],[Org Unit]],CostRateTbl[[#This Row],[Service Line]],CostRateTbl[[#This Row],[Role]],CostRateTbl[[#This Row],[BluePrint]])</f>
        <v>xDC WarsawCloud Services AWSSr Expert Technology Implementation &amp; Consulting (General)NA</v>
      </c>
      <c r="H259" s="21" t="str">
        <f>SUBSTITUTE(TRIM(CostRateTbl[[#This Row],[Org Unit]])," ","")</f>
        <v>xDCWarsaw</v>
      </c>
      <c r="I259" s="15" t="str">
        <f>_xlfn.CONCAT(H259,SUBSTITUTE(SUBSTITUTE(SUBSTITUTE(TRIM(CostRateTbl[[#This Row],[Service Line]]), "-", "")," ",""),"&amp;",""))</f>
        <v>xDCWarsawCloudServicesAWS</v>
      </c>
      <c r="J259" s="20" t="str">
        <f>_xlfn.CONCAT(I259,SUBSTITUTE(SUBSTITUTE(SUBSTITUTE(TRIM(CostRateTbl[[#This Row],[Role]]),"-", "")," ",""),"&amp;",""))</f>
        <v>xDCWarsawCloudServicesAWSSrExpertTechnologyImplementationConsulting(General)</v>
      </c>
      <c r="K259" t="s">
        <v>361</v>
      </c>
      <c r="L259" t="s">
        <v>362</v>
      </c>
      <c r="M259" t="s">
        <v>362</v>
      </c>
      <c r="N259" t="s">
        <v>362</v>
      </c>
    </row>
    <row r="260" spans="1:14">
      <c r="A260" t="s">
        <v>404</v>
      </c>
      <c r="B260" t="s">
        <v>169</v>
      </c>
      <c r="C260" t="s">
        <v>370</v>
      </c>
      <c r="D260" s="477">
        <v>27.186878999999998</v>
      </c>
      <c r="E260" t="b">
        <v>0</v>
      </c>
      <c r="F260" t="b">
        <v>1</v>
      </c>
      <c r="G260" s="430" t="str">
        <f>_xlfn.CONCAT(CostRateTbl[[#This Row],[Org Unit]],CostRateTbl[[#This Row],[Service Line]],CostRateTbl[[#This Row],[Role]],CostRateTbl[[#This Row],[BluePrint]])</f>
        <v>xDC WarsawCloud Services AzureAssociate Expert Technology Implementation &amp; Consulting (General)NA</v>
      </c>
      <c r="H260" s="21" t="str">
        <f>SUBSTITUTE(TRIM(CostRateTbl[[#This Row],[Org Unit]])," ","")</f>
        <v>xDCWarsaw</v>
      </c>
      <c r="I260" s="15" t="str">
        <f>_xlfn.CONCAT(H260,SUBSTITUTE(SUBSTITUTE(SUBSTITUTE(TRIM(CostRateTbl[[#This Row],[Service Line]]), "-", "")," ",""),"&amp;",""))</f>
        <v>xDCWarsawCloudServicesAzure</v>
      </c>
      <c r="J260" s="20" t="str">
        <f>_xlfn.CONCAT(I260,SUBSTITUTE(SUBSTITUTE(SUBSTITUTE(TRIM(CostRateTbl[[#This Row],[Role]]),"-", "")," ",""),"&amp;",""))</f>
        <v>xDCWarsawCloudServicesAzureAssociateExpertTechnologyImplementationConsulting(General)</v>
      </c>
      <c r="K260" t="s">
        <v>361</v>
      </c>
      <c r="L260" t="s">
        <v>362</v>
      </c>
      <c r="M260" t="s">
        <v>362</v>
      </c>
      <c r="N260" t="s">
        <v>362</v>
      </c>
    </row>
    <row r="261" spans="1:14">
      <c r="A261" t="s">
        <v>404</v>
      </c>
      <c r="B261" t="s">
        <v>169</v>
      </c>
      <c r="C261" t="s">
        <v>182</v>
      </c>
      <c r="D261" s="477">
        <v>46.676544999999997</v>
      </c>
      <c r="E261" t="b">
        <v>0</v>
      </c>
      <c r="F261" t="b">
        <v>1</v>
      </c>
      <c r="G261" s="430" t="str">
        <f>_xlfn.CONCAT(CostRateTbl[[#This Row],[Org Unit]],CostRateTbl[[#This Row],[Service Line]],CostRateTbl[[#This Row],[Role]],CostRateTbl[[#This Row],[BluePrint]])</f>
        <v>xDC WarsawCloud Services AzureExpert Technology Implementation &amp; Consulting (General)NA</v>
      </c>
      <c r="H261" s="21" t="str">
        <f>SUBSTITUTE(TRIM(CostRateTbl[[#This Row],[Org Unit]])," ","")</f>
        <v>xDCWarsaw</v>
      </c>
      <c r="I261" s="15" t="str">
        <f>_xlfn.CONCAT(H261,SUBSTITUTE(SUBSTITUTE(SUBSTITUTE(TRIM(CostRateTbl[[#This Row],[Service Line]]), "-", "")," ",""),"&amp;",""))</f>
        <v>xDCWarsawCloudServicesAzure</v>
      </c>
      <c r="J261" s="20" t="str">
        <f>_xlfn.CONCAT(I261,SUBSTITUTE(SUBSTITUTE(SUBSTITUTE(TRIM(CostRateTbl[[#This Row],[Role]]),"-", "")," ",""),"&amp;",""))</f>
        <v>xDCWarsawCloudServicesAzureExpertTechnologyImplementationConsulting(General)</v>
      </c>
      <c r="K261" t="s">
        <v>361</v>
      </c>
      <c r="L261" t="s">
        <v>362</v>
      </c>
      <c r="M261" t="s">
        <v>362</v>
      </c>
      <c r="N261" t="s">
        <v>362</v>
      </c>
    </row>
    <row r="262" spans="1:14">
      <c r="A262" t="s">
        <v>404</v>
      </c>
      <c r="B262" t="s">
        <v>169</v>
      </c>
      <c r="C262" t="s">
        <v>364</v>
      </c>
      <c r="D262" s="477">
        <v>69.225053000000003</v>
      </c>
      <c r="E262" t="b">
        <v>0</v>
      </c>
      <c r="F262" t="b">
        <v>1</v>
      </c>
      <c r="G262" s="430" t="str">
        <f>_xlfn.CONCAT(CostRateTbl[[#This Row],[Org Unit]],CostRateTbl[[#This Row],[Service Line]],CostRateTbl[[#This Row],[Role]],CostRateTbl[[#This Row],[BluePrint]])</f>
        <v>xDC WarsawCloud Services AzureLead Expert Technology Implementation &amp; Consulting (General)NA</v>
      </c>
      <c r="H262" s="21" t="str">
        <f>SUBSTITUTE(TRIM(CostRateTbl[[#This Row],[Org Unit]])," ","")</f>
        <v>xDCWarsaw</v>
      </c>
      <c r="I262" s="15" t="str">
        <f>_xlfn.CONCAT(H262,SUBSTITUTE(SUBSTITUTE(SUBSTITUTE(TRIM(CostRateTbl[[#This Row],[Service Line]]), "-", "")," ",""),"&amp;",""))</f>
        <v>xDCWarsawCloudServicesAzure</v>
      </c>
      <c r="J262" s="20" t="str">
        <f>_xlfn.CONCAT(I262,SUBSTITUTE(SUBSTITUTE(SUBSTITUTE(TRIM(CostRateTbl[[#This Row],[Role]]),"-", "")," ",""),"&amp;",""))</f>
        <v>xDCWarsawCloudServicesAzureLeadExpertTechnologyImplementationConsulting(General)</v>
      </c>
      <c r="K262" t="s">
        <v>361</v>
      </c>
      <c r="L262" t="s">
        <v>362</v>
      </c>
      <c r="M262" t="s">
        <v>362</v>
      </c>
      <c r="N262" t="s">
        <v>362</v>
      </c>
    </row>
    <row r="263" spans="1:14">
      <c r="A263" t="s">
        <v>404</v>
      </c>
      <c r="B263" t="s">
        <v>169</v>
      </c>
      <c r="C263" t="s">
        <v>132</v>
      </c>
      <c r="D263" s="477">
        <v>66.597100999999995</v>
      </c>
      <c r="E263" t="b">
        <v>0</v>
      </c>
      <c r="F263" t="b">
        <v>1</v>
      </c>
      <c r="G263" s="430" t="str">
        <f>_xlfn.CONCAT(CostRateTbl[[#This Row],[Org Unit]],CostRateTbl[[#This Row],[Service Line]],CostRateTbl[[#This Row],[Role]],CostRateTbl[[#This Row],[BluePrint]])</f>
        <v>xDC WarsawCloud Services AzureSr Expert Technology Implementation &amp; Consulting (General)NA</v>
      </c>
      <c r="H263" s="21" t="str">
        <f>SUBSTITUTE(TRIM(CostRateTbl[[#This Row],[Org Unit]])," ","")</f>
        <v>xDCWarsaw</v>
      </c>
      <c r="I263" s="15" t="str">
        <f>_xlfn.CONCAT(H263,SUBSTITUTE(SUBSTITUTE(SUBSTITUTE(TRIM(CostRateTbl[[#This Row],[Service Line]]), "-", "")," ",""),"&amp;",""))</f>
        <v>xDCWarsawCloudServicesAzure</v>
      </c>
      <c r="J263" s="20" t="str">
        <f>_xlfn.CONCAT(I263,SUBSTITUTE(SUBSTITUTE(SUBSTITUTE(TRIM(CostRateTbl[[#This Row],[Role]]),"-", "")," ",""),"&amp;",""))</f>
        <v>xDCWarsawCloudServicesAzureSrExpertTechnologyImplementationConsulting(General)</v>
      </c>
      <c r="K263" t="s">
        <v>361</v>
      </c>
      <c r="L263" t="s">
        <v>362</v>
      </c>
      <c r="M263" t="s">
        <v>362</v>
      </c>
      <c r="N263" t="s">
        <v>362</v>
      </c>
    </row>
    <row r="264" spans="1:14">
      <c r="A264" t="s">
        <v>404</v>
      </c>
      <c r="B264" t="s">
        <v>131</v>
      </c>
      <c r="C264" t="s">
        <v>364</v>
      </c>
      <c r="D264" s="477">
        <v>100.98352600000001</v>
      </c>
      <c r="E264" t="b">
        <v>0</v>
      </c>
      <c r="F264" t="b">
        <v>1</v>
      </c>
      <c r="G264" t="str">
        <f>_xlfn.CONCAT(CostRateTbl[[#This Row],[Org Unit]],CostRateTbl[[#This Row],[Service Line]],CostRateTbl[[#This Row],[Role]],CostRateTbl[[#This Row],[BluePrint]])</f>
        <v>xDC WarsawCybersecurityLead Expert Technology Implementation &amp; Consulting (General)NA</v>
      </c>
      <c r="H264" s="21" t="str">
        <f>SUBSTITUTE(TRIM(CostRateTbl[[#This Row],[Org Unit]])," ","")</f>
        <v>xDCWarsaw</v>
      </c>
      <c r="I264" s="15" t="str">
        <f>_xlfn.CONCAT(H264,SUBSTITUTE(SUBSTITUTE(SUBSTITUTE(TRIM(CostRateTbl[[#This Row],[Service Line]]), "-", "")," ",""),"&amp;",""))</f>
        <v>xDCWarsawCybersecurity</v>
      </c>
      <c r="J264" s="21" t="str">
        <f>_xlfn.CONCAT(I264,SUBSTITUTE(SUBSTITUTE(SUBSTITUTE(TRIM(CostRateTbl[[#This Row],[Role]]),"-", "")," ",""),"&amp;",""))</f>
        <v>xDCWarsawCybersecurityLeadExpertTechnologyImplementationConsulting(General)</v>
      </c>
      <c r="K264" t="s">
        <v>361</v>
      </c>
      <c r="L264" t="s">
        <v>362</v>
      </c>
      <c r="M264" t="s">
        <v>362</v>
      </c>
      <c r="N264" t="s">
        <v>362</v>
      </c>
    </row>
    <row r="265" spans="1:14">
      <c r="A265" t="s">
        <v>404</v>
      </c>
      <c r="B265" t="s">
        <v>220</v>
      </c>
      <c r="C265" t="s">
        <v>382</v>
      </c>
      <c r="D265" s="477">
        <v>29.310119000000004</v>
      </c>
      <c r="E265" t="b">
        <v>0</v>
      </c>
      <c r="F265" t="b">
        <v>1</v>
      </c>
      <c r="G265" t="str">
        <f>_xlfn.CONCAT(CostRateTbl[[#This Row],[Org Unit]],CostRateTbl[[#This Row],[Service Line]],CostRateTbl[[#This Row],[Role]],CostRateTbl[[#This Row],[BluePrint]])</f>
        <v>xDC WarsawData &amp; AIAssociate Expert Data Intelligence (General)NA</v>
      </c>
      <c r="H265" s="21" t="str">
        <f>SUBSTITUTE(TRIM(CostRateTbl[[#This Row],[Org Unit]])," ","")</f>
        <v>xDCWarsaw</v>
      </c>
      <c r="I265" s="15" t="str">
        <f>_xlfn.CONCAT(H265,SUBSTITUTE(SUBSTITUTE(SUBSTITUTE(TRIM(CostRateTbl[[#This Row],[Service Line]]), "-", "")," ",""),"&amp;",""))</f>
        <v>xDCWarsawDataAI</v>
      </c>
      <c r="J265" s="21" t="str">
        <f>_xlfn.CONCAT(I265,SUBSTITUTE(SUBSTITUTE(SUBSTITUTE(TRIM(CostRateTbl[[#This Row],[Role]]),"-", "")," ",""),"&amp;",""))</f>
        <v>xDCWarsawDataAIAssociateExpertDataIntelligence(General)</v>
      </c>
      <c r="K265" t="s">
        <v>361</v>
      </c>
      <c r="L265" t="s">
        <v>362</v>
      </c>
      <c r="M265" t="s">
        <v>362</v>
      </c>
      <c r="N265" t="s">
        <v>362</v>
      </c>
    </row>
    <row r="266" spans="1:14">
      <c r="A266" t="s">
        <v>404</v>
      </c>
      <c r="B266" t="s">
        <v>220</v>
      </c>
      <c r="C266" t="s">
        <v>375</v>
      </c>
      <c r="D266" s="477">
        <v>39.360857000000003</v>
      </c>
      <c r="E266" t="b">
        <v>0</v>
      </c>
      <c r="F266" t="b">
        <v>1</v>
      </c>
      <c r="G266" t="str">
        <f>_xlfn.CONCAT(CostRateTbl[[#This Row],[Org Unit]],CostRateTbl[[#This Row],[Service Line]],CostRateTbl[[#This Row],[Role]],CostRateTbl[[#This Row],[BluePrint]])</f>
        <v>xDC WarsawData &amp; AIExpert Data Intelligence (General)NA</v>
      </c>
      <c r="H266" s="21" t="str">
        <f>SUBSTITUTE(TRIM(CostRateTbl[[#This Row],[Org Unit]])," ","")</f>
        <v>xDCWarsaw</v>
      </c>
      <c r="I266" s="15" t="str">
        <f>_xlfn.CONCAT(H266,SUBSTITUTE(SUBSTITUTE(SUBSTITUTE(TRIM(CostRateTbl[[#This Row],[Service Line]]), "-", "")," ",""),"&amp;",""))</f>
        <v>xDCWarsawDataAI</v>
      </c>
      <c r="J266" s="21" t="str">
        <f>_xlfn.CONCAT(I266,SUBSTITUTE(SUBSTITUTE(SUBSTITUTE(TRIM(CostRateTbl[[#This Row],[Role]]),"-", "")," ",""),"&amp;",""))</f>
        <v>xDCWarsawDataAIExpertDataIntelligence(General)</v>
      </c>
      <c r="K266" t="s">
        <v>361</v>
      </c>
      <c r="L266" t="s">
        <v>362</v>
      </c>
      <c r="M266" t="s">
        <v>362</v>
      </c>
      <c r="N266" t="s">
        <v>362</v>
      </c>
    </row>
    <row r="267" spans="1:14">
      <c r="A267" t="s">
        <v>404</v>
      </c>
      <c r="B267" t="s">
        <v>220</v>
      </c>
      <c r="C267" t="s">
        <v>405</v>
      </c>
      <c r="D267" s="477">
        <v>77.229843000000002</v>
      </c>
      <c r="E267" t="b">
        <v>0</v>
      </c>
      <c r="F267" t="b">
        <v>1</v>
      </c>
      <c r="G267" t="str">
        <f>_xlfn.CONCAT(CostRateTbl[[#This Row],[Org Unit]],CostRateTbl[[#This Row],[Service Line]],CostRateTbl[[#This Row],[Role]],CostRateTbl[[#This Row],[BluePrint]])</f>
        <v>xDC WarsawData &amp; AILead Expert Data Intelligence (General)NA</v>
      </c>
      <c r="H267" s="21" t="str">
        <f>SUBSTITUTE(TRIM(CostRateTbl[[#This Row],[Org Unit]])," ","")</f>
        <v>xDCWarsaw</v>
      </c>
      <c r="I267" s="15" t="str">
        <f>_xlfn.CONCAT(H267,SUBSTITUTE(SUBSTITUTE(SUBSTITUTE(TRIM(CostRateTbl[[#This Row],[Service Line]]), "-", "")," ",""),"&amp;",""))</f>
        <v>xDCWarsawDataAI</v>
      </c>
      <c r="J267" s="21" t="str">
        <f>_xlfn.CONCAT(I267,SUBSTITUTE(SUBSTITUTE(SUBSTITUTE(TRIM(CostRateTbl[[#This Row],[Role]]),"-", "")," ",""),"&amp;",""))</f>
        <v>xDCWarsawDataAILeadExpertDataIntelligence(General)</v>
      </c>
      <c r="K267" t="s">
        <v>361</v>
      </c>
      <c r="L267" t="s">
        <v>362</v>
      </c>
      <c r="M267" t="s">
        <v>362</v>
      </c>
      <c r="N267" t="s">
        <v>362</v>
      </c>
    </row>
    <row r="268" spans="1:14">
      <c r="A268" t="s">
        <v>404</v>
      </c>
      <c r="B268" t="s">
        <v>220</v>
      </c>
      <c r="C268" t="s">
        <v>406</v>
      </c>
      <c r="D268" s="477">
        <v>69.686285999999996</v>
      </c>
      <c r="E268" t="b">
        <v>0</v>
      </c>
      <c r="F268" t="b">
        <v>1</v>
      </c>
      <c r="G268" t="str">
        <f>_xlfn.CONCAT(CostRateTbl[[#This Row],[Org Unit]],CostRateTbl[[#This Row],[Service Line]],CostRateTbl[[#This Row],[Role]],CostRateTbl[[#This Row],[BluePrint]])</f>
        <v>xDC WarsawData &amp; AISr Expert Data Intelligence (General)NA</v>
      </c>
      <c r="H268" s="21" t="str">
        <f>SUBSTITUTE(TRIM(CostRateTbl[[#This Row],[Org Unit]])," ","")</f>
        <v>xDCWarsaw</v>
      </c>
      <c r="I268" s="15" t="str">
        <f>_xlfn.CONCAT(H268,SUBSTITUTE(SUBSTITUTE(SUBSTITUTE(TRIM(CostRateTbl[[#This Row],[Service Line]]), "-", "")," ",""),"&amp;",""))</f>
        <v>xDCWarsawDataAI</v>
      </c>
      <c r="J268" s="21" t="str">
        <f>_xlfn.CONCAT(I268,SUBSTITUTE(SUBSTITUTE(SUBSTITUTE(TRIM(CostRateTbl[[#This Row],[Role]]),"-", "")," ",""),"&amp;",""))</f>
        <v>xDCWarsawDataAISrExpertDataIntelligence(General)</v>
      </c>
      <c r="K268" t="s">
        <v>361</v>
      </c>
      <c r="L268" t="s">
        <v>362</v>
      </c>
      <c r="M268" t="s">
        <v>362</v>
      </c>
      <c r="N268" t="s">
        <v>362</v>
      </c>
    </row>
    <row r="269" spans="1:14">
      <c r="A269" t="s">
        <v>404</v>
      </c>
      <c r="B269" t="s">
        <v>223</v>
      </c>
      <c r="C269" t="s">
        <v>370</v>
      </c>
      <c r="D269" s="477">
        <v>29.221736000000003</v>
      </c>
      <c r="E269" t="b">
        <v>0</v>
      </c>
      <c r="F269" t="b">
        <v>1</v>
      </c>
      <c r="G269" t="str">
        <f>_xlfn.CONCAT(CostRateTbl[[#This Row],[Org Unit]],CostRateTbl[[#This Row],[Service Line]],CostRateTbl[[#This Row],[Role]],CostRateTbl[[#This Row],[BluePrint]])</f>
        <v>xDC WarsawDigital WorkplaceAssociate Expert Technology Implementation &amp; Consulting (General)NA</v>
      </c>
      <c r="H269" s="21" t="str">
        <f>SUBSTITUTE(TRIM(CostRateTbl[[#This Row],[Org Unit]])," ","")</f>
        <v>xDCWarsaw</v>
      </c>
      <c r="I269" s="15" t="str">
        <f>_xlfn.CONCAT(H269,SUBSTITUTE(SUBSTITUTE(SUBSTITUTE(TRIM(CostRateTbl[[#This Row],[Service Line]]), "-", "")," ",""),"&amp;",""))</f>
        <v>xDCWarsawDigitalWorkplace</v>
      </c>
      <c r="J269" s="21" t="str">
        <f>_xlfn.CONCAT(I269,SUBSTITUTE(SUBSTITUTE(SUBSTITUTE(TRIM(CostRateTbl[[#This Row],[Role]]),"-", "")," ",""),"&amp;",""))</f>
        <v>xDCWarsawDigitalWorkplaceAssociateExpertTechnologyImplementationConsulting(General)</v>
      </c>
      <c r="K269" t="s">
        <v>361</v>
      </c>
      <c r="L269" t="s">
        <v>362</v>
      </c>
      <c r="M269" t="s">
        <v>362</v>
      </c>
      <c r="N269" t="s">
        <v>362</v>
      </c>
    </row>
    <row r="270" spans="1:14">
      <c r="A270" t="s">
        <v>404</v>
      </c>
      <c r="B270" t="s">
        <v>223</v>
      </c>
      <c r="C270" t="s">
        <v>182</v>
      </c>
      <c r="D270" s="477">
        <v>41.008446000000006</v>
      </c>
      <c r="E270" t="b">
        <v>0</v>
      </c>
      <c r="F270" t="b">
        <v>1</v>
      </c>
      <c r="G270" t="str">
        <f>_xlfn.CONCAT(CostRateTbl[[#This Row],[Org Unit]],CostRateTbl[[#This Row],[Service Line]],CostRateTbl[[#This Row],[Role]],CostRateTbl[[#This Row],[BluePrint]])</f>
        <v>xDC WarsawDigital WorkplaceExpert Technology Implementation &amp; Consulting (General)NA</v>
      </c>
      <c r="H270" s="21" t="str">
        <f>SUBSTITUTE(TRIM(CostRateTbl[[#This Row],[Org Unit]])," ","")</f>
        <v>xDCWarsaw</v>
      </c>
      <c r="I270" s="15" t="str">
        <f>_xlfn.CONCAT(H270,SUBSTITUTE(SUBSTITUTE(SUBSTITUTE(TRIM(CostRateTbl[[#This Row],[Service Line]]), "-", "")," ",""),"&amp;",""))</f>
        <v>xDCWarsawDigitalWorkplace</v>
      </c>
      <c r="J270" s="21" t="str">
        <f>_xlfn.CONCAT(I270,SUBSTITUTE(SUBSTITUTE(SUBSTITUTE(TRIM(CostRateTbl[[#This Row],[Role]]),"-", "")," ",""),"&amp;",""))</f>
        <v>xDCWarsawDigitalWorkplaceExpertTechnologyImplementationConsulting(General)</v>
      </c>
      <c r="K270" t="s">
        <v>361</v>
      </c>
      <c r="L270" t="s">
        <v>362</v>
      </c>
      <c r="M270" t="s">
        <v>362</v>
      </c>
      <c r="N270" t="s">
        <v>362</v>
      </c>
    </row>
    <row r="271" spans="1:14">
      <c r="A271" t="s">
        <v>404</v>
      </c>
      <c r="B271" t="s">
        <v>223</v>
      </c>
      <c r="C271" t="s">
        <v>364</v>
      </c>
      <c r="D271" s="477">
        <v>82.555635000000009</v>
      </c>
      <c r="E271" t="b">
        <v>0</v>
      </c>
      <c r="F271" t="b">
        <v>1</v>
      </c>
      <c r="G271" t="str">
        <f>_xlfn.CONCAT(CostRateTbl[[#This Row],[Org Unit]],CostRateTbl[[#This Row],[Service Line]],CostRateTbl[[#This Row],[Role]],CostRateTbl[[#This Row],[BluePrint]])</f>
        <v>xDC WarsawDigital WorkplaceLead Expert Technology Implementation &amp; Consulting (General)NA</v>
      </c>
      <c r="H271" s="21" t="str">
        <f>SUBSTITUTE(TRIM(CostRateTbl[[#This Row],[Org Unit]])," ","")</f>
        <v>xDCWarsaw</v>
      </c>
      <c r="I271" s="15" t="str">
        <f>_xlfn.CONCAT(H271,SUBSTITUTE(SUBSTITUTE(SUBSTITUTE(TRIM(CostRateTbl[[#This Row],[Service Line]]), "-", "")," ",""),"&amp;",""))</f>
        <v>xDCWarsawDigitalWorkplace</v>
      </c>
      <c r="J271" s="21" t="str">
        <f>_xlfn.CONCAT(I271,SUBSTITUTE(SUBSTITUTE(SUBSTITUTE(TRIM(CostRateTbl[[#This Row],[Role]]),"-", "")," ",""),"&amp;",""))</f>
        <v>xDCWarsawDigitalWorkplaceLeadExpertTechnologyImplementationConsulting(General)</v>
      </c>
      <c r="K271" t="s">
        <v>361</v>
      </c>
      <c r="L271" t="s">
        <v>362</v>
      </c>
      <c r="M271" t="s">
        <v>362</v>
      </c>
      <c r="N271" t="s">
        <v>362</v>
      </c>
    </row>
    <row r="272" spans="1:14">
      <c r="A272" t="s">
        <v>404</v>
      </c>
      <c r="B272" t="s">
        <v>223</v>
      </c>
      <c r="C272" t="s">
        <v>132</v>
      </c>
      <c r="D272" s="477">
        <v>70.728334000000004</v>
      </c>
      <c r="E272" t="b">
        <v>0</v>
      </c>
      <c r="F272" t="b">
        <v>1</v>
      </c>
      <c r="G272" t="str">
        <f>_xlfn.CONCAT(CostRateTbl[[#This Row],[Org Unit]],CostRateTbl[[#This Row],[Service Line]],CostRateTbl[[#This Row],[Role]],CostRateTbl[[#This Row],[BluePrint]])</f>
        <v>xDC WarsawDigital WorkplaceSr Expert Technology Implementation &amp; Consulting (General)NA</v>
      </c>
      <c r="H272" s="21" t="str">
        <f>SUBSTITUTE(TRIM(CostRateTbl[[#This Row],[Org Unit]])," ","")</f>
        <v>xDCWarsaw</v>
      </c>
      <c r="I272" s="15" t="str">
        <f>_xlfn.CONCAT(H272,SUBSTITUTE(SUBSTITUTE(SUBSTITUTE(TRIM(CostRateTbl[[#This Row],[Service Line]]), "-", "")," ",""),"&amp;",""))</f>
        <v>xDCWarsawDigitalWorkplace</v>
      </c>
      <c r="J272" s="21" t="str">
        <f>_xlfn.CONCAT(I272,SUBSTITUTE(SUBSTITUTE(SUBSTITUTE(TRIM(CostRateTbl[[#This Row],[Role]]),"-", "")," ",""),"&amp;",""))</f>
        <v>xDCWarsawDigitalWorkplaceSrExpertTechnologyImplementationConsulting(General)</v>
      </c>
      <c r="K272" t="s">
        <v>361</v>
      </c>
      <c r="L272" t="s">
        <v>362</v>
      </c>
      <c r="M272" t="s">
        <v>362</v>
      </c>
      <c r="N272" t="s">
        <v>362</v>
      </c>
    </row>
    <row r="273" spans="1:14">
      <c r="A273" t="s">
        <v>404</v>
      </c>
      <c r="B273" t="s">
        <v>154</v>
      </c>
      <c r="C273" t="s">
        <v>178</v>
      </c>
      <c r="D273" s="477">
        <v>35.976087999999997</v>
      </c>
      <c r="E273" t="b">
        <v>0</v>
      </c>
      <c r="F273" t="b">
        <v>1</v>
      </c>
      <c r="G273" t="str">
        <f>_xlfn.CONCAT(CostRateTbl[[#This Row],[Org Unit]],CostRateTbl[[#This Row],[Service Line]],CostRateTbl[[#This Row],[Role]],CostRateTbl[[#This Row],[BluePrint]])</f>
        <v>xDC WarsawProject ManagementExpert Technology &amp; Consulting Project ManagementNA</v>
      </c>
      <c r="H273" s="21" t="str">
        <f>SUBSTITUTE(TRIM(CostRateTbl[[#This Row],[Org Unit]])," ","")</f>
        <v>xDCWarsaw</v>
      </c>
      <c r="I273" s="15" t="str">
        <f>_xlfn.CONCAT(H273,SUBSTITUTE(SUBSTITUTE(SUBSTITUTE(TRIM(CostRateTbl[[#This Row],[Service Line]]), "-", "")," ",""),"&amp;",""))</f>
        <v>xDCWarsawProjectManagement</v>
      </c>
      <c r="J273" s="21" t="str">
        <f>_xlfn.CONCAT(I273,SUBSTITUTE(SUBSTITUTE(SUBSTITUTE(TRIM(CostRateTbl[[#This Row],[Role]]),"-", "")," ",""),"&amp;",""))</f>
        <v>xDCWarsawProjectManagementExpertTechnologyConsultingProjectManagement</v>
      </c>
      <c r="K273" t="s">
        <v>361</v>
      </c>
      <c r="L273" t="s">
        <v>362</v>
      </c>
      <c r="M273" t="s">
        <v>362</v>
      </c>
      <c r="N273" t="s">
        <v>362</v>
      </c>
    </row>
    <row r="274" spans="1:14">
      <c r="A274" t="s">
        <v>404</v>
      </c>
      <c r="B274" t="s">
        <v>154</v>
      </c>
      <c r="C274" t="s">
        <v>379</v>
      </c>
      <c r="D274" s="477">
        <v>78.229126000000008</v>
      </c>
      <c r="E274" t="b">
        <v>0</v>
      </c>
      <c r="F274" t="b">
        <v>1</v>
      </c>
      <c r="G274" t="str">
        <f>_xlfn.CONCAT(CostRateTbl[[#This Row],[Org Unit]],CostRateTbl[[#This Row],[Service Line]],CostRateTbl[[#This Row],[Role]],CostRateTbl[[#This Row],[BluePrint]])</f>
        <v>xDC WarsawProject ManagementLead Expert Technology &amp; Consulting Project ManagementNA</v>
      </c>
      <c r="H274" s="21" t="str">
        <f>SUBSTITUTE(TRIM(CostRateTbl[[#This Row],[Org Unit]])," ","")</f>
        <v>xDCWarsaw</v>
      </c>
      <c r="I274" s="15" t="str">
        <f>_xlfn.CONCAT(H274,SUBSTITUTE(SUBSTITUTE(SUBSTITUTE(TRIM(CostRateTbl[[#This Row],[Service Line]]), "-", "")," ",""),"&amp;",""))</f>
        <v>xDCWarsawProjectManagement</v>
      </c>
      <c r="J274" s="21" t="str">
        <f>_xlfn.CONCAT(I274,SUBSTITUTE(SUBSTITUTE(SUBSTITUTE(TRIM(CostRateTbl[[#This Row],[Role]]),"-", "")," ",""),"&amp;",""))</f>
        <v>xDCWarsawProjectManagementLeadExpertTechnologyConsultingProjectManagement</v>
      </c>
      <c r="K274" t="s">
        <v>361</v>
      </c>
      <c r="L274" t="s">
        <v>362</v>
      </c>
      <c r="M274" t="s">
        <v>362</v>
      </c>
      <c r="N274" t="s">
        <v>362</v>
      </c>
    </row>
    <row r="275" spans="1:14">
      <c r="A275" t="s">
        <v>404</v>
      </c>
      <c r="B275" t="s">
        <v>154</v>
      </c>
      <c r="C275" t="s">
        <v>155</v>
      </c>
      <c r="D275" s="477">
        <v>58.269441999999998</v>
      </c>
      <c r="E275" t="b">
        <v>0</v>
      </c>
      <c r="F275" t="b">
        <v>1</v>
      </c>
      <c r="G275" t="str">
        <f>_xlfn.CONCAT(CostRateTbl[[#This Row],[Org Unit]],CostRateTbl[[#This Row],[Service Line]],CostRateTbl[[#This Row],[Role]],CostRateTbl[[#This Row],[BluePrint]])</f>
        <v>xDC WarsawProject ManagementSr Expert Technology &amp; Consulting Project ManagementNA</v>
      </c>
      <c r="H275" s="21" t="str">
        <f>SUBSTITUTE(TRIM(CostRateTbl[[#This Row],[Org Unit]])," ","")</f>
        <v>xDCWarsaw</v>
      </c>
      <c r="I275" s="15" t="str">
        <f>_xlfn.CONCAT(H275,SUBSTITUTE(SUBSTITUTE(SUBSTITUTE(TRIM(CostRateTbl[[#This Row],[Service Line]]), "-", "")," ",""),"&amp;",""))</f>
        <v>xDCWarsawProjectManagement</v>
      </c>
      <c r="J275" s="21" t="str">
        <f>_xlfn.CONCAT(I275,SUBSTITUTE(SUBSTITUTE(SUBSTITUTE(TRIM(CostRateTbl[[#This Row],[Role]]),"-", "")," ",""),"&amp;",""))</f>
        <v>xDCWarsawProjectManagementSrExpertTechnologyConsultingProjectManagement</v>
      </c>
      <c r="K275" t="s">
        <v>361</v>
      </c>
      <c r="L275" t="s">
        <v>362</v>
      </c>
      <c r="M275" t="s">
        <v>362</v>
      </c>
      <c r="N275" t="s">
        <v>362</v>
      </c>
    </row>
    <row r="276" spans="1:14">
      <c r="A276" t="s">
        <v>404</v>
      </c>
      <c r="B276" t="s">
        <v>235</v>
      </c>
      <c r="C276" t="s">
        <v>370</v>
      </c>
      <c r="D276" s="477">
        <v>28.317857000000004</v>
      </c>
      <c r="E276" t="b">
        <v>0</v>
      </c>
      <c r="F276" t="b">
        <v>1</v>
      </c>
      <c r="G276" t="str">
        <f>_xlfn.CONCAT(CostRateTbl[[#This Row],[Org Unit]],CostRateTbl[[#This Row],[Service Line]],CostRateTbl[[#This Row],[Role]],CostRateTbl[[#This Row],[BluePrint]])</f>
        <v>xDC WarsawSAP ServicesAssociate Expert Technology Implementation &amp; Consulting (General)NA</v>
      </c>
      <c r="H276" s="21" t="str">
        <f>SUBSTITUTE(TRIM(CostRateTbl[[#This Row],[Org Unit]])," ","")</f>
        <v>xDCWarsaw</v>
      </c>
      <c r="I276" s="15" t="str">
        <f>_xlfn.CONCAT(H276,SUBSTITUTE(SUBSTITUTE(SUBSTITUTE(TRIM(CostRateTbl[[#This Row],[Service Line]]), "-", "")," ",""),"&amp;",""))</f>
        <v>xDCWarsawSAPServices</v>
      </c>
      <c r="J276" s="21" t="str">
        <f>_xlfn.CONCAT(I276,SUBSTITUTE(SUBSTITUTE(SUBSTITUTE(TRIM(CostRateTbl[[#This Row],[Role]]),"-", "")," ",""),"&amp;",""))</f>
        <v>xDCWarsawSAPServicesAssociateExpertTechnologyImplementationConsulting(General)</v>
      </c>
      <c r="K276" t="s">
        <v>361</v>
      </c>
      <c r="L276" t="s">
        <v>362</v>
      </c>
      <c r="M276" t="s">
        <v>362</v>
      </c>
      <c r="N276" t="s">
        <v>362</v>
      </c>
    </row>
    <row r="277" spans="1:14">
      <c r="A277" t="s">
        <v>404</v>
      </c>
      <c r="B277" t="s">
        <v>235</v>
      </c>
      <c r="C277" t="s">
        <v>182</v>
      </c>
      <c r="D277" s="477">
        <v>48.290870999999996</v>
      </c>
      <c r="E277" t="b">
        <v>0</v>
      </c>
      <c r="F277" t="b">
        <v>1</v>
      </c>
      <c r="G277" t="str">
        <f>_xlfn.CONCAT(CostRateTbl[[#This Row],[Org Unit]],CostRateTbl[[#This Row],[Service Line]],CostRateTbl[[#This Row],[Role]],CostRateTbl[[#This Row],[BluePrint]])</f>
        <v>xDC WarsawSAP ServicesExpert Technology Implementation &amp; Consulting (General)NA</v>
      </c>
      <c r="H277" s="21" t="str">
        <f>SUBSTITUTE(TRIM(CostRateTbl[[#This Row],[Org Unit]])," ","")</f>
        <v>xDCWarsaw</v>
      </c>
      <c r="I277" s="15" t="str">
        <f>_xlfn.CONCAT(H277,SUBSTITUTE(SUBSTITUTE(SUBSTITUTE(TRIM(CostRateTbl[[#This Row],[Service Line]]), "-", "")," ",""),"&amp;",""))</f>
        <v>xDCWarsawSAPServices</v>
      </c>
      <c r="J277" s="21" t="str">
        <f>_xlfn.CONCAT(I277,SUBSTITUTE(SUBSTITUTE(SUBSTITUTE(TRIM(CostRateTbl[[#This Row],[Role]]),"-", "")," ",""),"&amp;",""))</f>
        <v>xDCWarsawSAPServicesExpertTechnologyImplementationConsulting(General)</v>
      </c>
      <c r="K277" t="s">
        <v>361</v>
      </c>
      <c r="L277" t="s">
        <v>362</v>
      </c>
      <c r="M277" t="s">
        <v>362</v>
      </c>
      <c r="N277" t="s">
        <v>362</v>
      </c>
    </row>
    <row r="278" spans="1:14">
      <c r="A278" t="s">
        <v>404</v>
      </c>
      <c r="B278" t="s">
        <v>235</v>
      </c>
      <c r="C278" t="s">
        <v>364</v>
      </c>
      <c r="D278" s="477">
        <v>79.692643000000004</v>
      </c>
      <c r="E278" t="b">
        <v>0</v>
      </c>
      <c r="F278" t="b">
        <v>1</v>
      </c>
      <c r="G278" t="str">
        <f>_xlfn.CONCAT(CostRateTbl[[#This Row],[Org Unit]],CostRateTbl[[#This Row],[Service Line]],CostRateTbl[[#This Row],[Role]],CostRateTbl[[#This Row],[BluePrint]])</f>
        <v>xDC WarsawSAP ServicesLead Expert Technology Implementation &amp; Consulting (General)NA</v>
      </c>
      <c r="H278" s="21" t="str">
        <f>SUBSTITUTE(TRIM(CostRateTbl[[#This Row],[Org Unit]])," ","")</f>
        <v>xDCWarsaw</v>
      </c>
      <c r="I278" s="15" t="str">
        <f>_xlfn.CONCAT(H278,SUBSTITUTE(SUBSTITUTE(SUBSTITUTE(TRIM(CostRateTbl[[#This Row],[Service Line]]), "-", "")," ",""),"&amp;",""))</f>
        <v>xDCWarsawSAPServices</v>
      </c>
      <c r="J278" s="21" t="str">
        <f>_xlfn.CONCAT(I278,SUBSTITUTE(SUBSTITUTE(SUBSTITUTE(TRIM(CostRateTbl[[#This Row],[Role]]),"-", "")," ",""),"&amp;",""))</f>
        <v>xDCWarsawSAPServicesLeadExpertTechnologyImplementationConsulting(General)</v>
      </c>
      <c r="K278" t="s">
        <v>361</v>
      </c>
      <c r="L278" t="s">
        <v>362</v>
      </c>
      <c r="M278" t="s">
        <v>362</v>
      </c>
      <c r="N278" t="s">
        <v>362</v>
      </c>
    </row>
    <row r="279" spans="1:14">
      <c r="A279" t="s">
        <v>404</v>
      </c>
      <c r="B279" t="s">
        <v>235</v>
      </c>
      <c r="C279" t="s">
        <v>132</v>
      </c>
      <c r="D279" s="477">
        <v>70.271299999999997</v>
      </c>
      <c r="E279" t="b">
        <v>0</v>
      </c>
      <c r="F279" t="b">
        <v>1</v>
      </c>
      <c r="G279" t="str">
        <f>_xlfn.CONCAT(CostRateTbl[[#This Row],[Org Unit]],CostRateTbl[[#This Row],[Service Line]],CostRateTbl[[#This Row],[Role]],CostRateTbl[[#This Row],[BluePrint]])</f>
        <v>xDC WarsawSAP ServicesSr Expert Technology Implementation &amp; Consulting (General)NA</v>
      </c>
      <c r="H279" s="21" t="str">
        <f>SUBSTITUTE(TRIM(CostRateTbl[[#This Row],[Org Unit]])," ","")</f>
        <v>xDCWarsaw</v>
      </c>
      <c r="I279" s="15" t="str">
        <f>_xlfn.CONCAT(H279,SUBSTITUTE(SUBSTITUTE(SUBSTITUTE(TRIM(CostRateTbl[[#This Row],[Service Line]]), "-", "")," ",""),"&amp;",""))</f>
        <v>xDCWarsawSAPServices</v>
      </c>
      <c r="J279" s="21" t="str">
        <f>_xlfn.CONCAT(I279,SUBSTITUTE(SUBSTITUTE(SUBSTITUTE(TRIM(CostRateTbl[[#This Row],[Role]]),"-", "")," ",""),"&amp;",""))</f>
        <v>xDCWarsawSAPServicesSrExpertTechnologyImplementationConsulting(General)</v>
      </c>
      <c r="K279" t="s">
        <v>361</v>
      </c>
      <c r="L279" t="s">
        <v>362</v>
      </c>
      <c r="M279" t="s">
        <v>362</v>
      </c>
      <c r="N279" t="s">
        <v>362</v>
      </c>
    </row>
  </sheetData>
  <sheetProtection algorithmName="SHA-512" hashValue="Uh9ekuEOKwDMj0eHkcmxQgTrzd7DD7kWwhLRamc7HKNyYmT8TscTVK8jn+evIup6CxelX2T3uulw00IzgcABCA==" saltValue="zxAyhi0Rgh2HOQnMask7LQ==" spinCount="100000" sheet="1" objects="1" scenarios="1" selectLockedCells="1" autoFilter="0"/>
  <phoneticPr fontId="35"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5B98A-F1EB-7243-9E1A-558570C5EFB5}">
  <dimension ref="A1:Z16"/>
  <sheetViews>
    <sheetView workbookViewId="0">
      <selection activeCell="M18" sqref="M18"/>
    </sheetView>
  </sheetViews>
  <sheetFormatPr defaultColWidth="8.7109375" defaultRowHeight="14.45"/>
  <cols>
    <col min="1" max="2" width="32.7109375" customWidth="1"/>
    <col min="3" max="3" width="5.42578125" customWidth="1"/>
    <col min="4" max="4" width="5.28515625" customWidth="1"/>
    <col min="5" max="5" width="13.42578125" customWidth="1"/>
    <col min="6" max="26" width="27.140625" customWidth="1"/>
  </cols>
  <sheetData>
    <row r="1" spans="1:26">
      <c r="A1" t="str" cm="1">
        <f t="array" ref="A1:A15">_xlfn._xlws.SORT(_xlfn.UNIQUE(_xlfn._xlws.FILTER(CostRateTbl[Org Unit],CostRateTbl[CountryHabilitado]="Si")),,1)</f>
        <v>Brazil</v>
      </c>
      <c r="B1" t="s">
        <v>352</v>
      </c>
      <c r="E1" s="9" t="str" cm="1">
        <f t="array" ref="E1:T1">TRANSPOSE(_xlfn._xlws.FILTER(B:B, B:B&lt;&gt;""))</f>
        <v>CountryCode</v>
      </c>
      <c r="F1" t="str">
        <v>Brazil</v>
      </c>
      <c r="G1" t="str">
        <v>Chile</v>
      </c>
      <c r="H1" t="str">
        <v>Colombia</v>
      </c>
      <c r="I1" t="str">
        <v>CostaRica</v>
      </c>
      <c r="J1" t="str">
        <v>DominicanRepublic</v>
      </c>
      <c r="K1" t="str">
        <v>Ecuador</v>
      </c>
      <c r="L1" t="str">
        <v>Mexico</v>
      </c>
      <c r="M1" t="str">
        <v>Peru</v>
      </c>
      <c r="N1" t="str">
        <v>Spain</v>
      </c>
      <c r="O1" t="str">
        <v>xDCBeloHorizonte</v>
      </c>
      <c r="P1" t="str">
        <v>xDCGuadalajara</v>
      </c>
      <c r="Q1" t="str">
        <v>xDCGurugram</v>
      </c>
      <c r="R1" t="str">
        <v>xDCMedellin</v>
      </c>
      <c r="S1" t="str">
        <v>xDCSanJose</v>
      </c>
      <c r="T1" t="str">
        <v>xDCWarsaw</v>
      </c>
    </row>
    <row r="2" spans="1:26">
      <c r="A2" t="str">
        <v>Chile</v>
      </c>
      <c r="B2" t="str" cm="1">
        <f t="array" ref="B2:B16">_xlfn._xlws.SORT(_xlfn.UNIQUE(_xlfn._xlws.FILTER(CostRateTbl[CountryCode],CostRateTbl[CountryHabilitado]="Si")),,1)</f>
        <v>Brazil</v>
      </c>
      <c r="F2" t="str" cm="1">
        <f t="array" ref="F2:F8">IFERROR(_xlfn._xlws.SORT(_xlfn.UNIQUE(_xlfn._xlws.FILTER(CostRateTbl[Service Line], (CostRateTbl[CountryCode]=F1) * (CostRateTbl[SLHabilitada]="Si"))),,1),"No Habilitado")</f>
        <v>Application Services</v>
      </c>
      <c r="G2" t="str" cm="1">
        <f t="array" ref="G2:G3">IFERROR(_xlfn._xlws.SORT(_xlfn.UNIQUE(_xlfn._xlws.FILTER(CostRateTbl[Service Line], (CostRateTbl[CountryCode]=G1) * (CostRateTbl[SLHabilitada]="Si"))),,1),"No Habilitado")</f>
        <v>Cloud Services AWS</v>
      </c>
      <c r="H2" t="str" cm="1">
        <f t="array" ref="H2:H8">IFERROR(_xlfn._xlws.SORT(_xlfn.UNIQUE(_xlfn._xlws.FILTER(CostRateTbl[Service Line], (CostRateTbl[CountryCode]=H1) * (CostRateTbl[SLHabilitada]="Si"))),,1),"No Habilitado")</f>
        <v>Application Services</v>
      </c>
      <c r="I2" t="str" cm="1">
        <f t="array" ref="I2">IFERROR(_xlfn._xlws.SORT(_xlfn.UNIQUE(_xlfn._xlws.FILTER(CostRateTbl[Service Line], (CostRateTbl[CountryCode]=I1) * (CostRateTbl[SLHabilitada]="Si"))),,1),"No Habilitado")</f>
        <v>Cloud Services Azure</v>
      </c>
      <c r="J2" t="str" cm="1">
        <f t="array" ref="J2:J3">IFERROR(_xlfn._xlws.SORT(_xlfn.UNIQUE(_xlfn._xlws.FILTER(CostRateTbl[Service Line], (CostRateTbl[CountryCode]=J1) * (CostRateTbl[SLHabilitada]="Si"))),,1),"No Habilitado")</f>
        <v>Hybrid Managed Services</v>
      </c>
      <c r="K2" t="str" cm="1">
        <f t="array" ref="K2:K3">IFERROR(_xlfn._xlws.SORT(_xlfn.UNIQUE(_xlfn._xlws.FILTER(CostRateTbl[Service Line], (CostRateTbl[CountryCode]=K1) * (CostRateTbl[SLHabilitada]="Si"))),,1),"No Habilitado")</f>
        <v>Other Services</v>
      </c>
      <c r="L2" t="str" cm="1">
        <f t="array" ref="L2:L5">IFERROR(_xlfn._xlws.SORT(_xlfn.UNIQUE(_xlfn._xlws.FILTER(CostRateTbl[Service Line], (CostRateTbl[CountryCode]=L1) * (CostRateTbl[SLHabilitada]="Si"))),,1),"No Habilitado")</f>
        <v>Application Services</v>
      </c>
      <c r="M2" t="str" cm="1">
        <f t="array" ref="M2:M3">IFERROR(_xlfn._xlws.SORT(_xlfn.UNIQUE(_xlfn._xlws.FILTER(CostRateTbl[Service Line], (CostRateTbl[CountryCode]=M1) * (CostRateTbl[SLHabilitada]="Si"))),,1),"No Habilitado")</f>
        <v>Hybrid Managed Services</v>
      </c>
      <c r="N2" t="str" cm="1">
        <f t="array" ref="N2:N12">IFERROR(_xlfn._xlws.SORT(_xlfn.UNIQUE(_xlfn._xlws.FILTER(CostRateTbl[Service Line], (CostRateTbl[CountryCode]=N1) * (CostRateTbl[SLHabilitada]="Si"))),,1),"No Habilitado")</f>
        <v>Application Services</v>
      </c>
      <c r="O2" t="str" cm="1">
        <f t="array" ref="O2:O4">IFERROR(_xlfn._xlws.SORT(_xlfn.UNIQUE(_xlfn._xlws.FILTER(CostRateTbl[Service Line], (CostRateTbl[CountryCode]=O1) * (CostRateTbl[SLHabilitada]="Si"))),,1),"No Habilitado")</f>
        <v>Digital Workplace</v>
      </c>
      <c r="P2" t="str" cm="1">
        <f t="array" ref="P2:P5">IFERROR(_xlfn._xlws.SORT(_xlfn.UNIQUE(_xlfn._xlws.FILTER(CostRateTbl[Service Line], (CostRateTbl[CountryCode]=P1) * (CostRateTbl[SLHabilitada]="Si"))),,1),"No Habilitado")</f>
        <v>Cloud Services AWS</v>
      </c>
      <c r="Q2" t="str" cm="1">
        <f t="array" ref="Q2:Q10">IFERROR(_xlfn._xlws.SORT(_xlfn.UNIQUE(_xlfn._xlws.FILTER(CostRateTbl[Service Line], (CostRateTbl[CountryCode]=Q1) * (CostRateTbl[SLHabilitada]="Si"))),,1),"No Habilitado")</f>
        <v>Application Services</v>
      </c>
      <c r="R2" t="str" cm="1">
        <f t="array" ref="R2:R12">IFERROR(_xlfn._xlws.SORT(_xlfn.UNIQUE(_xlfn._xlws.FILTER(CostRateTbl[Service Line], (CostRateTbl[CountryCode]=R1) * (CostRateTbl[SLHabilitada]="Si"))),,1),"No Habilitado")</f>
        <v>Application Services</v>
      </c>
      <c r="S2" t="str" cm="1">
        <f t="array" ref="S2:S7">IFERROR(_xlfn._xlws.SORT(_xlfn.UNIQUE(_xlfn._xlws.FILTER(CostRateTbl[Service Line], (CostRateTbl[CountryCode]=S1) * (CostRateTbl[SLHabilitada]="Si"))),,1),"No Habilitado")</f>
        <v>Cloud Services AWS</v>
      </c>
      <c r="T2" t="str" cm="1">
        <f t="array" ref="T2:T9">IFERROR(_xlfn._xlws.SORT(_xlfn.UNIQUE(_xlfn._xlws.FILTER(CostRateTbl[Service Line], (CostRateTbl[CountryCode]=T1) * (CostRateTbl[SLHabilitada]="Si"))),,1),"No Habilitado")</f>
        <v>Application Services</v>
      </c>
      <c r="U2" t="str" cm="1">
        <f t="array" ref="U2">IFERROR(_xlfn._xlws.SORT(_xlfn.UNIQUE(_xlfn._xlws.FILTER(CostRateTbl[Service Line], (CostRateTbl[CountryCode]=U1) * (CostRateTbl[SLHabilitada]="Si"))),,1),"No Habilitado")</f>
        <v>No Habilitado</v>
      </c>
      <c r="V2" t="str" cm="1">
        <f t="array" ref="V2">IFERROR(_xlfn._xlws.SORT(_xlfn.UNIQUE(_xlfn._xlws.FILTER(CostRateTbl[Service Line], (CostRateTbl[CountryCode]=V1) * (CostRateTbl[SLHabilitada]="Si"))),,1),"No Habilitado")</f>
        <v>No Habilitado</v>
      </c>
      <c r="W2" t="str" cm="1">
        <f t="array" ref="W2">IFERROR(_xlfn._xlws.SORT(_xlfn.UNIQUE(_xlfn._xlws.FILTER(CostRateTbl[Service Line], (CostRateTbl[CountryCode]=W1) * (CostRateTbl[SLHabilitada]="Si"))),,1),"No Habilitado")</f>
        <v>No Habilitado</v>
      </c>
      <c r="X2" t="str" cm="1">
        <f t="array" ref="X2">IFERROR(_xlfn._xlws.SORT(_xlfn.UNIQUE(_xlfn._xlws.FILTER(CostRateTbl[Service Line], (CostRateTbl[CountryCode]=X1) * (CostRateTbl[SLHabilitada]="Si"))),,1),"No Habilitado")</f>
        <v>No Habilitado</v>
      </c>
      <c r="Y2" t="str" cm="1">
        <f t="array" ref="Y2">IFERROR(_xlfn._xlws.SORT(_xlfn.UNIQUE(_xlfn._xlws.FILTER(CostRateTbl[Service Line], (CostRateTbl[CountryCode]=Y1) * (CostRateTbl[SLHabilitada]="Si"))),,1),"No Habilitado")</f>
        <v>No Habilitado</v>
      </c>
      <c r="Z2" t="str" cm="1">
        <f t="array" ref="Z2">IFERROR(_xlfn._xlws.SORT(_xlfn.UNIQUE(_xlfn._xlws.FILTER(CostRateTbl[Service Line], (CostRateTbl[CountryCode]=Z1) * (CostRateTbl[SLHabilitada]="Si"))),,1),"No Habilitado")</f>
        <v>No Habilitado</v>
      </c>
    </row>
    <row r="3" spans="1:26">
      <c r="A3" t="str">
        <v>Colombia</v>
      </c>
      <c r="B3" t="str">
        <v>Chile</v>
      </c>
      <c r="F3" t="str">
        <v>Cloud Services AWS</v>
      </c>
      <c r="G3" t="str">
        <v>Project Management</v>
      </c>
      <c r="H3" t="str">
        <v>Cloud Services Azure</v>
      </c>
      <c r="J3" t="str">
        <v>Other Services</v>
      </c>
      <c r="K3" t="str">
        <v>Project Management</v>
      </c>
      <c r="L3" t="str">
        <v>Cloud Services AWS</v>
      </c>
      <c r="M3" t="str">
        <v>Other Services</v>
      </c>
      <c r="N3" t="str">
        <v>Cloud Services AWS</v>
      </c>
      <c r="O3" t="str">
        <v>SAP Services</v>
      </c>
      <c r="P3" t="str">
        <v>CSP Services</v>
      </c>
      <c r="Q3" t="str">
        <v>Cloud Services AWS</v>
      </c>
      <c r="R3" t="str">
        <v>Cloud Services AWS</v>
      </c>
      <c r="S3" t="str">
        <v>Cloud Services Azure</v>
      </c>
      <c r="T3" t="str">
        <v>Cloud Services AWS</v>
      </c>
    </row>
    <row r="4" spans="1:26">
      <c r="A4" t="str">
        <v>Costa Rica</v>
      </c>
      <c r="B4" t="str">
        <v>Colombia</v>
      </c>
      <c r="F4" t="str">
        <v>Cloud Services Azure</v>
      </c>
      <c r="H4" t="str">
        <v>Cybersecurity</v>
      </c>
      <c r="L4" t="str">
        <v>Hybrid Managed Services</v>
      </c>
      <c r="N4" t="str">
        <v>Cloud Services Azure</v>
      </c>
      <c r="O4" t="str">
        <v>Support Services</v>
      </c>
      <c r="P4" t="str">
        <v>Digital Workplace</v>
      </c>
      <c r="Q4" t="str">
        <v>Cloud Services Azure</v>
      </c>
      <c r="R4" t="str">
        <v>Cloud Services Azure</v>
      </c>
      <c r="S4" t="str">
        <v>CSP Services</v>
      </c>
      <c r="T4" t="str">
        <v>Cloud Services Azure</v>
      </c>
    </row>
    <row r="5" spans="1:26">
      <c r="A5" t="str">
        <v>Dominican Republic</v>
      </c>
      <c r="B5" t="str">
        <v>CostaRica</v>
      </c>
      <c r="F5" t="str">
        <v>Cloud Services GCP</v>
      </c>
      <c r="H5" t="str">
        <v>Data &amp; AI</v>
      </c>
      <c r="L5" t="str">
        <v>Other Services</v>
      </c>
      <c r="N5" t="str">
        <v>Cloud Services GCP</v>
      </c>
      <c r="P5" t="str">
        <v>ITAM &amp; FinOps</v>
      </c>
      <c r="Q5" t="str">
        <v>Data &amp; AI</v>
      </c>
      <c r="R5" t="str">
        <v>Cybersecurity</v>
      </c>
      <c r="S5" t="str">
        <v>DSC &amp; Procurement</v>
      </c>
      <c r="T5" t="str">
        <v>Cybersecurity</v>
      </c>
    </row>
    <row r="6" spans="1:26">
      <c r="A6" t="str">
        <v>Ecuador</v>
      </c>
      <c r="B6" t="str">
        <v>DominicanRepublic</v>
      </c>
      <c r="F6" t="str">
        <v>Digital Workplace</v>
      </c>
      <c r="H6" t="str">
        <v>Digital Workplace</v>
      </c>
      <c r="N6" t="str">
        <v>Data &amp; AI</v>
      </c>
      <c r="Q6" t="str">
        <v>Digital Workplace</v>
      </c>
      <c r="R6" t="str">
        <v>Data &amp; AI</v>
      </c>
      <c r="S6" t="str">
        <v>ITAM &amp; FinOps</v>
      </c>
      <c r="T6" t="str">
        <v>Data &amp; AI</v>
      </c>
    </row>
    <row r="7" spans="1:26">
      <c r="A7" t="str">
        <v>Mexico</v>
      </c>
      <c r="B7" t="str">
        <v>Ecuador</v>
      </c>
      <c r="F7" t="str">
        <v>ITAM &amp; FinOps</v>
      </c>
      <c r="H7" t="str">
        <v>Hybrid Managed Services</v>
      </c>
      <c r="N7" t="str">
        <v>Digital Workplace</v>
      </c>
      <c r="Q7" t="str">
        <v>ITAM &amp; FinOps</v>
      </c>
      <c r="R7" t="str">
        <v>Digital Workplace</v>
      </c>
      <c r="S7" t="str">
        <v>Project Management</v>
      </c>
      <c r="T7" t="str">
        <v>Digital Workplace</v>
      </c>
    </row>
    <row r="8" spans="1:26">
      <c r="A8" t="str">
        <v>Peru</v>
      </c>
      <c r="B8" t="str">
        <v>Mexico</v>
      </c>
      <c r="F8" t="str">
        <v>Project Management</v>
      </c>
      <c r="H8" t="str">
        <v>Other Services</v>
      </c>
      <c r="N8" t="str">
        <v>ITAM &amp; FinOps</v>
      </c>
      <c r="Q8" t="str">
        <v>Other Services</v>
      </c>
      <c r="R8" t="str">
        <v>Hybrid Managed Services</v>
      </c>
      <c r="T8" t="str">
        <v>Project Management</v>
      </c>
    </row>
    <row r="9" spans="1:26">
      <c r="A9" t="str">
        <v>Spain</v>
      </c>
      <c r="B9" t="str">
        <v>Peru</v>
      </c>
      <c r="N9" t="str">
        <v>Other Services</v>
      </c>
      <c r="Q9" t="str">
        <v>Project Management</v>
      </c>
      <c r="R9" t="str">
        <v>ITAM &amp; FinOps</v>
      </c>
      <c r="T9" t="str">
        <v>SAP Services</v>
      </c>
    </row>
    <row r="10" spans="1:26">
      <c r="A10" t="str">
        <v>xDC Belo Horizonte</v>
      </c>
      <c r="B10" t="str">
        <v>Spain</v>
      </c>
      <c r="N10" t="str">
        <v>Project Management</v>
      </c>
      <c r="Q10" t="str">
        <v>Support Services</v>
      </c>
      <c r="R10" t="str">
        <v>Other Services</v>
      </c>
    </row>
    <row r="11" spans="1:26">
      <c r="A11" t="str">
        <v>xDC Guadalajara</v>
      </c>
      <c r="B11" s="12" t="str">
        <v>xDCBeloHorizonte</v>
      </c>
      <c r="N11" t="str">
        <v>SAP Services</v>
      </c>
      <c r="R11" t="str">
        <v>Project Management</v>
      </c>
    </row>
    <row r="12" spans="1:26">
      <c r="A12" t="str">
        <v>xDC Gurugram</v>
      </c>
      <c r="B12" t="str">
        <v>xDCGuadalajara</v>
      </c>
      <c r="N12" t="str">
        <v>Support Services</v>
      </c>
      <c r="R12" t="str">
        <v>Support Services</v>
      </c>
    </row>
    <row r="13" spans="1:26">
      <c r="A13" t="str">
        <v>xDC Medellin</v>
      </c>
      <c r="B13" t="str">
        <v>xDCGurugram</v>
      </c>
    </row>
    <row r="14" spans="1:26">
      <c r="A14" t="str">
        <v>xDC San Jose</v>
      </c>
      <c r="B14" t="str">
        <v>xDCMedellin</v>
      </c>
    </row>
    <row r="15" spans="1:26">
      <c r="A15" t="str">
        <v>xDC Warsaw</v>
      </c>
      <c r="B15" t="str">
        <v>xDCSanJose</v>
      </c>
    </row>
    <row r="16" spans="1:26">
      <c r="B16" t="str">
        <v>xDCWarsaw</v>
      </c>
    </row>
  </sheetData>
  <sheetProtection algorithmName="SHA-512" hashValue="wHbhgjlub9JfI+RenFyMe/3V6yOOK+FnFh1moGafzuKb4ddAu5DPqjpy7/Wb0Ko9Gpas80bBLLkNYLWsJlatDw==" saltValue="Mlt1VrUZuU8poUf12npDjw==" spinCount="100000" sheet="1" objects="1" scenarios="1" selectLockedCells="1" selectUnlockedCell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24C7D-FF9A-44F8-AACC-14B7C0D1D539}">
  <sheetPr codeName="Sheet9"/>
  <dimension ref="A1:FZ80"/>
  <sheetViews>
    <sheetView workbookViewId="0">
      <selection activeCell="F11" sqref="F11"/>
    </sheetView>
  </sheetViews>
  <sheetFormatPr defaultColWidth="8.7109375" defaultRowHeight="14.45"/>
  <cols>
    <col min="1" max="1" width="50.7109375" customWidth="1"/>
    <col min="2" max="2" width="5.42578125" customWidth="1"/>
    <col min="3" max="3" width="5.28515625" customWidth="1"/>
    <col min="4" max="4" width="7.42578125" bestFit="1" customWidth="1"/>
    <col min="5" max="182" width="32.7109375" customWidth="1"/>
  </cols>
  <sheetData>
    <row r="1" spans="1:182">
      <c r="A1" t="s">
        <v>353</v>
      </c>
      <c r="D1" s="9" t="str" cm="1">
        <f t="array" ref="D1:CE1">TRANSPOSE(_xlfn._xlws.FILTER(A:A, A:A&lt;&gt;""))</f>
        <v>SLCode</v>
      </c>
      <c r="E1" t="str">
        <v>BrazilApplicationServices</v>
      </c>
      <c r="F1" t="str">
        <v>BrazilCloudServicesAWS</v>
      </c>
      <c r="G1" t="str">
        <v>BrazilCloudServicesAzure</v>
      </c>
      <c r="H1" t="str">
        <v>BrazilCloudServicesGCP</v>
      </c>
      <c r="I1" t="str">
        <v>BrazilDigitalWorkplace</v>
      </c>
      <c r="J1" t="str">
        <v>BrazilITAMFinOps</v>
      </c>
      <c r="K1" t="str">
        <v>BrazilProjectManagement</v>
      </c>
      <c r="L1" t="str">
        <v>ChileCloudServicesAWS</v>
      </c>
      <c r="M1" t="str">
        <v>ChileProjectManagement</v>
      </c>
      <c r="N1" t="str">
        <v>ColombiaApplicationServices</v>
      </c>
      <c r="O1" t="str">
        <v>ColombiaCloudServicesAzure</v>
      </c>
      <c r="P1" t="str">
        <v>ColombiaCybersecurity</v>
      </c>
      <c r="Q1" t="str">
        <v>ColombiaDataAI</v>
      </c>
      <c r="R1" t="str">
        <v>ColombiaDigitalWorkplace</v>
      </c>
      <c r="S1" t="str">
        <v>ColombiaHybridManagedServices</v>
      </c>
      <c r="T1" t="str">
        <v>ColombiaOtherServices</v>
      </c>
      <c r="U1" t="str">
        <v>CostaRicaCloudServicesAzure</v>
      </c>
      <c r="V1" t="str">
        <v>DominicanRepublicHybridManagedServices</v>
      </c>
      <c r="W1" t="str">
        <v>DominicanRepublicOtherServices</v>
      </c>
      <c r="X1" t="str">
        <v>EcuadorOtherServices</v>
      </c>
      <c r="Y1" t="str">
        <v>EcuadorProjectManagement</v>
      </c>
      <c r="Z1" t="str">
        <v>MexicoApplicationServices</v>
      </c>
      <c r="AA1" t="str">
        <v>MexicoCloudServicesAWS</v>
      </c>
      <c r="AB1" t="str">
        <v>MexicoHybridManagedServices</v>
      </c>
      <c r="AC1" t="str">
        <v>MexicoOtherServices</v>
      </c>
      <c r="AD1" t="str">
        <v>PeruHybridManagedServices</v>
      </c>
      <c r="AE1" t="str">
        <v>PeruOtherServices</v>
      </c>
      <c r="AF1" t="str">
        <v>SpainApplicationServices</v>
      </c>
      <c r="AG1" t="str">
        <v>SpainCloudServicesAWS</v>
      </c>
      <c r="AH1" t="str">
        <v>SpainCloudServicesAzure</v>
      </c>
      <c r="AI1" t="str">
        <v>SpainCloudServicesGCP</v>
      </c>
      <c r="AJ1" t="str">
        <v>SpainDataAI</v>
      </c>
      <c r="AK1" t="str">
        <v>SpainDigitalWorkplace</v>
      </c>
      <c r="AL1" t="str">
        <v>SpainITAMFinOps</v>
      </c>
      <c r="AM1" t="str">
        <v>SpainOtherServices</v>
      </c>
      <c r="AN1" t="str">
        <v>SpainProjectManagement</v>
      </c>
      <c r="AO1" t="str">
        <v>SpainSAPServices</v>
      </c>
      <c r="AP1" t="str">
        <v>SpainSupportServices</v>
      </c>
      <c r="AQ1" t="str">
        <v>xDCBeloHorizonteDigitalWorkplace</v>
      </c>
      <c r="AR1" t="str">
        <v>xDCBeloHorizonteSAPServices</v>
      </c>
      <c r="AS1" t="str">
        <v>xDCBeloHorizonteSupportServices</v>
      </c>
      <c r="AT1" t="str">
        <v>xDCGuadalajaraCloudServicesAWS</v>
      </c>
      <c r="AU1" t="str">
        <v>xDCGuadalajaraCSPServices</v>
      </c>
      <c r="AV1" t="str">
        <v>xDCGuadalajaraDigitalWorkplace</v>
      </c>
      <c r="AW1" t="str">
        <v>xDCGuadalajaraITAMFinOps</v>
      </c>
      <c r="AX1" t="str">
        <v>xDCGurugramApplicationServices</v>
      </c>
      <c r="AY1" t="str">
        <v>xDCGurugramCloudServicesAWS</v>
      </c>
      <c r="AZ1" t="str">
        <v>xDCGurugramCloudServicesAzure</v>
      </c>
      <c r="BA1" t="str">
        <v>xDCGurugramDataAI</v>
      </c>
      <c r="BB1" t="str">
        <v>xDCGurugramDigitalWorkplace</v>
      </c>
      <c r="BC1" t="str">
        <v>xDCGurugramITAMFinOps</v>
      </c>
      <c r="BD1" t="str">
        <v>xDCGurugramOtherServices</v>
      </c>
      <c r="BE1" t="str">
        <v>xDCGurugramProjectManagement</v>
      </c>
      <c r="BF1" t="str">
        <v>xDCGurugramSupportServices</v>
      </c>
      <c r="BG1" t="str">
        <v>xDCMedellinApplicationServices</v>
      </c>
      <c r="BH1" t="str">
        <v>xDCMedellinCloudServicesAWS</v>
      </c>
      <c r="BI1" t="str">
        <v>xDCMedellinCloudServicesAzure</v>
      </c>
      <c r="BJ1" t="str">
        <v>xDCMedellinCybersecurity</v>
      </c>
      <c r="BK1" t="str">
        <v>xDCMedellinDataAI</v>
      </c>
      <c r="BL1" t="str">
        <v>xDCMedellinDigitalWorkplace</v>
      </c>
      <c r="BM1" t="str">
        <v>xDCMedellinHybridManagedServices</v>
      </c>
      <c r="BN1" t="str">
        <v>xDCMedellinITAMFinOps</v>
      </c>
      <c r="BO1" t="str">
        <v>xDCMedellinOtherServices</v>
      </c>
      <c r="BP1" t="str">
        <v>xDCMedellinProjectManagement</v>
      </c>
      <c r="BQ1" t="str">
        <v>xDCMedellinSupportServices</v>
      </c>
      <c r="BR1" t="str">
        <v>xDCSanJoseCloudServicesAWS</v>
      </c>
      <c r="BS1" t="str">
        <v>xDCSanJoseCloudServicesAzure</v>
      </c>
      <c r="BT1" t="str">
        <v>xDCSanJoseCSPServices</v>
      </c>
      <c r="BU1" t="str">
        <v>xDCSanJoseDSCProcurement</v>
      </c>
      <c r="BV1" t="str">
        <v>xDCSanJoseITAMFinOps</v>
      </c>
      <c r="BW1" t="str">
        <v>xDCSanJoseProjectManagement</v>
      </c>
      <c r="BX1" t="str">
        <v>xDCWarsawApplicationServices</v>
      </c>
      <c r="BY1" t="str">
        <v>xDCWarsawCloudServicesAWS</v>
      </c>
      <c r="BZ1" t="str">
        <v>xDCWarsawCloudServicesAzure</v>
      </c>
      <c r="CA1" t="str">
        <v>xDCWarsawCybersecurity</v>
      </c>
      <c r="CB1" t="str">
        <v>xDCWarsawDataAI</v>
      </c>
      <c r="CC1" t="str">
        <v>xDCWarsawDigitalWorkplace</v>
      </c>
      <c r="CD1" t="str">
        <v>xDCWarsawProjectManagement</v>
      </c>
      <c r="CE1" t="str">
        <v>xDCWarsawSAPServices</v>
      </c>
    </row>
    <row r="2" spans="1:182">
      <c r="A2" t="str" cm="1">
        <f t="array" ref="A2:A80">_xlfn.UNIQUE(CostRateTbl[SLCode])</f>
        <v>BrazilApplicationServices</v>
      </c>
      <c r="E2" t="str" cm="1">
        <f t="array" ref="E2:E3">IFERROR(_xlfn._xlws.SORT(_xlfn._xlws.FILTER(CostRateTbl[Role], (CostRateTbl[SLCode]=E1) * (CostRateTbl[CostRateDefault]="Si")),,1),"No Habilitado")</f>
        <v>Lead Expert Application Development</v>
      </c>
      <c r="F2" t="str" cm="1">
        <f t="array" ref="F2">IFERROR(_xlfn._xlws.SORT(_xlfn._xlws.FILTER(CostRateTbl[Role], (CostRateTbl[SLCode]=F1) * (CostRateTbl[CostRateDefault]="Si")),,1),"No Habilitado")</f>
        <v>Sr Expert Technology Implementation &amp; Consulting (General)</v>
      </c>
      <c r="G2" t="str" cm="1">
        <f t="array" ref="G2">IFERROR(_xlfn._xlws.SORT(_xlfn._xlws.FILTER(CostRateTbl[Role], (CostRateTbl[SLCode]=G1) * (CostRateTbl[CostRateDefault]="Si")),,1),"No Habilitado")</f>
        <v>Expert Technology Implementation &amp; Consulting (General)</v>
      </c>
      <c r="H2" t="str" cm="1">
        <f t="array" ref="H2:H3">IFERROR(_xlfn._xlws.SORT(_xlfn._xlws.FILTER(CostRateTbl[Role], (CostRateTbl[SLCode]=H1) * (CostRateTbl[CostRateDefault]="Si")),,1),"No Habilitado")</f>
        <v>Expert Technology Implementation &amp; Consulting (General)</v>
      </c>
      <c r="I2" t="str" cm="1">
        <f t="array" ref="I2:I3">IFERROR(_xlfn._xlws.SORT(_xlfn._xlws.FILTER(CostRateTbl[Role], (CostRateTbl[SLCode]=I1) * (CostRateTbl[CostRateDefault]="Si")),,1),"No Habilitado")</f>
        <v>Expert Technology Implementation &amp; Consulting (General)</v>
      </c>
      <c r="J2" t="str" cm="1">
        <f t="array" ref="J2:J4">IFERROR(_xlfn._xlws.SORT(_xlfn._xlws.FILTER(CostRateTbl[Role], (CostRateTbl[SLCode]=J1) * (CostRateTbl[CostRateDefault]="Si")),,1),"No Habilitado")</f>
        <v>Associate Expert Business Consulting and Advisory</v>
      </c>
      <c r="K2" t="str" cm="1">
        <f t="array" ref="K2:K4">IFERROR(_xlfn._xlws.SORT(_xlfn._xlws.FILTER(CostRateTbl[Role], (CostRateTbl[SLCode]=K1) * (CostRateTbl[CostRateDefault]="Si")),,1),"No Habilitado")</f>
        <v>Associate Expert Technology &amp; Consulting Project Management</v>
      </c>
      <c r="L2" t="str" cm="1">
        <f t="array" ref="L2">IFERROR(_xlfn._xlws.SORT(_xlfn._xlws.FILTER(CostRateTbl[Role], (CostRateTbl[SLCode]=L1) * (CostRateTbl[CostRateDefault]="Si")),,1),"No Habilitado")</f>
        <v>Sr Expert Technology Implementation &amp; Consulting (General)</v>
      </c>
      <c r="M2" t="str" cm="1">
        <f t="array" ref="M2">IFERROR(_xlfn._xlws.SORT(_xlfn._xlws.FILTER(CostRateTbl[Role], (CostRateTbl[SLCode]=M1) * (CostRateTbl[CostRateDefault]="Si")),,1),"No Habilitado")</f>
        <v>Sr Expert Technology &amp; Consulting Project Management</v>
      </c>
      <c r="N2" t="str" cm="1">
        <f t="array" ref="N2:N16">IFERROR(_xlfn._xlws.SORT(_xlfn._xlws.FILTER(CostRateTbl[Role], (CostRateTbl[SLCode]=N1) * (CostRateTbl[CostRateDefault]="Si")),,1),"No Habilitado")</f>
        <v>Associate Expert Application Development</v>
      </c>
      <c r="O2" t="str" cm="1">
        <f t="array" ref="O2:O3">IFERROR(_xlfn._xlws.SORT(_xlfn._xlws.FILTER(CostRateTbl[Role], (CostRateTbl[SLCode]=O1) * (CostRateTbl[CostRateDefault]="Si")),,1),"No Habilitado")</f>
        <v>Expert Managed Operations</v>
      </c>
      <c r="P2" t="str" cm="1">
        <f t="array" ref="P2:P4">IFERROR(_xlfn._xlws.SORT(_xlfn._xlws.FILTER(CostRateTbl[Role], (CostRateTbl[SLCode]=P1) * (CostRateTbl[CostRateDefault]="Si")),,1),"No Habilitado")</f>
        <v>Associate Expert Managed Operations</v>
      </c>
      <c r="Q2" t="str" cm="1">
        <f t="array" ref="Q2:Q10">IFERROR(_xlfn._xlws.SORT(_xlfn._xlws.FILTER(CostRateTbl[Role], (CostRateTbl[SLCode]=Q1) * (CostRateTbl[CostRateDefault]="Si")),,1),"No Habilitado")</f>
        <v>Associate Expert Data Engineering</v>
      </c>
      <c r="R2" t="str" cm="1">
        <f t="array" ref="R2:R4">IFERROR(_xlfn._xlws.SORT(_xlfn._xlws.FILTER(CostRateTbl[Role], (CostRateTbl[SLCode]=R1) * (CostRateTbl[CostRateDefault]="Si")),,1),"No Habilitado")</f>
        <v>Associate Expert Managed Operations</v>
      </c>
      <c r="S2" t="str" cm="1">
        <f t="array" ref="S2:S12">IFERROR(_xlfn._xlws.SORT(_xlfn._xlws.FILTER(CostRateTbl[Role], (CostRateTbl[SLCode]=S1) * (CostRateTbl[CostRateDefault]="Si")),,1),"No Habilitado")</f>
        <v>Associate Expert Application Development</v>
      </c>
      <c r="T2" t="str" cm="1">
        <f t="array" ref="T2:T8">IFERROR(_xlfn._xlws.SORT(_xlfn._xlws.FILTER(CostRateTbl[Role], (CostRateTbl[SLCode]=T1) * (CostRateTbl[CostRateDefault]="Si")),,1),"No Habilitado")</f>
        <v>Associate Expert Managed Operations</v>
      </c>
      <c r="U2" t="str" cm="1">
        <f t="array" ref="U2">IFERROR(_xlfn._xlws.SORT(_xlfn._xlws.FILTER(CostRateTbl[Role], (CostRateTbl[SLCode]=U1) * (CostRateTbl[CostRateDefault]="Si")),,1),"No Habilitado")</f>
        <v>Sr Expert Technology Implementation &amp; Consulting (General)</v>
      </c>
      <c r="V2" t="str" cm="1">
        <f t="array" ref="V2">IFERROR(_xlfn._xlws.SORT(_xlfn._xlws.FILTER(CostRateTbl[Role], (CostRateTbl[SLCode]=V1) * (CostRateTbl[CostRateDefault]="Si")),,1),"No Habilitado")</f>
        <v>Associate Expert Managed Operations</v>
      </c>
      <c r="W2" t="str" cm="1">
        <f t="array" ref="W2:W3">IFERROR(_xlfn._xlws.SORT(_xlfn._xlws.FILTER(CostRateTbl[Role], (CostRateTbl[SLCode]=W1) * (CostRateTbl[CostRateDefault]="Si")),,1),"No Habilitado")</f>
        <v>Associate Expert Managed Operations</v>
      </c>
      <c r="X2" t="str" cm="1">
        <f t="array" ref="X2:X6">IFERROR(_xlfn._xlws.SORT(_xlfn._xlws.FILTER(CostRateTbl[Role], (CostRateTbl[SLCode]=X1) * (CostRateTbl[CostRateDefault]="Si")),,1),"No Habilitado")</f>
        <v>Associate Expert Managed Operations</v>
      </c>
      <c r="Y2" t="str" cm="1">
        <f t="array" ref="Y2">IFERROR(_xlfn._xlws.SORT(_xlfn._xlws.FILTER(CostRateTbl[Role], (CostRateTbl[SLCode]=Y1) * (CostRateTbl[CostRateDefault]="Si")),,1),"No Habilitado")</f>
        <v>Sr Expert Technology &amp; Consulting Project Management</v>
      </c>
      <c r="Z2" t="str" cm="1">
        <f t="array" ref="Z2">IFERROR(_xlfn._xlws.SORT(_xlfn._xlws.FILTER(CostRateTbl[Role], (CostRateTbl[SLCode]=Z1) * (CostRateTbl[CostRateDefault]="Si")),,1),"No Habilitado")</f>
        <v>Associate Expert Technology &amp; Consulting Project Management</v>
      </c>
      <c r="AA2" t="str" cm="1">
        <f t="array" ref="AA2">IFERROR(_xlfn._xlws.SORT(_xlfn._xlws.FILTER(CostRateTbl[Role], (CostRateTbl[SLCode]=AA1) * (CostRateTbl[CostRateDefault]="Si")),,1),"No Habilitado")</f>
        <v>Expert Technology Implementation &amp; Consulting (General)</v>
      </c>
      <c r="AB2" t="str" cm="1">
        <f t="array" ref="AB2:AB5">IFERROR(_xlfn._xlws.SORT(_xlfn._xlws.FILTER(CostRateTbl[Role], (CostRateTbl[SLCode]=AB1) * (CostRateTbl[CostRateDefault]="Si")),,1),"No Habilitado")</f>
        <v>Associate Expert Information Technology (General)</v>
      </c>
      <c r="AC2" t="str" cm="1">
        <f t="array" ref="AC2:AC3">IFERROR(_xlfn._xlws.SORT(_xlfn._xlws.FILTER(CostRateTbl[Role], (CostRateTbl[SLCode]=AC1) * (CostRateTbl[CostRateDefault]="Si")),,1),"No Habilitado")</f>
        <v>Associate Expert Managed Operations</v>
      </c>
      <c r="AD2" t="str" cm="1">
        <f t="array" ref="AD2">IFERROR(_xlfn._xlws.SORT(_xlfn._xlws.FILTER(CostRateTbl[Role], (CostRateTbl[SLCode]=AD1) * (CostRateTbl[CostRateDefault]="Si")),,1),"No Habilitado")</f>
        <v>Associate Expert Managed Operations</v>
      </c>
      <c r="AE2" t="str" cm="1">
        <f t="array" ref="AE2">IFERROR(_xlfn._xlws.SORT(_xlfn._xlws.FILTER(CostRateTbl[Role], (CostRateTbl[SLCode]=AE1) * (CostRateTbl[CostRateDefault]="Si")),,1),"No Habilitado")</f>
        <v>Associate Expert Managed Operations</v>
      </c>
      <c r="AF2" t="str" cm="1">
        <f t="array" ref="AF2:AF14">IFERROR(_xlfn._xlws.SORT(_xlfn._xlws.FILTER(CostRateTbl[Role], (CostRateTbl[SLCode]=AF1) * (CostRateTbl[CostRateDefault]="Si")),,1),"No Habilitado")</f>
        <v>Associate Expert Application Development</v>
      </c>
      <c r="AG2" t="str" cm="1">
        <f t="array" ref="AG2:AG4">IFERROR(_xlfn._xlws.SORT(_xlfn._xlws.FILTER(CostRateTbl[Role], (CostRateTbl[SLCode]=AG1) * (CostRateTbl[CostRateDefault]="Si")),,1),"No Habilitado")</f>
        <v>Associate Expert Technology Implementation &amp; Consulting (General)</v>
      </c>
      <c r="AH2" t="str" cm="1">
        <f t="array" ref="AH2:AH4">IFERROR(_xlfn._xlws.SORT(_xlfn._xlws.FILTER(CostRateTbl[Role], (CostRateTbl[SLCode]=AH1) * (CostRateTbl[CostRateDefault]="Si")),,1),"No Habilitado")</f>
        <v>Associate Expert Technology Implementation &amp; Consulting (General)</v>
      </c>
      <c r="AI2" t="str" cm="1">
        <f t="array" ref="AI2:AI4">IFERROR(_xlfn._xlws.SORT(_xlfn._xlws.FILTER(CostRateTbl[Role], (CostRateTbl[SLCode]=AI1) * (CostRateTbl[CostRateDefault]="Si")),,1),"No Habilitado")</f>
        <v>Associate Expert Managed Operations</v>
      </c>
      <c r="AJ2" t="str" cm="1">
        <f t="array" ref="AJ2:AJ6">IFERROR(_xlfn._xlws.SORT(_xlfn._xlws.FILTER(CostRateTbl[Role], (CostRateTbl[SLCode]=AJ1) * (CostRateTbl[CostRateDefault]="Si")),,1),"No Habilitado")</f>
        <v>Associate Expert Data Intelligence (General)</v>
      </c>
      <c r="AK2" t="str" cm="1">
        <f t="array" ref="AK2:AK4">IFERROR(_xlfn._xlws.SORT(_xlfn._xlws.FILTER(CostRateTbl[Role], (CostRateTbl[SLCode]=AK1) * (CostRateTbl[CostRateDefault]="Si")),,1),"No Habilitado")</f>
        <v>Associate Expert Technology Implementation &amp; Consulting (General)</v>
      </c>
      <c r="AL2" t="str" cm="1">
        <f t="array" ref="AL2:AL5">IFERROR(_xlfn._xlws.SORT(_xlfn._xlws.FILTER(CostRateTbl[Role], (CostRateTbl[SLCode]=AL1) * (CostRateTbl[CostRateDefault]="Si")),,1),"No Habilitado")</f>
        <v>Associate Expert Business Consulting and Advisory</v>
      </c>
      <c r="AM2" t="str" cm="1">
        <f t="array" ref="AM2:AM9">IFERROR(_xlfn._xlws.SORT(_xlfn._xlws.FILTER(CostRateTbl[Role], (CostRateTbl[SLCode]=AM1) * (CostRateTbl[CostRateDefault]="Si")),,1),"No Habilitado")</f>
        <v>Associate Expert Information Technology (General)</v>
      </c>
      <c r="AN2" t="str" cm="1">
        <f t="array" ref="AN2:AN5">IFERROR(_xlfn._xlws.SORT(_xlfn._xlws.FILTER(CostRateTbl[Role], (CostRateTbl[SLCode]=AN1) * (CostRateTbl[CostRateDefault]="Si")),,1),"No Habilitado")</f>
        <v>Associate Expert Technology &amp; Consulting Project Management</v>
      </c>
      <c r="AO2" t="str" cm="1">
        <f t="array" ref="AO2:AO8">IFERROR(_xlfn._xlws.SORT(_xlfn._xlws.FILTER(CostRateTbl[Role], (CostRateTbl[SLCode]=AO1) * (CostRateTbl[CostRateDefault]="Si")),,1),"No Habilitado")</f>
        <v>Associate Expert Application Development</v>
      </c>
      <c r="AP2" t="str" cm="1">
        <f t="array" ref="AP2:AP4">IFERROR(_xlfn._xlws.SORT(_xlfn._xlws.FILTER(CostRateTbl[Role], (CostRateTbl[SLCode]=AP1) * (CostRateTbl[CostRateDefault]="Si")),,1),"No Habilitado")</f>
        <v>Academy</v>
      </c>
      <c r="AQ2" t="str" cm="1">
        <f t="array" ref="AQ2">IFERROR(_xlfn._xlws.SORT(_xlfn._xlws.FILTER(CostRateTbl[Role], (CostRateTbl[SLCode]=AQ1) * (CostRateTbl[CostRateDefault]="Si")),,1),"No Habilitado")</f>
        <v>Associate Expert Managed Operations</v>
      </c>
      <c r="AR2" t="str" cm="1">
        <f t="array" ref="AR2:AR6">IFERROR(_xlfn._xlws.SORT(_xlfn._xlws.FILTER(CostRateTbl[Role], (CostRateTbl[SLCode]=AR1) * (CostRateTbl[CostRateDefault]="Si")),,1),"No Habilitado")</f>
        <v>Associate Expert Technology Implementation &amp; Consulting (General)</v>
      </c>
      <c r="AS2" t="str" cm="1">
        <f t="array" ref="AS2:AS7">IFERROR(_xlfn._xlws.SORT(_xlfn._xlws.FILTER(CostRateTbl[Role], (CostRateTbl[SLCode]=AS1) * (CostRateTbl[CostRateDefault]="Si")),,1),"No Habilitado")</f>
        <v>Associate Expert Managed Operations</v>
      </c>
      <c r="AT2" t="str" cm="1">
        <f t="array" ref="AT2">IFERROR(_xlfn._xlws.SORT(_xlfn._xlws.FILTER(CostRateTbl[Role], (CostRateTbl[SLCode]=AT1) * (CostRateTbl[CostRateDefault]="Si")),,1),"No Habilitado")</f>
        <v>Sr Expert Technology Implementation &amp; Consulting (General)</v>
      </c>
      <c r="AU2" t="str" cm="1">
        <f t="array" ref="AU2:AU3">IFERROR(_xlfn._xlws.SORT(_xlfn._xlws.FILTER(CostRateTbl[Role], (CostRateTbl[SLCode]=AU1) * (CostRateTbl[CostRateDefault]="Si")),,1),"No Habilitado")</f>
        <v>Associate Expert Technology Implementation &amp; Consulting (General)</v>
      </c>
      <c r="AV2" t="str" cm="1">
        <f t="array" ref="AV2:AV4">IFERROR(_xlfn._xlws.SORT(_xlfn._xlws.FILTER(CostRateTbl[Role], (CostRateTbl[SLCode]=AV1) * (CostRateTbl[CostRateDefault]="Si")),,1),"No Habilitado")</f>
        <v>Associate Expert Business Consulting and Advisory</v>
      </c>
      <c r="AW2" t="str" cm="1">
        <f t="array" ref="AW2:AW4">IFERROR(_xlfn._xlws.SORT(_xlfn._xlws.FILTER(CostRateTbl[Role], (CostRateTbl[SLCode]=AW1) * (CostRateTbl[CostRateDefault]="Si")),,1),"No Habilitado")</f>
        <v>Associate Expert Business Consulting and Advisory</v>
      </c>
      <c r="AX2" t="str" cm="1">
        <f t="array" ref="AX2:AX6">IFERROR(_xlfn._xlws.SORT(_xlfn._xlws.FILTER(CostRateTbl[Role], (CostRateTbl[SLCode]=AX1) * (CostRateTbl[CostRateDefault]="Si")),,1),"No Habilitado")</f>
        <v>Associate Expert Application Development</v>
      </c>
      <c r="AY2" t="str" cm="1">
        <f t="array" ref="AY2:AY3">IFERROR(_xlfn._xlws.SORT(_xlfn._xlws.FILTER(CostRateTbl[Role], (CostRateTbl[SLCode]=AY1) * (CostRateTbl[CostRateDefault]="Si")),,1),"No Habilitado")</f>
        <v>Associate Expert Technology Implementation &amp; Consulting (General)</v>
      </c>
      <c r="AZ2" t="str" cm="1">
        <f t="array" ref="AZ2:AZ5">IFERROR(_xlfn._xlws.SORT(_xlfn._xlws.FILTER(CostRateTbl[Role], (CostRateTbl[SLCode]=AZ1) * (CostRateTbl[CostRateDefault]="Si")),,1),"No Habilitado")</f>
        <v>Associate Expert Technology Implementation &amp; Consulting (General)</v>
      </c>
      <c r="BA2" t="str" cm="1">
        <f t="array" ref="BA2:BA4">IFERROR(_xlfn._xlws.SORT(_xlfn._xlws.FILTER(CostRateTbl[Role], (CostRateTbl[SLCode]=BA1) * (CostRateTbl[CostRateDefault]="Si")),,1),"No Habilitado")</f>
        <v>Associate Expert Application Development</v>
      </c>
      <c r="BB2" t="str" cm="1">
        <f t="array" ref="BB2:BB4">IFERROR(_xlfn._xlws.SORT(_xlfn._xlws.FILTER(CostRateTbl[Role], (CostRateTbl[SLCode]=BB1) * (CostRateTbl[CostRateDefault]="Si")),,1),"No Habilitado")</f>
        <v>Associate Expert Technology Implementation &amp; Consulting (General)</v>
      </c>
      <c r="BC2" t="str" cm="1">
        <f t="array" ref="BC2:BC6">IFERROR(_xlfn._xlws.SORT(_xlfn._xlws.FILTER(CostRateTbl[Role], (CostRateTbl[SLCode]=BC1) * (CostRateTbl[CostRateDefault]="Si")),,1),"No Habilitado")</f>
        <v>Associate Expert Business Consulting and Advisory</v>
      </c>
      <c r="BD2" t="str" cm="1">
        <f t="array" ref="BD2:BD3">IFERROR(_xlfn._xlws.SORT(_xlfn._xlws.FILTER(CostRateTbl[Role], (CostRateTbl[SLCode]=BD1) * (CostRateTbl[CostRateDefault]="Si")),,1),"No Habilitado")</f>
        <v>Associate Expert Technology Implementation &amp; Consulting (General)</v>
      </c>
      <c r="BE2" t="str" cm="1">
        <f t="array" ref="BE2:BE4">IFERROR(_xlfn._xlws.SORT(_xlfn._xlws.FILTER(CostRateTbl[Role], (CostRateTbl[SLCode]=BE1) * (CostRateTbl[CostRateDefault]="Si")),,1),"No Habilitado")</f>
        <v>Associate Expert Technology &amp; Consulting Project Management</v>
      </c>
      <c r="BF2" t="str" cm="1">
        <f t="array" ref="BF2:BF5">IFERROR(_xlfn._xlws.SORT(_xlfn._xlws.FILTER(CostRateTbl[Role], (CostRateTbl[SLCode]=BF1) * (CostRateTbl[CostRateDefault]="Si")),,1),"No Habilitado")</f>
        <v>Associate Expert Data Analytics</v>
      </c>
      <c r="BG2" t="str" cm="1">
        <f t="array" ref="BG2:BG12">IFERROR(_xlfn._xlws.SORT(_xlfn._xlws.FILTER(CostRateTbl[Role], (CostRateTbl[SLCode]=BG1) * (CostRateTbl[CostRateDefault]="Si")),,1),"No Habilitado")</f>
        <v>Associate Expert Application Development</v>
      </c>
      <c r="BH2" t="str" cm="1">
        <f t="array" ref="BH2:BH5">IFERROR(_xlfn._xlws.SORT(_xlfn._xlws.FILTER(CostRateTbl[Role], (CostRateTbl[SLCode]=BH1) * (CostRateTbl[CostRateDefault]="Si")),,1),"No Habilitado")</f>
        <v>Expert Technology Implementation &amp; Consulting (General)</v>
      </c>
      <c r="BI2" t="str" cm="1">
        <f t="array" ref="BI2:BI4">IFERROR(_xlfn._xlws.SORT(_xlfn._xlws.FILTER(CostRateTbl[Role], (CostRateTbl[SLCode]=BI1) * (CostRateTbl[CostRateDefault]="Si")),,1),"No Habilitado")</f>
        <v>Expert Technology Implementation &amp; Consulting (General)</v>
      </c>
      <c r="BJ2" t="str" cm="1">
        <f t="array" ref="BJ2:BJ6">IFERROR(_xlfn._xlws.SORT(_xlfn._xlws.FILTER(CostRateTbl[Role], (CostRateTbl[SLCode]=BJ1) * (CostRateTbl[CostRateDefault]="Si")),,1),"No Habilitado")</f>
        <v>Associate Expert Managed Operations</v>
      </c>
      <c r="BK2" t="str" cm="1">
        <f t="array" ref="BK2:BK3">IFERROR(_xlfn._xlws.SORT(_xlfn._xlws.FILTER(CostRateTbl[Role], (CostRateTbl[SLCode]=BK1) * (CostRateTbl[CostRateDefault]="Si")),,1),"No Habilitado")</f>
        <v>Associate Expert Data Intelligence (General)</v>
      </c>
      <c r="BL2" t="str" cm="1">
        <f t="array" ref="BL2:BL5">IFERROR(_xlfn._xlws.SORT(_xlfn._xlws.FILTER(CostRateTbl[Role], (CostRateTbl[SLCode]=BL1) * (CostRateTbl[CostRateDefault]="Si")),,1),"No Habilitado")</f>
        <v>Associate Expert Technology Implementation &amp; Consulting (General)</v>
      </c>
      <c r="BM2" t="str" cm="1">
        <f t="array" ref="BM2:BM7">IFERROR(_xlfn._xlws.SORT(_xlfn._xlws.FILTER(CostRateTbl[Role], (CostRateTbl[SLCode]=BM1) * (CostRateTbl[CostRateDefault]="Si")),,1),"No Habilitado")</f>
        <v>Associate Expert Managed Operations</v>
      </c>
      <c r="BN2" t="str" cm="1">
        <f t="array" ref="BN2:BN5">IFERROR(_xlfn._xlws.SORT(_xlfn._xlws.FILTER(CostRateTbl[Role], (CostRateTbl[SLCode]=BN1) * (CostRateTbl[CostRateDefault]="Si")),,1),"No Habilitado")</f>
        <v>Associate Expert Business Consulting and Advisory</v>
      </c>
      <c r="BO2" t="str" cm="1">
        <f t="array" ref="BO2:BO3">IFERROR(_xlfn._xlws.SORT(_xlfn._xlws.FILTER(CostRateTbl[Role], (CostRateTbl[SLCode]=BO1) * (CostRateTbl[CostRateDefault]="Si")),,1),"No Habilitado")</f>
        <v>Associate Expert Managed Operations</v>
      </c>
      <c r="BP2" t="str" cm="1">
        <f t="array" ref="BP2:BP3">IFERROR(_xlfn._xlws.SORT(_xlfn._xlws.FILTER(CostRateTbl[Role], (CostRateTbl[SLCode]=BP1) * (CostRateTbl[CostRateDefault]="Si")),,1),"No Habilitado")</f>
        <v>Expert Technology &amp; Consulting Project Management</v>
      </c>
      <c r="BQ2" t="str" cm="1">
        <f t="array" ref="BQ2">IFERROR(_xlfn._xlws.SORT(_xlfn._xlws.FILTER(CostRateTbl[Role], (CostRateTbl[SLCode]=BQ1) * (CostRateTbl[CostRateDefault]="Si")),,1),"No Habilitado")</f>
        <v>Expert Technology &amp; Consulting Project Management</v>
      </c>
      <c r="BR2" t="str" cm="1">
        <f t="array" ref="BR2">IFERROR(_xlfn._xlws.SORT(_xlfn._xlws.FILTER(CostRateTbl[Role], (CostRateTbl[SLCode]=BR1) * (CostRateTbl[CostRateDefault]="Si")),,1),"No Habilitado")</f>
        <v>Sr Expert Technology Implementation &amp; Consulting (General)</v>
      </c>
      <c r="BS2" t="str" cm="1">
        <f t="array" ref="BS2">IFERROR(_xlfn._xlws.SORT(_xlfn._xlws.FILTER(CostRateTbl[Role], (CostRateTbl[SLCode]=BS1) * (CostRateTbl[CostRateDefault]="Si")),,1),"No Habilitado")</f>
        <v>Expert Technology Implementation &amp; Consulting (General)</v>
      </c>
      <c r="BT2" t="str" cm="1">
        <f t="array" ref="BT2">IFERROR(_xlfn._xlws.SORT(_xlfn._xlws.FILTER(CostRateTbl[Role], (CostRateTbl[SLCode]=BT1) * (CostRateTbl[CostRateDefault]="Si")),,1),"No Habilitado")</f>
        <v>Expert Technology Implementation &amp; Consulting (General)</v>
      </c>
      <c r="BU2" t="str" cm="1">
        <f t="array" ref="BU2:BU3">IFERROR(_xlfn._xlws.SORT(_xlfn._xlws.FILTER(CostRateTbl[Role], (CostRateTbl[SLCode]=BU1) * (CostRateTbl[CostRateDefault]="Si")),,1),"No Habilitado")</f>
        <v>Expert Business Consulting and Advisory</v>
      </c>
      <c r="BV2" t="str" cm="1">
        <f t="array" ref="BV2:BV5">IFERROR(_xlfn._xlws.SORT(_xlfn._xlws.FILTER(CostRateTbl[Role], (CostRateTbl[SLCode]=BV1) * (CostRateTbl[CostRateDefault]="Si")),,1),"No Habilitado")</f>
        <v>Associate Expert Business Consulting and Advisory</v>
      </c>
      <c r="BW2" t="str" cm="1">
        <f t="array" ref="BW2:BW4">IFERROR(_xlfn._xlws.SORT(_xlfn._xlws.FILTER(CostRateTbl[Role], (CostRateTbl[SLCode]=BW1) * (CostRateTbl[CostRateDefault]="Si")),,1),"No Habilitado")</f>
        <v>Expert Technology &amp; Consulting Project Management</v>
      </c>
      <c r="BX2" t="str" cm="1">
        <f t="array" ref="BX2:BX5">IFERROR(_xlfn._xlws.SORT(_xlfn._xlws.FILTER(CostRateTbl[Role], (CostRateTbl[SLCode]=BX1) * (CostRateTbl[CostRateDefault]="Si")),,1),"No Habilitado")</f>
        <v>Associate Expert Application Development</v>
      </c>
      <c r="BY2" t="str" cm="1">
        <f t="array" ref="BY2">IFERROR(_xlfn._xlws.SORT(_xlfn._xlws.FILTER(CostRateTbl[Role], (CostRateTbl[SLCode]=BY1) * (CostRateTbl[CostRateDefault]="Si")),,1),"No Habilitado")</f>
        <v>Sr Expert Technology Implementation &amp; Consulting (General)</v>
      </c>
      <c r="BZ2" t="str" cm="1">
        <f t="array" ref="BZ2:BZ5">IFERROR(_xlfn._xlws.SORT(_xlfn._xlws.FILTER(CostRateTbl[Role], (CostRateTbl[SLCode]=BZ1) * (CostRateTbl[CostRateDefault]="Si")),,1),"No Habilitado")</f>
        <v>Associate Expert Technology Implementation &amp; Consulting (General)</v>
      </c>
      <c r="CA2" t="str" cm="1">
        <f t="array" ref="CA2">IFERROR(_xlfn._xlws.SORT(_xlfn._xlws.FILTER(CostRateTbl[Role], (CostRateTbl[SLCode]=CA1) * (CostRateTbl[CostRateDefault]="Si")),,1),"No Habilitado")</f>
        <v>Lead Expert Technology Implementation &amp; Consulting (General)</v>
      </c>
      <c r="CB2" t="str" cm="1">
        <f t="array" ref="CB2:CB5">IFERROR(_xlfn._xlws.SORT(_xlfn._xlws.FILTER(CostRateTbl[Role], (CostRateTbl[SLCode]=CB1) * (CostRateTbl[CostRateDefault]="Si")),,1),"No Habilitado")</f>
        <v>Associate Expert Data Intelligence (General)</v>
      </c>
      <c r="CC2" t="str" cm="1">
        <f t="array" ref="CC2:CC5">IFERROR(_xlfn._xlws.SORT(_xlfn._xlws.FILTER(CostRateTbl[Role], (CostRateTbl[SLCode]=CC1) * (CostRateTbl[CostRateDefault]="Si")),,1),"No Habilitado")</f>
        <v>Associate Expert Technology Implementation &amp; Consulting (General)</v>
      </c>
      <c r="CD2" t="str" cm="1">
        <f t="array" ref="CD2:CD4">IFERROR(_xlfn._xlws.SORT(_xlfn._xlws.FILTER(CostRateTbl[Role], (CostRateTbl[SLCode]=CD1) * (CostRateTbl[CostRateDefault]="Si")),,1),"No Habilitado")</f>
        <v>Expert Technology &amp; Consulting Project Management</v>
      </c>
      <c r="CE2" t="str" cm="1">
        <f t="array" ref="CE2:CE5">IFERROR(_xlfn._xlws.SORT(_xlfn._xlws.FILTER(CostRateTbl[Role], (CostRateTbl[SLCode]=CE1) * (CostRateTbl[CostRateDefault]="Si")),,1),"No Habilitado")</f>
        <v>Associate Expert Technology Implementation &amp; Consulting (General)</v>
      </c>
      <c r="CF2" t="str" cm="1">
        <f t="array" ref="CF2">IFERROR(_xlfn._xlws.SORT(_xlfn._xlws.FILTER(CostRateTbl[Role], (CostRateTbl[SLCode]=CF1) * (CostRateTbl[CostRateDefault]="Si")),,1),"No Habilitado")</f>
        <v>No Habilitado</v>
      </c>
      <c r="CG2" t="str" cm="1">
        <f t="array" ref="CG2">IFERROR(_xlfn._xlws.SORT(_xlfn._xlws.FILTER(CostRateTbl[Role], (CostRateTbl[SLCode]=CG1) * (CostRateTbl[CostRateDefault]="Si")),,1),"No Habilitado")</f>
        <v>No Habilitado</v>
      </c>
      <c r="CH2" t="str" cm="1">
        <f t="array" ref="CH2">IFERROR(_xlfn._xlws.SORT(_xlfn._xlws.FILTER(CostRateTbl[Role], (CostRateTbl[SLCode]=CH1) * (CostRateTbl[CostRateDefault]="Si")),,1),"No Habilitado")</f>
        <v>No Habilitado</v>
      </c>
      <c r="CI2" t="str" cm="1">
        <f t="array" ref="CI2">IFERROR(_xlfn._xlws.SORT(_xlfn._xlws.FILTER(CostRateTbl[Role], (CostRateTbl[SLCode]=CI1) * (CostRateTbl[CostRateDefault]="Si")),,1),"No Habilitado")</f>
        <v>No Habilitado</v>
      </c>
      <c r="CJ2" t="str" cm="1">
        <f t="array" ref="CJ2">IFERROR(_xlfn._xlws.SORT(_xlfn._xlws.FILTER(CostRateTbl[Role], (CostRateTbl[SLCode]=CJ1) * (CostRateTbl[CostRateDefault]="Si")),,1),"No Habilitado")</f>
        <v>No Habilitado</v>
      </c>
      <c r="CK2" t="str" cm="1">
        <f t="array" ref="CK2">IFERROR(_xlfn._xlws.SORT(_xlfn._xlws.FILTER(CostRateTbl[Role], (CostRateTbl[SLCode]=CK1) * (CostRateTbl[CostRateDefault]="Si")),,1),"No Habilitado")</f>
        <v>No Habilitado</v>
      </c>
      <c r="CL2" t="str" cm="1">
        <f t="array" ref="CL2">IFERROR(_xlfn._xlws.SORT(_xlfn._xlws.FILTER(CostRateTbl[Role], (CostRateTbl[SLCode]=CL1) * (CostRateTbl[CostRateDefault]="Si")),,1),"No Habilitado")</f>
        <v>No Habilitado</v>
      </c>
      <c r="CM2" t="str" cm="1">
        <f t="array" ref="CM2">IFERROR(_xlfn._xlws.SORT(_xlfn._xlws.FILTER(CostRateTbl[Role], (CostRateTbl[SLCode]=CM1) * (CostRateTbl[CostRateDefault]="Si")),,1),"No Habilitado")</f>
        <v>No Habilitado</v>
      </c>
      <c r="CN2" t="str" cm="1">
        <f t="array" ref="CN2">IFERROR(_xlfn._xlws.SORT(_xlfn._xlws.FILTER(CostRateTbl[Role], (CostRateTbl[SLCode]=CN1) * (CostRateTbl[CostRateDefault]="Si")),,1),"No Habilitado")</f>
        <v>No Habilitado</v>
      </c>
      <c r="CO2" t="str" cm="1">
        <f t="array" ref="CO2">IFERROR(_xlfn._xlws.SORT(_xlfn._xlws.FILTER(CostRateTbl[Role], (CostRateTbl[SLCode]=CO1) * (CostRateTbl[CostRateDefault]="Si")),,1),"No Habilitado")</f>
        <v>No Habilitado</v>
      </c>
      <c r="CP2" t="str" cm="1">
        <f t="array" ref="CP2">IFERROR(_xlfn._xlws.SORT(_xlfn._xlws.FILTER(CostRateTbl[Role], (CostRateTbl[SLCode]=CP1) * (CostRateTbl[CostRateDefault]="Si")),,1),"No Habilitado")</f>
        <v>No Habilitado</v>
      </c>
      <c r="CQ2" t="str" cm="1">
        <f t="array" ref="CQ2">IFERROR(_xlfn._xlws.SORT(_xlfn._xlws.FILTER(CostRateTbl[Role], (CostRateTbl[SLCode]=CQ1) * (CostRateTbl[CostRateDefault]="Si")),,1),"No Habilitado")</f>
        <v>No Habilitado</v>
      </c>
      <c r="CR2" t="str" cm="1">
        <f t="array" ref="CR2">IFERROR(_xlfn._xlws.SORT(_xlfn._xlws.FILTER(CostRateTbl[Role], (CostRateTbl[SLCode]=CR1) * (CostRateTbl[CostRateDefault]="Si")),,1),"No Habilitado")</f>
        <v>No Habilitado</v>
      </c>
      <c r="CS2" t="str" cm="1">
        <f t="array" ref="CS2">IFERROR(_xlfn._xlws.SORT(_xlfn._xlws.FILTER(CostRateTbl[Role], (CostRateTbl[SLCode]=CS1) * (CostRateTbl[CostRateDefault]="Si")),,1),"No Habilitado")</f>
        <v>No Habilitado</v>
      </c>
      <c r="CT2" t="str" cm="1">
        <f t="array" ref="CT2">IFERROR(_xlfn._xlws.SORT(_xlfn._xlws.FILTER(CostRateTbl[Role], (CostRateTbl[SLCode]=CT1) * (CostRateTbl[CostRateDefault]="Si")),,1),"No Habilitado")</f>
        <v>No Habilitado</v>
      </c>
      <c r="CU2" t="str" cm="1">
        <f t="array" ref="CU2">IFERROR(_xlfn._xlws.SORT(_xlfn._xlws.FILTER(CostRateTbl[Role], (CostRateTbl[SLCode]=CU1) * (CostRateTbl[CostRateDefault]="Si")),,1),"No Habilitado")</f>
        <v>No Habilitado</v>
      </c>
      <c r="CV2" t="str" cm="1">
        <f t="array" ref="CV2">IFERROR(_xlfn._xlws.SORT(_xlfn._xlws.FILTER(CostRateTbl[Role], (CostRateTbl[SLCode]=CV1) * (CostRateTbl[CostRateDefault]="Si")),,1),"No Habilitado")</f>
        <v>No Habilitado</v>
      </c>
      <c r="CW2" t="str" cm="1">
        <f t="array" ref="CW2">IFERROR(_xlfn._xlws.SORT(_xlfn._xlws.FILTER(CostRateTbl[Role], (CostRateTbl[SLCode]=CW1) * (CostRateTbl[CostRateDefault]="Si")),,1),"No Habilitado")</f>
        <v>No Habilitado</v>
      </c>
      <c r="CX2" t="str" cm="1">
        <f t="array" ref="CX2">IFERROR(_xlfn._xlws.SORT(_xlfn._xlws.FILTER(CostRateTbl[Role], (CostRateTbl[SLCode]=CX1) * (CostRateTbl[CostRateDefault]="Si")),,1),"No Habilitado")</f>
        <v>No Habilitado</v>
      </c>
      <c r="CY2" t="str" cm="1">
        <f t="array" ref="CY2">IFERROR(_xlfn._xlws.SORT(_xlfn._xlws.FILTER(CostRateTbl[Role], (CostRateTbl[SLCode]=CY1) * (CostRateTbl[CostRateDefault]="Si")),,1),"No Habilitado")</f>
        <v>No Habilitado</v>
      </c>
      <c r="CZ2" t="str" cm="1">
        <f t="array" ref="CZ2">IFERROR(_xlfn._xlws.SORT(_xlfn._xlws.FILTER(CostRateTbl[Role], (CostRateTbl[SLCode]=CZ1) * (CostRateTbl[CostRateDefault]="Si")),,1),"No Habilitado")</f>
        <v>No Habilitado</v>
      </c>
      <c r="DA2" t="str" cm="1">
        <f t="array" ref="DA2">IFERROR(_xlfn._xlws.SORT(_xlfn._xlws.FILTER(CostRateTbl[Role], (CostRateTbl[SLCode]=DA1) * (CostRateTbl[CostRateDefault]="Si")),,1),"No Habilitado")</f>
        <v>No Habilitado</v>
      </c>
      <c r="DB2" t="str" cm="1">
        <f t="array" ref="DB2">IFERROR(_xlfn._xlws.SORT(_xlfn._xlws.FILTER(CostRateTbl[Role], (CostRateTbl[SLCode]=DB1) * (CostRateTbl[CostRateDefault]="Si")),,1),"No Habilitado")</f>
        <v>No Habilitado</v>
      </c>
      <c r="DC2" t="str" cm="1">
        <f t="array" ref="DC2">IFERROR(_xlfn._xlws.SORT(_xlfn._xlws.FILTER(CostRateTbl[Role], (CostRateTbl[SLCode]=DC1) * (CostRateTbl[CostRateDefault]="Si")),,1),"No Habilitado")</f>
        <v>No Habilitado</v>
      </c>
      <c r="DD2" t="str" cm="1">
        <f t="array" ref="DD2">IFERROR(_xlfn._xlws.SORT(_xlfn._xlws.FILTER(CostRateTbl[Role], (CostRateTbl[SLCode]=DD1) * (CostRateTbl[CostRateDefault]="Si")),,1),"No Habilitado")</f>
        <v>No Habilitado</v>
      </c>
      <c r="DE2" t="str" cm="1">
        <f t="array" ref="DE2">IFERROR(_xlfn._xlws.SORT(_xlfn._xlws.FILTER(CostRateTbl[Role], (CostRateTbl[SLCode]=DE1) * (CostRateTbl[CostRateDefault]="Si")),,1),"No Habilitado")</f>
        <v>No Habilitado</v>
      </c>
      <c r="DF2" t="str" cm="1">
        <f t="array" ref="DF2">IFERROR(_xlfn._xlws.SORT(_xlfn._xlws.FILTER(CostRateTbl[Role], (CostRateTbl[SLCode]=DF1) * (CostRateTbl[CostRateDefault]="Si")),,1),"No Habilitado")</f>
        <v>No Habilitado</v>
      </c>
      <c r="DG2" t="str" cm="1">
        <f t="array" ref="DG2">IFERROR(_xlfn._xlws.SORT(_xlfn._xlws.FILTER(CostRateTbl[Role], (CostRateTbl[SLCode]=DG1) * (CostRateTbl[CostRateDefault]="Si")),,1),"No Habilitado")</f>
        <v>No Habilitado</v>
      </c>
      <c r="DH2" t="str" cm="1">
        <f t="array" ref="DH2">IFERROR(_xlfn._xlws.SORT(_xlfn._xlws.FILTER(CostRateTbl[Role], (CostRateTbl[SLCode]=DH1) * (CostRateTbl[CostRateDefault]="Si")),,1),"No Habilitado")</f>
        <v>No Habilitado</v>
      </c>
      <c r="DI2" t="str" cm="1">
        <f t="array" ref="DI2">IFERROR(_xlfn._xlws.SORT(_xlfn._xlws.FILTER(CostRateTbl[Role], (CostRateTbl[SLCode]=DI1) * (CostRateTbl[CostRateDefault]="Si")),,1),"No Habilitado")</f>
        <v>No Habilitado</v>
      </c>
      <c r="DJ2" t="str" cm="1">
        <f t="array" ref="DJ2">IFERROR(_xlfn._xlws.SORT(_xlfn._xlws.FILTER(CostRateTbl[Role], (CostRateTbl[SLCode]=DJ1) * (CostRateTbl[CostRateDefault]="Si")),,1),"No Habilitado")</f>
        <v>No Habilitado</v>
      </c>
      <c r="DK2" t="str" cm="1">
        <f t="array" ref="DK2">IFERROR(_xlfn._xlws.SORT(_xlfn._xlws.FILTER(CostRateTbl[Role], (CostRateTbl[SLCode]=DK1) * (CostRateTbl[CostRateDefault]="Si")),,1),"No Habilitado")</f>
        <v>No Habilitado</v>
      </c>
      <c r="DL2" t="str" cm="1">
        <f t="array" ref="DL2">IFERROR(_xlfn._xlws.SORT(_xlfn._xlws.FILTER(CostRateTbl[Role], (CostRateTbl[SLCode]=DL1) * (CostRateTbl[CostRateDefault]="Si")),,1),"No Habilitado")</f>
        <v>No Habilitado</v>
      </c>
      <c r="DM2" t="str" cm="1">
        <f t="array" ref="DM2">IFERROR(_xlfn._xlws.SORT(_xlfn._xlws.FILTER(CostRateTbl[Role], (CostRateTbl[SLCode]=DM1) * (CostRateTbl[CostRateDefault]="Si")),,1),"No Habilitado")</f>
        <v>No Habilitado</v>
      </c>
      <c r="DN2" t="str" cm="1">
        <f t="array" ref="DN2">IFERROR(_xlfn._xlws.SORT(_xlfn._xlws.FILTER(CostRateTbl[Role], (CostRateTbl[SLCode]=DN1) * (CostRateTbl[CostRateDefault]="Si")),,1),"No Habilitado")</f>
        <v>No Habilitado</v>
      </c>
      <c r="DO2" t="str" cm="1">
        <f t="array" ref="DO2">IFERROR(_xlfn._xlws.SORT(_xlfn._xlws.FILTER(CostRateTbl[Role], (CostRateTbl[SLCode]=DO1) * (CostRateTbl[CostRateDefault]="Si")),,1),"No Habilitado")</f>
        <v>No Habilitado</v>
      </c>
      <c r="DP2" t="str" cm="1">
        <f t="array" ref="DP2">IFERROR(_xlfn._xlws.SORT(_xlfn._xlws.FILTER(CostRateTbl[Role], (CostRateTbl[SLCode]=DP1) * (CostRateTbl[CostRateDefault]="Si")),,1),"No Habilitado")</f>
        <v>No Habilitado</v>
      </c>
      <c r="DQ2" t="str" cm="1">
        <f t="array" ref="DQ2">IFERROR(_xlfn._xlws.SORT(_xlfn._xlws.FILTER(CostRateTbl[Role], (CostRateTbl[SLCode]=DQ1) * (CostRateTbl[CostRateDefault]="Si")),,1),"No Habilitado")</f>
        <v>No Habilitado</v>
      </c>
      <c r="DR2" t="str" cm="1">
        <f t="array" ref="DR2">IFERROR(_xlfn._xlws.SORT(_xlfn._xlws.FILTER(CostRateTbl[Role], (CostRateTbl[SLCode]=DR1) * (CostRateTbl[CostRateDefault]="Si")),,1),"No Habilitado")</f>
        <v>No Habilitado</v>
      </c>
      <c r="DS2" t="str" cm="1">
        <f t="array" ref="DS2">IFERROR(_xlfn._xlws.SORT(_xlfn._xlws.FILTER(CostRateTbl[Role], (CostRateTbl[SLCode]=DS1) * (CostRateTbl[CostRateDefault]="Si")),,1),"No Habilitado")</f>
        <v>No Habilitado</v>
      </c>
      <c r="DT2" t="str" cm="1">
        <f t="array" ref="DT2">IFERROR(_xlfn._xlws.SORT(_xlfn._xlws.FILTER(CostRateTbl[Role], (CostRateTbl[SLCode]=DT1) * (CostRateTbl[CostRateDefault]="Si")),,1),"No Habilitado")</f>
        <v>No Habilitado</v>
      </c>
      <c r="DU2" t="str" cm="1">
        <f t="array" ref="DU2">IFERROR(_xlfn._xlws.SORT(_xlfn._xlws.FILTER(CostRateTbl[Role], (CostRateTbl[SLCode]=DU1) * (CostRateTbl[CostRateDefault]="Si")),,1),"No Habilitado")</f>
        <v>No Habilitado</v>
      </c>
      <c r="DV2" t="str" cm="1">
        <f t="array" ref="DV2">IFERROR(_xlfn._xlws.SORT(_xlfn._xlws.FILTER(CostRateTbl[Role], (CostRateTbl[SLCode]=DV1) * (CostRateTbl[CostRateDefault]="Si")),,1),"No Habilitado")</f>
        <v>No Habilitado</v>
      </c>
      <c r="DW2" t="str" cm="1">
        <f t="array" ref="DW2">IFERROR(_xlfn._xlws.SORT(_xlfn._xlws.FILTER(CostRateTbl[Role], (CostRateTbl[SLCode]=DW1) * (CostRateTbl[CostRateDefault]="Si")),,1),"No Habilitado")</f>
        <v>No Habilitado</v>
      </c>
      <c r="DX2" t="str" cm="1">
        <f t="array" ref="DX2">IFERROR(_xlfn._xlws.SORT(_xlfn._xlws.FILTER(CostRateTbl[Role], (CostRateTbl[SLCode]=DX1) * (CostRateTbl[CostRateDefault]="Si")),,1),"No Habilitado")</f>
        <v>No Habilitado</v>
      </c>
      <c r="DY2" t="str" cm="1">
        <f t="array" ref="DY2">IFERROR(_xlfn._xlws.SORT(_xlfn._xlws.FILTER(CostRateTbl[Role], (CostRateTbl[SLCode]=DY1) * (CostRateTbl[CostRateDefault]="Si")),,1),"No Habilitado")</f>
        <v>No Habilitado</v>
      </c>
      <c r="DZ2" t="str" cm="1">
        <f t="array" ref="DZ2">IFERROR(_xlfn._xlws.SORT(_xlfn._xlws.FILTER(CostRateTbl[Role], (CostRateTbl[SLCode]=DZ1) * (CostRateTbl[CostRateDefault]="Si")),,1),"No Habilitado")</f>
        <v>No Habilitado</v>
      </c>
      <c r="EA2" t="str" cm="1">
        <f t="array" ref="EA2">IFERROR(_xlfn._xlws.SORT(_xlfn._xlws.FILTER(CostRateTbl[Role], (CostRateTbl[SLCode]=EA1) * (CostRateTbl[CostRateDefault]="Si")),,1),"No Habilitado")</f>
        <v>No Habilitado</v>
      </c>
      <c r="EB2" t="str" cm="1">
        <f t="array" ref="EB2">IFERROR(_xlfn._xlws.SORT(_xlfn._xlws.FILTER(CostRateTbl[Role], (CostRateTbl[SLCode]=EB1) * (CostRateTbl[CostRateDefault]="Si")),,1),"No Habilitado")</f>
        <v>No Habilitado</v>
      </c>
      <c r="EC2" t="str" cm="1">
        <f t="array" ref="EC2">IFERROR(_xlfn._xlws.SORT(_xlfn._xlws.FILTER(CostRateTbl[Role], (CostRateTbl[SLCode]=EC1) * (CostRateTbl[CostRateDefault]="Si")),,1),"No Habilitado")</f>
        <v>No Habilitado</v>
      </c>
      <c r="ED2" t="str" cm="1">
        <f t="array" ref="ED2">IFERROR(_xlfn._xlws.SORT(_xlfn._xlws.FILTER(CostRateTbl[Role], (CostRateTbl[SLCode]=ED1) * (CostRateTbl[CostRateDefault]="Si")),,1),"No Habilitado")</f>
        <v>No Habilitado</v>
      </c>
      <c r="EE2" t="str" cm="1">
        <f t="array" ref="EE2">IFERROR(_xlfn._xlws.SORT(_xlfn._xlws.FILTER(CostRateTbl[Role], (CostRateTbl[SLCode]=EE1) * (CostRateTbl[CostRateDefault]="Si")),,1),"No Habilitado")</f>
        <v>No Habilitado</v>
      </c>
      <c r="EF2" t="str" cm="1">
        <f t="array" ref="EF2">IFERROR(_xlfn._xlws.SORT(_xlfn._xlws.FILTER(CostRateTbl[Role], (CostRateTbl[SLCode]=EF1) * (CostRateTbl[CostRateDefault]="Si")),,1),"No Habilitado")</f>
        <v>No Habilitado</v>
      </c>
      <c r="EG2" t="str" cm="1">
        <f t="array" ref="EG2">IFERROR(_xlfn._xlws.SORT(_xlfn._xlws.FILTER(CostRateTbl[Role], (CostRateTbl[SLCode]=EG1) * (CostRateTbl[CostRateDefault]="Si")),,1),"No Habilitado")</f>
        <v>No Habilitado</v>
      </c>
      <c r="EH2" t="str" cm="1">
        <f t="array" ref="EH2">IFERROR(_xlfn._xlws.SORT(_xlfn._xlws.FILTER(CostRateTbl[Role], (CostRateTbl[SLCode]=EH1) * (CostRateTbl[CostRateDefault]="Si")),,1),"No Habilitado")</f>
        <v>No Habilitado</v>
      </c>
      <c r="EI2" t="str" cm="1">
        <f t="array" ref="EI2">IFERROR(_xlfn._xlws.SORT(_xlfn._xlws.FILTER(CostRateTbl[Role], (CostRateTbl[SLCode]=EI1) * (CostRateTbl[CostRateDefault]="Si")),,1),"No Habilitado")</f>
        <v>No Habilitado</v>
      </c>
      <c r="EJ2" t="str" cm="1">
        <f t="array" ref="EJ2">IFERROR(_xlfn._xlws.SORT(_xlfn._xlws.FILTER(CostRateTbl[Role], (CostRateTbl[SLCode]=EJ1) * (CostRateTbl[CostRateDefault]="Si")),,1),"No Habilitado")</f>
        <v>No Habilitado</v>
      </c>
      <c r="EK2" t="str" cm="1">
        <f t="array" ref="EK2">IFERROR(_xlfn._xlws.SORT(_xlfn._xlws.FILTER(CostRateTbl[Role], (CostRateTbl[SLCode]=EK1) * (CostRateTbl[CostRateDefault]="Si")),,1),"No Habilitado")</f>
        <v>No Habilitado</v>
      </c>
      <c r="EL2" t="str" cm="1">
        <f t="array" ref="EL2">IFERROR(_xlfn._xlws.SORT(_xlfn._xlws.FILTER(CostRateTbl[Role], (CostRateTbl[SLCode]=EL1) * (CostRateTbl[CostRateDefault]="Si")),,1),"No Habilitado")</f>
        <v>No Habilitado</v>
      </c>
      <c r="EM2" t="str" cm="1">
        <f t="array" ref="EM2">IFERROR(_xlfn._xlws.SORT(_xlfn._xlws.FILTER(CostRateTbl[Role], (CostRateTbl[SLCode]=EM1) * (CostRateTbl[CostRateDefault]="Si")),,1),"No Habilitado")</f>
        <v>No Habilitado</v>
      </c>
      <c r="EN2" t="str" cm="1">
        <f t="array" ref="EN2">IFERROR(_xlfn._xlws.SORT(_xlfn._xlws.FILTER(CostRateTbl[Role], (CostRateTbl[SLCode]=EN1) * (CostRateTbl[CostRateDefault]="Si")),,1),"No Habilitado")</f>
        <v>No Habilitado</v>
      </c>
      <c r="EO2" t="str" cm="1">
        <f t="array" ref="EO2">IFERROR(_xlfn._xlws.SORT(_xlfn._xlws.FILTER(CostRateTbl[Role], (CostRateTbl[SLCode]=EO1) * (CostRateTbl[CostRateDefault]="Si")),,1),"No Habilitado")</f>
        <v>No Habilitado</v>
      </c>
      <c r="EP2" t="str" cm="1">
        <f t="array" ref="EP2">IFERROR(_xlfn._xlws.SORT(_xlfn._xlws.FILTER(CostRateTbl[Role], (CostRateTbl[SLCode]=EP1) * (CostRateTbl[CostRateDefault]="Si")),,1),"No Habilitado")</f>
        <v>No Habilitado</v>
      </c>
      <c r="EQ2" t="str" cm="1">
        <f t="array" ref="EQ2">IFERROR(_xlfn._xlws.SORT(_xlfn._xlws.FILTER(CostRateTbl[Role], (CostRateTbl[SLCode]=EQ1) * (CostRateTbl[CostRateDefault]="Si")),,1),"No Habilitado")</f>
        <v>No Habilitado</v>
      </c>
      <c r="ER2" t="str" cm="1">
        <f t="array" ref="ER2">IFERROR(_xlfn._xlws.SORT(_xlfn._xlws.FILTER(CostRateTbl[Role], (CostRateTbl[SLCode]=ER1) * (CostRateTbl[CostRateDefault]="Si")),,1),"No Habilitado")</f>
        <v>No Habilitado</v>
      </c>
      <c r="ES2" t="str" cm="1">
        <f t="array" ref="ES2">IFERROR(_xlfn._xlws.SORT(_xlfn._xlws.FILTER(CostRateTbl[Role], (CostRateTbl[SLCode]=ES1) * (CostRateTbl[CostRateDefault]="Si")),,1),"No Habilitado")</f>
        <v>No Habilitado</v>
      </c>
      <c r="ET2" t="str" cm="1">
        <f t="array" ref="ET2">IFERROR(_xlfn._xlws.SORT(_xlfn._xlws.FILTER(CostRateTbl[Role], (CostRateTbl[SLCode]=ET1) * (CostRateTbl[CostRateDefault]="Si")),,1),"No Habilitado")</f>
        <v>No Habilitado</v>
      </c>
      <c r="EU2" t="str" cm="1">
        <f t="array" ref="EU2">IFERROR(_xlfn._xlws.SORT(_xlfn._xlws.FILTER(CostRateTbl[Role], (CostRateTbl[SLCode]=EU1) * (CostRateTbl[CostRateDefault]="Si")),,1),"No Habilitado")</f>
        <v>No Habilitado</v>
      </c>
      <c r="EV2" t="str" cm="1">
        <f t="array" ref="EV2">IFERROR(_xlfn._xlws.SORT(_xlfn._xlws.FILTER(CostRateTbl[Role], (CostRateTbl[SLCode]=EV1) * (CostRateTbl[CostRateDefault]="Si")),,1),"No Habilitado")</f>
        <v>No Habilitado</v>
      </c>
      <c r="EW2" t="str" cm="1">
        <f t="array" ref="EW2">IFERROR(_xlfn._xlws.SORT(_xlfn._xlws.FILTER(CostRateTbl[Role], (CostRateTbl[SLCode]=EW1) * (CostRateTbl[CostRateDefault]="Si")),,1),"No Habilitado")</f>
        <v>No Habilitado</v>
      </c>
      <c r="EX2" t="str" cm="1">
        <f t="array" ref="EX2">IFERROR(_xlfn._xlws.SORT(_xlfn._xlws.FILTER(CostRateTbl[Role], (CostRateTbl[SLCode]=EX1) * (CostRateTbl[CostRateDefault]="Si")),,1),"No Habilitado")</f>
        <v>No Habilitado</v>
      </c>
      <c r="EY2" t="str" cm="1">
        <f t="array" ref="EY2">IFERROR(_xlfn._xlws.SORT(_xlfn._xlws.FILTER(CostRateTbl[Role], (CostRateTbl[SLCode]=EY1) * (CostRateTbl[CostRateDefault]="Si")),,1),"No Habilitado")</f>
        <v>No Habilitado</v>
      </c>
      <c r="EZ2" t="str" cm="1">
        <f t="array" ref="EZ2">IFERROR(_xlfn._xlws.SORT(_xlfn._xlws.FILTER(CostRateTbl[Role], (CostRateTbl[SLCode]=EZ1) * (CostRateTbl[CostRateDefault]="Si")),,1),"No Habilitado")</f>
        <v>No Habilitado</v>
      </c>
      <c r="FA2" t="str" cm="1">
        <f t="array" ref="FA2">IFERROR(_xlfn._xlws.SORT(_xlfn._xlws.FILTER(CostRateTbl[Role], (CostRateTbl[SLCode]=FA1) * (CostRateTbl[CostRateDefault]="Si")),,1),"No Habilitado")</f>
        <v>No Habilitado</v>
      </c>
      <c r="FB2" t="str" cm="1">
        <f t="array" ref="FB2">IFERROR(_xlfn._xlws.SORT(_xlfn._xlws.FILTER(CostRateTbl[Role], (CostRateTbl[SLCode]=FB1) * (CostRateTbl[CostRateDefault]="Si")),,1),"No Habilitado")</f>
        <v>No Habilitado</v>
      </c>
      <c r="FC2" t="str" cm="1">
        <f t="array" ref="FC2">IFERROR(_xlfn._xlws.SORT(_xlfn._xlws.FILTER(CostRateTbl[Role], (CostRateTbl[SLCode]=FC1) * (CostRateTbl[CostRateDefault]="Si")),,1),"No Habilitado")</f>
        <v>No Habilitado</v>
      </c>
      <c r="FD2" t="str" cm="1">
        <f t="array" ref="FD2">IFERROR(_xlfn._xlws.SORT(_xlfn._xlws.FILTER(CostRateTbl[Role], (CostRateTbl[SLCode]=FD1) * (CostRateTbl[CostRateDefault]="Si")),,1),"No Habilitado")</f>
        <v>No Habilitado</v>
      </c>
      <c r="FE2" t="str" cm="1">
        <f t="array" ref="FE2">IFERROR(_xlfn._xlws.SORT(_xlfn._xlws.FILTER(CostRateTbl[Role], (CostRateTbl[SLCode]=FE1) * (CostRateTbl[CostRateDefault]="Si")),,1),"No Habilitado")</f>
        <v>No Habilitado</v>
      </c>
      <c r="FF2" t="str" cm="1">
        <f t="array" ref="FF2">IFERROR(_xlfn._xlws.SORT(_xlfn._xlws.FILTER(CostRateTbl[Role], (CostRateTbl[SLCode]=FF1) * (CostRateTbl[CostRateDefault]="Si")),,1),"No Habilitado")</f>
        <v>No Habilitado</v>
      </c>
      <c r="FG2" t="str" cm="1">
        <f t="array" ref="FG2">IFERROR(_xlfn._xlws.SORT(_xlfn._xlws.FILTER(CostRateTbl[Role], (CostRateTbl[SLCode]=FG1) * (CostRateTbl[CostRateDefault]="Si")),,1),"No Habilitado")</f>
        <v>No Habilitado</v>
      </c>
      <c r="FH2" t="str" cm="1">
        <f t="array" ref="FH2">IFERROR(_xlfn._xlws.SORT(_xlfn._xlws.FILTER(CostRateTbl[Role], (CostRateTbl[SLCode]=FH1) * (CostRateTbl[CostRateDefault]="Si")),,1),"No Habilitado")</f>
        <v>No Habilitado</v>
      </c>
      <c r="FI2" t="str" cm="1">
        <f t="array" ref="FI2">IFERROR(_xlfn._xlws.SORT(_xlfn._xlws.FILTER(CostRateTbl[Role], (CostRateTbl[SLCode]=FI1) * (CostRateTbl[CostRateDefault]="Si")),,1),"No Habilitado")</f>
        <v>No Habilitado</v>
      </c>
      <c r="FJ2" t="str" cm="1">
        <f t="array" ref="FJ2">IFERROR(_xlfn._xlws.SORT(_xlfn._xlws.FILTER(CostRateTbl[Role], (CostRateTbl[SLCode]=FJ1) * (CostRateTbl[CostRateDefault]="Si")),,1),"No Habilitado")</f>
        <v>No Habilitado</v>
      </c>
      <c r="FK2" t="str" cm="1">
        <f t="array" ref="FK2">IFERROR(_xlfn._xlws.SORT(_xlfn._xlws.FILTER(CostRateTbl[Role], (CostRateTbl[SLCode]=FK1) * (CostRateTbl[CostRateDefault]="Si")),,1),"No Habilitado")</f>
        <v>No Habilitado</v>
      </c>
      <c r="FL2" t="str" cm="1">
        <f t="array" ref="FL2">IFERROR(_xlfn._xlws.SORT(_xlfn._xlws.FILTER(CostRateTbl[Role], (CostRateTbl[SLCode]=FL1) * (CostRateTbl[CostRateDefault]="Si")),,1),"No Habilitado")</f>
        <v>No Habilitado</v>
      </c>
      <c r="FM2" t="str" cm="1">
        <f t="array" ref="FM2">IFERROR(_xlfn._xlws.SORT(_xlfn._xlws.FILTER(CostRateTbl[Role], (CostRateTbl[SLCode]=FM1) * (CostRateTbl[CostRateDefault]="Si")),,1),"No Habilitado")</f>
        <v>No Habilitado</v>
      </c>
      <c r="FN2" t="str" cm="1">
        <f t="array" ref="FN2">IFERROR(_xlfn._xlws.SORT(_xlfn._xlws.FILTER(CostRateTbl[Role], (CostRateTbl[SLCode]=FN1) * (CostRateTbl[CostRateDefault]="Si")),,1),"No Habilitado")</f>
        <v>No Habilitado</v>
      </c>
      <c r="FO2" t="str" cm="1">
        <f t="array" ref="FO2">IFERROR(_xlfn._xlws.SORT(_xlfn._xlws.FILTER(CostRateTbl[Role], (CostRateTbl[SLCode]=FO1) * (CostRateTbl[CostRateDefault]="Si")),,1),"No Habilitado")</f>
        <v>No Habilitado</v>
      </c>
      <c r="FP2" t="str" cm="1">
        <f t="array" ref="FP2">IFERROR(_xlfn._xlws.SORT(_xlfn._xlws.FILTER(CostRateTbl[Role], (CostRateTbl[SLCode]=FP1) * (CostRateTbl[CostRateDefault]="Si")),,1),"No Habilitado")</f>
        <v>No Habilitado</v>
      </c>
      <c r="FQ2" t="str" cm="1">
        <f t="array" ref="FQ2">IFERROR(_xlfn._xlws.SORT(_xlfn._xlws.FILTER(CostRateTbl[Role], (CostRateTbl[SLCode]=FQ1) * (CostRateTbl[CostRateDefault]="Si")),,1),"No Habilitado")</f>
        <v>No Habilitado</v>
      </c>
      <c r="FR2" t="str" cm="1">
        <f t="array" ref="FR2">IFERROR(_xlfn._xlws.SORT(_xlfn._xlws.FILTER(CostRateTbl[Role], (CostRateTbl[SLCode]=FR1) * (CostRateTbl[CostRateDefault]="Si")),,1),"No Habilitado")</f>
        <v>No Habilitado</v>
      </c>
      <c r="FS2" t="str" cm="1">
        <f t="array" ref="FS2">IFERROR(_xlfn._xlws.SORT(_xlfn._xlws.FILTER(CostRateTbl[Role], (CostRateTbl[SLCode]=FS1) * (CostRateTbl[CostRateDefault]="Si")),,1),"No Habilitado")</f>
        <v>No Habilitado</v>
      </c>
      <c r="FT2" t="str" cm="1">
        <f t="array" ref="FT2">IFERROR(_xlfn._xlws.SORT(_xlfn._xlws.FILTER(CostRateTbl[Role], (CostRateTbl[SLCode]=FT1) * (CostRateTbl[CostRateDefault]="Si")),,1),"No Habilitado")</f>
        <v>No Habilitado</v>
      </c>
      <c r="FU2" t="str" cm="1">
        <f t="array" ref="FU2">IFERROR(_xlfn._xlws.SORT(_xlfn._xlws.FILTER(CostRateTbl[Role], (CostRateTbl[SLCode]=FU1) * (CostRateTbl[CostRateDefault]="Si")),,1),"No Habilitado")</f>
        <v>No Habilitado</v>
      </c>
      <c r="FV2" t="str" cm="1">
        <f t="array" ref="FV2">IFERROR(_xlfn._xlws.SORT(_xlfn._xlws.FILTER(CostRateTbl[Role], (CostRateTbl[SLCode]=FV1) * (CostRateTbl[CostRateDefault]="Si")),,1),"No Habilitado")</f>
        <v>No Habilitado</v>
      </c>
      <c r="FW2" t="str" cm="1">
        <f t="array" ref="FW2">IFERROR(_xlfn._xlws.SORT(_xlfn._xlws.FILTER(CostRateTbl[Role], (CostRateTbl[SLCode]=FW1) * (CostRateTbl[CostRateDefault]="Si")),,1),"No Habilitado")</f>
        <v>No Habilitado</v>
      </c>
      <c r="FX2" t="str" cm="1">
        <f t="array" ref="FX2">IFERROR(_xlfn._xlws.SORT(_xlfn._xlws.FILTER(CostRateTbl[Role], (CostRateTbl[SLCode]=FX1) * (CostRateTbl[CostRateDefault]="Si")),,1),"No Habilitado")</f>
        <v>No Habilitado</v>
      </c>
      <c r="FY2" t="str" cm="1">
        <f t="array" ref="FY2">IFERROR(_xlfn._xlws.SORT(_xlfn._xlws.FILTER(CostRateTbl[Role], (CostRateTbl[SLCode]=FY1) * (CostRateTbl[CostRateDefault]="Si")),,1),"No Habilitado")</f>
        <v>No Habilitado</v>
      </c>
      <c r="FZ2" t="str" cm="1">
        <f t="array" ref="FZ2">IFERROR(_xlfn._xlws.SORT(_xlfn._xlws.FILTER(CostRateTbl[Role], (CostRateTbl[SLCode]=FZ1) * (CostRateTbl[CostRateDefault]="Si")),,1),"No Habilitado")</f>
        <v>No Habilitado</v>
      </c>
    </row>
    <row r="3" spans="1:182">
      <c r="A3" t="str">
        <v>BrazilCloudServicesAWS</v>
      </c>
      <c r="E3" t="str">
        <v>Sr Expert Application Development</v>
      </c>
      <c r="H3" t="str">
        <v>Lead Expert Technology Implementation &amp; Consulting (General)</v>
      </c>
      <c r="I3" t="str">
        <v>Sr Expert Technology Implementation &amp; Consulting (General)</v>
      </c>
      <c r="J3" t="str">
        <v>Expert Business Consulting and Advisory</v>
      </c>
      <c r="K3" t="str">
        <v>Expert Technology &amp; Consulting Project Management</v>
      </c>
      <c r="N3" t="str">
        <v>Associate Expert Business Consulting and Advisory</v>
      </c>
      <c r="O3" t="str">
        <v>Expert Technology Implementation &amp; Consulting (General)</v>
      </c>
      <c r="P3" t="str">
        <v>Expert Managed Operations</v>
      </c>
      <c r="Q3" t="str">
        <v>Expert Application Development</v>
      </c>
      <c r="R3" t="str">
        <v>Expert Managed Operations</v>
      </c>
      <c r="S3" t="str">
        <v>Associate Expert Managed Operations</v>
      </c>
      <c r="T3" t="str">
        <v>Associate Expert Technology &amp; Consulting Project Management</v>
      </c>
      <c r="W3" t="str">
        <v>Associate Expert Technology &amp; Consulting Project Management</v>
      </c>
      <c r="X3" t="str">
        <v>Associate Expert Technology Implementation &amp; Consulting (General)</v>
      </c>
      <c r="AB3" t="str">
        <v>Associate Expert Managed Operations</v>
      </c>
      <c r="AC3" t="str">
        <v>Associate Expert Technology &amp; Consulting Project Management</v>
      </c>
      <c r="AF3" t="str">
        <v>Associate Expert Data Intelligence (General)</v>
      </c>
      <c r="AG3" t="str">
        <v>Expert Technology Implementation &amp; Consulting (General)</v>
      </c>
      <c r="AH3" t="str">
        <v>Expert Technology Implementation &amp; Consulting (General)</v>
      </c>
      <c r="AI3" t="str">
        <v>Associate Expert Technology Implementation &amp; Consulting (General)</v>
      </c>
      <c r="AJ3" t="str">
        <v>Expert Data Analytics</v>
      </c>
      <c r="AK3" t="str">
        <v>Expert Technology Implementation &amp; Consulting (General)</v>
      </c>
      <c r="AL3" t="str">
        <v>Associate Expert Technology Implementation &amp; Consulting (General)</v>
      </c>
      <c r="AM3" t="str">
        <v>Associate Expert Managed Operations</v>
      </c>
      <c r="AN3" t="str">
        <v>Expert Technology &amp; Consulting Project Management</v>
      </c>
      <c r="AO3" t="str">
        <v>Associate Expert Technology Implementation &amp; Consulting (General)</v>
      </c>
      <c r="AP3" t="str">
        <v>Associate Expert Information Technology (General)</v>
      </c>
      <c r="AR3" t="str">
        <v>Expert Technology Implementation &amp; Consulting (General)</v>
      </c>
      <c r="AS3" t="str">
        <v>Expert Managed Operations</v>
      </c>
      <c r="AU3" t="str">
        <v>Expert Service &amp; Software Engineering</v>
      </c>
      <c r="AV3" t="str">
        <v>Expert Technology Implementation &amp; Consulting (General)</v>
      </c>
      <c r="AW3" t="str">
        <v>Expert Business Consulting and Advisory</v>
      </c>
      <c r="AX3" t="str">
        <v>Associate Expert Data Engineering</v>
      </c>
      <c r="AY3" t="str">
        <v>Expert Technology Implementation &amp; Consulting (General)</v>
      </c>
      <c r="AZ3" t="str">
        <v>Expert Technology Implementation &amp; Consulting (General)</v>
      </c>
      <c r="BA3" t="str">
        <v>Associate Expert Data Engineering</v>
      </c>
      <c r="BB3" t="str">
        <v>Expert Technology Implementation &amp; Consulting (General)</v>
      </c>
      <c r="BC3" t="str">
        <v>Expert Business Consulting and Advisory</v>
      </c>
      <c r="BD3" t="str">
        <v>Expert Technology Implementation &amp; Consulting (General)</v>
      </c>
      <c r="BE3" t="str">
        <v>Expert Technology &amp; Consulting Project Management</v>
      </c>
      <c r="BF3" t="str">
        <v>Associate Expert Technology Implementation &amp; Consulting (General)</v>
      </c>
      <c r="BG3" t="str">
        <v>Associate Expert Technology Implementation &amp; Consulting (General)</v>
      </c>
      <c r="BH3" t="str">
        <v>Lead Expert Technology &amp; Consulting Project Management</v>
      </c>
      <c r="BI3" t="str">
        <v>Lead Expert Technology Implementation &amp; Consulting (General)</v>
      </c>
      <c r="BJ3" t="str">
        <v>Expert Managed Operations</v>
      </c>
      <c r="BK3" t="str">
        <v>Expert Data Engineering</v>
      </c>
      <c r="BL3" t="str">
        <v>Expert Technology Implementation &amp; Consulting (General)</v>
      </c>
      <c r="BM3" t="str">
        <v>Expert Application Development</v>
      </c>
      <c r="BN3" t="str">
        <v>Expert Business Consulting and Advisory</v>
      </c>
      <c r="BO3" t="str">
        <v>Associate Specialist Managed Operations</v>
      </c>
      <c r="BP3" t="str">
        <v>Sr Expert Technology &amp; Consulting Project Management</v>
      </c>
      <c r="BU3" t="str">
        <v>Sr Expert Business Consulting and Advisory</v>
      </c>
      <c r="BV3" t="str">
        <v>Expert Business Consulting and Advisory</v>
      </c>
      <c r="BW3" t="str">
        <v>Lead Expert Technology Implementation &amp; Consulting (General)</v>
      </c>
      <c r="BX3" t="str">
        <v>Expert Application Development</v>
      </c>
      <c r="BZ3" t="str">
        <v>Expert Technology Implementation &amp; Consulting (General)</v>
      </c>
      <c r="CB3" t="str">
        <v>Expert Data Intelligence (General)</v>
      </c>
      <c r="CC3" t="str">
        <v>Expert Technology Implementation &amp; Consulting (General)</v>
      </c>
      <c r="CD3" t="str">
        <v>Lead Expert Technology &amp; Consulting Project Management</v>
      </c>
      <c r="CE3" t="str">
        <v>Expert Technology Implementation &amp; Consulting (General)</v>
      </c>
    </row>
    <row r="4" spans="1:182">
      <c r="A4" t="str">
        <v>BrazilCloudServicesAzure</v>
      </c>
      <c r="J4" t="str">
        <v>Sr Expert Business Consulting and Advisory</v>
      </c>
      <c r="K4" t="str">
        <v>Sr Expert Technology &amp; Consulting Project Management</v>
      </c>
      <c r="N4" t="str">
        <v>Associate Expert Managed Operations</v>
      </c>
      <c r="P4" t="str">
        <v>Sr Expert Managed Operations</v>
      </c>
      <c r="Q4" t="str">
        <v>Expert Data Engineering</v>
      </c>
      <c r="R4" t="str">
        <v>Sr Expert Managed Operations</v>
      </c>
      <c r="S4" t="str">
        <v>Associate Expert Technology Implementation &amp; Consulting (General)</v>
      </c>
      <c r="T4" t="str">
        <v>Expert Managed Operations</v>
      </c>
      <c r="X4" t="str">
        <v>Expert Managed Operations</v>
      </c>
      <c r="AB4" t="str">
        <v>Expert Managed Operations</v>
      </c>
      <c r="AF4" t="str">
        <v>Associate Expert Technology &amp; Consulting Project Management</v>
      </c>
      <c r="AG4" t="str">
        <v>Sr Expert Technology Implementation &amp; Consulting (General)</v>
      </c>
      <c r="AH4" t="str">
        <v>Sr Expert Technology Implementation &amp; Consulting (General)</v>
      </c>
      <c r="AI4" t="str">
        <v>Sr Expert Technology Implementation &amp; Consulting (General)</v>
      </c>
      <c r="AJ4" t="str">
        <v>Expert Data Intelligence (General)</v>
      </c>
      <c r="AK4" t="str">
        <v>Sr Expert Technology Implementation &amp; Consulting (General)</v>
      </c>
      <c r="AL4" t="str">
        <v>Expert Business Consulting and Advisory</v>
      </c>
      <c r="AM4" t="str">
        <v>Associate Expert Technology Implementation &amp; Consulting (General)</v>
      </c>
      <c r="AN4" t="str">
        <v>Sr Expert Project Management (General)</v>
      </c>
      <c r="AO4" t="str">
        <v>Expert Application Development</v>
      </c>
      <c r="AP4" t="str">
        <v>Associate Expert Managed Operations</v>
      </c>
      <c r="AR4" t="str">
        <v>Lead Expert Technology &amp; Consulting Project Management</v>
      </c>
      <c r="AS4" t="str">
        <v>Lead Expert Managed Operations</v>
      </c>
      <c r="AV4" t="str">
        <v>Lead Expert Technology Implementation &amp; Consulting (General)</v>
      </c>
      <c r="AW4" t="str">
        <v>Lead Expert Technology Implementation &amp; Consulting (General)</v>
      </c>
      <c r="AX4" t="str">
        <v>Expert Application Development</v>
      </c>
      <c r="AZ4" t="str">
        <v>Lead Expert Technology Infrastructure</v>
      </c>
      <c r="BA4" t="str">
        <v>Expert Data Engineering</v>
      </c>
      <c r="BB4" t="str">
        <v>Sr Expert Technology Implementation &amp; Consulting (General)</v>
      </c>
      <c r="BC4" t="str">
        <v>Lead Expert Business Consulting and Advisory</v>
      </c>
      <c r="BE4" t="str">
        <v>Sr Expert Technology &amp; Consulting Project Management</v>
      </c>
      <c r="BF4" t="str">
        <v>Expert Data Analytics</v>
      </c>
      <c r="BG4" t="str">
        <v>Expert Application Development</v>
      </c>
      <c r="BH4" t="str">
        <v>Lead Expert Technology Implementation &amp; Consulting (General)</v>
      </c>
      <c r="BI4" t="str">
        <v>Sr Expert Technology Implementation &amp; Consulting (General)</v>
      </c>
      <c r="BJ4" t="str">
        <v>Expert Technology Implementation &amp; Consulting (General)</v>
      </c>
      <c r="BL4" t="str">
        <v>Lead Expert Technology Implementation &amp; Consulting (General)</v>
      </c>
      <c r="BM4" t="str">
        <v>Expert Managed Operations</v>
      </c>
      <c r="BN4" t="str">
        <v>Lead Expert Business Consulting and Advisory</v>
      </c>
      <c r="BV4" t="str">
        <v>Lead Expert Business Consulting and Advisory</v>
      </c>
      <c r="BW4" t="str">
        <v>Sr Expert Technology &amp; Consulting Project Management</v>
      </c>
      <c r="BX4" t="str">
        <v>Lead Expert Application Development</v>
      </c>
      <c r="BZ4" t="str">
        <v>Lead Expert Technology Implementation &amp; Consulting (General)</v>
      </c>
      <c r="CB4" t="str">
        <v>Lead Expert Data Intelligence (General)</v>
      </c>
      <c r="CC4" t="str">
        <v>Lead Expert Technology Implementation &amp; Consulting (General)</v>
      </c>
      <c r="CD4" t="str">
        <v>Sr Expert Technology &amp; Consulting Project Management</v>
      </c>
      <c r="CE4" t="str">
        <v>Lead Expert Technology Implementation &amp; Consulting (General)</v>
      </c>
    </row>
    <row r="5" spans="1:182">
      <c r="A5" t="str">
        <v>BrazilCloudServicesGCP</v>
      </c>
      <c r="N5" t="str">
        <v>Associate Expert Technology &amp; Consulting Project Management</v>
      </c>
      <c r="Q5" t="str">
        <v>Expert Data Intelligence (General)</v>
      </c>
      <c r="S5" t="str">
        <v>Expert Application Development</v>
      </c>
      <c r="T5" t="str">
        <v>Expert Technology &amp; Consulting Project Management</v>
      </c>
      <c r="X5" t="str">
        <v>Expert Technology &amp; Consulting Project Management</v>
      </c>
      <c r="AB5" t="str">
        <v>Lead Expert Technology &amp; Consulting Project Management</v>
      </c>
      <c r="AF5" t="str">
        <v>Associate Expert Technology And Consulting Project manager</v>
      </c>
      <c r="AJ5" t="str">
        <v>Expert Technology Implementation &amp; Consulting (General)</v>
      </c>
      <c r="AL5" t="str">
        <v>Sr Expert Business Consulting and Advisory</v>
      </c>
      <c r="AM5" t="str">
        <v>Expert Managed Operations</v>
      </c>
      <c r="AN5" t="str">
        <v>Sr Expert Technology &amp; Consulting Project Management</v>
      </c>
      <c r="AO5" t="str">
        <v>Expert Technology Implementation &amp; Consulting (General)</v>
      </c>
      <c r="AR5" t="str">
        <v>Lead Expert Technology Implementation &amp; Consulting (General)</v>
      </c>
      <c r="AS5" t="str">
        <v>Lead Expert Service Delivery &amp; Success</v>
      </c>
      <c r="AX5" t="str">
        <v>Sr Expert Application Development</v>
      </c>
      <c r="AZ5" t="str">
        <v>Sr Expert Technology Implementation &amp; Consulting (General)</v>
      </c>
      <c r="BC5" t="str">
        <v>Sr Expert Business Consulting and Advisory</v>
      </c>
      <c r="BF5" t="str">
        <v>Expert Technology Implementation &amp; Consulting (General)</v>
      </c>
      <c r="BG5" t="str">
        <v>Expert Business Consulting and Advisory</v>
      </c>
      <c r="BH5" t="str">
        <v>Sr Expert Technology Implementation &amp; Consulting (General)</v>
      </c>
      <c r="BJ5" t="str">
        <v>Sr Expert Managed Operations</v>
      </c>
      <c r="BL5" t="str">
        <v>Sr Expert Technology Implementation &amp; Consulting (General)</v>
      </c>
      <c r="BM5" t="str">
        <v>Expert Technology &amp; Consulting Project Management</v>
      </c>
      <c r="BN5" t="str">
        <v>Sr Expert Business Consulting and Advisory</v>
      </c>
      <c r="BV5" t="str">
        <v>Sr Expert Business Consulting and Advisory</v>
      </c>
      <c r="BX5" t="str">
        <v>Sr Expert Application Development</v>
      </c>
      <c r="BZ5" t="str">
        <v>Sr Expert Technology Implementation &amp; Consulting (General)</v>
      </c>
      <c r="CB5" t="str">
        <v>Sr Expert Data Intelligence (General)</v>
      </c>
      <c r="CC5" t="str">
        <v>Sr Expert Technology Implementation &amp; Consulting (General)</v>
      </c>
      <c r="CE5" t="str">
        <v>Sr Expert Technology Implementation &amp; Consulting (General)</v>
      </c>
    </row>
    <row r="6" spans="1:182">
      <c r="A6" t="str">
        <v>BrazilDigitalWorkplace</v>
      </c>
      <c r="N6" t="str">
        <v>Associate Expert Technology Implementation &amp; Consulting (General)</v>
      </c>
      <c r="Q6" t="str">
        <v>Lead Expert Technology Implementation &amp; Consulting (General)</v>
      </c>
      <c r="S6" t="str">
        <v>Expert Managed Operations</v>
      </c>
      <c r="T6" t="str">
        <v>Specialist Managed Operations</v>
      </c>
      <c r="X6" t="str">
        <v>Lead Expert Technology &amp; Consulting Project Management</v>
      </c>
      <c r="AF6" t="str">
        <v>Associate Expert Technology Implementation &amp; Consulting (General)</v>
      </c>
      <c r="AJ6" t="str">
        <v>Sr Expert Technology Implementation &amp; Consulting (General)</v>
      </c>
      <c r="AM6" t="str">
        <v>Expert Technology Implementation &amp; Consulting (General)</v>
      </c>
      <c r="AO6" t="str">
        <v>Lead Expert Technology Implementation &amp; Consulting (General)</v>
      </c>
      <c r="AR6" t="str">
        <v>Sr Expert Technology Implementation &amp; Consulting (General)</v>
      </c>
      <c r="AS6" t="str">
        <v>Sr Expert Managed Operations</v>
      </c>
      <c r="AX6" t="str">
        <v>Sr. Expert Data Engineering</v>
      </c>
      <c r="BC6" t="str">
        <v>Sr Manager Business Consulting and Advisory</v>
      </c>
      <c r="BG6" t="str">
        <v>Expert Technology &amp; Consulting Project Management</v>
      </c>
      <c r="BJ6" t="str">
        <v>Sr Expert Technology Implementation &amp; Consulting (General)</v>
      </c>
      <c r="BM6" t="str">
        <v>Sr Expert Managed Operations</v>
      </c>
    </row>
    <row r="7" spans="1:182">
      <c r="A7" t="str">
        <v>BrazilITAMFinOps</v>
      </c>
      <c r="N7" t="str">
        <v>Expert Application Development</v>
      </c>
      <c r="Q7" t="str">
        <v>Sr Expert  Expert Data Intelligence (General)</v>
      </c>
      <c r="S7" t="str">
        <v>Expert Technology &amp; Consulting Project Management</v>
      </c>
      <c r="T7" t="str">
        <v>Sr Expert Managed Operations</v>
      </c>
      <c r="AF7" t="str">
        <v>Expert Application Development</v>
      </c>
      <c r="AM7" t="str">
        <v>Expert Technology Infrastructure</v>
      </c>
      <c r="AO7" t="str">
        <v>Sr Expert Application Development</v>
      </c>
      <c r="AS7" t="str">
        <v>Sr Manager Managed Operations</v>
      </c>
      <c r="BG7" t="str">
        <v>Expert Technology Implementation &amp; Consulting (General)</v>
      </c>
      <c r="BM7" t="str">
        <v>Sr Expert Technology &amp; Consulting Project Management</v>
      </c>
    </row>
    <row r="8" spans="1:182">
      <c r="A8" t="str">
        <v>BrazilProjectManagement</v>
      </c>
      <c r="N8" t="str">
        <v>Expert Business Consulting and Advisory</v>
      </c>
      <c r="Q8" t="str">
        <v>Sr Expert Application Development</v>
      </c>
      <c r="S8" t="str">
        <v>Expert Technology Implementation &amp; Consulting (General)</v>
      </c>
      <c r="T8" t="str">
        <v>Sr Expert Technology &amp; Consulting Project Management</v>
      </c>
      <c r="AF8" t="str">
        <v>Expert Business Consulting and Advisory</v>
      </c>
      <c r="AM8" t="str">
        <v>Lead Expert Business Consulting and Advisory</v>
      </c>
      <c r="AO8" t="str">
        <v>Sr Expert Technology Implementation &amp; Consulting (General)</v>
      </c>
      <c r="BG8" t="str">
        <v>Lead Expert Business Consulting and Advisory</v>
      </c>
    </row>
    <row r="9" spans="1:182">
      <c r="A9" t="str">
        <v>ChileCloudServicesAWS</v>
      </c>
      <c r="N9" t="str">
        <v>Expert Managed Operations</v>
      </c>
      <c r="Q9" t="str">
        <v>Sr Expert Data Engineering</v>
      </c>
      <c r="S9" t="str">
        <v>Lead Expert Managed Operations</v>
      </c>
      <c r="AF9" t="str">
        <v>Expert Technology Implementation &amp; Consulting (General)</v>
      </c>
      <c r="AM9" t="str">
        <v>Sr Expert Managed Operations</v>
      </c>
      <c r="BG9" t="str">
        <v>Lead Expert Technology Implementation &amp; Consulting (General)</v>
      </c>
    </row>
    <row r="10" spans="1:182">
      <c r="A10" t="str">
        <v>ChileProjectManagement</v>
      </c>
      <c r="N10" t="str">
        <v>Expert Technology &amp; Consulting Project Management</v>
      </c>
      <c r="Q10" t="str">
        <v>Sr Expert Technology Implementation &amp; Consulting (General)</v>
      </c>
      <c r="S10" t="str">
        <v>Lead Expert Technology &amp; Consulting Project Management</v>
      </c>
      <c r="AF10" t="str">
        <v>Lead Expert Application Development</v>
      </c>
      <c r="BG10" t="str">
        <v>Sr Expert Business Consulting and Advisory</v>
      </c>
    </row>
    <row r="11" spans="1:182">
      <c r="A11" t="str">
        <v>ColombiaApplicationServices</v>
      </c>
      <c r="N11" t="str">
        <v>Expert Technology Implementation &amp; Consulting (General)</v>
      </c>
      <c r="S11" t="str">
        <v>Sr Expert Managed Operations</v>
      </c>
      <c r="AF11" t="str">
        <v>Sr Expert Application Development</v>
      </c>
      <c r="BG11" t="str">
        <v>Sr Expert Technology &amp; Consulting Project Management</v>
      </c>
    </row>
    <row r="12" spans="1:182">
      <c r="A12" t="str">
        <v>ColombiaCloudServicesAzure</v>
      </c>
      <c r="N12" t="str">
        <v>Lead Expert Technology Implementation &amp; Consulting (General)</v>
      </c>
      <c r="S12" t="str">
        <v>Sr Expert Technology &amp; Consulting Project Management</v>
      </c>
      <c r="AF12" t="str">
        <v>Sr Expert Data Analytics</v>
      </c>
      <c r="BG12" t="str">
        <v>Sr Expert Technology Implementation &amp; Consulting (General)</v>
      </c>
    </row>
    <row r="13" spans="1:182">
      <c r="A13" t="str">
        <v>ColombiaCybersecurity</v>
      </c>
      <c r="N13" t="str">
        <v>Sr Expert Application Development</v>
      </c>
      <c r="AF13" t="str">
        <v>Sr Expert Technology &amp; Consulting Project Management</v>
      </c>
    </row>
    <row r="14" spans="1:182">
      <c r="A14" t="str">
        <v>ColombiaDataAI</v>
      </c>
      <c r="N14" t="str">
        <v>Sr Expert Business Consulting and Advisory</v>
      </c>
      <c r="AF14" t="str">
        <v>Sr Manager Application Development</v>
      </c>
    </row>
    <row r="15" spans="1:182">
      <c r="A15" t="str">
        <v>ColombiaDigitalWorkplace</v>
      </c>
      <c r="N15" t="str">
        <v>Sr Expert Technology &amp; Consulting Project Management</v>
      </c>
    </row>
    <row r="16" spans="1:182">
      <c r="A16" t="str">
        <v>ColombiaHybridManagedServices</v>
      </c>
      <c r="N16" t="str">
        <v>Sr Expert Technology Implementation &amp; Consulting (General)</v>
      </c>
    </row>
    <row r="17" spans="1:1">
      <c r="A17" t="str">
        <v>ColombiaOtherServices</v>
      </c>
    </row>
    <row r="18" spans="1:1">
      <c r="A18" t="str">
        <v>CostaRicaCloudServicesAzure</v>
      </c>
    </row>
    <row r="19" spans="1:1">
      <c r="A19" t="str">
        <v>DominicanRepublicHybridManagedServices</v>
      </c>
    </row>
    <row r="20" spans="1:1">
      <c r="A20" t="str">
        <v>DominicanRepublicOtherServices</v>
      </c>
    </row>
    <row r="21" spans="1:1">
      <c r="A21" t="str">
        <v>EcuadorOtherServices</v>
      </c>
    </row>
    <row r="22" spans="1:1">
      <c r="A22" t="str">
        <v>EcuadorProjectManagement</v>
      </c>
    </row>
    <row r="23" spans="1:1">
      <c r="A23" t="str">
        <v>MexicoApplicationServices</v>
      </c>
    </row>
    <row r="24" spans="1:1">
      <c r="A24" t="str">
        <v>MexicoCloudServicesAWS</v>
      </c>
    </row>
    <row r="25" spans="1:1">
      <c r="A25" t="str">
        <v>MexicoHybridManagedServices</v>
      </c>
    </row>
    <row r="26" spans="1:1">
      <c r="A26" t="str">
        <v>MexicoOtherServices</v>
      </c>
    </row>
    <row r="27" spans="1:1">
      <c r="A27" t="str">
        <v>PeruHybridManagedServices</v>
      </c>
    </row>
    <row r="28" spans="1:1">
      <c r="A28" t="str">
        <v>PeruOtherServices</v>
      </c>
    </row>
    <row r="29" spans="1:1">
      <c r="A29" t="str">
        <v>SpainApplicationServices</v>
      </c>
    </row>
    <row r="30" spans="1:1">
      <c r="A30" t="str">
        <v>SpainCloudServicesAWS</v>
      </c>
    </row>
    <row r="31" spans="1:1">
      <c r="A31" t="str">
        <v>SpainCloudServicesAzure</v>
      </c>
    </row>
    <row r="32" spans="1:1">
      <c r="A32" t="str">
        <v>SpainCloudServicesGCP</v>
      </c>
    </row>
    <row r="33" spans="1:1">
      <c r="A33" t="str">
        <v>SpainDataAI</v>
      </c>
    </row>
    <row r="34" spans="1:1">
      <c r="A34" t="str">
        <v>SpainDigitalWorkplace</v>
      </c>
    </row>
    <row r="35" spans="1:1">
      <c r="A35" t="str">
        <v>SpainITAMFinOps</v>
      </c>
    </row>
    <row r="36" spans="1:1">
      <c r="A36" t="str">
        <v>SpainOtherServices</v>
      </c>
    </row>
    <row r="37" spans="1:1">
      <c r="A37" t="str">
        <v>SpainProjectManagement</v>
      </c>
    </row>
    <row r="38" spans="1:1">
      <c r="A38" t="str">
        <v>SpainSAPServices</v>
      </c>
    </row>
    <row r="39" spans="1:1">
      <c r="A39" t="str">
        <v>SpainSupportServices</v>
      </c>
    </row>
    <row r="40" spans="1:1">
      <c r="A40" t="str">
        <v>xDCBeloHorizonteDigitalWorkplace</v>
      </c>
    </row>
    <row r="41" spans="1:1">
      <c r="A41" t="str">
        <v>xDCBeloHorizonteSAPServices</v>
      </c>
    </row>
    <row r="42" spans="1:1">
      <c r="A42" t="str">
        <v>xDCBeloHorizonteSupportServices</v>
      </c>
    </row>
    <row r="43" spans="1:1">
      <c r="A43" t="str">
        <v>xDCGuadalajaraCloudServicesAWS</v>
      </c>
    </row>
    <row r="44" spans="1:1">
      <c r="A44" t="str">
        <v>xDCGuadalajaraCSPServices</v>
      </c>
    </row>
    <row r="45" spans="1:1">
      <c r="A45" t="str">
        <v>xDCGuadalajaraDigitalWorkplace</v>
      </c>
    </row>
    <row r="46" spans="1:1">
      <c r="A46" t="str">
        <v>xDCGuadalajaraITAMFinOps</v>
      </c>
    </row>
    <row r="47" spans="1:1">
      <c r="A47" t="str">
        <v>xDCGurugramApplicationServices</v>
      </c>
    </row>
    <row r="48" spans="1:1">
      <c r="A48" t="str">
        <v>xDCGurugramCloudServicesAWS</v>
      </c>
    </row>
    <row r="49" spans="1:1">
      <c r="A49" t="str">
        <v>xDCGurugramCloudServicesAzure</v>
      </c>
    </row>
    <row r="50" spans="1:1">
      <c r="A50" t="str">
        <v>xDCGurugramDataAI</v>
      </c>
    </row>
    <row r="51" spans="1:1">
      <c r="A51" t="str">
        <v>xDCGurugramDigitalWorkplace</v>
      </c>
    </row>
    <row r="52" spans="1:1">
      <c r="A52" t="str">
        <v>xDCGurugramITAMFinOps</v>
      </c>
    </row>
    <row r="53" spans="1:1">
      <c r="A53" t="str">
        <v>xDCGurugramOtherServices</v>
      </c>
    </row>
    <row r="54" spans="1:1">
      <c r="A54" t="str">
        <v>xDCGurugramProjectManagement</v>
      </c>
    </row>
    <row r="55" spans="1:1">
      <c r="A55" t="str">
        <v>xDCGurugramSupportServices</v>
      </c>
    </row>
    <row r="56" spans="1:1">
      <c r="A56" t="str">
        <v>xDCMedellinApplicationServices</v>
      </c>
    </row>
    <row r="57" spans="1:1">
      <c r="A57" t="str">
        <v>xDCMedellinCloudServicesAWS</v>
      </c>
    </row>
    <row r="58" spans="1:1">
      <c r="A58" t="str">
        <v>xDCMedellinCloudServicesAzure</v>
      </c>
    </row>
    <row r="59" spans="1:1">
      <c r="A59" t="str">
        <v>xDCMedellinCybersecurity</v>
      </c>
    </row>
    <row r="60" spans="1:1">
      <c r="A60" t="str">
        <v>xDCMedellinDataAI</v>
      </c>
    </row>
    <row r="61" spans="1:1">
      <c r="A61" t="str">
        <v>xDCMedellinDigitalWorkplace</v>
      </c>
    </row>
    <row r="62" spans="1:1">
      <c r="A62" t="str">
        <v>xDCMedellinHybridManagedServices</v>
      </c>
    </row>
    <row r="63" spans="1:1">
      <c r="A63" t="str">
        <v>xDCMedellinITAMFinOps</v>
      </c>
    </row>
    <row r="64" spans="1:1">
      <c r="A64" t="str">
        <v>xDCMedellinOtherServices</v>
      </c>
    </row>
    <row r="65" spans="1:1">
      <c r="A65" t="str">
        <v>xDCMedellinProjectManagement</v>
      </c>
    </row>
    <row r="66" spans="1:1">
      <c r="A66" t="str">
        <v>xDCMedellinSupportServices</v>
      </c>
    </row>
    <row r="67" spans="1:1">
      <c r="A67" t="str">
        <v>xDCSanJoseCloudServicesAWS</v>
      </c>
    </row>
    <row r="68" spans="1:1">
      <c r="A68" t="str">
        <v>xDCSanJoseCloudServicesAzure</v>
      </c>
    </row>
    <row r="69" spans="1:1">
      <c r="A69" t="str">
        <v>xDCSanJoseCSPServices</v>
      </c>
    </row>
    <row r="70" spans="1:1">
      <c r="A70" t="str">
        <v>xDCSanJoseDSCProcurement</v>
      </c>
    </row>
    <row r="71" spans="1:1">
      <c r="A71" t="str">
        <v>xDCSanJoseITAMFinOps</v>
      </c>
    </row>
    <row r="72" spans="1:1">
      <c r="A72" t="str">
        <v>xDCSanJoseProjectManagement</v>
      </c>
    </row>
    <row r="73" spans="1:1">
      <c r="A73" t="str">
        <v>xDCWarsawApplicationServices</v>
      </c>
    </row>
    <row r="74" spans="1:1">
      <c r="A74" t="str">
        <v>xDCWarsawCloudServicesAWS</v>
      </c>
    </row>
    <row r="75" spans="1:1">
      <c r="A75" t="str">
        <v>xDCWarsawCloudServicesAzure</v>
      </c>
    </row>
    <row r="76" spans="1:1">
      <c r="A76" t="str">
        <v>xDCWarsawCybersecurity</v>
      </c>
    </row>
    <row r="77" spans="1:1">
      <c r="A77" t="str">
        <v>xDCWarsawDataAI</v>
      </c>
    </row>
    <row r="78" spans="1:1">
      <c r="A78" t="str">
        <v>xDCWarsawDigitalWorkplace</v>
      </c>
    </row>
    <row r="79" spans="1:1">
      <c r="A79" t="str">
        <v>xDCWarsawProjectManagement</v>
      </c>
    </row>
    <row r="80" spans="1:1">
      <c r="A80" t="str">
        <v>xDCWarsawSAPServices</v>
      </c>
    </row>
  </sheetData>
  <sheetProtection algorithmName="SHA-512" hashValue="/tfnbYElW3hI0FyAmEEdZl1rlEwe6Dw8lLjvD8aftnsg+EwNXx60NarkIQoKtqpQzPzB6OOt7b4F+YESu9KYHg==" saltValue="9L3p62jUJB863YEoiYupFQ==" spinCount="100000" sheet="1" objects="1" scenarios="1" selectLockedCells="1" selectUnlockedCell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EE8CA-4442-014D-B5EC-9F70B6762744}">
  <sheetPr codeName="Sheet1"/>
  <dimension ref="A1:O151"/>
  <sheetViews>
    <sheetView showGridLines="0" workbookViewId="0">
      <selection activeCell="A2" sqref="A2"/>
    </sheetView>
  </sheetViews>
  <sheetFormatPr defaultColWidth="8.7109375" defaultRowHeight="14.45"/>
  <cols>
    <col min="1" max="1" width="35" customWidth="1"/>
    <col min="2" max="2" width="27.7109375" customWidth="1"/>
    <col min="3" max="3" width="10.7109375" customWidth="1"/>
    <col min="4" max="5" width="20.7109375" customWidth="1"/>
    <col min="6" max="6" width="10.140625" style="273" customWidth="1"/>
    <col min="7" max="7" width="10.28515625" style="273" customWidth="1"/>
    <col min="8" max="8" width="10.140625" style="273" customWidth="1"/>
    <col min="9" max="9" width="10.28515625" style="404" customWidth="1"/>
    <col min="10" max="11" width="23.7109375" style="274" customWidth="1"/>
    <col min="12" max="13" width="19.7109375" style="274" customWidth="1"/>
    <col min="14" max="14" width="12.28515625" customWidth="1"/>
    <col min="15" max="15" width="66.7109375" customWidth="1"/>
  </cols>
  <sheetData>
    <row r="1" spans="1:15">
      <c r="A1" s="265" t="s">
        <v>407</v>
      </c>
      <c r="B1" s="265" t="s">
        <v>408</v>
      </c>
      <c r="C1" s="265" t="s">
        <v>409</v>
      </c>
      <c r="D1" s="265" t="s">
        <v>410</v>
      </c>
      <c r="E1" s="265" t="s">
        <v>411</v>
      </c>
      <c r="F1" s="265" t="s">
        <v>119</v>
      </c>
      <c r="G1" s="265" t="s">
        <v>412</v>
      </c>
      <c r="H1" s="265" t="s">
        <v>122</v>
      </c>
      <c r="I1" s="266" t="s">
        <v>247</v>
      </c>
      <c r="J1" s="266" t="s">
        <v>413</v>
      </c>
      <c r="K1" s="266" t="s">
        <v>414</v>
      </c>
      <c r="L1" s="266" t="s">
        <v>415</v>
      </c>
      <c r="M1" s="266" t="s">
        <v>416</v>
      </c>
      <c r="N1" s="8" t="s">
        <v>417</v>
      </c>
      <c r="O1" s="265" t="s">
        <v>418</v>
      </c>
    </row>
    <row r="2" spans="1:15">
      <c r="A2" s="267"/>
      <c r="B2" s="267"/>
      <c r="C2" s="275">
        <v>0</v>
      </c>
      <c r="D2" s="269">
        <v>0</v>
      </c>
      <c r="E2" s="269">
        <f t="shared" ref="E2:E33" si="0">D2*(1+C2)</f>
        <v>0</v>
      </c>
      <c r="F2" s="271" cm="1">
        <f t="array" ref="F2">IF(A2&lt;&gt;"",IFERROR(INDEX('ONESheet 2.8'!AV:AV, MATCH(A2, 'ONESheet 2.8'!B:B, 0)+2),0),0)</f>
        <v>0</v>
      </c>
      <c r="G2" s="271">
        <v>0</v>
      </c>
      <c r="H2" s="271">
        <v>0</v>
      </c>
      <c r="I2" s="403" t="str">
        <f>'ONESheet 2.8'!BillingCountryCurrency</f>
        <v>USD</v>
      </c>
      <c r="J2" s="272">
        <f>IFERROR($E2,0)</f>
        <v>0</v>
      </c>
      <c r="K2" s="272">
        <f>ROUNDUP(IFERROR($E2/(1-$F2),0),2)</f>
        <v>0</v>
      </c>
      <c r="L2" s="272">
        <f>ROUNDUP(IFERROR($E2*$G2,0),2)</f>
        <v>0</v>
      </c>
      <c r="M2" s="272">
        <f>ROUNDUP(IFERROR(SUM($E2,$L2)*$H2,0),2)</f>
        <v>0</v>
      </c>
      <c r="N2" s="269"/>
      <c r="O2" s="267"/>
    </row>
    <row r="3" spans="1:15">
      <c r="A3" s="267"/>
      <c r="B3" s="267"/>
      <c r="C3" s="275">
        <v>0</v>
      </c>
      <c r="D3" s="269">
        <v>0</v>
      </c>
      <c r="E3" s="269">
        <f t="shared" si="0"/>
        <v>0</v>
      </c>
      <c r="F3" s="271" cm="1">
        <f t="array" ref="F3">IF(A3&lt;&gt;"",IFERROR(INDEX('ONESheet 2.8'!AV:AV, MATCH(A3, 'ONESheet 2.8'!B:B, 0)+2),0),0)</f>
        <v>0</v>
      </c>
      <c r="G3" s="271">
        <v>0</v>
      </c>
      <c r="H3" s="271">
        <v>0</v>
      </c>
      <c r="I3" s="403" t="str">
        <f>'ONESheet 2.8'!BillingCountryCurrency</f>
        <v>USD</v>
      </c>
      <c r="J3" s="272">
        <f t="shared" ref="J3:J66" si="1">IFERROR($E3,0)</f>
        <v>0</v>
      </c>
      <c r="K3" s="272">
        <f t="shared" ref="K3:K66" si="2">ROUNDUP(IFERROR($E3/(1-$F3),0),2)</f>
        <v>0</v>
      </c>
      <c r="L3" s="272">
        <f t="shared" ref="L3:L66" si="3">ROUNDUP(IFERROR($E3*$G3,0),2)</f>
        <v>0</v>
      </c>
      <c r="M3" s="272">
        <f t="shared" ref="M3:M66" si="4">ROUNDUP(IFERROR(SUM($E3,$L3)*$H3,0),2)</f>
        <v>0</v>
      </c>
      <c r="N3" s="269"/>
      <c r="O3" s="267"/>
    </row>
    <row r="4" spans="1:15">
      <c r="A4" s="267"/>
      <c r="B4" s="276"/>
      <c r="C4" s="275">
        <v>0</v>
      </c>
      <c r="D4" s="269">
        <v>0</v>
      </c>
      <c r="E4" s="269">
        <f t="shared" si="0"/>
        <v>0</v>
      </c>
      <c r="F4" s="271" cm="1">
        <f t="array" ref="F4">IF(A4&lt;&gt;"",IFERROR(INDEX('ONESheet 2.8'!AV:AV, MATCH(A4, 'ONESheet 2.8'!B:B, 0)+2),0),0)</f>
        <v>0</v>
      </c>
      <c r="G4" s="271">
        <v>0</v>
      </c>
      <c r="H4" s="271">
        <v>0</v>
      </c>
      <c r="I4" s="403" t="str">
        <f>'ONESheet 2.8'!BillingCountryCurrency</f>
        <v>USD</v>
      </c>
      <c r="J4" s="272">
        <f t="shared" si="1"/>
        <v>0</v>
      </c>
      <c r="K4" s="272">
        <f t="shared" si="2"/>
        <v>0</v>
      </c>
      <c r="L4" s="272">
        <f t="shared" si="3"/>
        <v>0</v>
      </c>
      <c r="M4" s="272">
        <f t="shared" si="4"/>
        <v>0</v>
      </c>
      <c r="N4" s="269"/>
      <c r="O4" s="267"/>
    </row>
    <row r="5" spans="1:15">
      <c r="A5" s="267"/>
      <c r="B5" s="276"/>
      <c r="C5" s="275">
        <v>0</v>
      </c>
      <c r="D5" s="269">
        <v>0</v>
      </c>
      <c r="E5" s="269">
        <f t="shared" si="0"/>
        <v>0</v>
      </c>
      <c r="F5" s="271" cm="1">
        <f t="array" ref="F5">IF(A5&lt;&gt;"",IFERROR(INDEX('ONESheet 2.8'!AV:AV, MATCH(A5, 'ONESheet 2.8'!B:B, 0)+2),0),0)</f>
        <v>0</v>
      </c>
      <c r="G5" s="271">
        <v>0</v>
      </c>
      <c r="H5" s="271">
        <v>0</v>
      </c>
      <c r="I5" s="403" t="str">
        <f>'ONESheet 2.8'!BillingCountryCurrency</f>
        <v>USD</v>
      </c>
      <c r="J5" s="272">
        <f t="shared" si="1"/>
        <v>0</v>
      </c>
      <c r="K5" s="272">
        <f t="shared" si="2"/>
        <v>0</v>
      </c>
      <c r="L5" s="272">
        <f t="shared" si="3"/>
        <v>0</v>
      </c>
      <c r="M5" s="272">
        <f t="shared" si="4"/>
        <v>0</v>
      </c>
      <c r="N5" s="269"/>
      <c r="O5" s="267"/>
    </row>
    <row r="6" spans="1:15">
      <c r="A6" s="267"/>
      <c r="B6" s="276"/>
      <c r="C6" s="275">
        <v>0</v>
      </c>
      <c r="D6" s="269">
        <v>0</v>
      </c>
      <c r="E6" s="269">
        <f t="shared" si="0"/>
        <v>0</v>
      </c>
      <c r="F6" s="271" cm="1">
        <f t="array" ref="F6">IF(A6&lt;&gt;"",IFERROR(INDEX('ONESheet 2.8'!AV:AV, MATCH(A6, 'ONESheet 2.8'!B:B, 0)+2),0),0)</f>
        <v>0</v>
      </c>
      <c r="G6" s="271">
        <v>0</v>
      </c>
      <c r="H6" s="271">
        <v>0</v>
      </c>
      <c r="I6" s="403" t="str">
        <f>'ONESheet 2.8'!BillingCountryCurrency</f>
        <v>USD</v>
      </c>
      <c r="J6" s="272">
        <f t="shared" si="1"/>
        <v>0</v>
      </c>
      <c r="K6" s="272">
        <f t="shared" si="2"/>
        <v>0</v>
      </c>
      <c r="L6" s="272">
        <f t="shared" si="3"/>
        <v>0</v>
      </c>
      <c r="M6" s="272">
        <f t="shared" si="4"/>
        <v>0</v>
      </c>
      <c r="N6" s="269"/>
      <c r="O6" s="267"/>
    </row>
    <row r="7" spans="1:15">
      <c r="A7" s="267"/>
      <c r="B7" s="267"/>
      <c r="C7" s="275">
        <v>0</v>
      </c>
      <c r="D7" s="269">
        <v>0</v>
      </c>
      <c r="E7" s="269">
        <f t="shared" si="0"/>
        <v>0</v>
      </c>
      <c r="F7" s="271" cm="1">
        <f t="array" ref="F7">IF(A7&lt;&gt;"",IFERROR(INDEX('ONESheet 2.8'!AV:AV, MATCH(A7, 'ONESheet 2.8'!B:B, 0)+2),0),0)</f>
        <v>0</v>
      </c>
      <c r="G7" s="271">
        <v>0</v>
      </c>
      <c r="H7" s="271">
        <v>0</v>
      </c>
      <c r="I7" s="403" t="str">
        <f>'ONESheet 2.8'!BillingCountryCurrency</f>
        <v>USD</v>
      </c>
      <c r="J7" s="272">
        <f t="shared" si="1"/>
        <v>0</v>
      </c>
      <c r="K7" s="272">
        <f t="shared" si="2"/>
        <v>0</v>
      </c>
      <c r="L7" s="272">
        <f t="shared" si="3"/>
        <v>0</v>
      </c>
      <c r="M7" s="272">
        <f t="shared" si="4"/>
        <v>0</v>
      </c>
      <c r="N7" s="269"/>
      <c r="O7" s="267"/>
    </row>
    <row r="8" spans="1:15">
      <c r="A8" s="267"/>
      <c r="B8" s="267"/>
      <c r="C8" s="275">
        <v>0</v>
      </c>
      <c r="D8" s="269">
        <v>0</v>
      </c>
      <c r="E8" s="269">
        <f t="shared" si="0"/>
        <v>0</v>
      </c>
      <c r="F8" s="271" cm="1">
        <f t="array" ref="F8">IF(A8&lt;&gt;"",IFERROR(INDEX('ONESheet 2.8'!AV:AV, MATCH(A8, 'ONESheet 2.8'!B:B, 0)+2),0),0)</f>
        <v>0</v>
      </c>
      <c r="G8" s="271">
        <v>0</v>
      </c>
      <c r="H8" s="271">
        <v>0</v>
      </c>
      <c r="I8" s="403" t="str">
        <f>'ONESheet 2.8'!BillingCountryCurrency</f>
        <v>USD</v>
      </c>
      <c r="J8" s="272">
        <f t="shared" si="1"/>
        <v>0</v>
      </c>
      <c r="K8" s="272">
        <f t="shared" si="2"/>
        <v>0</v>
      </c>
      <c r="L8" s="272">
        <f t="shared" si="3"/>
        <v>0</v>
      </c>
      <c r="M8" s="272">
        <f t="shared" si="4"/>
        <v>0</v>
      </c>
      <c r="N8" s="269"/>
      <c r="O8" s="267"/>
    </row>
    <row r="9" spans="1:15">
      <c r="A9" s="267"/>
      <c r="B9" s="267"/>
      <c r="C9" s="275">
        <v>0</v>
      </c>
      <c r="D9" s="269">
        <v>0</v>
      </c>
      <c r="E9" s="269">
        <f t="shared" si="0"/>
        <v>0</v>
      </c>
      <c r="F9" s="271" cm="1">
        <f t="array" ref="F9">IF(A9&lt;&gt;"",IFERROR(INDEX('ONESheet 2.8'!AV:AV, MATCH(A9, 'ONESheet 2.8'!B:B, 0)+2),0),0)</f>
        <v>0</v>
      </c>
      <c r="G9" s="271">
        <v>0</v>
      </c>
      <c r="H9" s="271">
        <v>0</v>
      </c>
      <c r="I9" s="403" t="str">
        <f>'ONESheet 2.8'!BillingCountryCurrency</f>
        <v>USD</v>
      </c>
      <c r="J9" s="272">
        <f t="shared" si="1"/>
        <v>0</v>
      </c>
      <c r="K9" s="272">
        <f t="shared" si="2"/>
        <v>0</v>
      </c>
      <c r="L9" s="272">
        <f t="shared" si="3"/>
        <v>0</v>
      </c>
      <c r="M9" s="272">
        <f t="shared" si="4"/>
        <v>0</v>
      </c>
      <c r="N9" s="269"/>
      <c r="O9" s="267"/>
    </row>
    <row r="10" spans="1:15">
      <c r="A10" s="267"/>
      <c r="B10" s="267"/>
      <c r="C10" s="275">
        <v>0</v>
      </c>
      <c r="D10" s="269">
        <v>0</v>
      </c>
      <c r="E10" s="269">
        <f t="shared" si="0"/>
        <v>0</v>
      </c>
      <c r="F10" s="271" cm="1">
        <f t="array" ref="F10">IF(A10&lt;&gt;"",IFERROR(INDEX('ONESheet 2.8'!AV:AV, MATCH(A10, 'ONESheet 2.8'!B:B, 0)+2),0),0)</f>
        <v>0</v>
      </c>
      <c r="G10" s="271">
        <v>0</v>
      </c>
      <c r="H10" s="271">
        <v>0</v>
      </c>
      <c r="I10" s="403" t="str">
        <f>'ONESheet 2.8'!BillingCountryCurrency</f>
        <v>USD</v>
      </c>
      <c r="J10" s="272">
        <f t="shared" si="1"/>
        <v>0</v>
      </c>
      <c r="K10" s="272">
        <f t="shared" si="2"/>
        <v>0</v>
      </c>
      <c r="L10" s="272">
        <f t="shared" si="3"/>
        <v>0</v>
      </c>
      <c r="M10" s="272">
        <f t="shared" si="4"/>
        <v>0</v>
      </c>
      <c r="N10" s="269"/>
      <c r="O10" s="267"/>
    </row>
    <row r="11" spans="1:15">
      <c r="A11" s="267"/>
      <c r="B11" s="267"/>
      <c r="C11" s="275">
        <v>0</v>
      </c>
      <c r="D11" s="269">
        <v>0</v>
      </c>
      <c r="E11" s="269">
        <f t="shared" si="0"/>
        <v>0</v>
      </c>
      <c r="F11" s="271" cm="1">
        <f t="array" ref="F11">IF(A11&lt;&gt;"",IFERROR(INDEX('ONESheet 2.8'!AV:AV, MATCH(A11, 'ONESheet 2.8'!B:B, 0)+2),0),0)</f>
        <v>0</v>
      </c>
      <c r="G11" s="271">
        <v>0</v>
      </c>
      <c r="H11" s="271">
        <v>0</v>
      </c>
      <c r="I11" s="403" t="str">
        <f>'ONESheet 2.8'!BillingCountryCurrency</f>
        <v>USD</v>
      </c>
      <c r="J11" s="272">
        <f t="shared" si="1"/>
        <v>0</v>
      </c>
      <c r="K11" s="272">
        <f t="shared" si="2"/>
        <v>0</v>
      </c>
      <c r="L11" s="272">
        <f>ROUNDUP(IFERROR($E11*$G11,0),2)</f>
        <v>0</v>
      </c>
      <c r="M11" s="272">
        <f t="shared" si="4"/>
        <v>0</v>
      </c>
      <c r="N11" s="269"/>
      <c r="O11" s="267"/>
    </row>
    <row r="12" spans="1:15">
      <c r="A12" s="267"/>
      <c r="B12" s="267"/>
      <c r="C12" s="275">
        <v>0</v>
      </c>
      <c r="D12" s="269">
        <v>0</v>
      </c>
      <c r="E12" s="269">
        <f t="shared" si="0"/>
        <v>0</v>
      </c>
      <c r="F12" s="271" cm="1">
        <f t="array" ref="F12">IF(A12&lt;&gt;"",IFERROR(INDEX('ONESheet 2.8'!AV:AV, MATCH(A12, 'ONESheet 2.8'!B:B, 0)+2),0),0)</f>
        <v>0</v>
      </c>
      <c r="G12" s="271">
        <v>0</v>
      </c>
      <c r="H12" s="271">
        <v>0</v>
      </c>
      <c r="I12" s="403" t="str">
        <f>'ONESheet 2.8'!BillingCountryCurrency</f>
        <v>USD</v>
      </c>
      <c r="J12" s="272">
        <f t="shared" si="1"/>
        <v>0</v>
      </c>
      <c r="K12" s="272">
        <f>ROUNDUP(IFERROR($E12/(1-$F12),0),2)</f>
        <v>0</v>
      </c>
      <c r="L12" s="272">
        <f t="shared" si="3"/>
        <v>0</v>
      </c>
      <c r="M12" s="272">
        <f t="shared" si="4"/>
        <v>0</v>
      </c>
      <c r="N12" s="269"/>
      <c r="O12" s="267"/>
    </row>
    <row r="13" spans="1:15">
      <c r="A13" s="267"/>
      <c r="B13" s="267"/>
      <c r="C13" s="275">
        <v>0</v>
      </c>
      <c r="D13" s="269">
        <v>0</v>
      </c>
      <c r="E13" s="269">
        <f t="shared" si="0"/>
        <v>0</v>
      </c>
      <c r="F13" s="271" cm="1">
        <f t="array" ref="F13">IF(A13&lt;&gt;"",IFERROR(INDEX('ONESheet 2.8'!AV:AV, MATCH(A13, 'ONESheet 2.8'!B:B, 0)+2),0),0)</f>
        <v>0</v>
      </c>
      <c r="G13" s="271">
        <v>0</v>
      </c>
      <c r="H13" s="271">
        <v>0</v>
      </c>
      <c r="I13" s="403" t="str">
        <f>'ONESheet 2.8'!BillingCountryCurrency</f>
        <v>USD</v>
      </c>
      <c r="J13" s="272">
        <f>IFERROR($E13,0)</f>
        <v>0</v>
      </c>
      <c r="K13" s="272">
        <f t="shared" si="2"/>
        <v>0</v>
      </c>
      <c r="L13" s="272">
        <f t="shared" si="3"/>
        <v>0</v>
      </c>
      <c r="M13" s="272">
        <f t="shared" si="4"/>
        <v>0</v>
      </c>
      <c r="N13" s="269"/>
      <c r="O13" s="267"/>
    </row>
    <row r="14" spans="1:15">
      <c r="A14" s="267"/>
      <c r="B14" s="267"/>
      <c r="C14" s="275">
        <v>0</v>
      </c>
      <c r="D14" s="269">
        <v>0</v>
      </c>
      <c r="E14" s="269">
        <f t="shared" si="0"/>
        <v>0</v>
      </c>
      <c r="F14" s="271" cm="1">
        <f t="array" ref="F14">IF(A14&lt;&gt;"",IFERROR(INDEX('ONESheet 2.8'!AV:AV, MATCH(A14, 'ONESheet 2.8'!B:B, 0)+2),0),0)</f>
        <v>0</v>
      </c>
      <c r="G14" s="271">
        <v>0</v>
      </c>
      <c r="H14" s="271">
        <v>0</v>
      </c>
      <c r="I14" s="403" t="str">
        <f>'ONESheet 2.8'!BillingCountryCurrency</f>
        <v>USD</v>
      </c>
      <c r="J14" s="272">
        <f t="shared" si="1"/>
        <v>0</v>
      </c>
      <c r="K14" s="272">
        <f t="shared" si="2"/>
        <v>0</v>
      </c>
      <c r="L14" s="272">
        <f t="shared" si="3"/>
        <v>0</v>
      </c>
      <c r="M14" s="272">
        <f t="shared" si="4"/>
        <v>0</v>
      </c>
      <c r="N14" s="269"/>
      <c r="O14" s="267"/>
    </row>
    <row r="15" spans="1:15">
      <c r="A15" s="267"/>
      <c r="B15" s="267"/>
      <c r="C15" s="275">
        <v>0</v>
      </c>
      <c r="D15" s="269">
        <v>0</v>
      </c>
      <c r="E15" s="269">
        <f t="shared" si="0"/>
        <v>0</v>
      </c>
      <c r="F15" s="271" cm="1">
        <f t="array" ref="F15">IF(A15&lt;&gt;"",IFERROR(INDEX('ONESheet 2.8'!AV:AV, MATCH(A15, 'ONESheet 2.8'!B:B, 0)+2),0),0)</f>
        <v>0</v>
      </c>
      <c r="G15" s="271">
        <v>0</v>
      </c>
      <c r="H15" s="271">
        <v>0</v>
      </c>
      <c r="I15" s="403" t="str">
        <f>'ONESheet 2.8'!BillingCountryCurrency</f>
        <v>USD</v>
      </c>
      <c r="J15" s="272">
        <f t="shared" si="1"/>
        <v>0</v>
      </c>
      <c r="K15" s="272">
        <f t="shared" si="2"/>
        <v>0</v>
      </c>
      <c r="L15" s="272">
        <f t="shared" si="3"/>
        <v>0</v>
      </c>
      <c r="M15" s="272">
        <f t="shared" si="4"/>
        <v>0</v>
      </c>
      <c r="N15" s="269"/>
      <c r="O15" s="267"/>
    </row>
    <row r="16" spans="1:15">
      <c r="A16" s="267"/>
      <c r="B16" s="267"/>
      <c r="C16" s="275">
        <v>0</v>
      </c>
      <c r="D16" s="269">
        <v>0</v>
      </c>
      <c r="E16" s="269">
        <f t="shared" si="0"/>
        <v>0</v>
      </c>
      <c r="F16" s="271" cm="1">
        <f t="array" ref="F16">IF(A16&lt;&gt;"",IFERROR(INDEX('ONESheet 2.8'!AV:AV, MATCH(A16, 'ONESheet 2.8'!B:B, 0)+2),0),0)</f>
        <v>0</v>
      </c>
      <c r="G16" s="271">
        <v>0</v>
      </c>
      <c r="H16" s="271">
        <v>0</v>
      </c>
      <c r="I16" s="403" t="str">
        <f>'ONESheet 2.8'!BillingCountryCurrency</f>
        <v>USD</v>
      </c>
      <c r="J16" s="272">
        <f t="shared" si="1"/>
        <v>0</v>
      </c>
      <c r="K16" s="272">
        <f t="shared" si="2"/>
        <v>0</v>
      </c>
      <c r="L16" s="272">
        <f t="shared" si="3"/>
        <v>0</v>
      </c>
      <c r="M16" s="272">
        <f t="shared" si="4"/>
        <v>0</v>
      </c>
      <c r="N16" s="269"/>
      <c r="O16" s="267"/>
    </row>
    <row r="17" spans="1:15">
      <c r="A17" s="267"/>
      <c r="B17" s="267"/>
      <c r="C17" s="275">
        <v>0</v>
      </c>
      <c r="D17" s="269">
        <v>0</v>
      </c>
      <c r="E17" s="269">
        <f t="shared" si="0"/>
        <v>0</v>
      </c>
      <c r="F17" s="271" cm="1">
        <f t="array" ref="F17">IF(A17&lt;&gt;"",IFERROR(INDEX('ONESheet 2.8'!AV:AV, MATCH(A17, 'ONESheet 2.8'!B:B, 0)+2),0),0)</f>
        <v>0</v>
      </c>
      <c r="G17" s="271">
        <v>0</v>
      </c>
      <c r="H17" s="271">
        <v>0</v>
      </c>
      <c r="I17" s="403" t="str">
        <f>'ONESheet 2.8'!BillingCountryCurrency</f>
        <v>USD</v>
      </c>
      <c r="J17" s="272">
        <f t="shared" si="1"/>
        <v>0</v>
      </c>
      <c r="K17" s="272">
        <f t="shared" si="2"/>
        <v>0</v>
      </c>
      <c r="L17" s="272">
        <f t="shared" si="3"/>
        <v>0</v>
      </c>
      <c r="M17" s="272">
        <f t="shared" si="4"/>
        <v>0</v>
      </c>
      <c r="N17" s="269"/>
      <c r="O17" s="267"/>
    </row>
    <row r="18" spans="1:15">
      <c r="A18" s="267"/>
      <c r="B18" s="267"/>
      <c r="C18" s="275">
        <v>0</v>
      </c>
      <c r="D18" s="269">
        <v>0</v>
      </c>
      <c r="E18" s="269">
        <f t="shared" si="0"/>
        <v>0</v>
      </c>
      <c r="F18" s="271" cm="1">
        <f t="array" ref="F18">IF(A18&lt;&gt;"",IFERROR(INDEX('ONESheet 2.8'!AV:AV, MATCH(A18, 'ONESheet 2.8'!B:B, 0)+2),0),0)</f>
        <v>0</v>
      </c>
      <c r="G18" s="271">
        <v>0</v>
      </c>
      <c r="H18" s="271">
        <v>0</v>
      </c>
      <c r="I18" s="403" t="str">
        <f>'ONESheet 2.8'!BillingCountryCurrency</f>
        <v>USD</v>
      </c>
      <c r="J18" s="272">
        <f t="shared" si="1"/>
        <v>0</v>
      </c>
      <c r="K18" s="272">
        <f t="shared" si="2"/>
        <v>0</v>
      </c>
      <c r="L18" s="272">
        <f t="shared" si="3"/>
        <v>0</v>
      </c>
      <c r="M18" s="272">
        <f t="shared" si="4"/>
        <v>0</v>
      </c>
      <c r="N18" s="269"/>
      <c r="O18" s="267"/>
    </row>
    <row r="19" spans="1:15">
      <c r="A19" s="267"/>
      <c r="B19" s="267"/>
      <c r="C19" s="275">
        <v>0</v>
      </c>
      <c r="D19" s="269">
        <v>0</v>
      </c>
      <c r="E19" s="269">
        <f t="shared" si="0"/>
        <v>0</v>
      </c>
      <c r="F19" s="271" cm="1">
        <f t="array" ref="F19">IF(A19&lt;&gt;"",IFERROR(INDEX('ONESheet 2.8'!AV:AV, MATCH(A19, 'ONESheet 2.8'!B:B, 0)+2),0),0)</f>
        <v>0</v>
      </c>
      <c r="G19" s="271">
        <v>0</v>
      </c>
      <c r="H19" s="271">
        <v>0</v>
      </c>
      <c r="I19" s="403" t="str">
        <f>'ONESheet 2.8'!BillingCountryCurrency</f>
        <v>USD</v>
      </c>
      <c r="J19" s="272">
        <f t="shared" si="1"/>
        <v>0</v>
      </c>
      <c r="K19" s="272">
        <f t="shared" si="2"/>
        <v>0</v>
      </c>
      <c r="L19" s="272">
        <f t="shared" si="3"/>
        <v>0</v>
      </c>
      <c r="M19" s="272">
        <f t="shared" si="4"/>
        <v>0</v>
      </c>
      <c r="N19" s="269"/>
      <c r="O19" s="267"/>
    </row>
    <row r="20" spans="1:15">
      <c r="A20" s="267"/>
      <c r="B20" s="267"/>
      <c r="C20" s="275">
        <v>0</v>
      </c>
      <c r="D20" s="269">
        <v>0</v>
      </c>
      <c r="E20" s="269">
        <f t="shared" si="0"/>
        <v>0</v>
      </c>
      <c r="F20" s="271" cm="1">
        <f t="array" ref="F20">IF(A20&lt;&gt;"",IFERROR(INDEX('ONESheet 2.8'!AV:AV, MATCH(A20, 'ONESheet 2.8'!B:B, 0)+2),0),0)</f>
        <v>0</v>
      </c>
      <c r="G20" s="271">
        <v>0</v>
      </c>
      <c r="H20" s="271">
        <v>0</v>
      </c>
      <c r="I20" s="403" t="str">
        <f>'ONESheet 2.8'!BillingCountryCurrency</f>
        <v>USD</v>
      </c>
      <c r="J20" s="272">
        <f t="shared" si="1"/>
        <v>0</v>
      </c>
      <c r="K20" s="272">
        <f t="shared" si="2"/>
        <v>0</v>
      </c>
      <c r="L20" s="272">
        <f t="shared" si="3"/>
        <v>0</v>
      </c>
      <c r="M20" s="272">
        <f t="shared" si="4"/>
        <v>0</v>
      </c>
      <c r="N20" s="269"/>
      <c r="O20" s="267"/>
    </row>
    <row r="21" spans="1:15">
      <c r="A21" s="267"/>
      <c r="B21" s="267"/>
      <c r="C21" s="275">
        <v>0</v>
      </c>
      <c r="D21" s="269">
        <v>0</v>
      </c>
      <c r="E21" s="269">
        <f t="shared" si="0"/>
        <v>0</v>
      </c>
      <c r="F21" s="271" cm="1">
        <f t="array" ref="F21">IF(A21&lt;&gt;"",IFERROR(INDEX('ONESheet 2.8'!AV:AV, MATCH(A21, 'ONESheet 2.8'!B:B, 0)+2),0),0)</f>
        <v>0</v>
      </c>
      <c r="G21" s="271">
        <v>0</v>
      </c>
      <c r="H21" s="271">
        <v>0</v>
      </c>
      <c r="I21" s="403" t="str">
        <f>'ONESheet 2.8'!BillingCountryCurrency</f>
        <v>USD</v>
      </c>
      <c r="J21" s="272">
        <f t="shared" si="1"/>
        <v>0</v>
      </c>
      <c r="K21" s="272">
        <f t="shared" si="2"/>
        <v>0</v>
      </c>
      <c r="L21" s="272">
        <f t="shared" si="3"/>
        <v>0</v>
      </c>
      <c r="M21" s="272">
        <f t="shared" si="4"/>
        <v>0</v>
      </c>
      <c r="N21" s="269"/>
      <c r="O21" s="267"/>
    </row>
    <row r="22" spans="1:15">
      <c r="A22" s="267"/>
      <c r="B22" s="267"/>
      <c r="C22" s="275">
        <v>0</v>
      </c>
      <c r="D22" s="269">
        <v>0</v>
      </c>
      <c r="E22" s="269">
        <f t="shared" si="0"/>
        <v>0</v>
      </c>
      <c r="F22" s="271" cm="1">
        <f t="array" ref="F22">IF(A22&lt;&gt;"",IFERROR(INDEX('ONESheet 2.8'!AV:AV, MATCH(A22, 'ONESheet 2.8'!B:B, 0)+2),0),0)</f>
        <v>0</v>
      </c>
      <c r="G22" s="271">
        <v>0</v>
      </c>
      <c r="H22" s="271">
        <v>0</v>
      </c>
      <c r="I22" s="403" t="str">
        <f>'ONESheet 2.8'!BillingCountryCurrency</f>
        <v>USD</v>
      </c>
      <c r="J22" s="272">
        <f t="shared" si="1"/>
        <v>0</v>
      </c>
      <c r="K22" s="272">
        <f t="shared" si="2"/>
        <v>0</v>
      </c>
      <c r="L22" s="272">
        <f t="shared" si="3"/>
        <v>0</v>
      </c>
      <c r="M22" s="272">
        <f t="shared" si="4"/>
        <v>0</v>
      </c>
      <c r="N22" s="269"/>
      <c r="O22" s="267"/>
    </row>
    <row r="23" spans="1:15">
      <c r="A23" s="267"/>
      <c r="B23" s="267"/>
      <c r="C23" s="275">
        <v>0</v>
      </c>
      <c r="D23" s="269">
        <v>0</v>
      </c>
      <c r="E23" s="269">
        <f t="shared" si="0"/>
        <v>0</v>
      </c>
      <c r="F23" s="271" cm="1">
        <f t="array" ref="F23">IF(A23&lt;&gt;"",IFERROR(INDEX('ONESheet 2.8'!AV:AV, MATCH(A23, 'ONESheet 2.8'!B:B, 0)+2),0),0)</f>
        <v>0</v>
      </c>
      <c r="G23" s="271">
        <v>0</v>
      </c>
      <c r="H23" s="271">
        <v>0</v>
      </c>
      <c r="I23" s="403" t="str">
        <f>'ONESheet 2.8'!BillingCountryCurrency</f>
        <v>USD</v>
      </c>
      <c r="J23" s="272">
        <f t="shared" si="1"/>
        <v>0</v>
      </c>
      <c r="K23" s="272">
        <f t="shared" si="2"/>
        <v>0</v>
      </c>
      <c r="L23" s="272">
        <f t="shared" si="3"/>
        <v>0</v>
      </c>
      <c r="M23" s="272">
        <f t="shared" si="4"/>
        <v>0</v>
      </c>
      <c r="N23" s="269"/>
      <c r="O23" s="267"/>
    </row>
    <row r="24" spans="1:15">
      <c r="A24" s="267"/>
      <c r="B24" s="267"/>
      <c r="C24" s="275">
        <v>0</v>
      </c>
      <c r="D24" s="269">
        <v>0</v>
      </c>
      <c r="E24" s="269">
        <f t="shared" si="0"/>
        <v>0</v>
      </c>
      <c r="F24" s="271" cm="1">
        <f t="array" ref="F24">IF(A24&lt;&gt;"",IFERROR(INDEX('ONESheet 2.8'!AV:AV, MATCH(A24, 'ONESheet 2.8'!B:B, 0)+2),0),0)</f>
        <v>0</v>
      </c>
      <c r="G24" s="271">
        <v>0</v>
      </c>
      <c r="H24" s="271">
        <v>0</v>
      </c>
      <c r="I24" s="403" t="str">
        <f>'ONESheet 2.8'!BillingCountryCurrency</f>
        <v>USD</v>
      </c>
      <c r="J24" s="272">
        <f t="shared" si="1"/>
        <v>0</v>
      </c>
      <c r="K24" s="272">
        <f t="shared" si="2"/>
        <v>0</v>
      </c>
      <c r="L24" s="272">
        <f t="shared" si="3"/>
        <v>0</v>
      </c>
      <c r="M24" s="272">
        <f t="shared" si="4"/>
        <v>0</v>
      </c>
      <c r="N24" s="269"/>
      <c r="O24" s="267"/>
    </row>
    <row r="25" spans="1:15">
      <c r="A25" s="267"/>
      <c r="B25" s="267"/>
      <c r="C25" s="275">
        <v>0</v>
      </c>
      <c r="D25" s="269">
        <v>0</v>
      </c>
      <c r="E25" s="269">
        <f t="shared" si="0"/>
        <v>0</v>
      </c>
      <c r="F25" s="271" cm="1">
        <f t="array" ref="F25">IF(A25&lt;&gt;"",IFERROR(INDEX('ONESheet 2.8'!AV:AV, MATCH(A25, 'ONESheet 2.8'!B:B, 0)+2),0),0)</f>
        <v>0</v>
      </c>
      <c r="G25" s="271">
        <v>0</v>
      </c>
      <c r="H25" s="271">
        <v>0</v>
      </c>
      <c r="I25" s="403" t="str">
        <f>'ONESheet 2.8'!BillingCountryCurrency</f>
        <v>USD</v>
      </c>
      <c r="J25" s="272">
        <f t="shared" si="1"/>
        <v>0</v>
      </c>
      <c r="K25" s="272">
        <f t="shared" si="2"/>
        <v>0</v>
      </c>
      <c r="L25" s="272">
        <f t="shared" si="3"/>
        <v>0</v>
      </c>
      <c r="M25" s="272">
        <f t="shared" si="4"/>
        <v>0</v>
      </c>
      <c r="N25" s="269"/>
      <c r="O25" s="267"/>
    </row>
    <row r="26" spans="1:15">
      <c r="A26" s="267"/>
      <c r="B26" s="267"/>
      <c r="C26" s="275">
        <v>0</v>
      </c>
      <c r="D26" s="269">
        <v>0</v>
      </c>
      <c r="E26" s="269">
        <f t="shared" si="0"/>
        <v>0</v>
      </c>
      <c r="F26" s="271" cm="1">
        <f t="array" ref="F26">IF(A26&lt;&gt;"",IFERROR(INDEX('ONESheet 2.8'!AV:AV, MATCH(A26, 'ONESheet 2.8'!B:B, 0)+2),0),0)</f>
        <v>0</v>
      </c>
      <c r="G26" s="271">
        <v>0</v>
      </c>
      <c r="H26" s="271">
        <v>0</v>
      </c>
      <c r="I26" s="403" t="str">
        <f>'ONESheet 2.8'!BillingCountryCurrency</f>
        <v>USD</v>
      </c>
      <c r="J26" s="272">
        <f t="shared" si="1"/>
        <v>0</v>
      </c>
      <c r="K26" s="272">
        <f t="shared" si="2"/>
        <v>0</v>
      </c>
      <c r="L26" s="272">
        <f t="shared" si="3"/>
        <v>0</v>
      </c>
      <c r="M26" s="272">
        <f t="shared" si="4"/>
        <v>0</v>
      </c>
      <c r="N26" s="269"/>
      <c r="O26" s="267"/>
    </row>
    <row r="27" spans="1:15">
      <c r="A27" s="267"/>
      <c r="B27" s="267"/>
      <c r="C27" s="275">
        <v>0</v>
      </c>
      <c r="D27" s="269">
        <v>0</v>
      </c>
      <c r="E27" s="269">
        <f t="shared" si="0"/>
        <v>0</v>
      </c>
      <c r="F27" s="271" cm="1">
        <f t="array" ref="F27">IF(A27&lt;&gt;"",IFERROR(INDEX('ONESheet 2.8'!AV:AV, MATCH(A27, 'ONESheet 2.8'!B:B, 0)+2),0),0)</f>
        <v>0</v>
      </c>
      <c r="G27" s="271">
        <v>0</v>
      </c>
      <c r="H27" s="271">
        <v>0</v>
      </c>
      <c r="I27" s="403" t="str">
        <f>'ONESheet 2.8'!BillingCountryCurrency</f>
        <v>USD</v>
      </c>
      <c r="J27" s="272">
        <f t="shared" si="1"/>
        <v>0</v>
      </c>
      <c r="K27" s="272">
        <f t="shared" si="2"/>
        <v>0</v>
      </c>
      <c r="L27" s="272">
        <f t="shared" si="3"/>
        <v>0</v>
      </c>
      <c r="M27" s="272">
        <f t="shared" si="4"/>
        <v>0</v>
      </c>
      <c r="N27" s="269"/>
      <c r="O27" s="267"/>
    </row>
    <row r="28" spans="1:15">
      <c r="A28" s="267"/>
      <c r="B28" s="267"/>
      <c r="C28" s="275">
        <v>0</v>
      </c>
      <c r="D28" s="269">
        <v>0</v>
      </c>
      <c r="E28" s="269">
        <f t="shared" si="0"/>
        <v>0</v>
      </c>
      <c r="F28" s="271" cm="1">
        <f t="array" ref="F28">IF(A28&lt;&gt;"",IFERROR(INDEX('ONESheet 2.8'!AV:AV, MATCH(A28, 'ONESheet 2.8'!B:B, 0)+2),0),0)</f>
        <v>0</v>
      </c>
      <c r="G28" s="271">
        <v>0</v>
      </c>
      <c r="H28" s="271">
        <v>0</v>
      </c>
      <c r="I28" s="403" t="str">
        <f>'ONESheet 2.8'!BillingCountryCurrency</f>
        <v>USD</v>
      </c>
      <c r="J28" s="272">
        <f t="shared" si="1"/>
        <v>0</v>
      </c>
      <c r="K28" s="272">
        <f t="shared" si="2"/>
        <v>0</v>
      </c>
      <c r="L28" s="272">
        <f t="shared" si="3"/>
        <v>0</v>
      </c>
      <c r="M28" s="272">
        <f t="shared" si="4"/>
        <v>0</v>
      </c>
      <c r="N28" s="269"/>
      <c r="O28" s="267"/>
    </row>
    <row r="29" spans="1:15">
      <c r="A29" s="267"/>
      <c r="B29" s="267"/>
      <c r="C29" s="275">
        <v>0</v>
      </c>
      <c r="D29" s="269">
        <v>0</v>
      </c>
      <c r="E29" s="269">
        <f t="shared" si="0"/>
        <v>0</v>
      </c>
      <c r="F29" s="271" cm="1">
        <f t="array" ref="F29">IF(A29&lt;&gt;"",IFERROR(INDEX('ONESheet 2.8'!AV:AV, MATCH(A29, 'ONESheet 2.8'!B:B, 0)+2),0),0)</f>
        <v>0</v>
      </c>
      <c r="G29" s="271">
        <v>0</v>
      </c>
      <c r="H29" s="271">
        <v>0</v>
      </c>
      <c r="I29" s="403" t="str">
        <f>'ONESheet 2.8'!BillingCountryCurrency</f>
        <v>USD</v>
      </c>
      <c r="J29" s="272">
        <f t="shared" si="1"/>
        <v>0</v>
      </c>
      <c r="K29" s="272">
        <f t="shared" si="2"/>
        <v>0</v>
      </c>
      <c r="L29" s="272">
        <f t="shared" si="3"/>
        <v>0</v>
      </c>
      <c r="M29" s="272">
        <f t="shared" si="4"/>
        <v>0</v>
      </c>
      <c r="N29" s="269"/>
      <c r="O29" s="267"/>
    </row>
    <row r="30" spans="1:15">
      <c r="A30" s="267"/>
      <c r="B30" s="267"/>
      <c r="C30" s="275">
        <v>0</v>
      </c>
      <c r="D30" s="269">
        <v>0</v>
      </c>
      <c r="E30" s="269">
        <f t="shared" si="0"/>
        <v>0</v>
      </c>
      <c r="F30" s="271" cm="1">
        <f t="array" ref="F30">IF(A30&lt;&gt;"",IFERROR(INDEX('ONESheet 2.8'!AV:AV, MATCH(A30, 'ONESheet 2.8'!B:B, 0)+2),0),0)</f>
        <v>0</v>
      </c>
      <c r="G30" s="271">
        <v>0</v>
      </c>
      <c r="H30" s="271">
        <v>0</v>
      </c>
      <c r="I30" s="403" t="str">
        <f>'ONESheet 2.8'!BillingCountryCurrency</f>
        <v>USD</v>
      </c>
      <c r="J30" s="272">
        <f t="shared" si="1"/>
        <v>0</v>
      </c>
      <c r="K30" s="272">
        <f t="shared" si="2"/>
        <v>0</v>
      </c>
      <c r="L30" s="272">
        <f t="shared" si="3"/>
        <v>0</v>
      </c>
      <c r="M30" s="272">
        <f t="shared" si="4"/>
        <v>0</v>
      </c>
      <c r="N30" s="269"/>
      <c r="O30" s="267"/>
    </row>
    <row r="31" spans="1:15">
      <c r="A31" s="267"/>
      <c r="B31" s="267"/>
      <c r="C31" s="275">
        <v>0</v>
      </c>
      <c r="D31" s="269">
        <v>0</v>
      </c>
      <c r="E31" s="269">
        <f t="shared" si="0"/>
        <v>0</v>
      </c>
      <c r="F31" s="271" cm="1">
        <f t="array" ref="F31">IF(A31&lt;&gt;"",IFERROR(INDEX('ONESheet 2.8'!AV:AV, MATCH(A31, 'ONESheet 2.8'!B:B, 0)+2),0),0)</f>
        <v>0</v>
      </c>
      <c r="G31" s="271">
        <v>0</v>
      </c>
      <c r="H31" s="271">
        <v>0</v>
      </c>
      <c r="I31" s="403" t="str">
        <f>'ONESheet 2.8'!BillingCountryCurrency</f>
        <v>USD</v>
      </c>
      <c r="J31" s="272">
        <f t="shared" si="1"/>
        <v>0</v>
      </c>
      <c r="K31" s="272">
        <f t="shared" si="2"/>
        <v>0</v>
      </c>
      <c r="L31" s="272">
        <f t="shared" si="3"/>
        <v>0</v>
      </c>
      <c r="M31" s="272">
        <f t="shared" si="4"/>
        <v>0</v>
      </c>
      <c r="N31" s="269"/>
      <c r="O31" s="267"/>
    </row>
    <row r="32" spans="1:15">
      <c r="A32" s="267"/>
      <c r="B32" s="267"/>
      <c r="C32" s="275">
        <v>0</v>
      </c>
      <c r="D32" s="269">
        <v>0</v>
      </c>
      <c r="E32" s="269">
        <f t="shared" si="0"/>
        <v>0</v>
      </c>
      <c r="F32" s="271" cm="1">
        <f t="array" ref="F32">IF(A32&lt;&gt;"",IFERROR(INDEX('ONESheet 2.8'!AV:AV, MATCH(A32, 'ONESheet 2.8'!B:B, 0)+2),0),0)</f>
        <v>0</v>
      </c>
      <c r="G32" s="271">
        <v>0</v>
      </c>
      <c r="H32" s="271">
        <v>0</v>
      </c>
      <c r="I32" s="403" t="str">
        <f>'ONESheet 2.8'!BillingCountryCurrency</f>
        <v>USD</v>
      </c>
      <c r="J32" s="272">
        <f t="shared" si="1"/>
        <v>0</v>
      </c>
      <c r="K32" s="272">
        <f t="shared" si="2"/>
        <v>0</v>
      </c>
      <c r="L32" s="272">
        <f t="shared" si="3"/>
        <v>0</v>
      </c>
      <c r="M32" s="272">
        <f t="shared" si="4"/>
        <v>0</v>
      </c>
      <c r="N32" s="269"/>
      <c r="O32" s="267"/>
    </row>
    <row r="33" spans="1:15">
      <c r="A33" s="267"/>
      <c r="B33" s="267"/>
      <c r="C33" s="275">
        <v>0</v>
      </c>
      <c r="D33" s="269">
        <v>0</v>
      </c>
      <c r="E33" s="269">
        <f t="shared" si="0"/>
        <v>0</v>
      </c>
      <c r="F33" s="271" cm="1">
        <f t="array" ref="F33">IF(A33&lt;&gt;"",IFERROR(INDEX('ONESheet 2.8'!AV:AV, MATCH(A33, 'ONESheet 2.8'!B:B, 0)+2),0),0)</f>
        <v>0</v>
      </c>
      <c r="G33" s="271">
        <v>0</v>
      </c>
      <c r="H33" s="271">
        <v>0</v>
      </c>
      <c r="I33" s="403" t="str">
        <f>'ONESheet 2.8'!BillingCountryCurrency</f>
        <v>USD</v>
      </c>
      <c r="J33" s="272">
        <f t="shared" si="1"/>
        <v>0</v>
      </c>
      <c r="K33" s="272">
        <f t="shared" si="2"/>
        <v>0</v>
      </c>
      <c r="L33" s="272">
        <f t="shared" si="3"/>
        <v>0</v>
      </c>
      <c r="M33" s="272">
        <f t="shared" si="4"/>
        <v>0</v>
      </c>
      <c r="N33" s="269"/>
      <c r="O33" s="267"/>
    </row>
    <row r="34" spans="1:15">
      <c r="A34" s="267"/>
      <c r="B34" s="267"/>
      <c r="C34" s="275">
        <v>0</v>
      </c>
      <c r="D34" s="269">
        <v>0</v>
      </c>
      <c r="E34" s="269">
        <f t="shared" ref="E34:E65" si="5">D34*(1+C34)</f>
        <v>0</v>
      </c>
      <c r="F34" s="271" cm="1">
        <f t="array" ref="F34">IF(A34&lt;&gt;"",IFERROR(INDEX('ONESheet 2.8'!AV:AV, MATCH(A34, 'ONESheet 2.8'!B:B, 0)+2),0),0)</f>
        <v>0</v>
      </c>
      <c r="G34" s="271">
        <v>0</v>
      </c>
      <c r="H34" s="271">
        <v>0</v>
      </c>
      <c r="I34" s="403" t="str">
        <f>'ONESheet 2.8'!BillingCountryCurrency</f>
        <v>USD</v>
      </c>
      <c r="J34" s="272">
        <f t="shared" si="1"/>
        <v>0</v>
      </c>
      <c r="K34" s="272">
        <f t="shared" si="2"/>
        <v>0</v>
      </c>
      <c r="L34" s="272">
        <f t="shared" si="3"/>
        <v>0</v>
      </c>
      <c r="M34" s="272">
        <f t="shared" si="4"/>
        <v>0</v>
      </c>
      <c r="N34" s="269"/>
      <c r="O34" s="267"/>
    </row>
    <row r="35" spans="1:15">
      <c r="A35" s="267"/>
      <c r="B35" s="267"/>
      <c r="C35" s="275">
        <v>0</v>
      </c>
      <c r="D35" s="269">
        <v>0</v>
      </c>
      <c r="E35" s="269">
        <f t="shared" si="5"/>
        <v>0</v>
      </c>
      <c r="F35" s="271" cm="1">
        <f t="array" ref="F35">IF(A35&lt;&gt;"",IFERROR(INDEX('ONESheet 2.8'!AV:AV, MATCH(A35, 'ONESheet 2.8'!B:B, 0)+2),0),0)</f>
        <v>0</v>
      </c>
      <c r="G35" s="271">
        <v>0</v>
      </c>
      <c r="H35" s="271">
        <v>0</v>
      </c>
      <c r="I35" s="403" t="str">
        <f>'ONESheet 2.8'!BillingCountryCurrency</f>
        <v>USD</v>
      </c>
      <c r="J35" s="272">
        <f t="shared" si="1"/>
        <v>0</v>
      </c>
      <c r="K35" s="272">
        <f t="shared" si="2"/>
        <v>0</v>
      </c>
      <c r="L35" s="272">
        <f t="shared" si="3"/>
        <v>0</v>
      </c>
      <c r="M35" s="272">
        <f t="shared" si="4"/>
        <v>0</v>
      </c>
      <c r="N35" s="269"/>
      <c r="O35" s="267"/>
    </row>
    <row r="36" spans="1:15">
      <c r="A36" s="267"/>
      <c r="B36" s="267"/>
      <c r="C36" s="275">
        <v>0</v>
      </c>
      <c r="D36" s="269">
        <v>0</v>
      </c>
      <c r="E36" s="269">
        <f t="shared" si="5"/>
        <v>0</v>
      </c>
      <c r="F36" s="271" cm="1">
        <f t="array" ref="F36">IF(A36&lt;&gt;"",IFERROR(INDEX('ONESheet 2.8'!AV:AV, MATCH(A36, 'ONESheet 2.8'!B:B, 0)+2),0),0)</f>
        <v>0</v>
      </c>
      <c r="G36" s="271">
        <v>0</v>
      </c>
      <c r="H36" s="271">
        <v>0</v>
      </c>
      <c r="I36" s="403" t="str">
        <f>'ONESheet 2.8'!BillingCountryCurrency</f>
        <v>USD</v>
      </c>
      <c r="J36" s="272">
        <f t="shared" si="1"/>
        <v>0</v>
      </c>
      <c r="K36" s="272">
        <f t="shared" si="2"/>
        <v>0</v>
      </c>
      <c r="L36" s="272">
        <f t="shared" si="3"/>
        <v>0</v>
      </c>
      <c r="M36" s="272">
        <f t="shared" si="4"/>
        <v>0</v>
      </c>
      <c r="N36" s="269"/>
      <c r="O36" s="267"/>
    </row>
    <row r="37" spans="1:15">
      <c r="A37" s="267"/>
      <c r="B37" s="267"/>
      <c r="C37" s="275">
        <v>0</v>
      </c>
      <c r="D37" s="269">
        <v>0</v>
      </c>
      <c r="E37" s="269">
        <f t="shared" si="5"/>
        <v>0</v>
      </c>
      <c r="F37" s="271" cm="1">
        <f t="array" ref="F37">IF(A37&lt;&gt;"",IFERROR(INDEX('ONESheet 2.8'!AV:AV, MATCH(A37, 'ONESheet 2.8'!B:B, 0)+2),0),0)</f>
        <v>0</v>
      </c>
      <c r="G37" s="271">
        <v>0</v>
      </c>
      <c r="H37" s="271">
        <v>0</v>
      </c>
      <c r="I37" s="403" t="str">
        <f>'ONESheet 2.8'!BillingCountryCurrency</f>
        <v>USD</v>
      </c>
      <c r="J37" s="272">
        <f t="shared" si="1"/>
        <v>0</v>
      </c>
      <c r="K37" s="272">
        <f t="shared" si="2"/>
        <v>0</v>
      </c>
      <c r="L37" s="272">
        <f t="shared" si="3"/>
        <v>0</v>
      </c>
      <c r="M37" s="272">
        <f t="shared" si="4"/>
        <v>0</v>
      </c>
      <c r="N37" s="269"/>
      <c r="O37" s="267"/>
    </row>
    <row r="38" spans="1:15">
      <c r="A38" s="267"/>
      <c r="B38" s="267"/>
      <c r="C38" s="275">
        <v>0</v>
      </c>
      <c r="D38" s="269">
        <v>0</v>
      </c>
      <c r="E38" s="269">
        <f t="shared" si="5"/>
        <v>0</v>
      </c>
      <c r="F38" s="271" cm="1">
        <f t="array" ref="F38">IF(A38&lt;&gt;"",IFERROR(INDEX('ONESheet 2.8'!AV:AV, MATCH(A38, 'ONESheet 2.8'!B:B, 0)+2),0),0)</f>
        <v>0</v>
      </c>
      <c r="G38" s="271">
        <v>0</v>
      </c>
      <c r="H38" s="271">
        <v>0</v>
      </c>
      <c r="I38" s="403" t="str">
        <f>'ONESheet 2.8'!BillingCountryCurrency</f>
        <v>USD</v>
      </c>
      <c r="J38" s="272">
        <f t="shared" si="1"/>
        <v>0</v>
      </c>
      <c r="K38" s="272">
        <f t="shared" si="2"/>
        <v>0</v>
      </c>
      <c r="L38" s="272">
        <f t="shared" si="3"/>
        <v>0</v>
      </c>
      <c r="M38" s="272">
        <f t="shared" si="4"/>
        <v>0</v>
      </c>
      <c r="N38" s="269"/>
      <c r="O38" s="267"/>
    </row>
    <row r="39" spans="1:15">
      <c r="A39" s="267"/>
      <c r="B39" s="267"/>
      <c r="C39" s="275">
        <v>0</v>
      </c>
      <c r="D39" s="269">
        <v>0</v>
      </c>
      <c r="E39" s="269">
        <f t="shared" si="5"/>
        <v>0</v>
      </c>
      <c r="F39" s="271" cm="1">
        <f t="array" ref="F39">IF(A39&lt;&gt;"",IFERROR(INDEX('ONESheet 2.8'!AV:AV, MATCH(A39, 'ONESheet 2.8'!B:B, 0)+2),0),0)</f>
        <v>0</v>
      </c>
      <c r="G39" s="271">
        <v>0</v>
      </c>
      <c r="H39" s="271">
        <v>0</v>
      </c>
      <c r="I39" s="403" t="str">
        <f>'ONESheet 2.8'!BillingCountryCurrency</f>
        <v>USD</v>
      </c>
      <c r="J39" s="272">
        <f t="shared" si="1"/>
        <v>0</v>
      </c>
      <c r="K39" s="272">
        <f t="shared" si="2"/>
        <v>0</v>
      </c>
      <c r="L39" s="272">
        <f t="shared" si="3"/>
        <v>0</v>
      </c>
      <c r="M39" s="272">
        <f t="shared" si="4"/>
        <v>0</v>
      </c>
      <c r="N39" s="269"/>
      <c r="O39" s="267"/>
    </row>
    <row r="40" spans="1:15">
      <c r="A40" s="267"/>
      <c r="B40" s="267"/>
      <c r="C40" s="275">
        <v>0</v>
      </c>
      <c r="D40" s="269">
        <v>0</v>
      </c>
      <c r="E40" s="269">
        <f t="shared" si="5"/>
        <v>0</v>
      </c>
      <c r="F40" s="271" cm="1">
        <f t="array" ref="F40">IF(A40&lt;&gt;"",IFERROR(INDEX('ONESheet 2.8'!AV:AV, MATCH(A40, 'ONESheet 2.8'!B:B, 0)+2),0),0)</f>
        <v>0</v>
      </c>
      <c r="G40" s="271">
        <v>0</v>
      </c>
      <c r="H40" s="271">
        <v>0</v>
      </c>
      <c r="I40" s="403" t="str">
        <f>'ONESheet 2.8'!BillingCountryCurrency</f>
        <v>USD</v>
      </c>
      <c r="J40" s="272">
        <f t="shared" si="1"/>
        <v>0</v>
      </c>
      <c r="K40" s="272">
        <f t="shared" si="2"/>
        <v>0</v>
      </c>
      <c r="L40" s="272">
        <f t="shared" si="3"/>
        <v>0</v>
      </c>
      <c r="M40" s="272">
        <f t="shared" si="4"/>
        <v>0</v>
      </c>
      <c r="N40" s="269"/>
      <c r="O40" s="267"/>
    </row>
    <row r="41" spans="1:15">
      <c r="A41" s="267"/>
      <c r="B41" s="267"/>
      <c r="C41" s="275">
        <v>0</v>
      </c>
      <c r="D41" s="269">
        <v>0</v>
      </c>
      <c r="E41" s="269">
        <f t="shared" si="5"/>
        <v>0</v>
      </c>
      <c r="F41" s="271" cm="1">
        <f t="array" ref="F41">IF(A41&lt;&gt;"",IFERROR(INDEX('ONESheet 2.8'!AV:AV, MATCH(A41, 'ONESheet 2.8'!B:B, 0)+2),0),0)</f>
        <v>0</v>
      </c>
      <c r="G41" s="271">
        <v>0</v>
      </c>
      <c r="H41" s="271">
        <v>0</v>
      </c>
      <c r="I41" s="403" t="str">
        <f>'ONESheet 2.8'!BillingCountryCurrency</f>
        <v>USD</v>
      </c>
      <c r="J41" s="272">
        <f t="shared" si="1"/>
        <v>0</v>
      </c>
      <c r="K41" s="272">
        <f t="shared" si="2"/>
        <v>0</v>
      </c>
      <c r="L41" s="272">
        <f t="shared" si="3"/>
        <v>0</v>
      </c>
      <c r="M41" s="272">
        <f t="shared" si="4"/>
        <v>0</v>
      </c>
      <c r="N41" s="269"/>
      <c r="O41" s="267"/>
    </row>
    <row r="42" spans="1:15">
      <c r="A42" s="267"/>
      <c r="B42" s="267"/>
      <c r="C42" s="275">
        <v>0</v>
      </c>
      <c r="D42" s="269">
        <v>0</v>
      </c>
      <c r="E42" s="269">
        <f t="shared" si="5"/>
        <v>0</v>
      </c>
      <c r="F42" s="271" cm="1">
        <f t="array" ref="F42">IF(A42&lt;&gt;"",IFERROR(INDEX('ONESheet 2.8'!AV:AV, MATCH(A42, 'ONESheet 2.8'!B:B, 0)+2),0),0)</f>
        <v>0</v>
      </c>
      <c r="G42" s="271">
        <v>0</v>
      </c>
      <c r="H42" s="271">
        <v>0</v>
      </c>
      <c r="I42" s="403" t="str">
        <f>'ONESheet 2.8'!BillingCountryCurrency</f>
        <v>USD</v>
      </c>
      <c r="J42" s="272">
        <f t="shared" si="1"/>
        <v>0</v>
      </c>
      <c r="K42" s="272">
        <f t="shared" si="2"/>
        <v>0</v>
      </c>
      <c r="L42" s="272">
        <f t="shared" si="3"/>
        <v>0</v>
      </c>
      <c r="M42" s="272">
        <f t="shared" si="4"/>
        <v>0</v>
      </c>
      <c r="N42" s="269"/>
      <c r="O42" s="267"/>
    </row>
    <row r="43" spans="1:15">
      <c r="A43" s="267"/>
      <c r="B43" s="267"/>
      <c r="C43" s="275">
        <v>0</v>
      </c>
      <c r="D43" s="269">
        <v>0</v>
      </c>
      <c r="E43" s="269">
        <f t="shared" si="5"/>
        <v>0</v>
      </c>
      <c r="F43" s="271" cm="1">
        <f t="array" ref="F43">IF(A43&lt;&gt;"",IFERROR(INDEX('ONESheet 2.8'!AV:AV, MATCH(A43, 'ONESheet 2.8'!B:B, 0)+2),0),0)</f>
        <v>0</v>
      </c>
      <c r="G43" s="271">
        <v>0</v>
      </c>
      <c r="H43" s="271">
        <v>0</v>
      </c>
      <c r="I43" s="403" t="str">
        <f>'ONESheet 2.8'!BillingCountryCurrency</f>
        <v>USD</v>
      </c>
      <c r="J43" s="272">
        <f t="shared" si="1"/>
        <v>0</v>
      </c>
      <c r="K43" s="272">
        <f t="shared" si="2"/>
        <v>0</v>
      </c>
      <c r="L43" s="272">
        <f t="shared" si="3"/>
        <v>0</v>
      </c>
      <c r="M43" s="272">
        <f t="shared" si="4"/>
        <v>0</v>
      </c>
      <c r="N43" s="269"/>
      <c r="O43" s="267"/>
    </row>
    <row r="44" spans="1:15">
      <c r="A44" s="267"/>
      <c r="B44" s="267"/>
      <c r="C44" s="275">
        <v>0</v>
      </c>
      <c r="D44" s="269">
        <v>0</v>
      </c>
      <c r="E44" s="269">
        <f t="shared" si="5"/>
        <v>0</v>
      </c>
      <c r="F44" s="271" cm="1">
        <f t="array" ref="F44">IF(A44&lt;&gt;"",IFERROR(INDEX('ONESheet 2.8'!AV:AV, MATCH(A44, 'ONESheet 2.8'!B:B, 0)+2),0),0)</f>
        <v>0</v>
      </c>
      <c r="G44" s="271">
        <v>0</v>
      </c>
      <c r="H44" s="271">
        <v>0</v>
      </c>
      <c r="I44" s="403" t="str">
        <f>'ONESheet 2.8'!BillingCountryCurrency</f>
        <v>USD</v>
      </c>
      <c r="J44" s="272">
        <f t="shared" si="1"/>
        <v>0</v>
      </c>
      <c r="K44" s="272">
        <f t="shared" si="2"/>
        <v>0</v>
      </c>
      <c r="L44" s="272">
        <f t="shared" si="3"/>
        <v>0</v>
      </c>
      <c r="M44" s="272">
        <f t="shared" si="4"/>
        <v>0</v>
      </c>
      <c r="N44" s="269"/>
      <c r="O44" s="267"/>
    </row>
    <row r="45" spans="1:15">
      <c r="A45" s="267"/>
      <c r="B45" s="267"/>
      <c r="C45" s="275">
        <v>0</v>
      </c>
      <c r="D45" s="269">
        <v>0</v>
      </c>
      <c r="E45" s="269">
        <f t="shared" si="5"/>
        <v>0</v>
      </c>
      <c r="F45" s="271" cm="1">
        <f t="array" ref="F45">IF(A45&lt;&gt;"",IFERROR(INDEX('ONESheet 2.8'!AV:AV, MATCH(A45, 'ONESheet 2.8'!B:B, 0)+2),0),0)</f>
        <v>0</v>
      </c>
      <c r="G45" s="271">
        <v>0</v>
      </c>
      <c r="H45" s="271">
        <v>0</v>
      </c>
      <c r="I45" s="403" t="str">
        <f>'ONESheet 2.8'!BillingCountryCurrency</f>
        <v>USD</v>
      </c>
      <c r="J45" s="272">
        <f t="shared" si="1"/>
        <v>0</v>
      </c>
      <c r="K45" s="272">
        <f t="shared" si="2"/>
        <v>0</v>
      </c>
      <c r="L45" s="272">
        <f t="shared" si="3"/>
        <v>0</v>
      </c>
      <c r="M45" s="272">
        <f t="shared" si="4"/>
        <v>0</v>
      </c>
      <c r="N45" s="269"/>
      <c r="O45" s="267"/>
    </row>
    <row r="46" spans="1:15">
      <c r="A46" s="267"/>
      <c r="B46" s="267"/>
      <c r="C46" s="275">
        <v>0</v>
      </c>
      <c r="D46" s="269">
        <v>0</v>
      </c>
      <c r="E46" s="269">
        <f t="shared" si="5"/>
        <v>0</v>
      </c>
      <c r="F46" s="271" cm="1">
        <f t="array" ref="F46">IF(A46&lt;&gt;"",IFERROR(INDEX('ONESheet 2.8'!AV:AV, MATCH(A46, 'ONESheet 2.8'!B:B, 0)+2),0),0)</f>
        <v>0</v>
      </c>
      <c r="G46" s="271">
        <v>0</v>
      </c>
      <c r="H46" s="271">
        <v>0</v>
      </c>
      <c r="I46" s="403" t="str">
        <f>'ONESheet 2.8'!BillingCountryCurrency</f>
        <v>USD</v>
      </c>
      <c r="J46" s="272">
        <f t="shared" si="1"/>
        <v>0</v>
      </c>
      <c r="K46" s="272">
        <f t="shared" si="2"/>
        <v>0</v>
      </c>
      <c r="L46" s="272">
        <f t="shared" si="3"/>
        <v>0</v>
      </c>
      <c r="M46" s="272">
        <f t="shared" si="4"/>
        <v>0</v>
      </c>
      <c r="N46" s="269"/>
      <c r="O46" s="267"/>
    </row>
    <row r="47" spans="1:15">
      <c r="A47" s="267"/>
      <c r="B47" s="267"/>
      <c r="C47" s="275">
        <v>0</v>
      </c>
      <c r="D47" s="269">
        <v>0</v>
      </c>
      <c r="E47" s="269">
        <f t="shared" si="5"/>
        <v>0</v>
      </c>
      <c r="F47" s="271" cm="1">
        <f t="array" ref="F47">IF(A47&lt;&gt;"",IFERROR(INDEX('ONESheet 2.8'!AV:AV, MATCH(A47, 'ONESheet 2.8'!B:B, 0)+2),0),0)</f>
        <v>0</v>
      </c>
      <c r="G47" s="271">
        <v>0</v>
      </c>
      <c r="H47" s="271">
        <v>0</v>
      </c>
      <c r="I47" s="403" t="str">
        <f>'ONESheet 2.8'!BillingCountryCurrency</f>
        <v>USD</v>
      </c>
      <c r="J47" s="272">
        <f t="shared" si="1"/>
        <v>0</v>
      </c>
      <c r="K47" s="272">
        <f t="shared" si="2"/>
        <v>0</v>
      </c>
      <c r="L47" s="272">
        <f t="shared" si="3"/>
        <v>0</v>
      </c>
      <c r="M47" s="272">
        <f t="shared" si="4"/>
        <v>0</v>
      </c>
      <c r="N47" s="269"/>
      <c r="O47" s="267"/>
    </row>
    <row r="48" spans="1:15">
      <c r="A48" s="267"/>
      <c r="B48" s="267"/>
      <c r="C48" s="275">
        <v>0</v>
      </c>
      <c r="D48" s="269">
        <v>0</v>
      </c>
      <c r="E48" s="269">
        <f t="shared" si="5"/>
        <v>0</v>
      </c>
      <c r="F48" s="271" cm="1">
        <f t="array" ref="F48">IF(A48&lt;&gt;"",IFERROR(INDEX('ONESheet 2.8'!AV:AV, MATCH(A48, 'ONESheet 2.8'!B:B, 0)+2),0),0)</f>
        <v>0</v>
      </c>
      <c r="G48" s="271">
        <v>0</v>
      </c>
      <c r="H48" s="271">
        <v>0</v>
      </c>
      <c r="I48" s="403" t="str">
        <f>'ONESheet 2.8'!BillingCountryCurrency</f>
        <v>USD</v>
      </c>
      <c r="J48" s="272">
        <f t="shared" si="1"/>
        <v>0</v>
      </c>
      <c r="K48" s="272">
        <f t="shared" si="2"/>
        <v>0</v>
      </c>
      <c r="L48" s="272">
        <f t="shared" si="3"/>
        <v>0</v>
      </c>
      <c r="M48" s="272">
        <f t="shared" si="4"/>
        <v>0</v>
      </c>
      <c r="N48" s="269"/>
      <c r="O48" s="267"/>
    </row>
    <row r="49" spans="1:15">
      <c r="A49" s="267"/>
      <c r="B49" s="267"/>
      <c r="C49" s="275">
        <v>0</v>
      </c>
      <c r="D49" s="269">
        <v>0</v>
      </c>
      <c r="E49" s="269">
        <f t="shared" si="5"/>
        <v>0</v>
      </c>
      <c r="F49" s="271" cm="1">
        <f t="array" ref="F49">IF(A49&lt;&gt;"",IFERROR(INDEX('ONESheet 2.8'!AV:AV, MATCH(A49, 'ONESheet 2.8'!B:B, 0)+2),0),0)</f>
        <v>0</v>
      </c>
      <c r="G49" s="271">
        <v>0</v>
      </c>
      <c r="H49" s="271">
        <v>0</v>
      </c>
      <c r="I49" s="403" t="str">
        <f>'ONESheet 2.8'!BillingCountryCurrency</f>
        <v>USD</v>
      </c>
      <c r="J49" s="272">
        <f t="shared" si="1"/>
        <v>0</v>
      </c>
      <c r="K49" s="272">
        <f t="shared" si="2"/>
        <v>0</v>
      </c>
      <c r="L49" s="272">
        <f t="shared" si="3"/>
        <v>0</v>
      </c>
      <c r="M49" s="272">
        <f t="shared" si="4"/>
        <v>0</v>
      </c>
      <c r="N49" s="269"/>
      <c r="O49" s="267"/>
    </row>
    <row r="50" spans="1:15">
      <c r="A50" s="267"/>
      <c r="B50" s="267"/>
      <c r="C50" s="275">
        <v>0</v>
      </c>
      <c r="D50" s="269">
        <v>0</v>
      </c>
      <c r="E50" s="269">
        <f t="shared" si="5"/>
        <v>0</v>
      </c>
      <c r="F50" s="271" cm="1">
        <f t="array" ref="F50">IF(A50&lt;&gt;"",IFERROR(INDEX('ONESheet 2.8'!AV:AV, MATCH(A50, 'ONESheet 2.8'!B:B, 0)+2),0),0)</f>
        <v>0</v>
      </c>
      <c r="G50" s="271">
        <v>0</v>
      </c>
      <c r="H50" s="271">
        <v>0</v>
      </c>
      <c r="I50" s="403" t="str">
        <f>'ONESheet 2.8'!BillingCountryCurrency</f>
        <v>USD</v>
      </c>
      <c r="J50" s="272">
        <f t="shared" si="1"/>
        <v>0</v>
      </c>
      <c r="K50" s="272">
        <f t="shared" si="2"/>
        <v>0</v>
      </c>
      <c r="L50" s="272">
        <f t="shared" si="3"/>
        <v>0</v>
      </c>
      <c r="M50" s="272">
        <f t="shared" si="4"/>
        <v>0</v>
      </c>
      <c r="N50" s="269"/>
      <c r="O50" s="267"/>
    </row>
    <row r="51" spans="1:15">
      <c r="A51" s="267"/>
      <c r="B51" s="267"/>
      <c r="C51" s="275">
        <v>0</v>
      </c>
      <c r="D51" s="269">
        <v>0</v>
      </c>
      <c r="E51" s="269">
        <f t="shared" si="5"/>
        <v>0</v>
      </c>
      <c r="F51" s="271" cm="1">
        <f t="array" ref="F51">IF(A51&lt;&gt;"",IFERROR(INDEX('ONESheet 2.8'!AV:AV, MATCH(A51, 'ONESheet 2.8'!B:B, 0)+2),0),0)</f>
        <v>0</v>
      </c>
      <c r="G51" s="271">
        <v>0</v>
      </c>
      <c r="H51" s="271">
        <v>0</v>
      </c>
      <c r="I51" s="403" t="str">
        <f>'ONESheet 2.8'!BillingCountryCurrency</f>
        <v>USD</v>
      </c>
      <c r="J51" s="272">
        <f t="shared" si="1"/>
        <v>0</v>
      </c>
      <c r="K51" s="272">
        <f t="shared" si="2"/>
        <v>0</v>
      </c>
      <c r="L51" s="272">
        <f t="shared" si="3"/>
        <v>0</v>
      </c>
      <c r="M51" s="272">
        <f t="shared" si="4"/>
        <v>0</v>
      </c>
      <c r="N51" s="269"/>
      <c r="O51" s="267"/>
    </row>
    <row r="52" spans="1:15">
      <c r="A52" s="267"/>
      <c r="B52" s="267"/>
      <c r="C52" s="275">
        <v>0</v>
      </c>
      <c r="D52" s="269">
        <v>0</v>
      </c>
      <c r="E52" s="269">
        <f t="shared" si="5"/>
        <v>0</v>
      </c>
      <c r="F52" s="271" cm="1">
        <f t="array" ref="F52">IF(A52&lt;&gt;"",IFERROR(INDEX('ONESheet 2.8'!AV:AV, MATCH(A52, 'ONESheet 2.8'!B:B, 0)+2),0),0)</f>
        <v>0</v>
      </c>
      <c r="G52" s="271">
        <v>0</v>
      </c>
      <c r="H52" s="271">
        <v>0</v>
      </c>
      <c r="I52" s="403" t="str">
        <f>'ONESheet 2.8'!BillingCountryCurrency</f>
        <v>USD</v>
      </c>
      <c r="J52" s="272">
        <f t="shared" si="1"/>
        <v>0</v>
      </c>
      <c r="K52" s="272">
        <f t="shared" si="2"/>
        <v>0</v>
      </c>
      <c r="L52" s="272">
        <f t="shared" si="3"/>
        <v>0</v>
      </c>
      <c r="M52" s="272">
        <f t="shared" si="4"/>
        <v>0</v>
      </c>
      <c r="N52" s="269"/>
      <c r="O52" s="267"/>
    </row>
    <row r="53" spans="1:15">
      <c r="A53" s="267"/>
      <c r="B53" s="267"/>
      <c r="C53" s="275">
        <v>0</v>
      </c>
      <c r="D53" s="269">
        <v>0</v>
      </c>
      <c r="E53" s="269">
        <f t="shared" si="5"/>
        <v>0</v>
      </c>
      <c r="F53" s="271" cm="1">
        <f t="array" ref="F53">IF(A53&lt;&gt;"",IFERROR(INDEX('ONESheet 2.8'!AV:AV, MATCH(A53, 'ONESheet 2.8'!B:B, 0)+2),0),0)</f>
        <v>0</v>
      </c>
      <c r="G53" s="271">
        <v>0</v>
      </c>
      <c r="H53" s="271">
        <v>0</v>
      </c>
      <c r="I53" s="403" t="str">
        <f>'ONESheet 2.8'!BillingCountryCurrency</f>
        <v>USD</v>
      </c>
      <c r="J53" s="272">
        <f t="shared" si="1"/>
        <v>0</v>
      </c>
      <c r="K53" s="272">
        <f t="shared" si="2"/>
        <v>0</v>
      </c>
      <c r="L53" s="272">
        <f t="shared" si="3"/>
        <v>0</v>
      </c>
      <c r="M53" s="272">
        <f t="shared" si="4"/>
        <v>0</v>
      </c>
      <c r="N53" s="269"/>
      <c r="O53" s="267"/>
    </row>
    <row r="54" spans="1:15">
      <c r="A54" s="267"/>
      <c r="B54" s="267"/>
      <c r="C54" s="275">
        <v>0</v>
      </c>
      <c r="D54" s="269">
        <v>0</v>
      </c>
      <c r="E54" s="269">
        <f t="shared" si="5"/>
        <v>0</v>
      </c>
      <c r="F54" s="271" cm="1">
        <f t="array" ref="F54">IF(A54&lt;&gt;"",IFERROR(INDEX('ONESheet 2.8'!AV:AV, MATCH(A54, 'ONESheet 2.8'!B:B, 0)+2),0),0)</f>
        <v>0</v>
      </c>
      <c r="G54" s="271">
        <v>0</v>
      </c>
      <c r="H54" s="271">
        <v>0</v>
      </c>
      <c r="I54" s="403" t="str">
        <f>'ONESheet 2.8'!BillingCountryCurrency</f>
        <v>USD</v>
      </c>
      <c r="J54" s="272">
        <f t="shared" si="1"/>
        <v>0</v>
      </c>
      <c r="K54" s="272">
        <f t="shared" si="2"/>
        <v>0</v>
      </c>
      <c r="L54" s="272">
        <f t="shared" si="3"/>
        <v>0</v>
      </c>
      <c r="M54" s="272">
        <f t="shared" si="4"/>
        <v>0</v>
      </c>
      <c r="N54" s="269"/>
      <c r="O54" s="267"/>
    </row>
    <row r="55" spans="1:15">
      <c r="A55" s="267"/>
      <c r="B55" s="267"/>
      <c r="C55" s="275">
        <v>0</v>
      </c>
      <c r="D55" s="269">
        <v>0</v>
      </c>
      <c r="E55" s="269">
        <f t="shared" si="5"/>
        <v>0</v>
      </c>
      <c r="F55" s="271" cm="1">
        <f t="array" ref="F55">IF(A55&lt;&gt;"",IFERROR(INDEX('ONESheet 2.8'!AV:AV, MATCH(A55, 'ONESheet 2.8'!B:B, 0)+2),0),0)</f>
        <v>0</v>
      </c>
      <c r="G55" s="271">
        <v>0</v>
      </c>
      <c r="H55" s="271">
        <v>0</v>
      </c>
      <c r="I55" s="403" t="str">
        <f>'ONESheet 2.8'!BillingCountryCurrency</f>
        <v>USD</v>
      </c>
      <c r="J55" s="272">
        <f t="shared" si="1"/>
        <v>0</v>
      </c>
      <c r="K55" s="272">
        <f t="shared" si="2"/>
        <v>0</v>
      </c>
      <c r="L55" s="272">
        <f t="shared" si="3"/>
        <v>0</v>
      </c>
      <c r="M55" s="272">
        <f t="shared" si="4"/>
        <v>0</v>
      </c>
      <c r="N55" s="269"/>
      <c r="O55" s="267"/>
    </row>
    <row r="56" spans="1:15">
      <c r="A56" s="267"/>
      <c r="B56" s="267"/>
      <c r="C56" s="275">
        <v>0</v>
      </c>
      <c r="D56" s="269">
        <v>0</v>
      </c>
      <c r="E56" s="269">
        <f t="shared" si="5"/>
        <v>0</v>
      </c>
      <c r="F56" s="271" cm="1">
        <f t="array" ref="F56">IF(A56&lt;&gt;"",IFERROR(INDEX('ONESheet 2.8'!AV:AV, MATCH(A56, 'ONESheet 2.8'!B:B, 0)+2),0),0)</f>
        <v>0</v>
      </c>
      <c r="G56" s="271">
        <v>0</v>
      </c>
      <c r="H56" s="271">
        <v>0</v>
      </c>
      <c r="I56" s="403" t="str">
        <f>'ONESheet 2.8'!BillingCountryCurrency</f>
        <v>USD</v>
      </c>
      <c r="J56" s="272">
        <f t="shared" si="1"/>
        <v>0</v>
      </c>
      <c r="K56" s="272">
        <f t="shared" si="2"/>
        <v>0</v>
      </c>
      <c r="L56" s="272">
        <f t="shared" si="3"/>
        <v>0</v>
      </c>
      <c r="M56" s="272">
        <f t="shared" si="4"/>
        <v>0</v>
      </c>
      <c r="N56" s="269"/>
      <c r="O56" s="267"/>
    </row>
    <row r="57" spans="1:15">
      <c r="A57" s="267"/>
      <c r="B57" s="267"/>
      <c r="C57" s="275">
        <v>0</v>
      </c>
      <c r="D57" s="269">
        <v>0</v>
      </c>
      <c r="E57" s="269">
        <f t="shared" si="5"/>
        <v>0</v>
      </c>
      <c r="F57" s="271" cm="1">
        <f t="array" ref="F57">IF(A57&lt;&gt;"",IFERROR(INDEX('ONESheet 2.8'!AV:AV, MATCH(A57, 'ONESheet 2.8'!B:B, 0)+2),0),0)</f>
        <v>0</v>
      </c>
      <c r="G57" s="271">
        <v>0</v>
      </c>
      <c r="H57" s="271">
        <v>0</v>
      </c>
      <c r="I57" s="403" t="str">
        <f>'ONESheet 2.8'!BillingCountryCurrency</f>
        <v>USD</v>
      </c>
      <c r="J57" s="272">
        <f t="shared" si="1"/>
        <v>0</v>
      </c>
      <c r="K57" s="272">
        <f t="shared" si="2"/>
        <v>0</v>
      </c>
      <c r="L57" s="272">
        <f t="shared" si="3"/>
        <v>0</v>
      </c>
      <c r="M57" s="272">
        <f t="shared" si="4"/>
        <v>0</v>
      </c>
      <c r="N57" s="269"/>
      <c r="O57" s="267"/>
    </row>
    <row r="58" spans="1:15">
      <c r="A58" s="267"/>
      <c r="B58" s="267"/>
      <c r="C58" s="275">
        <v>0</v>
      </c>
      <c r="D58" s="269">
        <v>0</v>
      </c>
      <c r="E58" s="269">
        <f t="shared" si="5"/>
        <v>0</v>
      </c>
      <c r="F58" s="271" cm="1">
        <f t="array" ref="F58">IF(A58&lt;&gt;"",IFERROR(INDEX('ONESheet 2.8'!AV:AV, MATCH(A58, 'ONESheet 2.8'!B:B, 0)+2),0),0)</f>
        <v>0</v>
      </c>
      <c r="G58" s="271">
        <v>0</v>
      </c>
      <c r="H58" s="271">
        <v>0</v>
      </c>
      <c r="I58" s="403" t="str">
        <f>'ONESheet 2.8'!BillingCountryCurrency</f>
        <v>USD</v>
      </c>
      <c r="J58" s="272">
        <f t="shared" si="1"/>
        <v>0</v>
      </c>
      <c r="K58" s="272">
        <f t="shared" si="2"/>
        <v>0</v>
      </c>
      <c r="L58" s="272">
        <f t="shared" si="3"/>
        <v>0</v>
      </c>
      <c r="M58" s="272">
        <f t="shared" si="4"/>
        <v>0</v>
      </c>
      <c r="N58" s="269"/>
      <c r="O58" s="267"/>
    </row>
    <row r="59" spans="1:15">
      <c r="A59" s="267"/>
      <c r="B59" s="267"/>
      <c r="C59" s="275">
        <v>0</v>
      </c>
      <c r="D59" s="269">
        <v>0</v>
      </c>
      <c r="E59" s="269">
        <f t="shared" si="5"/>
        <v>0</v>
      </c>
      <c r="F59" s="271" cm="1">
        <f t="array" ref="F59">IF(A59&lt;&gt;"",IFERROR(INDEX('ONESheet 2.8'!AV:AV, MATCH(A59, 'ONESheet 2.8'!B:B, 0)+2),0),0)</f>
        <v>0</v>
      </c>
      <c r="G59" s="271">
        <v>0</v>
      </c>
      <c r="H59" s="271">
        <v>0</v>
      </c>
      <c r="I59" s="403" t="str">
        <f>'ONESheet 2.8'!BillingCountryCurrency</f>
        <v>USD</v>
      </c>
      <c r="J59" s="272">
        <f t="shared" si="1"/>
        <v>0</v>
      </c>
      <c r="K59" s="272">
        <f t="shared" si="2"/>
        <v>0</v>
      </c>
      <c r="L59" s="272">
        <f t="shared" si="3"/>
        <v>0</v>
      </c>
      <c r="M59" s="272">
        <f t="shared" si="4"/>
        <v>0</v>
      </c>
      <c r="N59" s="269"/>
      <c r="O59" s="267"/>
    </row>
    <row r="60" spans="1:15">
      <c r="A60" s="267"/>
      <c r="B60" s="267"/>
      <c r="C60" s="275">
        <v>0</v>
      </c>
      <c r="D60" s="269">
        <v>0</v>
      </c>
      <c r="E60" s="269">
        <f t="shared" si="5"/>
        <v>0</v>
      </c>
      <c r="F60" s="271" cm="1">
        <f t="array" ref="F60">IF(A60&lt;&gt;"",IFERROR(INDEX('ONESheet 2.8'!AV:AV, MATCH(A60, 'ONESheet 2.8'!B:B, 0)+2),0),0)</f>
        <v>0</v>
      </c>
      <c r="G60" s="271">
        <v>0</v>
      </c>
      <c r="H60" s="271">
        <v>0</v>
      </c>
      <c r="I60" s="403" t="str">
        <f>'ONESheet 2.8'!BillingCountryCurrency</f>
        <v>USD</v>
      </c>
      <c r="J60" s="272">
        <f t="shared" si="1"/>
        <v>0</v>
      </c>
      <c r="K60" s="272">
        <f t="shared" si="2"/>
        <v>0</v>
      </c>
      <c r="L60" s="272">
        <f t="shared" si="3"/>
        <v>0</v>
      </c>
      <c r="M60" s="272">
        <f t="shared" si="4"/>
        <v>0</v>
      </c>
      <c r="N60" s="269"/>
      <c r="O60" s="267"/>
    </row>
    <row r="61" spans="1:15">
      <c r="A61" s="267"/>
      <c r="B61" s="267"/>
      <c r="C61" s="275">
        <v>0</v>
      </c>
      <c r="D61" s="269">
        <v>0</v>
      </c>
      <c r="E61" s="269">
        <f t="shared" si="5"/>
        <v>0</v>
      </c>
      <c r="F61" s="271" cm="1">
        <f t="array" ref="F61">IF(A61&lt;&gt;"",IFERROR(INDEX('ONESheet 2.8'!AV:AV, MATCH(A61, 'ONESheet 2.8'!B:B, 0)+2),0),0)</f>
        <v>0</v>
      </c>
      <c r="G61" s="271">
        <v>0</v>
      </c>
      <c r="H61" s="271">
        <v>0</v>
      </c>
      <c r="I61" s="403" t="str">
        <f>'ONESheet 2.8'!BillingCountryCurrency</f>
        <v>USD</v>
      </c>
      <c r="J61" s="272">
        <f t="shared" si="1"/>
        <v>0</v>
      </c>
      <c r="K61" s="272">
        <f t="shared" si="2"/>
        <v>0</v>
      </c>
      <c r="L61" s="272">
        <f t="shared" si="3"/>
        <v>0</v>
      </c>
      <c r="M61" s="272">
        <f t="shared" si="4"/>
        <v>0</v>
      </c>
      <c r="N61" s="269"/>
      <c r="O61" s="267"/>
    </row>
    <row r="62" spans="1:15">
      <c r="A62" s="267"/>
      <c r="B62" s="267"/>
      <c r="C62" s="275">
        <v>0</v>
      </c>
      <c r="D62" s="269">
        <v>0</v>
      </c>
      <c r="E62" s="269">
        <f t="shared" si="5"/>
        <v>0</v>
      </c>
      <c r="F62" s="271" cm="1">
        <f t="array" ref="F62">IF(A62&lt;&gt;"",IFERROR(INDEX('ONESheet 2.8'!AV:AV, MATCH(A62, 'ONESheet 2.8'!B:B, 0)+2),0),0)</f>
        <v>0</v>
      </c>
      <c r="G62" s="271">
        <v>0</v>
      </c>
      <c r="H62" s="271">
        <v>0</v>
      </c>
      <c r="I62" s="403" t="str">
        <f>'ONESheet 2.8'!BillingCountryCurrency</f>
        <v>USD</v>
      </c>
      <c r="J62" s="272">
        <f t="shared" si="1"/>
        <v>0</v>
      </c>
      <c r="K62" s="272">
        <f t="shared" si="2"/>
        <v>0</v>
      </c>
      <c r="L62" s="272">
        <f t="shared" si="3"/>
        <v>0</v>
      </c>
      <c r="M62" s="272">
        <f t="shared" si="4"/>
        <v>0</v>
      </c>
      <c r="N62" s="269"/>
      <c r="O62" s="267"/>
    </row>
    <row r="63" spans="1:15">
      <c r="A63" s="267"/>
      <c r="B63" s="267"/>
      <c r="C63" s="275">
        <v>0</v>
      </c>
      <c r="D63" s="269">
        <v>0</v>
      </c>
      <c r="E63" s="269">
        <f t="shared" si="5"/>
        <v>0</v>
      </c>
      <c r="F63" s="271" cm="1">
        <f t="array" ref="F63">IF(A63&lt;&gt;"",IFERROR(INDEX('ONESheet 2.8'!AV:AV, MATCH(A63, 'ONESheet 2.8'!B:B, 0)+2),0),0)</f>
        <v>0</v>
      </c>
      <c r="G63" s="271">
        <v>0</v>
      </c>
      <c r="H63" s="271">
        <v>0</v>
      </c>
      <c r="I63" s="403" t="str">
        <f>'ONESheet 2.8'!BillingCountryCurrency</f>
        <v>USD</v>
      </c>
      <c r="J63" s="272">
        <f t="shared" si="1"/>
        <v>0</v>
      </c>
      <c r="K63" s="272">
        <f t="shared" si="2"/>
        <v>0</v>
      </c>
      <c r="L63" s="272">
        <f t="shared" si="3"/>
        <v>0</v>
      </c>
      <c r="M63" s="272">
        <f t="shared" si="4"/>
        <v>0</v>
      </c>
      <c r="N63" s="269"/>
      <c r="O63" s="267"/>
    </row>
    <row r="64" spans="1:15">
      <c r="A64" s="267"/>
      <c r="B64" s="267"/>
      <c r="C64" s="275">
        <v>0</v>
      </c>
      <c r="D64" s="269">
        <v>0</v>
      </c>
      <c r="E64" s="269">
        <f t="shared" si="5"/>
        <v>0</v>
      </c>
      <c r="F64" s="271" cm="1">
        <f t="array" ref="F64">IF(A64&lt;&gt;"",IFERROR(INDEX('ONESheet 2.8'!AV:AV, MATCH(A64, 'ONESheet 2.8'!B:B, 0)+2),0),0)</f>
        <v>0</v>
      </c>
      <c r="G64" s="271">
        <v>0</v>
      </c>
      <c r="H64" s="271">
        <v>0</v>
      </c>
      <c r="I64" s="403" t="str">
        <f>'ONESheet 2.8'!BillingCountryCurrency</f>
        <v>USD</v>
      </c>
      <c r="J64" s="272">
        <f t="shared" si="1"/>
        <v>0</v>
      </c>
      <c r="K64" s="272">
        <f t="shared" si="2"/>
        <v>0</v>
      </c>
      <c r="L64" s="272">
        <f t="shared" si="3"/>
        <v>0</v>
      </c>
      <c r="M64" s="272">
        <f t="shared" si="4"/>
        <v>0</v>
      </c>
      <c r="N64" s="269"/>
      <c r="O64" s="267"/>
    </row>
    <row r="65" spans="1:15">
      <c r="A65" s="267"/>
      <c r="B65" s="267"/>
      <c r="C65" s="275">
        <v>0</v>
      </c>
      <c r="D65" s="269">
        <v>0</v>
      </c>
      <c r="E65" s="269">
        <f t="shared" si="5"/>
        <v>0</v>
      </c>
      <c r="F65" s="271" cm="1">
        <f t="array" ref="F65">IF(A65&lt;&gt;"",IFERROR(INDEX('ONESheet 2.8'!AV:AV, MATCH(A65, 'ONESheet 2.8'!B:B, 0)+2),0),0)</f>
        <v>0</v>
      </c>
      <c r="G65" s="271">
        <v>0</v>
      </c>
      <c r="H65" s="271">
        <v>0</v>
      </c>
      <c r="I65" s="403" t="str">
        <f>'ONESheet 2.8'!BillingCountryCurrency</f>
        <v>USD</v>
      </c>
      <c r="J65" s="272">
        <f t="shared" si="1"/>
        <v>0</v>
      </c>
      <c r="K65" s="272">
        <f t="shared" si="2"/>
        <v>0</v>
      </c>
      <c r="L65" s="272">
        <f t="shared" si="3"/>
        <v>0</v>
      </c>
      <c r="M65" s="272">
        <f t="shared" si="4"/>
        <v>0</v>
      </c>
      <c r="N65" s="269"/>
      <c r="O65" s="267"/>
    </row>
    <row r="66" spans="1:15">
      <c r="A66" s="267"/>
      <c r="B66" s="267"/>
      <c r="C66" s="275">
        <v>0</v>
      </c>
      <c r="D66" s="269">
        <v>0</v>
      </c>
      <c r="E66" s="269">
        <f t="shared" ref="E66:E97" si="6">D66*(1+C66)</f>
        <v>0</v>
      </c>
      <c r="F66" s="271" cm="1">
        <f t="array" ref="F66">IF(A66&lt;&gt;"",IFERROR(INDEX('ONESheet 2.8'!AV:AV, MATCH(A66, 'ONESheet 2.8'!B:B, 0)+2),0),0)</f>
        <v>0</v>
      </c>
      <c r="G66" s="271">
        <v>0</v>
      </c>
      <c r="H66" s="271">
        <v>0</v>
      </c>
      <c r="I66" s="403" t="str">
        <f>'ONESheet 2.8'!BillingCountryCurrency</f>
        <v>USD</v>
      </c>
      <c r="J66" s="272">
        <f t="shared" si="1"/>
        <v>0</v>
      </c>
      <c r="K66" s="272">
        <f t="shared" si="2"/>
        <v>0</v>
      </c>
      <c r="L66" s="272">
        <f t="shared" si="3"/>
        <v>0</v>
      </c>
      <c r="M66" s="272">
        <f t="shared" si="4"/>
        <v>0</v>
      </c>
      <c r="N66" s="269"/>
      <c r="O66" s="267"/>
    </row>
    <row r="67" spans="1:15">
      <c r="A67" s="267"/>
      <c r="B67" s="267"/>
      <c r="C67" s="275">
        <v>0</v>
      </c>
      <c r="D67" s="269">
        <v>0</v>
      </c>
      <c r="E67" s="269">
        <f t="shared" si="6"/>
        <v>0</v>
      </c>
      <c r="F67" s="271" cm="1">
        <f t="array" ref="F67">IF(A67&lt;&gt;"",IFERROR(INDEX('ONESheet 2.8'!AV:AV, MATCH(A67, 'ONESheet 2.8'!B:B, 0)+2),0),0)</f>
        <v>0</v>
      </c>
      <c r="G67" s="271">
        <v>0</v>
      </c>
      <c r="H67" s="271">
        <v>0</v>
      </c>
      <c r="I67" s="403" t="str">
        <f>'ONESheet 2.8'!BillingCountryCurrency</f>
        <v>USD</v>
      </c>
      <c r="J67" s="272">
        <f t="shared" ref="J67:J130" si="7">IFERROR($E67,0)</f>
        <v>0</v>
      </c>
      <c r="K67" s="272">
        <f t="shared" ref="K67:K130" si="8">ROUNDUP(IFERROR($E67/(1-$F67),0),2)</f>
        <v>0</v>
      </c>
      <c r="L67" s="272">
        <f t="shared" ref="L67:L130" si="9">ROUNDUP(IFERROR($E67*$G67,0),2)</f>
        <v>0</v>
      </c>
      <c r="M67" s="272">
        <f t="shared" ref="M67:M130" si="10">ROUNDUP(IFERROR(SUM($E67,$L67)*$H67,0),2)</f>
        <v>0</v>
      </c>
      <c r="N67" s="269"/>
      <c r="O67" s="267"/>
    </row>
    <row r="68" spans="1:15">
      <c r="A68" s="267"/>
      <c r="B68" s="267"/>
      <c r="C68" s="275">
        <v>0</v>
      </c>
      <c r="D68" s="269">
        <v>0</v>
      </c>
      <c r="E68" s="269">
        <f t="shared" si="6"/>
        <v>0</v>
      </c>
      <c r="F68" s="271" cm="1">
        <f t="array" ref="F68">IF(A68&lt;&gt;"",IFERROR(INDEX('ONESheet 2.8'!AV:AV, MATCH(A68, 'ONESheet 2.8'!B:B, 0)+2),0),0)</f>
        <v>0</v>
      </c>
      <c r="G68" s="271">
        <v>0</v>
      </c>
      <c r="H68" s="271">
        <v>0</v>
      </c>
      <c r="I68" s="403" t="str">
        <f>'ONESheet 2.8'!BillingCountryCurrency</f>
        <v>USD</v>
      </c>
      <c r="J68" s="272">
        <f t="shared" si="7"/>
        <v>0</v>
      </c>
      <c r="K68" s="272">
        <f t="shared" si="8"/>
        <v>0</v>
      </c>
      <c r="L68" s="272">
        <f t="shared" si="9"/>
        <v>0</v>
      </c>
      <c r="M68" s="272">
        <f t="shared" si="10"/>
        <v>0</v>
      </c>
      <c r="N68" s="269"/>
      <c r="O68" s="267"/>
    </row>
    <row r="69" spans="1:15">
      <c r="A69" s="267"/>
      <c r="B69" s="267"/>
      <c r="C69" s="275">
        <v>0</v>
      </c>
      <c r="D69" s="269">
        <v>0</v>
      </c>
      <c r="E69" s="269">
        <f t="shared" si="6"/>
        <v>0</v>
      </c>
      <c r="F69" s="271" cm="1">
        <f t="array" ref="F69">IF(A69&lt;&gt;"",IFERROR(INDEX('ONESheet 2.8'!AV:AV, MATCH(A69, 'ONESheet 2.8'!B:B, 0)+2),0),0)</f>
        <v>0</v>
      </c>
      <c r="G69" s="271">
        <v>0</v>
      </c>
      <c r="H69" s="271">
        <v>0</v>
      </c>
      <c r="I69" s="403" t="str">
        <f>'ONESheet 2.8'!BillingCountryCurrency</f>
        <v>USD</v>
      </c>
      <c r="J69" s="272">
        <f t="shared" si="7"/>
        <v>0</v>
      </c>
      <c r="K69" s="272">
        <f t="shared" si="8"/>
        <v>0</v>
      </c>
      <c r="L69" s="272">
        <f t="shared" si="9"/>
        <v>0</v>
      </c>
      <c r="M69" s="272">
        <f t="shared" si="10"/>
        <v>0</v>
      </c>
      <c r="N69" s="269"/>
      <c r="O69" s="267"/>
    </row>
    <row r="70" spans="1:15">
      <c r="A70" s="267"/>
      <c r="B70" s="267"/>
      <c r="C70" s="275">
        <v>0</v>
      </c>
      <c r="D70" s="269">
        <v>0</v>
      </c>
      <c r="E70" s="269">
        <f t="shared" si="6"/>
        <v>0</v>
      </c>
      <c r="F70" s="271" cm="1">
        <f t="array" ref="F70">IF(A70&lt;&gt;"",IFERROR(INDEX('ONESheet 2.8'!AV:AV, MATCH(A70, 'ONESheet 2.8'!B:B, 0)+2),0),0)</f>
        <v>0</v>
      </c>
      <c r="G70" s="271">
        <v>0</v>
      </c>
      <c r="H70" s="271">
        <v>0</v>
      </c>
      <c r="I70" s="403" t="str">
        <f>'ONESheet 2.8'!BillingCountryCurrency</f>
        <v>USD</v>
      </c>
      <c r="J70" s="272">
        <f t="shared" si="7"/>
        <v>0</v>
      </c>
      <c r="K70" s="272">
        <f t="shared" si="8"/>
        <v>0</v>
      </c>
      <c r="L70" s="272">
        <f t="shared" si="9"/>
        <v>0</v>
      </c>
      <c r="M70" s="272">
        <f t="shared" si="10"/>
        <v>0</v>
      </c>
      <c r="N70" s="269"/>
      <c r="O70" s="267"/>
    </row>
    <row r="71" spans="1:15">
      <c r="A71" s="267"/>
      <c r="B71" s="267"/>
      <c r="C71" s="275">
        <v>0</v>
      </c>
      <c r="D71" s="269">
        <v>0</v>
      </c>
      <c r="E71" s="269">
        <f t="shared" si="6"/>
        <v>0</v>
      </c>
      <c r="F71" s="271" cm="1">
        <f t="array" ref="F71">IF(A71&lt;&gt;"",IFERROR(INDEX('ONESheet 2.8'!AV:AV, MATCH(A71, 'ONESheet 2.8'!B:B, 0)+2),0),0)</f>
        <v>0</v>
      </c>
      <c r="G71" s="271">
        <v>0</v>
      </c>
      <c r="H71" s="271">
        <v>0</v>
      </c>
      <c r="I71" s="403" t="str">
        <f>'ONESheet 2.8'!BillingCountryCurrency</f>
        <v>USD</v>
      </c>
      <c r="J71" s="272">
        <f t="shared" si="7"/>
        <v>0</v>
      </c>
      <c r="K71" s="272">
        <f t="shared" si="8"/>
        <v>0</v>
      </c>
      <c r="L71" s="272">
        <f t="shared" si="9"/>
        <v>0</v>
      </c>
      <c r="M71" s="272">
        <f t="shared" si="10"/>
        <v>0</v>
      </c>
      <c r="N71" s="269"/>
      <c r="O71" s="267"/>
    </row>
    <row r="72" spans="1:15">
      <c r="A72" s="267"/>
      <c r="B72" s="267"/>
      <c r="C72" s="275">
        <v>0</v>
      </c>
      <c r="D72" s="269">
        <v>0</v>
      </c>
      <c r="E72" s="269">
        <f t="shared" si="6"/>
        <v>0</v>
      </c>
      <c r="F72" s="271" cm="1">
        <f t="array" ref="F72">IF(A72&lt;&gt;"",IFERROR(INDEX('ONESheet 2.8'!AV:AV, MATCH(A72, 'ONESheet 2.8'!B:B, 0)+2),0),0)</f>
        <v>0</v>
      </c>
      <c r="G72" s="271">
        <v>0</v>
      </c>
      <c r="H72" s="271">
        <v>0</v>
      </c>
      <c r="I72" s="403" t="str">
        <f>'ONESheet 2.8'!BillingCountryCurrency</f>
        <v>USD</v>
      </c>
      <c r="J72" s="272">
        <f t="shared" si="7"/>
        <v>0</v>
      </c>
      <c r="K72" s="272">
        <f t="shared" si="8"/>
        <v>0</v>
      </c>
      <c r="L72" s="272">
        <f t="shared" si="9"/>
        <v>0</v>
      </c>
      <c r="M72" s="272">
        <f t="shared" si="10"/>
        <v>0</v>
      </c>
      <c r="N72" s="269"/>
      <c r="O72" s="267"/>
    </row>
    <row r="73" spans="1:15">
      <c r="A73" s="267"/>
      <c r="B73" s="267"/>
      <c r="C73" s="275">
        <v>0</v>
      </c>
      <c r="D73" s="269">
        <v>0</v>
      </c>
      <c r="E73" s="269">
        <f t="shared" si="6"/>
        <v>0</v>
      </c>
      <c r="F73" s="271" cm="1">
        <f t="array" ref="F73">IF(A73&lt;&gt;"",IFERROR(INDEX('ONESheet 2.8'!AV:AV, MATCH(A73, 'ONESheet 2.8'!B:B, 0)+2),0),0)</f>
        <v>0</v>
      </c>
      <c r="G73" s="271">
        <v>0</v>
      </c>
      <c r="H73" s="271">
        <v>0</v>
      </c>
      <c r="I73" s="403" t="str">
        <f>'ONESheet 2.8'!BillingCountryCurrency</f>
        <v>USD</v>
      </c>
      <c r="J73" s="272">
        <f t="shared" si="7"/>
        <v>0</v>
      </c>
      <c r="K73" s="272">
        <f t="shared" si="8"/>
        <v>0</v>
      </c>
      <c r="L73" s="272">
        <f t="shared" si="9"/>
        <v>0</v>
      </c>
      <c r="M73" s="272">
        <f t="shared" si="10"/>
        <v>0</v>
      </c>
      <c r="N73" s="269"/>
      <c r="O73" s="267"/>
    </row>
    <row r="74" spans="1:15">
      <c r="A74" s="267"/>
      <c r="B74" s="267"/>
      <c r="C74" s="275">
        <v>0</v>
      </c>
      <c r="D74" s="269">
        <v>0</v>
      </c>
      <c r="E74" s="269">
        <f t="shared" si="6"/>
        <v>0</v>
      </c>
      <c r="F74" s="271" cm="1">
        <f t="array" ref="F74">IF(A74&lt;&gt;"",IFERROR(INDEX('ONESheet 2.8'!AV:AV, MATCH(A74, 'ONESheet 2.8'!B:B, 0)+2),0),0)</f>
        <v>0</v>
      </c>
      <c r="G74" s="271">
        <v>0</v>
      </c>
      <c r="H74" s="271">
        <v>0</v>
      </c>
      <c r="I74" s="403" t="str">
        <f>'ONESheet 2.8'!BillingCountryCurrency</f>
        <v>USD</v>
      </c>
      <c r="J74" s="272">
        <f t="shared" si="7"/>
        <v>0</v>
      </c>
      <c r="K74" s="272">
        <f t="shared" si="8"/>
        <v>0</v>
      </c>
      <c r="L74" s="272">
        <f t="shared" si="9"/>
        <v>0</v>
      </c>
      <c r="M74" s="272">
        <f t="shared" si="10"/>
        <v>0</v>
      </c>
      <c r="N74" s="269"/>
      <c r="O74" s="267"/>
    </row>
    <row r="75" spans="1:15">
      <c r="A75" s="267"/>
      <c r="B75" s="267"/>
      <c r="C75" s="275">
        <v>0</v>
      </c>
      <c r="D75" s="269">
        <v>0</v>
      </c>
      <c r="E75" s="269">
        <f t="shared" si="6"/>
        <v>0</v>
      </c>
      <c r="F75" s="271" cm="1">
        <f t="array" ref="F75">IF(A75&lt;&gt;"",IFERROR(INDEX('ONESheet 2.8'!AV:AV, MATCH(A75, 'ONESheet 2.8'!B:B, 0)+2),0),0)</f>
        <v>0</v>
      </c>
      <c r="G75" s="271">
        <v>0</v>
      </c>
      <c r="H75" s="271">
        <v>0</v>
      </c>
      <c r="I75" s="403" t="str">
        <f>'ONESheet 2.8'!BillingCountryCurrency</f>
        <v>USD</v>
      </c>
      <c r="J75" s="272">
        <f t="shared" si="7"/>
        <v>0</v>
      </c>
      <c r="K75" s="272">
        <f t="shared" si="8"/>
        <v>0</v>
      </c>
      <c r="L75" s="272">
        <f t="shared" si="9"/>
        <v>0</v>
      </c>
      <c r="M75" s="272">
        <f t="shared" si="10"/>
        <v>0</v>
      </c>
      <c r="N75" s="269"/>
      <c r="O75" s="267"/>
    </row>
    <row r="76" spans="1:15">
      <c r="A76" s="267"/>
      <c r="B76" s="267"/>
      <c r="C76" s="275">
        <v>0</v>
      </c>
      <c r="D76" s="269">
        <v>0</v>
      </c>
      <c r="E76" s="269">
        <f t="shared" si="6"/>
        <v>0</v>
      </c>
      <c r="F76" s="271" cm="1">
        <f t="array" ref="F76">IF(A76&lt;&gt;"",IFERROR(INDEX('ONESheet 2.8'!AV:AV, MATCH(A76, 'ONESheet 2.8'!B:B, 0)+2),0),0)</f>
        <v>0</v>
      </c>
      <c r="G76" s="271">
        <v>0</v>
      </c>
      <c r="H76" s="271">
        <v>0</v>
      </c>
      <c r="I76" s="403" t="str">
        <f>'ONESheet 2.8'!BillingCountryCurrency</f>
        <v>USD</v>
      </c>
      <c r="J76" s="272">
        <f t="shared" si="7"/>
        <v>0</v>
      </c>
      <c r="K76" s="272">
        <f t="shared" si="8"/>
        <v>0</v>
      </c>
      <c r="L76" s="272">
        <f t="shared" si="9"/>
        <v>0</v>
      </c>
      <c r="M76" s="272">
        <f t="shared" si="10"/>
        <v>0</v>
      </c>
      <c r="N76" s="269"/>
      <c r="O76" s="267"/>
    </row>
    <row r="77" spans="1:15">
      <c r="A77" s="267"/>
      <c r="B77" s="267"/>
      <c r="C77" s="275">
        <v>0</v>
      </c>
      <c r="D77" s="269">
        <v>0</v>
      </c>
      <c r="E77" s="269">
        <f t="shared" si="6"/>
        <v>0</v>
      </c>
      <c r="F77" s="271" cm="1">
        <f t="array" ref="F77">IF(A77&lt;&gt;"",IFERROR(INDEX('ONESheet 2.8'!AV:AV, MATCH(A77, 'ONESheet 2.8'!B:B, 0)+2),0),0)</f>
        <v>0</v>
      </c>
      <c r="G77" s="271">
        <v>0</v>
      </c>
      <c r="H77" s="271">
        <v>0</v>
      </c>
      <c r="I77" s="403" t="str">
        <f>'ONESheet 2.8'!BillingCountryCurrency</f>
        <v>USD</v>
      </c>
      <c r="J77" s="272">
        <f t="shared" si="7"/>
        <v>0</v>
      </c>
      <c r="K77" s="272">
        <f t="shared" si="8"/>
        <v>0</v>
      </c>
      <c r="L77" s="272">
        <f t="shared" si="9"/>
        <v>0</v>
      </c>
      <c r="M77" s="272">
        <f t="shared" si="10"/>
        <v>0</v>
      </c>
      <c r="N77" s="269"/>
      <c r="O77" s="267"/>
    </row>
    <row r="78" spans="1:15">
      <c r="A78" s="267"/>
      <c r="B78" s="267"/>
      <c r="C78" s="275">
        <v>0</v>
      </c>
      <c r="D78" s="269">
        <v>0</v>
      </c>
      <c r="E78" s="269">
        <f t="shared" si="6"/>
        <v>0</v>
      </c>
      <c r="F78" s="271" cm="1">
        <f t="array" ref="F78">IF(A78&lt;&gt;"",IFERROR(INDEX('ONESheet 2.8'!AV:AV, MATCH(A78, 'ONESheet 2.8'!B:B, 0)+2),0),0)</f>
        <v>0</v>
      </c>
      <c r="G78" s="271">
        <v>0</v>
      </c>
      <c r="H78" s="271">
        <v>0</v>
      </c>
      <c r="I78" s="403" t="str">
        <f>'ONESheet 2.8'!BillingCountryCurrency</f>
        <v>USD</v>
      </c>
      <c r="J78" s="272">
        <f t="shared" si="7"/>
        <v>0</v>
      </c>
      <c r="K78" s="272">
        <f t="shared" si="8"/>
        <v>0</v>
      </c>
      <c r="L78" s="272">
        <f t="shared" si="9"/>
        <v>0</v>
      </c>
      <c r="M78" s="272">
        <f t="shared" si="10"/>
        <v>0</v>
      </c>
      <c r="N78" s="269"/>
      <c r="O78" s="267"/>
    </row>
    <row r="79" spans="1:15">
      <c r="A79" s="267"/>
      <c r="B79" s="267"/>
      <c r="C79" s="275">
        <v>0</v>
      </c>
      <c r="D79" s="269">
        <v>0</v>
      </c>
      <c r="E79" s="269">
        <f t="shared" si="6"/>
        <v>0</v>
      </c>
      <c r="F79" s="271" cm="1">
        <f t="array" ref="F79">IF(A79&lt;&gt;"",IFERROR(INDEX('ONESheet 2.8'!AV:AV, MATCH(A79, 'ONESheet 2.8'!B:B, 0)+2),0),0)</f>
        <v>0</v>
      </c>
      <c r="G79" s="271">
        <v>0</v>
      </c>
      <c r="H79" s="271">
        <v>0</v>
      </c>
      <c r="I79" s="403" t="str">
        <f>'ONESheet 2.8'!BillingCountryCurrency</f>
        <v>USD</v>
      </c>
      <c r="J79" s="272">
        <f t="shared" si="7"/>
        <v>0</v>
      </c>
      <c r="K79" s="272">
        <f t="shared" si="8"/>
        <v>0</v>
      </c>
      <c r="L79" s="272">
        <f t="shared" si="9"/>
        <v>0</v>
      </c>
      <c r="M79" s="272">
        <f t="shared" si="10"/>
        <v>0</v>
      </c>
      <c r="N79" s="269"/>
      <c r="O79" s="267"/>
    </row>
    <row r="80" spans="1:15">
      <c r="A80" s="267"/>
      <c r="B80" s="267"/>
      <c r="C80" s="275">
        <v>0</v>
      </c>
      <c r="D80" s="269">
        <v>0</v>
      </c>
      <c r="E80" s="269">
        <f t="shared" si="6"/>
        <v>0</v>
      </c>
      <c r="F80" s="271" cm="1">
        <f t="array" ref="F80">IF(A80&lt;&gt;"",IFERROR(INDEX('ONESheet 2.8'!AV:AV, MATCH(A80, 'ONESheet 2.8'!B:B, 0)+2),0),0)</f>
        <v>0</v>
      </c>
      <c r="G80" s="271">
        <v>0</v>
      </c>
      <c r="H80" s="271">
        <v>0</v>
      </c>
      <c r="I80" s="403" t="str">
        <f>'ONESheet 2.8'!BillingCountryCurrency</f>
        <v>USD</v>
      </c>
      <c r="J80" s="272">
        <f t="shared" si="7"/>
        <v>0</v>
      </c>
      <c r="K80" s="272">
        <f t="shared" si="8"/>
        <v>0</v>
      </c>
      <c r="L80" s="272">
        <f t="shared" si="9"/>
        <v>0</v>
      </c>
      <c r="M80" s="272">
        <f t="shared" si="10"/>
        <v>0</v>
      </c>
      <c r="N80" s="269"/>
      <c r="O80" s="267"/>
    </row>
    <row r="81" spans="1:15">
      <c r="A81" s="267"/>
      <c r="B81" s="267"/>
      <c r="C81" s="275">
        <v>0</v>
      </c>
      <c r="D81" s="269">
        <v>0</v>
      </c>
      <c r="E81" s="269">
        <f t="shared" si="6"/>
        <v>0</v>
      </c>
      <c r="F81" s="271" cm="1">
        <f t="array" ref="F81">IF(A81&lt;&gt;"",IFERROR(INDEX('ONESheet 2.8'!AV:AV, MATCH(A81, 'ONESheet 2.8'!B:B, 0)+2),0),0)</f>
        <v>0</v>
      </c>
      <c r="G81" s="271">
        <v>0</v>
      </c>
      <c r="H81" s="271">
        <v>0</v>
      </c>
      <c r="I81" s="403" t="str">
        <f>'ONESheet 2.8'!BillingCountryCurrency</f>
        <v>USD</v>
      </c>
      <c r="J81" s="272">
        <f t="shared" si="7"/>
        <v>0</v>
      </c>
      <c r="K81" s="272">
        <f t="shared" si="8"/>
        <v>0</v>
      </c>
      <c r="L81" s="272">
        <f t="shared" si="9"/>
        <v>0</v>
      </c>
      <c r="M81" s="272">
        <f t="shared" si="10"/>
        <v>0</v>
      </c>
      <c r="N81" s="269"/>
      <c r="O81" s="267"/>
    </row>
    <row r="82" spans="1:15">
      <c r="A82" s="267"/>
      <c r="B82" s="267"/>
      <c r="C82" s="275">
        <v>0</v>
      </c>
      <c r="D82" s="269">
        <v>0</v>
      </c>
      <c r="E82" s="269">
        <f t="shared" si="6"/>
        <v>0</v>
      </c>
      <c r="F82" s="271" cm="1">
        <f t="array" ref="F82">IF(A82&lt;&gt;"",IFERROR(INDEX('ONESheet 2.8'!AV:AV, MATCH(A82, 'ONESheet 2.8'!B:B, 0)+2),0),0)</f>
        <v>0</v>
      </c>
      <c r="G82" s="271">
        <v>0</v>
      </c>
      <c r="H82" s="271">
        <v>0</v>
      </c>
      <c r="I82" s="403" t="str">
        <f>'ONESheet 2.8'!BillingCountryCurrency</f>
        <v>USD</v>
      </c>
      <c r="J82" s="272">
        <f t="shared" si="7"/>
        <v>0</v>
      </c>
      <c r="K82" s="272">
        <f t="shared" si="8"/>
        <v>0</v>
      </c>
      <c r="L82" s="272">
        <f t="shared" si="9"/>
        <v>0</v>
      </c>
      <c r="M82" s="272">
        <f t="shared" si="10"/>
        <v>0</v>
      </c>
      <c r="N82" s="269"/>
      <c r="O82" s="267"/>
    </row>
    <row r="83" spans="1:15">
      <c r="A83" s="267"/>
      <c r="B83" s="267"/>
      <c r="C83" s="275">
        <v>0</v>
      </c>
      <c r="D83" s="269">
        <v>0</v>
      </c>
      <c r="E83" s="269">
        <f t="shared" si="6"/>
        <v>0</v>
      </c>
      <c r="F83" s="271" cm="1">
        <f t="array" ref="F83">IF(A83&lt;&gt;"",IFERROR(INDEX('ONESheet 2.8'!AV:AV, MATCH(A83, 'ONESheet 2.8'!B:B, 0)+2),0),0)</f>
        <v>0</v>
      </c>
      <c r="G83" s="271">
        <v>0</v>
      </c>
      <c r="H83" s="271">
        <v>0</v>
      </c>
      <c r="I83" s="403" t="str">
        <f>'ONESheet 2.8'!BillingCountryCurrency</f>
        <v>USD</v>
      </c>
      <c r="J83" s="272">
        <f t="shared" si="7"/>
        <v>0</v>
      </c>
      <c r="K83" s="272">
        <f t="shared" si="8"/>
        <v>0</v>
      </c>
      <c r="L83" s="272">
        <f t="shared" si="9"/>
        <v>0</v>
      </c>
      <c r="M83" s="272">
        <f t="shared" si="10"/>
        <v>0</v>
      </c>
      <c r="N83" s="269"/>
      <c r="O83" s="267"/>
    </row>
    <row r="84" spans="1:15">
      <c r="A84" s="267"/>
      <c r="B84" s="267"/>
      <c r="C84" s="275">
        <v>0</v>
      </c>
      <c r="D84" s="269">
        <v>0</v>
      </c>
      <c r="E84" s="269">
        <f t="shared" si="6"/>
        <v>0</v>
      </c>
      <c r="F84" s="271" cm="1">
        <f t="array" ref="F84">IF(A84&lt;&gt;"",IFERROR(INDEX('ONESheet 2.8'!AV:AV, MATCH(A84, 'ONESheet 2.8'!B:B, 0)+2),0),0)</f>
        <v>0</v>
      </c>
      <c r="G84" s="271">
        <v>0</v>
      </c>
      <c r="H84" s="271">
        <v>0</v>
      </c>
      <c r="I84" s="403" t="str">
        <f>'ONESheet 2.8'!BillingCountryCurrency</f>
        <v>USD</v>
      </c>
      <c r="J84" s="272">
        <f t="shared" si="7"/>
        <v>0</v>
      </c>
      <c r="K84" s="272">
        <f t="shared" si="8"/>
        <v>0</v>
      </c>
      <c r="L84" s="272">
        <f t="shared" si="9"/>
        <v>0</v>
      </c>
      <c r="M84" s="272">
        <f t="shared" si="10"/>
        <v>0</v>
      </c>
      <c r="N84" s="269"/>
      <c r="O84" s="267"/>
    </row>
    <row r="85" spans="1:15">
      <c r="A85" s="267"/>
      <c r="B85" s="267"/>
      <c r="C85" s="275">
        <v>0</v>
      </c>
      <c r="D85" s="269">
        <v>0</v>
      </c>
      <c r="E85" s="269">
        <f t="shared" si="6"/>
        <v>0</v>
      </c>
      <c r="F85" s="271" cm="1">
        <f t="array" ref="F85">IF(A85&lt;&gt;"",IFERROR(INDEX('ONESheet 2.8'!AV:AV, MATCH(A85, 'ONESheet 2.8'!B:B, 0)+2),0),0)</f>
        <v>0</v>
      </c>
      <c r="G85" s="271">
        <v>0</v>
      </c>
      <c r="H85" s="271">
        <v>0</v>
      </c>
      <c r="I85" s="403" t="str">
        <f>'ONESheet 2.8'!BillingCountryCurrency</f>
        <v>USD</v>
      </c>
      <c r="J85" s="272">
        <f t="shared" si="7"/>
        <v>0</v>
      </c>
      <c r="K85" s="272">
        <f t="shared" si="8"/>
        <v>0</v>
      </c>
      <c r="L85" s="272">
        <f t="shared" si="9"/>
        <v>0</v>
      </c>
      <c r="M85" s="272">
        <f t="shared" si="10"/>
        <v>0</v>
      </c>
      <c r="N85" s="269"/>
      <c r="O85" s="267"/>
    </row>
    <row r="86" spans="1:15">
      <c r="A86" s="267"/>
      <c r="B86" s="267"/>
      <c r="C86" s="275">
        <v>0</v>
      </c>
      <c r="D86" s="269">
        <v>0</v>
      </c>
      <c r="E86" s="269">
        <f t="shared" si="6"/>
        <v>0</v>
      </c>
      <c r="F86" s="271" cm="1">
        <f t="array" ref="F86">IF(A86&lt;&gt;"",IFERROR(INDEX('ONESheet 2.8'!AV:AV, MATCH(A86, 'ONESheet 2.8'!B:B, 0)+2),0),0)</f>
        <v>0</v>
      </c>
      <c r="G86" s="271">
        <v>0</v>
      </c>
      <c r="H86" s="271">
        <v>0</v>
      </c>
      <c r="I86" s="403" t="str">
        <f>'ONESheet 2.8'!BillingCountryCurrency</f>
        <v>USD</v>
      </c>
      <c r="J86" s="272">
        <f t="shared" si="7"/>
        <v>0</v>
      </c>
      <c r="K86" s="272">
        <f t="shared" si="8"/>
        <v>0</v>
      </c>
      <c r="L86" s="272">
        <f t="shared" si="9"/>
        <v>0</v>
      </c>
      <c r="M86" s="272">
        <f t="shared" si="10"/>
        <v>0</v>
      </c>
      <c r="N86" s="269"/>
      <c r="O86" s="267"/>
    </row>
    <row r="87" spans="1:15">
      <c r="A87" s="267"/>
      <c r="B87" s="267"/>
      <c r="C87" s="275">
        <v>0</v>
      </c>
      <c r="D87" s="269">
        <v>0</v>
      </c>
      <c r="E87" s="269">
        <f t="shared" si="6"/>
        <v>0</v>
      </c>
      <c r="F87" s="271" cm="1">
        <f t="array" ref="F87">IF(A87&lt;&gt;"",IFERROR(INDEX('ONESheet 2.8'!AV:AV, MATCH(A87, 'ONESheet 2.8'!B:B, 0)+2),0),0)</f>
        <v>0</v>
      </c>
      <c r="G87" s="271">
        <v>0</v>
      </c>
      <c r="H87" s="271">
        <v>0</v>
      </c>
      <c r="I87" s="403" t="str">
        <f>'ONESheet 2.8'!BillingCountryCurrency</f>
        <v>USD</v>
      </c>
      <c r="J87" s="272">
        <f t="shared" si="7"/>
        <v>0</v>
      </c>
      <c r="K87" s="272">
        <f t="shared" si="8"/>
        <v>0</v>
      </c>
      <c r="L87" s="272">
        <f t="shared" si="9"/>
        <v>0</v>
      </c>
      <c r="M87" s="272">
        <f t="shared" si="10"/>
        <v>0</v>
      </c>
      <c r="N87" s="269"/>
      <c r="O87" s="267"/>
    </row>
    <row r="88" spans="1:15">
      <c r="A88" s="267"/>
      <c r="B88" s="267"/>
      <c r="C88" s="275">
        <v>0</v>
      </c>
      <c r="D88" s="269">
        <v>0</v>
      </c>
      <c r="E88" s="269">
        <f t="shared" si="6"/>
        <v>0</v>
      </c>
      <c r="F88" s="271" cm="1">
        <f t="array" ref="F88">IF(A88&lt;&gt;"",IFERROR(INDEX('ONESheet 2.8'!AV:AV, MATCH(A88, 'ONESheet 2.8'!B:B, 0)+2),0),0)</f>
        <v>0</v>
      </c>
      <c r="G88" s="271">
        <v>0</v>
      </c>
      <c r="H88" s="271">
        <v>0</v>
      </c>
      <c r="I88" s="403" t="str">
        <f>'ONESheet 2.8'!BillingCountryCurrency</f>
        <v>USD</v>
      </c>
      <c r="J88" s="272">
        <f t="shared" si="7"/>
        <v>0</v>
      </c>
      <c r="K88" s="272">
        <f t="shared" si="8"/>
        <v>0</v>
      </c>
      <c r="L88" s="272">
        <f t="shared" si="9"/>
        <v>0</v>
      </c>
      <c r="M88" s="272">
        <f t="shared" si="10"/>
        <v>0</v>
      </c>
      <c r="N88" s="269"/>
      <c r="O88" s="267"/>
    </row>
    <row r="89" spans="1:15">
      <c r="A89" s="267"/>
      <c r="B89" s="267"/>
      <c r="C89" s="275">
        <v>0</v>
      </c>
      <c r="D89" s="269">
        <v>0</v>
      </c>
      <c r="E89" s="269">
        <f t="shared" si="6"/>
        <v>0</v>
      </c>
      <c r="F89" s="271" cm="1">
        <f t="array" ref="F89">IF(A89&lt;&gt;"",IFERROR(INDEX('ONESheet 2.8'!AV:AV, MATCH(A89, 'ONESheet 2.8'!B:B, 0)+2),0),0)</f>
        <v>0</v>
      </c>
      <c r="G89" s="271">
        <v>0</v>
      </c>
      <c r="H89" s="271">
        <v>0</v>
      </c>
      <c r="I89" s="403" t="str">
        <f>'ONESheet 2.8'!BillingCountryCurrency</f>
        <v>USD</v>
      </c>
      <c r="J89" s="272">
        <f t="shared" si="7"/>
        <v>0</v>
      </c>
      <c r="K89" s="272">
        <f t="shared" si="8"/>
        <v>0</v>
      </c>
      <c r="L89" s="272">
        <f t="shared" si="9"/>
        <v>0</v>
      </c>
      <c r="M89" s="272">
        <f t="shared" si="10"/>
        <v>0</v>
      </c>
      <c r="N89" s="269"/>
      <c r="O89" s="267"/>
    </row>
    <row r="90" spans="1:15">
      <c r="A90" s="267"/>
      <c r="B90" s="267"/>
      <c r="C90" s="275">
        <v>0</v>
      </c>
      <c r="D90" s="269">
        <v>0</v>
      </c>
      <c r="E90" s="269">
        <f t="shared" si="6"/>
        <v>0</v>
      </c>
      <c r="F90" s="271" cm="1">
        <f t="array" ref="F90">IF(A90&lt;&gt;"",IFERROR(INDEX('ONESheet 2.8'!AV:AV, MATCH(A90, 'ONESheet 2.8'!B:B, 0)+2),0),0)</f>
        <v>0</v>
      </c>
      <c r="G90" s="271">
        <v>0</v>
      </c>
      <c r="H90" s="271">
        <v>0</v>
      </c>
      <c r="I90" s="403" t="str">
        <f>'ONESheet 2.8'!BillingCountryCurrency</f>
        <v>USD</v>
      </c>
      <c r="J90" s="272">
        <f t="shared" si="7"/>
        <v>0</v>
      </c>
      <c r="K90" s="272">
        <f t="shared" si="8"/>
        <v>0</v>
      </c>
      <c r="L90" s="272">
        <f t="shared" si="9"/>
        <v>0</v>
      </c>
      <c r="M90" s="272">
        <f t="shared" si="10"/>
        <v>0</v>
      </c>
      <c r="N90" s="269"/>
      <c r="O90" s="267"/>
    </row>
    <row r="91" spans="1:15">
      <c r="A91" s="267"/>
      <c r="B91" s="267"/>
      <c r="C91" s="275">
        <v>0</v>
      </c>
      <c r="D91" s="269">
        <v>0</v>
      </c>
      <c r="E91" s="269">
        <f t="shared" si="6"/>
        <v>0</v>
      </c>
      <c r="F91" s="271" cm="1">
        <f t="array" ref="F91">IF(A91&lt;&gt;"",IFERROR(INDEX('ONESheet 2.8'!AV:AV, MATCH(A91, 'ONESheet 2.8'!B:B, 0)+2),0),0)</f>
        <v>0</v>
      </c>
      <c r="G91" s="271">
        <v>0</v>
      </c>
      <c r="H91" s="271">
        <v>0</v>
      </c>
      <c r="I91" s="403" t="str">
        <f>'ONESheet 2.8'!BillingCountryCurrency</f>
        <v>USD</v>
      </c>
      <c r="J91" s="272">
        <f t="shared" si="7"/>
        <v>0</v>
      </c>
      <c r="K91" s="272">
        <f t="shared" si="8"/>
        <v>0</v>
      </c>
      <c r="L91" s="272">
        <f t="shared" si="9"/>
        <v>0</v>
      </c>
      <c r="M91" s="272">
        <f t="shared" si="10"/>
        <v>0</v>
      </c>
      <c r="N91" s="269"/>
      <c r="O91" s="267"/>
    </row>
    <row r="92" spans="1:15">
      <c r="A92" s="267"/>
      <c r="B92" s="267"/>
      <c r="C92" s="275">
        <v>0</v>
      </c>
      <c r="D92" s="269">
        <v>0</v>
      </c>
      <c r="E92" s="269">
        <f t="shared" si="6"/>
        <v>0</v>
      </c>
      <c r="F92" s="271" cm="1">
        <f t="array" ref="F92">IF(A92&lt;&gt;"",IFERROR(INDEX('ONESheet 2.8'!AV:AV, MATCH(A92, 'ONESheet 2.8'!B:B, 0)+2),0),0)</f>
        <v>0</v>
      </c>
      <c r="G92" s="271">
        <v>0</v>
      </c>
      <c r="H92" s="271">
        <v>0</v>
      </c>
      <c r="I92" s="403" t="str">
        <f>'ONESheet 2.8'!BillingCountryCurrency</f>
        <v>USD</v>
      </c>
      <c r="J92" s="272">
        <f t="shared" si="7"/>
        <v>0</v>
      </c>
      <c r="K92" s="272">
        <f t="shared" si="8"/>
        <v>0</v>
      </c>
      <c r="L92" s="272">
        <f t="shared" si="9"/>
        <v>0</v>
      </c>
      <c r="M92" s="272">
        <f t="shared" si="10"/>
        <v>0</v>
      </c>
      <c r="N92" s="269"/>
      <c r="O92" s="267"/>
    </row>
    <row r="93" spans="1:15">
      <c r="A93" s="267"/>
      <c r="B93" s="267"/>
      <c r="C93" s="275">
        <v>0</v>
      </c>
      <c r="D93" s="269">
        <v>0</v>
      </c>
      <c r="E93" s="269">
        <f t="shared" si="6"/>
        <v>0</v>
      </c>
      <c r="F93" s="271" cm="1">
        <f t="array" ref="F93">IF(A93&lt;&gt;"",IFERROR(INDEX('ONESheet 2.8'!AV:AV, MATCH(A93, 'ONESheet 2.8'!B:B, 0)+2),0),0)</f>
        <v>0</v>
      </c>
      <c r="G93" s="271">
        <v>0</v>
      </c>
      <c r="H93" s="271">
        <v>0</v>
      </c>
      <c r="I93" s="403" t="str">
        <f>'ONESheet 2.8'!BillingCountryCurrency</f>
        <v>USD</v>
      </c>
      <c r="J93" s="272">
        <f t="shared" si="7"/>
        <v>0</v>
      </c>
      <c r="K93" s="272">
        <f t="shared" si="8"/>
        <v>0</v>
      </c>
      <c r="L93" s="272">
        <f t="shared" si="9"/>
        <v>0</v>
      </c>
      <c r="M93" s="272">
        <f t="shared" si="10"/>
        <v>0</v>
      </c>
      <c r="N93" s="269"/>
      <c r="O93" s="267"/>
    </row>
    <row r="94" spans="1:15">
      <c r="A94" s="267"/>
      <c r="B94" s="267"/>
      <c r="C94" s="275">
        <v>0</v>
      </c>
      <c r="D94" s="269">
        <v>0</v>
      </c>
      <c r="E94" s="269">
        <f t="shared" si="6"/>
        <v>0</v>
      </c>
      <c r="F94" s="271" cm="1">
        <f t="array" ref="F94">IF(A94&lt;&gt;"",IFERROR(INDEX('ONESheet 2.8'!AV:AV, MATCH(A94, 'ONESheet 2.8'!B:B, 0)+2),0),0)</f>
        <v>0</v>
      </c>
      <c r="G94" s="271">
        <v>0</v>
      </c>
      <c r="H94" s="271">
        <v>0</v>
      </c>
      <c r="I94" s="403" t="str">
        <f>'ONESheet 2.8'!BillingCountryCurrency</f>
        <v>USD</v>
      </c>
      <c r="J94" s="272">
        <f t="shared" si="7"/>
        <v>0</v>
      </c>
      <c r="K94" s="272">
        <f t="shared" si="8"/>
        <v>0</v>
      </c>
      <c r="L94" s="272">
        <f t="shared" si="9"/>
        <v>0</v>
      </c>
      <c r="M94" s="272">
        <f t="shared" si="10"/>
        <v>0</v>
      </c>
      <c r="N94" s="269"/>
      <c r="O94" s="267"/>
    </row>
    <row r="95" spans="1:15">
      <c r="A95" s="267"/>
      <c r="B95" s="267"/>
      <c r="C95" s="275">
        <v>0</v>
      </c>
      <c r="D95" s="269">
        <v>0</v>
      </c>
      <c r="E95" s="269">
        <f t="shared" si="6"/>
        <v>0</v>
      </c>
      <c r="F95" s="271" cm="1">
        <f t="array" ref="F95">IF(A95&lt;&gt;"",IFERROR(INDEX('ONESheet 2.8'!AV:AV, MATCH(A95, 'ONESheet 2.8'!B:B, 0)+2),0),0)</f>
        <v>0</v>
      </c>
      <c r="G95" s="271">
        <v>0</v>
      </c>
      <c r="H95" s="271">
        <v>0</v>
      </c>
      <c r="I95" s="403" t="str">
        <f>'ONESheet 2.8'!BillingCountryCurrency</f>
        <v>USD</v>
      </c>
      <c r="J95" s="272">
        <f t="shared" si="7"/>
        <v>0</v>
      </c>
      <c r="K95" s="272">
        <f t="shared" si="8"/>
        <v>0</v>
      </c>
      <c r="L95" s="272">
        <f t="shared" si="9"/>
        <v>0</v>
      </c>
      <c r="M95" s="272">
        <f t="shared" si="10"/>
        <v>0</v>
      </c>
      <c r="N95" s="269"/>
      <c r="O95" s="267"/>
    </row>
    <row r="96" spans="1:15">
      <c r="A96" s="267"/>
      <c r="B96" s="267"/>
      <c r="C96" s="275">
        <v>0</v>
      </c>
      <c r="D96" s="269">
        <v>0</v>
      </c>
      <c r="E96" s="269">
        <f t="shared" si="6"/>
        <v>0</v>
      </c>
      <c r="F96" s="271" cm="1">
        <f t="array" ref="F96">IF(A96&lt;&gt;"",IFERROR(INDEX('ONESheet 2.8'!AV:AV, MATCH(A96, 'ONESheet 2.8'!B:B, 0)+2),0),0)</f>
        <v>0</v>
      </c>
      <c r="G96" s="271">
        <v>0</v>
      </c>
      <c r="H96" s="271">
        <v>0</v>
      </c>
      <c r="I96" s="403" t="str">
        <f>'ONESheet 2.8'!BillingCountryCurrency</f>
        <v>USD</v>
      </c>
      <c r="J96" s="272">
        <f t="shared" si="7"/>
        <v>0</v>
      </c>
      <c r="K96" s="272">
        <f t="shared" si="8"/>
        <v>0</v>
      </c>
      <c r="L96" s="272">
        <f t="shared" si="9"/>
        <v>0</v>
      </c>
      <c r="M96" s="272">
        <f t="shared" si="10"/>
        <v>0</v>
      </c>
      <c r="N96" s="269"/>
      <c r="O96" s="267"/>
    </row>
    <row r="97" spans="1:15">
      <c r="A97" s="267"/>
      <c r="B97" s="267"/>
      <c r="C97" s="275">
        <v>0</v>
      </c>
      <c r="D97" s="269">
        <v>0</v>
      </c>
      <c r="E97" s="269">
        <f t="shared" si="6"/>
        <v>0</v>
      </c>
      <c r="F97" s="271" cm="1">
        <f t="array" ref="F97">IF(A97&lt;&gt;"",IFERROR(INDEX('ONESheet 2.8'!AV:AV, MATCH(A97, 'ONESheet 2.8'!B:B, 0)+2),0),0)</f>
        <v>0</v>
      </c>
      <c r="G97" s="271">
        <v>0</v>
      </c>
      <c r="H97" s="271">
        <v>0</v>
      </c>
      <c r="I97" s="403" t="str">
        <f>'ONESheet 2.8'!BillingCountryCurrency</f>
        <v>USD</v>
      </c>
      <c r="J97" s="272">
        <f t="shared" si="7"/>
        <v>0</v>
      </c>
      <c r="K97" s="272">
        <f t="shared" si="8"/>
        <v>0</v>
      </c>
      <c r="L97" s="272">
        <f t="shared" si="9"/>
        <v>0</v>
      </c>
      <c r="M97" s="272">
        <f t="shared" si="10"/>
        <v>0</v>
      </c>
      <c r="N97" s="269"/>
      <c r="O97" s="267"/>
    </row>
    <row r="98" spans="1:15">
      <c r="A98" s="267"/>
      <c r="B98" s="267"/>
      <c r="C98" s="275">
        <v>0</v>
      </c>
      <c r="D98" s="269">
        <v>0</v>
      </c>
      <c r="E98" s="269">
        <f t="shared" ref="E98:E129" si="11">D98*(1+C98)</f>
        <v>0</v>
      </c>
      <c r="F98" s="271" cm="1">
        <f t="array" ref="F98">IF(A98&lt;&gt;"",IFERROR(INDEX('ONESheet 2.8'!AV:AV, MATCH(A98, 'ONESheet 2.8'!B:B, 0)+2),0),0)</f>
        <v>0</v>
      </c>
      <c r="G98" s="271">
        <v>0</v>
      </c>
      <c r="H98" s="271">
        <v>0</v>
      </c>
      <c r="I98" s="403" t="str">
        <f>'ONESheet 2.8'!BillingCountryCurrency</f>
        <v>USD</v>
      </c>
      <c r="J98" s="272">
        <f t="shared" si="7"/>
        <v>0</v>
      </c>
      <c r="K98" s="272">
        <f t="shared" si="8"/>
        <v>0</v>
      </c>
      <c r="L98" s="272">
        <f t="shared" si="9"/>
        <v>0</v>
      </c>
      <c r="M98" s="272">
        <f t="shared" si="10"/>
        <v>0</v>
      </c>
      <c r="N98" s="269"/>
      <c r="O98" s="267"/>
    </row>
    <row r="99" spans="1:15">
      <c r="A99" s="267"/>
      <c r="B99" s="267"/>
      <c r="C99" s="275">
        <v>0</v>
      </c>
      <c r="D99" s="269">
        <v>0</v>
      </c>
      <c r="E99" s="269">
        <f t="shared" si="11"/>
        <v>0</v>
      </c>
      <c r="F99" s="271" cm="1">
        <f t="array" ref="F99">IF(A99&lt;&gt;"",IFERROR(INDEX('ONESheet 2.8'!AV:AV, MATCH(A99, 'ONESheet 2.8'!B:B, 0)+2),0),0)</f>
        <v>0</v>
      </c>
      <c r="G99" s="271">
        <v>0</v>
      </c>
      <c r="H99" s="271">
        <v>0</v>
      </c>
      <c r="I99" s="403" t="str">
        <f>'ONESheet 2.8'!BillingCountryCurrency</f>
        <v>USD</v>
      </c>
      <c r="J99" s="272">
        <f t="shared" si="7"/>
        <v>0</v>
      </c>
      <c r="K99" s="272">
        <f t="shared" si="8"/>
        <v>0</v>
      </c>
      <c r="L99" s="272">
        <f t="shared" si="9"/>
        <v>0</v>
      </c>
      <c r="M99" s="272">
        <f t="shared" si="10"/>
        <v>0</v>
      </c>
      <c r="N99" s="269"/>
      <c r="O99" s="267"/>
    </row>
    <row r="100" spans="1:15">
      <c r="A100" s="267"/>
      <c r="B100" s="267"/>
      <c r="C100" s="275">
        <v>0</v>
      </c>
      <c r="D100" s="269">
        <v>0</v>
      </c>
      <c r="E100" s="269">
        <f t="shared" si="11"/>
        <v>0</v>
      </c>
      <c r="F100" s="271" cm="1">
        <f t="array" ref="F100">IF(A100&lt;&gt;"",IFERROR(INDEX('ONESheet 2.8'!AV:AV, MATCH(A100, 'ONESheet 2.8'!B:B, 0)+2),0),0)</f>
        <v>0</v>
      </c>
      <c r="G100" s="271">
        <v>0</v>
      </c>
      <c r="H100" s="271">
        <v>0</v>
      </c>
      <c r="I100" s="403" t="str">
        <f>'ONESheet 2.8'!BillingCountryCurrency</f>
        <v>USD</v>
      </c>
      <c r="J100" s="272">
        <f t="shared" si="7"/>
        <v>0</v>
      </c>
      <c r="K100" s="272">
        <f t="shared" si="8"/>
        <v>0</v>
      </c>
      <c r="L100" s="272">
        <f t="shared" si="9"/>
        <v>0</v>
      </c>
      <c r="M100" s="272">
        <f t="shared" si="10"/>
        <v>0</v>
      </c>
      <c r="N100" s="269"/>
      <c r="O100" s="267"/>
    </row>
    <row r="101" spans="1:15">
      <c r="A101" s="267"/>
      <c r="B101" s="267"/>
      <c r="C101" s="275">
        <v>0</v>
      </c>
      <c r="D101" s="269">
        <v>0</v>
      </c>
      <c r="E101" s="269">
        <f t="shared" si="11"/>
        <v>0</v>
      </c>
      <c r="F101" s="271" cm="1">
        <f t="array" ref="F101">IF(A101&lt;&gt;"",IFERROR(INDEX('ONESheet 2.8'!AV:AV, MATCH(A101, 'ONESheet 2.8'!B:B, 0)+2),0),0)</f>
        <v>0</v>
      </c>
      <c r="G101" s="271">
        <v>0</v>
      </c>
      <c r="H101" s="271">
        <v>0</v>
      </c>
      <c r="I101" s="403" t="str">
        <f>'ONESheet 2.8'!BillingCountryCurrency</f>
        <v>USD</v>
      </c>
      <c r="J101" s="272">
        <f t="shared" si="7"/>
        <v>0</v>
      </c>
      <c r="K101" s="272">
        <f t="shared" si="8"/>
        <v>0</v>
      </c>
      <c r="L101" s="272">
        <f t="shared" si="9"/>
        <v>0</v>
      </c>
      <c r="M101" s="272">
        <f t="shared" si="10"/>
        <v>0</v>
      </c>
      <c r="N101" s="269"/>
      <c r="O101" s="267"/>
    </row>
    <row r="102" spans="1:15">
      <c r="A102" s="267"/>
      <c r="B102" s="267"/>
      <c r="C102" s="275">
        <v>0</v>
      </c>
      <c r="D102" s="269">
        <v>0</v>
      </c>
      <c r="E102" s="269">
        <f t="shared" si="11"/>
        <v>0</v>
      </c>
      <c r="F102" s="271" cm="1">
        <f t="array" ref="F102">IF(A102&lt;&gt;"",IFERROR(INDEX('ONESheet 2.8'!AV:AV, MATCH(A102, 'ONESheet 2.8'!B:B, 0)+2),0),0)</f>
        <v>0</v>
      </c>
      <c r="G102" s="271">
        <v>0</v>
      </c>
      <c r="H102" s="271">
        <v>0</v>
      </c>
      <c r="I102" s="403" t="str">
        <f>'ONESheet 2.8'!BillingCountryCurrency</f>
        <v>USD</v>
      </c>
      <c r="J102" s="272">
        <f t="shared" si="7"/>
        <v>0</v>
      </c>
      <c r="K102" s="272">
        <f t="shared" si="8"/>
        <v>0</v>
      </c>
      <c r="L102" s="272">
        <f t="shared" si="9"/>
        <v>0</v>
      </c>
      <c r="M102" s="272">
        <f t="shared" si="10"/>
        <v>0</v>
      </c>
      <c r="N102" s="269"/>
      <c r="O102" s="267"/>
    </row>
    <row r="103" spans="1:15">
      <c r="A103" s="267"/>
      <c r="B103" s="267"/>
      <c r="C103" s="275">
        <v>0</v>
      </c>
      <c r="D103" s="269">
        <v>0</v>
      </c>
      <c r="E103" s="269">
        <f t="shared" si="11"/>
        <v>0</v>
      </c>
      <c r="F103" s="271" cm="1">
        <f t="array" ref="F103">IF(A103&lt;&gt;"",IFERROR(INDEX('ONESheet 2.8'!AV:AV, MATCH(A103, 'ONESheet 2.8'!B:B, 0)+2),0),0)</f>
        <v>0</v>
      </c>
      <c r="G103" s="271">
        <v>0</v>
      </c>
      <c r="H103" s="271">
        <v>0</v>
      </c>
      <c r="I103" s="403" t="str">
        <f>'ONESheet 2.8'!BillingCountryCurrency</f>
        <v>USD</v>
      </c>
      <c r="J103" s="272">
        <f t="shared" si="7"/>
        <v>0</v>
      </c>
      <c r="K103" s="272">
        <f t="shared" si="8"/>
        <v>0</v>
      </c>
      <c r="L103" s="272">
        <f t="shared" si="9"/>
        <v>0</v>
      </c>
      <c r="M103" s="272">
        <f t="shared" si="10"/>
        <v>0</v>
      </c>
      <c r="N103" s="269"/>
      <c r="O103" s="267"/>
    </row>
    <row r="104" spans="1:15">
      <c r="A104" s="267"/>
      <c r="B104" s="267"/>
      <c r="C104" s="275">
        <v>0</v>
      </c>
      <c r="D104" s="269">
        <v>0</v>
      </c>
      <c r="E104" s="269">
        <f t="shared" si="11"/>
        <v>0</v>
      </c>
      <c r="F104" s="271" cm="1">
        <f t="array" ref="F104">IF(A104&lt;&gt;"",IFERROR(INDEX('ONESheet 2.8'!AV:AV, MATCH(A104, 'ONESheet 2.8'!B:B, 0)+2),0),0)</f>
        <v>0</v>
      </c>
      <c r="G104" s="271">
        <v>0</v>
      </c>
      <c r="H104" s="271">
        <v>0</v>
      </c>
      <c r="I104" s="403" t="str">
        <f>'ONESheet 2.8'!BillingCountryCurrency</f>
        <v>USD</v>
      </c>
      <c r="J104" s="272">
        <f t="shared" si="7"/>
        <v>0</v>
      </c>
      <c r="K104" s="272">
        <f t="shared" si="8"/>
        <v>0</v>
      </c>
      <c r="L104" s="272">
        <f t="shared" si="9"/>
        <v>0</v>
      </c>
      <c r="M104" s="272">
        <f t="shared" si="10"/>
        <v>0</v>
      </c>
      <c r="N104" s="269"/>
      <c r="O104" s="267"/>
    </row>
    <row r="105" spans="1:15">
      <c r="A105" s="267"/>
      <c r="B105" s="267"/>
      <c r="C105" s="275">
        <v>0</v>
      </c>
      <c r="D105" s="269">
        <v>0</v>
      </c>
      <c r="E105" s="269">
        <f t="shared" si="11"/>
        <v>0</v>
      </c>
      <c r="F105" s="271" cm="1">
        <f t="array" ref="F105">IF(A105&lt;&gt;"",IFERROR(INDEX('ONESheet 2.8'!AV:AV, MATCH(A105, 'ONESheet 2.8'!B:B, 0)+2),0),0)</f>
        <v>0</v>
      </c>
      <c r="G105" s="271">
        <v>0</v>
      </c>
      <c r="H105" s="271">
        <v>0</v>
      </c>
      <c r="I105" s="403" t="str">
        <f>'ONESheet 2.8'!BillingCountryCurrency</f>
        <v>USD</v>
      </c>
      <c r="J105" s="272">
        <f t="shared" si="7"/>
        <v>0</v>
      </c>
      <c r="K105" s="272">
        <f t="shared" si="8"/>
        <v>0</v>
      </c>
      <c r="L105" s="272">
        <f t="shared" si="9"/>
        <v>0</v>
      </c>
      <c r="M105" s="272">
        <f t="shared" si="10"/>
        <v>0</v>
      </c>
      <c r="N105" s="269"/>
      <c r="O105" s="267"/>
    </row>
    <row r="106" spans="1:15">
      <c r="A106" s="267"/>
      <c r="B106" s="267"/>
      <c r="C106" s="275">
        <v>0</v>
      </c>
      <c r="D106" s="269">
        <v>0</v>
      </c>
      <c r="E106" s="269">
        <f t="shared" si="11"/>
        <v>0</v>
      </c>
      <c r="F106" s="271" cm="1">
        <f t="array" ref="F106">IF(A106&lt;&gt;"",IFERROR(INDEX('ONESheet 2.8'!AV:AV, MATCH(A106, 'ONESheet 2.8'!B:B, 0)+2),0),0)</f>
        <v>0</v>
      </c>
      <c r="G106" s="271">
        <v>0</v>
      </c>
      <c r="H106" s="271">
        <v>0</v>
      </c>
      <c r="I106" s="403" t="str">
        <f>'ONESheet 2.8'!BillingCountryCurrency</f>
        <v>USD</v>
      </c>
      <c r="J106" s="272">
        <f t="shared" si="7"/>
        <v>0</v>
      </c>
      <c r="K106" s="272">
        <f t="shared" si="8"/>
        <v>0</v>
      </c>
      <c r="L106" s="272">
        <f t="shared" si="9"/>
        <v>0</v>
      </c>
      <c r="M106" s="272">
        <f t="shared" si="10"/>
        <v>0</v>
      </c>
      <c r="N106" s="269"/>
      <c r="O106" s="267"/>
    </row>
    <row r="107" spans="1:15">
      <c r="A107" s="267"/>
      <c r="B107" s="267"/>
      <c r="C107" s="275">
        <v>0</v>
      </c>
      <c r="D107" s="269">
        <v>0</v>
      </c>
      <c r="E107" s="269">
        <f t="shared" si="11"/>
        <v>0</v>
      </c>
      <c r="F107" s="271" cm="1">
        <f t="array" ref="F107">IF(A107&lt;&gt;"",IFERROR(INDEX('ONESheet 2.8'!AV:AV, MATCH(A107, 'ONESheet 2.8'!B:B, 0)+2),0),0)</f>
        <v>0</v>
      </c>
      <c r="G107" s="271">
        <v>0</v>
      </c>
      <c r="H107" s="271">
        <v>0</v>
      </c>
      <c r="I107" s="403" t="str">
        <f>'ONESheet 2.8'!BillingCountryCurrency</f>
        <v>USD</v>
      </c>
      <c r="J107" s="272">
        <f t="shared" si="7"/>
        <v>0</v>
      </c>
      <c r="K107" s="272">
        <f t="shared" si="8"/>
        <v>0</v>
      </c>
      <c r="L107" s="272">
        <f t="shared" si="9"/>
        <v>0</v>
      </c>
      <c r="M107" s="272">
        <f t="shared" si="10"/>
        <v>0</v>
      </c>
      <c r="N107" s="269"/>
      <c r="O107" s="267"/>
    </row>
    <row r="108" spans="1:15">
      <c r="A108" s="267"/>
      <c r="B108" s="267"/>
      <c r="C108" s="275">
        <v>0</v>
      </c>
      <c r="D108" s="269">
        <v>0</v>
      </c>
      <c r="E108" s="269">
        <f t="shared" si="11"/>
        <v>0</v>
      </c>
      <c r="F108" s="271" cm="1">
        <f t="array" ref="F108">IF(A108&lt;&gt;"",IFERROR(INDEX('ONESheet 2.8'!AV:AV, MATCH(A108, 'ONESheet 2.8'!B:B, 0)+2),0),0)</f>
        <v>0</v>
      </c>
      <c r="G108" s="271">
        <v>0</v>
      </c>
      <c r="H108" s="271">
        <v>0</v>
      </c>
      <c r="I108" s="403" t="str">
        <f>'ONESheet 2.8'!BillingCountryCurrency</f>
        <v>USD</v>
      </c>
      <c r="J108" s="272">
        <f t="shared" si="7"/>
        <v>0</v>
      </c>
      <c r="K108" s="272">
        <f t="shared" si="8"/>
        <v>0</v>
      </c>
      <c r="L108" s="272">
        <f t="shared" si="9"/>
        <v>0</v>
      </c>
      <c r="M108" s="272">
        <f t="shared" si="10"/>
        <v>0</v>
      </c>
      <c r="N108" s="269"/>
      <c r="O108" s="267"/>
    </row>
    <row r="109" spans="1:15">
      <c r="A109" s="267"/>
      <c r="B109" s="267"/>
      <c r="C109" s="275">
        <v>0</v>
      </c>
      <c r="D109" s="269">
        <v>0</v>
      </c>
      <c r="E109" s="269">
        <f t="shared" si="11"/>
        <v>0</v>
      </c>
      <c r="F109" s="271" cm="1">
        <f t="array" ref="F109">IF(A109&lt;&gt;"",IFERROR(INDEX('ONESheet 2.8'!AV:AV, MATCH(A109, 'ONESheet 2.8'!B:B, 0)+2),0),0)</f>
        <v>0</v>
      </c>
      <c r="G109" s="271">
        <v>0</v>
      </c>
      <c r="H109" s="271">
        <v>0</v>
      </c>
      <c r="I109" s="403" t="str">
        <f>'ONESheet 2.8'!BillingCountryCurrency</f>
        <v>USD</v>
      </c>
      <c r="J109" s="272">
        <f t="shared" si="7"/>
        <v>0</v>
      </c>
      <c r="K109" s="272">
        <f t="shared" si="8"/>
        <v>0</v>
      </c>
      <c r="L109" s="272">
        <f t="shared" si="9"/>
        <v>0</v>
      </c>
      <c r="M109" s="272">
        <f t="shared" si="10"/>
        <v>0</v>
      </c>
      <c r="N109" s="269"/>
      <c r="O109" s="267"/>
    </row>
    <row r="110" spans="1:15">
      <c r="A110" s="267"/>
      <c r="B110" s="267"/>
      <c r="C110" s="275">
        <v>0</v>
      </c>
      <c r="D110" s="269">
        <v>0</v>
      </c>
      <c r="E110" s="269">
        <f t="shared" si="11"/>
        <v>0</v>
      </c>
      <c r="F110" s="271" cm="1">
        <f t="array" ref="F110">IF(A110&lt;&gt;"",IFERROR(INDEX('ONESheet 2.8'!AV:AV, MATCH(A110, 'ONESheet 2.8'!B:B, 0)+2),0),0)</f>
        <v>0</v>
      </c>
      <c r="G110" s="271">
        <v>0</v>
      </c>
      <c r="H110" s="271">
        <v>0</v>
      </c>
      <c r="I110" s="403" t="str">
        <f>'ONESheet 2.8'!BillingCountryCurrency</f>
        <v>USD</v>
      </c>
      <c r="J110" s="272">
        <f t="shared" si="7"/>
        <v>0</v>
      </c>
      <c r="K110" s="272">
        <f t="shared" si="8"/>
        <v>0</v>
      </c>
      <c r="L110" s="272">
        <f t="shared" si="9"/>
        <v>0</v>
      </c>
      <c r="M110" s="272">
        <f t="shared" si="10"/>
        <v>0</v>
      </c>
      <c r="N110" s="269"/>
      <c r="O110" s="267"/>
    </row>
    <row r="111" spans="1:15">
      <c r="A111" s="267"/>
      <c r="B111" s="267"/>
      <c r="C111" s="275">
        <v>0</v>
      </c>
      <c r="D111" s="269">
        <v>0</v>
      </c>
      <c r="E111" s="269">
        <f t="shared" si="11"/>
        <v>0</v>
      </c>
      <c r="F111" s="271" cm="1">
        <f t="array" ref="F111">IF(A111&lt;&gt;"",IFERROR(INDEX('ONESheet 2.8'!AV:AV, MATCH(A111, 'ONESheet 2.8'!B:B, 0)+2),0),0)</f>
        <v>0</v>
      </c>
      <c r="G111" s="271">
        <v>0</v>
      </c>
      <c r="H111" s="271">
        <v>0</v>
      </c>
      <c r="I111" s="403" t="str">
        <f>'ONESheet 2.8'!BillingCountryCurrency</f>
        <v>USD</v>
      </c>
      <c r="J111" s="272">
        <f t="shared" si="7"/>
        <v>0</v>
      </c>
      <c r="K111" s="272">
        <f t="shared" si="8"/>
        <v>0</v>
      </c>
      <c r="L111" s="272">
        <f t="shared" si="9"/>
        <v>0</v>
      </c>
      <c r="M111" s="272">
        <f t="shared" si="10"/>
        <v>0</v>
      </c>
      <c r="N111" s="269"/>
      <c r="O111" s="267"/>
    </row>
    <row r="112" spans="1:15">
      <c r="A112" s="267"/>
      <c r="B112" s="267"/>
      <c r="C112" s="275">
        <v>0</v>
      </c>
      <c r="D112" s="269">
        <v>0</v>
      </c>
      <c r="E112" s="269">
        <f t="shared" si="11"/>
        <v>0</v>
      </c>
      <c r="F112" s="271" cm="1">
        <f t="array" ref="F112">IF(A112&lt;&gt;"",IFERROR(INDEX('ONESheet 2.8'!AV:AV, MATCH(A112, 'ONESheet 2.8'!B:B, 0)+2),0),0)</f>
        <v>0</v>
      </c>
      <c r="G112" s="271">
        <v>0</v>
      </c>
      <c r="H112" s="271">
        <v>0</v>
      </c>
      <c r="I112" s="403" t="str">
        <f>'ONESheet 2.8'!BillingCountryCurrency</f>
        <v>USD</v>
      </c>
      <c r="J112" s="272">
        <f t="shared" si="7"/>
        <v>0</v>
      </c>
      <c r="K112" s="272">
        <f t="shared" si="8"/>
        <v>0</v>
      </c>
      <c r="L112" s="272">
        <f t="shared" si="9"/>
        <v>0</v>
      </c>
      <c r="M112" s="272">
        <f t="shared" si="10"/>
        <v>0</v>
      </c>
      <c r="N112" s="269"/>
      <c r="O112" s="267"/>
    </row>
    <row r="113" spans="1:15">
      <c r="A113" s="267"/>
      <c r="B113" s="267"/>
      <c r="C113" s="275">
        <v>0</v>
      </c>
      <c r="D113" s="269">
        <v>0</v>
      </c>
      <c r="E113" s="269">
        <f t="shared" si="11"/>
        <v>0</v>
      </c>
      <c r="F113" s="271" cm="1">
        <f t="array" ref="F113">IF(A113&lt;&gt;"",IFERROR(INDEX('ONESheet 2.8'!AV:AV, MATCH(A113, 'ONESheet 2.8'!B:B, 0)+2),0),0)</f>
        <v>0</v>
      </c>
      <c r="G113" s="271">
        <v>0</v>
      </c>
      <c r="H113" s="271">
        <v>0</v>
      </c>
      <c r="I113" s="403" t="str">
        <f>'ONESheet 2.8'!BillingCountryCurrency</f>
        <v>USD</v>
      </c>
      <c r="J113" s="272">
        <f t="shared" si="7"/>
        <v>0</v>
      </c>
      <c r="K113" s="272">
        <f t="shared" si="8"/>
        <v>0</v>
      </c>
      <c r="L113" s="272">
        <f t="shared" si="9"/>
        <v>0</v>
      </c>
      <c r="M113" s="272">
        <f t="shared" si="10"/>
        <v>0</v>
      </c>
      <c r="N113" s="269"/>
      <c r="O113" s="267"/>
    </row>
    <row r="114" spans="1:15">
      <c r="A114" s="267"/>
      <c r="B114" s="267"/>
      <c r="C114" s="275">
        <v>0</v>
      </c>
      <c r="D114" s="269">
        <v>0</v>
      </c>
      <c r="E114" s="269">
        <f t="shared" si="11"/>
        <v>0</v>
      </c>
      <c r="F114" s="271" cm="1">
        <f t="array" ref="F114">IF(A114&lt;&gt;"",IFERROR(INDEX('ONESheet 2.8'!AV:AV, MATCH(A114, 'ONESheet 2.8'!B:B, 0)+2),0),0)</f>
        <v>0</v>
      </c>
      <c r="G114" s="271">
        <v>0</v>
      </c>
      <c r="H114" s="271">
        <v>0</v>
      </c>
      <c r="I114" s="403" t="str">
        <f>'ONESheet 2.8'!BillingCountryCurrency</f>
        <v>USD</v>
      </c>
      <c r="J114" s="272">
        <f t="shared" si="7"/>
        <v>0</v>
      </c>
      <c r="K114" s="272">
        <f t="shared" si="8"/>
        <v>0</v>
      </c>
      <c r="L114" s="272">
        <f t="shared" si="9"/>
        <v>0</v>
      </c>
      <c r="M114" s="272">
        <f t="shared" si="10"/>
        <v>0</v>
      </c>
      <c r="N114" s="269"/>
      <c r="O114" s="267"/>
    </row>
    <row r="115" spans="1:15">
      <c r="A115" s="267"/>
      <c r="B115" s="267"/>
      <c r="C115" s="275">
        <v>0</v>
      </c>
      <c r="D115" s="269">
        <v>0</v>
      </c>
      <c r="E115" s="269">
        <f t="shared" si="11"/>
        <v>0</v>
      </c>
      <c r="F115" s="271" cm="1">
        <f t="array" ref="F115">IF(A115&lt;&gt;"",IFERROR(INDEX('ONESheet 2.8'!AV:AV, MATCH(A115, 'ONESheet 2.8'!B:B, 0)+2),0),0)</f>
        <v>0</v>
      </c>
      <c r="G115" s="271">
        <v>0</v>
      </c>
      <c r="H115" s="271">
        <v>0</v>
      </c>
      <c r="I115" s="403" t="str">
        <f>'ONESheet 2.8'!BillingCountryCurrency</f>
        <v>USD</v>
      </c>
      <c r="J115" s="272">
        <f t="shared" si="7"/>
        <v>0</v>
      </c>
      <c r="K115" s="272">
        <f t="shared" si="8"/>
        <v>0</v>
      </c>
      <c r="L115" s="272">
        <f t="shared" si="9"/>
        <v>0</v>
      </c>
      <c r="M115" s="272">
        <f t="shared" si="10"/>
        <v>0</v>
      </c>
      <c r="N115" s="269"/>
      <c r="O115" s="267"/>
    </row>
    <row r="116" spans="1:15">
      <c r="A116" s="267"/>
      <c r="B116" s="267"/>
      <c r="C116" s="275">
        <v>0</v>
      </c>
      <c r="D116" s="269">
        <v>0</v>
      </c>
      <c r="E116" s="269">
        <f t="shared" si="11"/>
        <v>0</v>
      </c>
      <c r="F116" s="271" cm="1">
        <f t="array" ref="F116">IF(A116&lt;&gt;"",IFERROR(INDEX('ONESheet 2.8'!AV:AV, MATCH(A116, 'ONESheet 2.8'!B:B, 0)+2),0),0)</f>
        <v>0</v>
      </c>
      <c r="G116" s="271">
        <v>0</v>
      </c>
      <c r="H116" s="271">
        <v>0</v>
      </c>
      <c r="I116" s="403" t="str">
        <f>'ONESheet 2.8'!BillingCountryCurrency</f>
        <v>USD</v>
      </c>
      <c r="J116" s="272">
        <f t="shared" si="7"/>
        <v>0</v>
      </c>
      <c r="K116" s="272">
        <f t="shared" si="8"/>
        <v>0</v>
      </c>
      <c r="L116" s="272">
        <f t="shared" si="9"/>
        <v>0</v>
      </c>
      <c r="M116" s="272">
        <f t="shared" si="10"/>
        <v>0</v>
      </c>
      <c r="N116" s="269"/>
      <c r="O116" s="267"/>
    </row>
    <row r="117" spans="1:15">
      <c r="A117" s="267"/>
      <c r="B117" s="267"/>
      <c r="C117" s="275">
        <v>0</v>
      </c>
      <c r="D117" s="269">
        <v>0</v>
      </c>
      <c r="E117" s="269">
        <f t="shared" si="11"/>
        <v>0</v>
      </c>
      <c r="F117" s="271" cm="1">
        <f t="array" ref="F117">IF(A117&lt;&gt;"",IFERROR(INDEX('ONESheet 2.8'!AV:AV, MATCH(A117, 'ONESheet 2.8'!B:B, 0)+2),0),0)</f>
        <v>0</v>
      </c>
      <c r="G117" s="271">
        <v>0</v>
      </c>
      <c r="H117" s="271">
        <v>0</v>
      </c>
      <c r="I117" s="403" t="str">
        <f>'ONESheet 2.8'!BillingCountryCurrency</f>
        <v>USD</v>
      </c>
      <c r="J117" s="272">
        <f t="shared" si="7"/>
        <v>0</v>
      </c>
      <c r="K117" s="272">
        <f t="shared" si="8"/>
        <v>0</v>
      </c>
      <c r="L117" s="272">
        <f t="shared" si="9"/>
        <v>0</v>
      </c>
      <c r="M117" s="272">
        <f t="shared" si="10"/>
        <v>0</v>
      </c>
      <c r="N117" s="269"/>
      <c r="O117" s="267"/>
    </row>
    <row r="118" spans="1:15">
      <c r="A118" s="267"/>
      <c r="B118" s="267"/>
      <c r="C118" s="275">
        <v>0</v>
      </c>
      <c r="D118" s="269">
        <v>0</v>
      </c>
      <c r="E118" s="269">
        <f t="shared" si="11"/>
        <v>0</v>
      </c>
      <c r="F118" s="271" cm="1">
        <f t="array" ref="F118">IF(A118&lt;&gt;"",IFERROR(INDEX('ONESheet 2.8'!AV:AV, MATCH(A118, 'ONESheet 2.8'!B:B, 0)+2),0),0)</f>
        <v>0</v>
      </c>
      <c r="G118" s="271">
        <v>0</v>
      </c>
      <c r="H118" s="271">
        <v>0</v>
      </c>
      <c r="I118" s="403" t="str">
        <f>'ONESheet 2.8'!BillingCountryCurrency</f>
        <v>USD</v>
      </c>
      <c r="J118" s="272">
        <f t="shared" si="7"/>
        <v>0</v>
      </c>
      <c r="K118" s="272">
        <f t="shared" si="8"/>
        <v>0</v>
      </c>
      <c r="L118" s="272">
        <f t="shared" si="9"/>
        <v>0</v>
      </c>
      <c r="M118" s="272">
        <f t="shared" si="10"/>
        <v>0</v>
      </c>
      <c r="N118" s="269"/>
      <c r="O118" s="267"/>
    </row>
    <row r="119" spans="1:15">
      <c r="A119" s="267"/>
      <c r="B119" s="267"/>
      <c r="C119" s="275">
        <v>0</v>
      </c>
      <c r="D119" s="269">
        <v>0</v>
      </c>
      <c r="E119" s="269">
        <f t="shared" si="11"/>
        <v>0</v>
      </c>
      <c r="F119" s="271" cm="1">
        <f t="array" ref="F119">IF(A119&lt;&gt;"",IFERROR(INDEX('ONESheet 2.8'!AV:AV, MATCH(A119, 'ONESheet 2.8'!B:B, 0)+2),0),0)</f>
        <v>0</v>
      </c>
      <c r="G119" s="271">
        <v>0</v>
      </c>
      <c r="H119" s="271">
        <v>0</v>
      </c>
      <c r="I119" s="403" t="str">
        <f>'ONESheet 2.8'!BillingCountryCurrency</f>
        <v>USD</v>
      </c>
      <c r="J119" s="272">
        <f t="shared" si="7"/>
        <v>0</v>
      </c>
      <c r="K119" s="272">
        <f t="shared" si="8"/>
        <v>0</v>
      </c>
      <c r="L119" s="272">
        <f t="shared" si="9"/>
        <v>0</v>
      </c>
      <c r="M119" s="272">
        <f t="shared" si="10"/>
        <v>0</v>
      </c>
      <c r="N119" s="269"/>
      <c r="O119" s="267"/>
    </row>
    <row r="120" spans="1:15">
      <c r="A120" s="267"/>
      <c r="B120" s="267"/>
      <c r="C120" s="275">
        <v>0</v>
      </c>
      <c r="D120" s="269">
        <v>0</v>
      </c>
      <c r="E120" s="269">
        <f t="shared" si="11"/>
        <v>0</v>
      </c>
      <c r="F120" s="271" cm="1">
        <f t="array" ref="F120">IF(A120&lt;&gt;"",IFERROR(INDEX('ONESheet 2.8'!AV:AV, MATCH(A120, 'ONESheet 2.8'!B:B, 0)+2),0),0)</f>
        <v>0</v>
      </c>
      <c r="G120" s="271">
        <v>0</v>
      </c>
      <c r="H120" s="271">
        <v>0</v>
      </c>
      <c r="I120" s="403" t="str">
        <f>'ONESheet 2.8'!BillingCountryCurrency</f>
        <v>USD</v>
      </c>
      <c r="J120" s="272">
        <f t="shared" si="7"/>
        <v>0</v>
      </c>
      <c r="K120" s="272">
        <f t="shared" si="8"/>
        <v>0</v>
      </c>
      <c r="L120" s="272">
        <f t="shared" si="9"/>
        <v>0</v>
      </c>
      <c r="M120" s="272">
        <f t="shared" si="10"/>
        <v>0</v>
      </c>
      <c r="N120" s="269"/>
      <c r="O120" s="267"/>
    </row>
    <row r="121" spans="1:15">
      <c r="A121" s="267"/>
      <c r="B121" s="267"/>
      <c r="C121" s="275">
        <v>0</v>
      </c>
      <c r="D121" s="269">
        <v>0</v>
      </c>
      <c r="E121" s="269">
        <f t="shared" si="11"/>
        <v>0</v>
      </c>
      <c r="F121" s="271" cm="1">
        <f t="array" ref="F121">IF(A121&lt;&gt;"",IFERROR(INDEX('ONESheet 2.8'!AV:AV, MATCH(A121, 'ONESheet 2.8'!B:B, 0)+2),0),0)</f>
        <v>0</v>
      </c>
      <c r="G121" s="271">
        <v>0</v>
      </c>
      <c r="H121" s="271">
        <v>0</v>
      </c>
      <c r="I121" s="403" t="str">
        <f>'ONESheet 2.8'!BillingCountryCurrency</f>
        <v>USD</v>
      </c>
      <c r="J121" s="272">
        <f t="shared" si="7"/>
        <v>0</v>
      </c>
      <c r="K121" s="272">
        <f t="shared" si="8"/>
        <v>0</v>
      </c>
      <c r="L121" s="272">
        <f t="shared" si="9"/>
        <v>0</v>
      </c>
      <c r="M121" s="272">
        <f t="shared" si="10"/>
        <v>0</v>
      </c>
      <c r="N121" s="269"/>
      <c r="O121" s="267"/>
    </row>
    <row r="122" spans="1:15">
      <c r="A122" s="267"/>
      <c r="B122" s="267"/>
      <c r="C122" s="275">
        <v>0</v>
      </c>
      <c r="D122" s="269">
        <v>0</v>
      </c>
      <c r="E122" s="269">
        <f t="shared" si="11"/>
        <v>0</v>
      </c>
      <c r="F122" s="271" cm="1">
        <f t="array" ref="F122">IF(A122&lt;&gt;"",IFERROR(INDEX('ONESheet 2.8'!AV:AV, MATCH(A122, 'ONESheet 2.8'!B:B, 0)+2),0),0)</f>
        <v>0</v>
      </c>
      <c r="G122" s="271">
        <v>0</v>
      </c>
      <c r="H122" s="271">
        <v>0</v>
      </c>
      <c r="I122" s="403" t="str">
        <f>'ONESheet 2.8'!BillingCountryCurrency</f>
        <v>USD</v>
      </c>
      <c r="J122" s="272">
        <f t="shared" si="7"/>
        <v>0</v>
      </c>
      <c r="K122" s="272">
        <f t="shared" si="8"/>
        <v>0</v>
      </c>
      <c r="L122" s="272">
        <f t="shared" si="9"/>
        <v>0</v>
      </c>
      <c r="M122" s="272">
        <f t="shared" si="10"/>
        <v>0</v>
      </c>
      <c r="N122" s="269"/>
      <c r="O122" s="267"/>
    </row>
    <row r="123" spans="1:15">
      <c r="A123" s="267"/>
      <c r="B123" s="267"/>
      <c r="C123" s="275">
        <v>0</v>
      </c>
      <c r="D123" s="269">
        <v>0</v>
      </c>
      <c r="E123" s="269">
        <f t="shared" si="11"/>
        <v>0</v>
      </c>
      <c r="F123" s="271" cm="1">
        <f t="array" ref="F123">IF(A123&lt;&gt;"",IFERROR(INDEX('ONESheet 2.8'!AV:AV, MATCH(A123, 'ONESheet 2.8'!B:B, 0)+2),0),0)</f>
        <v>0</v>
      </c>
      <c r="G123" s="271">
        <v>0</v>
      </c>
      <c r="H123" s="271">
        <v>0</v>
      </c>
      <c r="I123" s="403" t="str">
        <f>'ONESheet 2.8'!BillingCountryCurrency</f>
        <v>USD</v>
      </c>
      <c r="J123" s="272">
        <f t="shared" si="7"/>
        <v>0</v>
      </c>
      <c r="K123" s="272">
        <f t="shared" si="8"/>
        <v>0</v>
      </c>
      <c r="L123" s="272">
        <f t="shared" si="9"/>
        <v>0</v>
      </c>
      <c r="M123" s="272">
        <f t="shared" si="10"/>
        <v>0</v>
      </c>
      <c r="N123" s="269"/>
      <c r="O123" s="267"/>
    </row>
    <row r="124" spans="1:15">
      <c r="A124" s="267"/>
      <c r="B124" s="267"/>
      <c r="C124" s="275">
        <v>0</v>
      </c>
      <c r="D124" s="269">
        <v>0</v>
      </c>
      <c r="E124" s="269">
        <f t="shared" si="11"/>
        <v>0</v>
      </c>
      <c r="F124" s="271" cm="1">
        <f t="array" ref="F124">IF(A124&lt;&gt;"",IFERROR(INDEX('ONESheet 2.8'!AV:AV, MATCH(A124, 'ONESheet 2.8'!B:B, 0)+2),0),0)</f>
        <v>0</v>
      </c>
      <c r="G124" s="271">
        <v>0</v>
      </c>
      <c r="H124" s="271">
        <v>0</v>
      </c>
      <c r="I124" s="403" t="str">
        <f>'ONESheet 2.8'!BillingCountryCurrency</f>
        <v>USD</v>
      </c>
      <c r="J124" s="272">
        <f t="shared" si="7"/>
        <v>0</v>
      </c>
      <c r="K124" s="272">
        <f t="shared" si="8"/>
        <v>0</v>
      </c>
      <c r="L124" s="272">
        <f t="shared" si="9"/>
        <v>0</v>
      </c>
      <c r="M124" s="272">
        <f t="shared" si="10"/>
        <v>0</v>
      </c>
      <c r="N124" s="269"/>
      <c r="O124" s="267"/>
    </row>
    <row r="125" spans="1:15">
      <c r="A125" s="267"/>
      <c r="B125" s="267"/>
      <c r="C125" s="275">
        <v>0</v>
      </c>
      <c r="D125" s="269">
        <v>0</v>
      </c>
      <c r="E125" s="269">
        <f t="shared" si="11"/>
        <v>0</v>
      </c>
      <c r="F125" s="271" cm="1">
        <f t="array" ref="F125">IF(A125&lt;&gt;"",IFERROR(INDEX('ONESheet 2.8'!AV:AV, MATCH(A125, 'ONESheet 2.8'!B:B, 0)+2),0),0)</f>
        <v>0</v>
      </c>
      <c r="G125" s="271">
        <v>0</v>
      </c>
      <c r="H125" s="271">
        <v>0</v>
      </c>
      <c r="I125" s="403" t="str">
        <f>'ONESheet 2.8'!BillingCountryCurrency</f>
        <v>USD</v>
      </c>
      <c r="J125" s="272">
        <f t="shared" si="7"/>
        <v>0</v>
      </c>
      <c r="K125" s="272">
        <f t="shared" si="8"/>
        <v>0</v>
      </c>
      <c r="L125" s="272">
        <f t="shared" si="9"/>
        <v>0</v>
      </c>
      <c r="M125" s="272">
        <f t="shared" si="10"/>
        <v>0</v>
      </c>
      <c r="N125" s="269"/>
      <c r="O125" s="267"/>
    </row>
    <row r="126" spans="1:15">
      <c r="A126" s="267"/>
      <c r="B126" s="267"/>
      <c r="C126" s="275">
        <v>0</v>
      </c>
      <c r="D126" s="269">
        <v>0</v>
      </c>
      <c r="E126" s="269">
        <f t="shared" si="11"/>
        <v>0</v>
      </c>
      <c r="F126" s="271" cm="1">
        <f t="array" ref="F126">IF(A126&lt;&gt;"",IFERROR(INDEX('ONESheet 2.8'!AV:AV, MATCH(A126, 'ONESheet 2.8'!B:B, 0)+2),0),0)</f>
        <v>0</v>
      </c>
      <c r="G126" s="271">
        <v>0</v>
      </c>
      <c r="H126" s="271">
        <v>0</v>
      </c>
      <c r="I126" s="403" t="str">
        <f>'ONESheet 2.8'!BillingCountryCurrency</f>
        <v>USD</v>
      </c>
      <c r="J126" s="272">
        <f t="shared" si="7"/>
        <v>0</v>
      </c>
      <c r="K126" s="272">
        <f t="shared" si="8"/>
        <v>0</v>
      </c>
      <c r="L126" s="272">
        <f t="shared" si="9"/>
        <v>0</v>
      </c>
      <c r="M126" s="272">
        <f t="shared" si="10"/>
        <v>0</v>
      </c>
      <c r="N126" s="269"/>
      <c r="O126" s="267"/>
    </row>
    <row r="127" spans="1:15">
      <c r="A127" s="267"/>
      <c r="B127" s="267"/>
      <c r="C127" s="275">
        <v>0</v>
      </c>
      <c r="D127" s="269">
        <v>0</v>
      </c>
      <c r="E127" s="269">
        <f t="shared" si="11"/>
        <v>0</v>
      </c>
      <c r="F127" s="271" cm="1">
        <f t="array" ref="F127">IF(A127&lt;&gt;"",IFERROR(INDEX('ONESheet 2.8'!AV:AV, MATCH(A127, 'ONESheet 2.8'!B:B, 0)+2),0),0)</f>
        <v>0</v>
      </c>
      <c r="G127" s="271">
        <v>0</v>
      </c>
      <c r="H127" s="271">
        <v>0</v>
      </c>
      <c r="I127" s="403" t="str">
        <f>'ONESheet 2.8'!BillingCountryCurrency</f>
        <v>USD</v>
      </c>
      <c r="J127" s="272">
        <f t="shared" si="7"/>
        <v>0</v>
      </c>
      <c r="K127" s="272">
        <f t="shared" si="8"/>
        <v>0</v>
      </c>
      <c r="L127" s="272">
        <f t="shared" si="9"/>
        <v>0</v>
      </c>
      <c r="M127" s="272">
        <f t="shared" si="10"/>
        <v>0</v>
      </c>
      <c r="N127" s="269"/>
      <c r="O127" s="267"/>
    </row>
    <row r="128" spans="1:15">
      <c r="A128" s="267"/>
      <c r="B128" s="267"/>
      <c r="C128" s="275">
        <v>0</v>
      </c>
      <c r="D128" s="269">
        <v>0</v>
      </c>
      <c r="E128" s="269">
        <f t="shared" si="11"/>
        <v>0</v>
      </c>
      <c r="F128" s="271" cm="1">
        <f t="array" ref="F128">IF(A128&lt;&gt;"",IFERROR(INDEX('ONESheet 2.8'!AV:AV, MATCH(A128, 'ONESheet 2.8'!B:B, 0)+2),0),0)</f>
        <v>0</v>
      </c>
      <c r="G128" s="271">
        <v>0</v>
      </c>
      <c r="H128" s="271">
        <v>0</v>
      </c>
      <c r="I128" s="403" t="str">
        <f>'ONESheet 2.8'!BillingCountryCurrency</f>
        <v>USD</v>
      </c>
      <c r="J128" s="272">
        <f t="shared" si="7"/>
        <v>0</v>
      </c>
      <c r="K128" s="272">
        <f t="shared" si="8"/>
        <v>0</v>
      </c>
      <c r="L128" s="272">
        <f t="shared" si="9"/>
        <v>0</v>
      </c>
      <c r="M128" s="272">
        <f t="shared" si="10"/>
        <v>0</v>
      </c>
      <c r="N128" s="269"/>
      <c r="O128" s="267"/>
    </row>
    <row r="129" spans="1:15">
      <c r="A129" s="267"/>
      <c r="B129" s="267"/>
      <c r="C129" s="275">
        <v>0</v>
      </c>
      <c r="D129" s="269">
        <v>0</v>
      </c>
      <c r="E129" s="269">
        <f t="shared" si="11"/>
        <v>0</v>
      </c>
      <c r="F129" s="271" cm="1">
        <f t="array" ref="F129">IF(A129&lt;&gt;"",IFERROR(INDEX('ONESheet 2.8'!AV:AV, MATCH(A129, 'ONESheet 2.8'!B:B, 0)+2),0),0)</f>
        <v>0</v>
      </c>
      <c r="G129" s="271">
        <v>0</v>
      </c>
      <c r="H129" s="271">
        <v>0</v>
      </c>
      <c r="I129" s="403" t="str">
        <f>'ONESheet 2.8'!BillingCountryCurrency</f>
        <v>USD</v>
      </c>
      <c r="J129" s="272">
        <f t="shared" si="7"/>
        <v>0</v>
      </c>
      <c r="K129" s="272">
        <f t="shared" si="8"/>
        <v>0</v>
      </c>
      <c r="L129" s="272">
        <f t="shared" si="9"/>
        <v>0</v>
      </c>
      <c r="M129" s="272">
        <f t="shared" si="10"/>
        <v>0</v>
      </c>
      <c r="N129" s="269"/>
      <c r="O129" s="267"/>
    </row>
    <row r="130" spans="1:15">
      <c r="A130" s="267"/>
      <c r="B130" s="267"/>
      <c r="C130" s="275">
        <v>0</v>
      </c>
      <c r="D130" s="269">
        <v>0</v>
      </c>
      <c r="E130" s="269">
        <f t="shared" ref="E130:E150" si="12">D130*(1+C130)</f>
        <v>0</v>
      </c>
      <c r="F130" s="271" cm="1">
        <f t="array" ref="F130">IF(A130&lt;&gt;"",IFERROR(INDEX('ONESheet 2.8'!AV:AV, MATCH(A130, 'ONESheet 2.8'!B:B, 0)+2),0),0)</f>
        <v>0</v>
      </c>
      <c r="G130" s="271">
        <v>0</v>
      </c>
      <c r="H130" s="271">
        <v>0</v>
      </c>
      <c r="I130" s="403" t="str">
        <f>'ONESheet 2.8'!BillingCountryCurrency</f>
        <v>USD</v>
      </c>
      <c r="J130" s="272">
        <f t="shared" si="7"/>
        <v>0</v>
      </c>
      <c r="K130" s="272">
        <f t="shared" si="8"/>
        <v>0</v>
      </c>
      <c r="L130" s="272">
        <f t="shared" si="9"/>
        <v>0</v>
      </c>
      <c r="M130" s="272">
        <f t="shared" si="10"/>
        <v>0</v>
      </c>
      <c r="N130" s="269"/>
      <c r="O130" s="267"/>
    </row>
    <row r="131" spans="1:15">
      <c r="A131" s="267"/>
      <c r="B131" s="267"/>
      <c r="C131" s="275">
        <v>0</v>
      </c>
      <c r="D131" s="269">
        <v>0</v>
      </c>
      <c r="E131" s="269">
        <f t="shared" si="12"/>
        <v>0</v>
      </c>
      <c r="F131" s="271" cm="1">
        <f t="array" ref="F131">IF(A131&lt;&gt;"",IFERROR(INDEX('ONESheet 2.8'!AV:AV, MATCH(A131, 'ONESheet 2.8'!B:B, 0)+2),0),0)</f>
        <v>0</v>
      </c>
      <c r="G131" s="271">
        <v>0</v>
      </c>
      <c r="H131" s="271">
        <v>0</v>
      </c>
      <c r="I131" s="403" t="str">
        <f>'ONESheet 2.8'!BillingCountryCurrency</f>
        <v>USD</v>
      </c>
      <c r="J131" s="272">
        <f t="shared" ref="J131:J151" si="13">IFERROR($E131,0)</f>
        <v>0</v>
      </c>
      <c r="K131" s="272">
        <f t="shared" ref="K131:K151" si="14">ROUNDUP(IFERROR($E131/(1-$F131),0),2)</f>
        <v>0</v>
      </c>
      <c r="L131" s="272">
        <f t="shared" ref="L131:L151" si="15">ROUNDUP(IFERROR($E131*$G131,0),2)</f>
        <v>0</v>
      </c>
      <c r="M131" s="272">
        <f t="shared" ref="M131:M151" si="16">ROUNDUP(IFERROR(SUM($E131,$L131)*$H131,0),2)</f>
        <v>0</v>
      </c>
      <c r="N131" s="269"/>
      <c r="O131" s="267"/>
    </row>
    <row r="132" spans="1:15">
      <c r="A132" s="267"/>
      <c r="B132" s="267"/>
      <c r="C132" s="275">
        <v>0</v>
      </c>
      <c r="D132" s="269">
        <v>0</v>
      </c>
      <c r="E132" s="269">
        <f t="shared" si="12"/>
        <v>0</v>
      </c>
      <c r="F132" s="271" cm="1">
        <f t="array" ref="F132">IF(A132&lt;&gt;"",IFERROR(INDEX('ONESheet 2.8'!AV:AV, MATCH(A132, 'ONESheet 2.8'!B:B, 0)+2),0),0)</f>
        <v>0</v>
      </c>
      <c r="G132" s="271">
        <v>0</v>
      </c>
      <c r="H132" s="271">
        <v>0</v>
      </c>
      <c r="I132" s="403" t="str">
        <f>'ONESheet 2.8'!BillingCountryCurrency</f>
        <v>USD</v>
      </c>
      <c r="J132" s="272">
        <f t="shared" si="13"/>
        <v>0</v>
      </c>
      <c r="K132" s="272">
        <f t="shared" si="14"/>
        <v>0</v>
      </c>
      <c r="L132" s="272">
        <f t="shared" si="15"/>
        <v>0</v>
      </c>
      <c r="M132" s="272">
        <f t="shared" si="16"/>
        <v>0</v>
      </c>
      <c r="N132" s="269"/>
      <c r="O132" s="267"/>
    </row>
    <row r="133" spans="1:15">
      <c r="A133" s="267"/>
      <c r="B133" s="267"/>
      <c r="C133" s="275">
        <v>0</v>
      </c>
      <c r="D133" s="269">
        <v>0</v>
      </c>
      <c r="E133" s="269">
        <f t="shared" si="12"/>
        <v>0</v>
      </c>
      <c r="F133" s="271" cm="1">
        <f t="array" ref="F133">IF(A133&lt;&gt;"",IFERROR(INDEX('ONESheet 2.8'!AV:AV, MATCH(A133, 'ONESheet 2.8'!B:B, 0)+2),0),0)</f>
        <v>0</v>
      </c>
      <c r="G133" s="271">
        <v>0</v>
      </c>
      <c r="H133" s="271">
        <v>0</v>
      </c>
      <c r="I133" s="403" t="str">
        <f>'ONESheet 2.8'!BillingCountryCurrency</f>
        <v>USD</v>
      </c>
      <c r="J133" s="272">
        <f t="shared" si="13"/>
        <v>0</v>
      </c>
      <c r="K133" s="272">
        <f t="shared" si="14"/>
        <v>0</v>
      </c>
      <c r="L133" s="272">
        <f t="shared" si="15"/>
        <v>0</v>
      </c>
      <c r="M133" s="272">
        <f t="shared" si="16"/>
        <v>0</v>
      </c>
      <c r="N133" s="269"/>
      <c r="O133" s="267"/>
    </row>
    <row r="134" spans="1:15">
      <c r="A134" s="267"/>
      <c r="B134" s="267"/>
      <c r="C134" s="275">
        <v>0</v>
      </c>
      <c r="D134" s="269">
        <v>0</v>
      </c>
      <c r="E134" s="269">
        <f t="shared" si="12"/>
        <v>0</v>
      </c>
      <c r="F134" s="271" cm="1">
        <f t="array" ref="F134">IF(A134&lt;&gt;"",IFERROR(INDEX('ONESheet 2.8'!AV:AV, MATCH(A134, 'ONESheet 2.8'!B:B, 0)+2),0),0)</f>
        <v>0</v>
      </c>
      <c r="G134" s="271">
        <v>0</v>
      </c>
      <c r="H134" s="271">
        <v>0</v>
      </c>
      <c r="I134" s="403" t="str">
        <f>'ONESheet 2.8'!BillingCountryCurrency</f>
        <v>USD</v>
      </c>
      <c r="J134" s="272">
        <f t="shared" si="13"/>
        <v>0</v>
      </c>
      <c r="K134" s="272">
        <f t="shared" si="14"/>
        <v>0</v>
      </c>
      <c r="L134" s="272">
        <f t="shared" si="15"/>
        <v>0</v>
      </c>
      <c r="M134" s="272">
        <f t="shared" si="16"/>
        <v>0</v>
      </c>
      <c r="N134" s="269"/>
      <c r="O134" s="267"/>
    </row>
    <row r="135" spans="1:15">
      <c r="A135" s="267"/>
      <c r="B135" s="267"/>
      <c r="C135" s="275">
        <v>0</v>
      </c>
      <c r="D135" s="269">
        <v>0</v>
      </c>
      <c r="E135" s="269">
        <f t="shared" si="12"/>
        <v>0</v>
      </c>
      <c r="F135" s="271" cm="1">
        <f t="array" ref="F135">IF(A135&lt;&gt;"",IFERROR(INDEX('ONESheet 2.8'!AV:AV, MATCH(A135, 'ONESheet 2.8'!B:B, 0)+2),0),0)</f>
        <v>0</v>
      </c>
      <c r="G135" s="271">
        <v>0</v>
      </c>
      <c r="H135" s="271">
        <v>0</v>
      </c>
      <c r="I135" s="403" t="str">
        <f>'ONESheet 2.8'!BillingCountryCurrency</f>
        <v>USD</v>
      </c>
      <c r="J135" s="272">
        <f t="shared" si="13"/>
        <v>0</v>
      </c>
      <c r="K135" s="272">
        <f t="shared" si="14"/>
        <v>0</v>
      </c>
      <c r="L135" s="272">
        <f t="shared" si="15"/>
        <v>0</v>
      </c>
      <c r="M135" s="272">
        <f t="shared" si="16"/>
        <v>0</v>
      </c>
      <c r="N135" s="269"/>
      <c r="O135" s="267"/>
    </row>
    <row r="136" spans="1:15">
      <c r="A136" s="267"/>
      <c r="B136" s="267"/>
      <c r="C136" s="275">
        <v>0</v>
      </c>
      <c r="D136" s="269">
        <v>0</v>
      </c>
      <c r="E136" s="269">
        <f t="shared" si="12"/>
        <v>0</v>
      </c>
      <c r="F136" s="271" cm="1">
        <f t="array" ref="F136">IF(A136&lt;&gt;"",IFERROR(INDEX('ONESheet 2.8'!AV:AV, MATCH(A136, 'ONESheet 2.8'!B:B, 0)+2),0),0)</f>
        <v>0</v>
      </c>
      <c r="G136" s="271">
        <v>0</v>
      </c>
      <c r="H136" s="271">
        <v>0</v>
      </c>
      <c r="I136" s="403" t="str">
        <f>'ONESheet 2.8'!BillingCountryCurrency</f>
        <v>USD</v>
      </c>
      <c r="J136" s="272">
        <f t="shared" si="13"/>
        <v>0</v>
      </c>
      <c r="K136" s="272">
        <f t="shared" si="14"/>
        <v>0</v>
      </c>
      <c r="L136" s="272">
        <f t="shared" si="15"/>
        <v>0</v>
      </c>
      <c r="M136" s="272">
        <f t="shared" si="16"/>
        <v>0</v>
      </c>
      <c r="N136" s="269"/>
      <c r="O136" s="267"/>
    </row>
    <row r="137" spans="1:15">
      <c r="A137" s="267"/>
      <c r="B137" s="267"/>
      <c r="C137" s="275">
        <v>0</v>
      </c>
      <c r="D137" s="269">
        <v>0</v>
      </c>
      <c r="E137" s="269">
        <f t="shared" si="12"/>
        <v>0</v>
      </c>
      <c r="F137" s="271" cm="1">
        <f t="array" ref="F137">IF(A137&lt;&gt;"",IFERROR(INDEX('ONESheet 2.8'!AV:AV, MATCH(A137, 'ONESheet 2.8'!B:B, 0)+2),0),0)</f>
        <v>0</v>
      </c>
      <c r="G137" s="271">
        <v>0</v>
      </c>
      <c r="H137" s="271">
        <v>0</v>
      </c>
      <c r="I137" s="403" t="str">
        <f>'ONESheet 2.8'!BillingCountryCurrency</f>
        <v>USD</v>
      </c>
      <c r="J137" s="272">
        <f t="shared" si="13"/>
        <v>0</v>
      </c>
      <c r="K137" s="272">
        <f t="shared" si="14"/>
        <v>0</v>
      </c>
      <c r="L137" s="272">
        <f t="shared" si="15"/>
        <v>0</v>
      </c>
      <c r="M137" s="272">
        <f t="shared" si="16"/>
        <v>0</v>
      </c>
      <c r="N137" s="269"/>
      <c r="O137" s="267"/>
    </row>
    <row r="138" spans="1:15">
      <c r="A138" s="267"/>
      <c r="B138" s="267"/>
      <c r="C138" s="275">
        <v>0</v>
      </c>
      <c r="D138" s="269">
        <v>0</v>
      </c>
      <c r="E138" s="269">
        <f t="shared" si="12"/>
        <v>0</v>
      </c>
      <c r="F138" s="271" cm="1">
        <f t="array" ref="F138">IF(A138&lt;&gt;"",IFERROR(INDEX('ONESheet 2.8'!AV:AV, MATCH(A138, 'ONESheet 2.8'!B:B, 0)+2),0),0)</f>
        <v>0</v>
      </c>
      <c r="G138" s="271">
        <v>0</v>
      </c>
      <c r="H138" s="271">
        <v>0</v>
      </c>
      <c r="I138" s="403" t="str">
        <f>'ONESheet 2.8'!BillingCountryCurrency</f>
        <v>USD</v>
      </c>
      <c r="J138" s="272">
        <f t="shared" si="13"/>
        <v>0</v>
      </c>
      <c r="K138" s="272">
        <f t="shared" si="14"/>
        <v>0</v>
      </c>
      <c r="L138" s="272">
        <f t="shared" si="15"/>
        <v>0</v>
      </c>
      <c r="M138" s="272">
        <f t="shared" si="16"/>
        <v>0</v>
      </c>
      <c r="N138" s="269"/>
      <c r="O138" s="267"/>
    </row>
    <row r="139" spans="1:15">
      <c r="A139" s="267"/>
      <c r="B139" s="267"/>
      <c r="C139" s="275">
        <v>0</v>
      </c>
      <c r="D139" s="269">
        <v>0</v>
      </c>
      <c r="E139" s="269">
        <f t="shared" si="12"/>
        <v>0</v>
      </c>
      <c r="F139" s="271" cm="1">
        <f t="array" ref="F139">IF(A139&lt;&gt;"",IFERROR(INDEX('ONESheet 2.8'!AV:AV, MATCH(A139, 'ONESheet 2.8'!B:B, 0)+2),0),0)</f>
        <v>0</v>
      </c>
      <c r="G139" s="271">
        <v>0</v>
      </c>
      <c r="H139" s="271">
        <v>0</v>
      </c>
      <c r="I139" s="403" t="str">
        <f>'ONESheet 2.8'!BillingCountryCurrency</f>
        <v>USD</v>
      </c>
      <c r="J139" s="272">
        <f t="shared" si="13"/>
        <v>0</v>
      </c>
      <c r="K139" s="272">
        <f t="shared" si="14"/>
        <v>0</v>
      </c>
      <c r="L139" s="272">
        <f t="shared" si="15"/>
        <v>0</v>
      </c>
      <c r="M139" s="272">
        <f t="shared" si="16"/>
        <v>0</v>
      </c>
      <c r="N139" s="269"/>
      <c r="O139" s="267"/>
    </row>
    <row r="140" spans="1:15">
      <c r="A140" s="267"/>
      <c r="B140" s="267"/>
      <c r="C140" s="275">
        <v>0</v>
      </c>
      <c r="D140" s="269">
        <v>0</v>
      </c>
      <c r="E140" s="269">
        <f t="shared" si="12"/>
        <v>0</v>
      </c>
      <c r="F140" s="271" cm="1">
        <f t="array" ref="F140">IF(A140&lt;&gt;"",IFERROR(INDEX('ONESheet 2.8'!AV:AV, MATCH(A140, 'ONESheet 2.8'!B:B, 0)+2),0),0)</f>
        <v>0</v>
      </c>
      <c r="G140" s="271">
        <v>0</v>
      </c>
      <c r="H140" s="271">
        <v>0</v>
      </c>
      <c r="I140" s="403" t="str">
        <f>'ONESheet 2.8'!BillingCountryCurrency</f>
        <v>USD</v>
      </c>
      <c r="J140" s="272">
        <f t="shared" si="13"/>
        <v>0</v>
      </c>
      <c r="K140" s="272">
        <f t="shared" si="14"/>
        <v>0</v>
      </c>
      <c r="L140" s="272">
        <f t="shared" si="15"/>
        <v>0</v>
      </c>
      <c r="M140" s="272">
        <f t="shared" si="16"/>
        <v>0</v>
      </c>
      <c r="N140" s="269"/>
      <c r="O140" s="267"/>
    </row>
    <row r="141" spans="1:15">
      <c r="A141" s="267"/>
      <c r="B141" s="267"/>
      <c r="C141" s="275">
        <v>0</v>
      </c>
      <c r="D141" s="269">
        <v>0</v>
      </c>
      <c r="E141" s="269">
        <f t="shared" si="12"/>
        <v>0</v>
      </c>
      <c r="F141" s="271" cm="1">
        <f t="array" ref="F141">IF(A141&lt;&gt;"",IFERROR(INDEX('ONESheet 2.8'!AV:AV, MATCH(A141, 'ONESheet 2.8'!B:B, 0)+2),0),0)</f>
        <v>0</v>
      </c>
      <c r="G141" s="271">
        <v>0</v>
      </c>
      <c r="H141" s="271">
        <v>0</v>
      </c>
      <c r="I141" s="403" t="str">
        <f>'ONESheet 2.8'!BillingCountryCurrency</f>
        <v>USD</v>
      </c>
      <c r="J141" s="272">
        <f t="shared" si="13"/>
        <v>0</v>
      </c>
      <c r="K141" s="272">
        <f t="shared" si="14"/>
        <v>0</v>
      </c>
      <c r="L141" s="272">
        <f t="shared" si="15"/>
        <v>0</v>
      </c>
      <c r="M141" s="272">
        <f t="shared" si="16"/>
        <v>0</v>
      </c>
      <c r="N141" s="269"/>
      <c r="O141" s="267"/>
    </row>
    <row r="142" spans="1:15">
      <c r="A142" s="267"/>
      <c r="B142" s="267"/>
      <c r="C142" s="275">
        <v>0</v>
      </c>
      <c r="D142" s="269">
        <v>0</v>
      </c>
      <c r="E142" s="269">
        <f t="shared" si="12"/>
        <v>0</v>
      </c>
      <c r="F142" s="271" cm="1">
        <f t="array" ref="F142">IF(A142&lt;&gt;"",IFERROR(INDEX('ONESheet 2.8'!AV:AV, MATCH(A142, 'ONESheet 2.8'!B:B, 0)+2),0),0)</f>
        <v>0</v>
      </c>
      <c r="G142" s="271">
        <v>0</v>
      </c>
      <c r="H142" s="271">
        <v>0</v>
      </c>
      <c r="I142" s="403" t="str">
        <f>'ONESheet 2.8'!BillingCountryCurrency</f>
        <v>USD</v>
      </c>
      <c r="J142" s="272">
        <f t="shared" si="13"/>
        <v>0</v>
      </c>
      <c r="K142" s="272">
        <f t="shared" si="14"/>
        <v>0</v>
      </c>
      <c r="L142" s="272">
        <f t="shared" si="15"/>
        <v>0</v>
      </c>
      <c r="M142" s="272">
        <f t="shared" si="16"/>
        <v>0</v>
      </c>
      <c r="N142" s="269"/>
      <c r="O142" s="267"/>
    </row>
    <row r="143" spans="1:15">
      <c r="A143" s="267"/>
      <c r="B143" s="267"/>
      <c r="C143" s="275">
        <v>0</v>
      </c>
      <c r="D143" s="269">
        <v>0</v>
      </c>
      <c r="E143" s="269">
        <f t="shared" si="12"/>
        <v>0</v>
      </c>
      <c r="F143" s="271" cm="1">
        <f t="array" ref="F143">IF(A143&lt;&gt;"",IFERROR(INDEX('ONESheet 2.8'!AV:AV, MATCH(A143, 'ONESheet 2.8'!B:B, 0)+2),0),0)</f>
        <v>0</v>
      </c>
      <c r="G143" s="271">
        <v>0</v>
      </c>
      <c r="H143" s="271">
        <v>0</v>
      </c>
      <c r="I143" s="403" t="str">
        <f>'ONESheet 2.8'!BillingCountryCurrency</f>
        <v>USD</v>
      </c>
      <c r="J143" s="272">
        <f t="shared" si="13"/>
        <v>0</v>
      </c>
      <c r="K143" s="272">
        <f t="shared" si="14"/>
        <v>0</v>
      </c>
      <c r="L143" s="272">
        <f t="shared" si="15"/>
        <v>0</v>
      </c>
      <c r="M143" s="272">
        <f t="shared" si="16"/>
        <v>0</v>
      </c>
      <c r="N143" s="269"/>
      <c r="O143" s="267"/>
    </row>
    <row r="144" spans="1:15">
      <c r="A144" s="267"/>
      <c r="B144" s="267"/>
      <c r="C144" s="275">
        <v>0</v>
      </c>
      <c r="D144" s="269">
        <v>0</v>
      </c>
      <c r="E144" s="269">
        <f t="shared" si="12"/>
        <v>0</v>
      </c>
      <c r="F144" s="271" cm="1">
        <f t="array" ref="F144">IF(A144&lt;&gt;"",IFERROR(INDEX('ONESheet 2.8'!AV:AV, MATCH(A144, 'ONESheet 2.8'!B:B, 0)+2),0),0)</f>
        <v>0</v>
      </c>
      <c r="G144" s="271">
        <v>0</v>
      </c>
      <c r="H144" s="271">
        <v>0</v>
      </c>
      <c r="I144" s="403" t="str">
        <f>'ONESheet 2.8'!BillingCountryCurrency</f>
        <v>USD</v>
      </c>
      <c r="J144" s="272">
        <f t="shared" si="13"/>
        <v>0</v>
      </c>
      <c r="K144" s="272">
        <f t="shared" si="14"/>
        <v>0</v>
      </c>
      <c r="L144" s="272">
        <f t="shared" si="15"/>
        <v>0</v>
      </c>
      <c r="M144" s="272">
        <f t="shared" si="16"/>
        <v>0</v>
      </c>
      <c r="N144" s="269"/>
      <c r="O144" s="267"/>
    </row>
    <row r="145" spans="1:15">
      <c r="A145" s="267"/>
      <c r="B145" s="267"/>
      <c r="C145" s="275">
        <v>0</v>
      </c>
      <c r="D145" s="269">
        <v>0</v>
      </c>
      <c r="E145" s="269">
        <f t="shared" si="12"/>
        <v>0</v>
      </c>
      <c r="F145" s="271" cm="1">
        <f t="array" ref="F145">IF(A145&lt;&gt;"",IFERROR(INDEX('ONESheet 2.8'!AV:AV, MATCH(A145, 'ONESheet 2.8'!B:B, 0)+2),0),0)</f>
        <v>0</v>
      </c>
      <c r="G145" s="271">
        <v>0</v>
      </c>
      <c r="H145" s="271">
        <v>0</v>
      </c>
      <c r="I145" s="403" t="str">
        <f>'ONESheet 2.8'!BillingCountryCurrency</f>
        <v>USD</v>
      </c>
      <c r="J145" s="272">
        <f t="shared" si="13"/>
        <v>0</v>
      </c>
      <c r="K145" s="272">
        <f t="shared" si="14"/>
        <v>0</v>
      </c>
      <c r="L145" s="272">
        <f t="shared" si="15"/>
        <v>0</v>
      </c>
      <c r="M145" s="272">
        <f t="shared" si="16"/>
        <v>0</v>
      </c>
      <c r="N145" s="269"/>
      <c r="O145" s="267"/>
    </row>
    <row r="146" spans="1:15">
      <c r="A146" s="267"/>
      <c r="B146" s="267"/>
      <c r="C146" s="275">
        <v>0</v>
      </c>
      <c r="D146" s="269">
        <v>0</v>
      </c>
      <c r="E146" s="269">
        <f t="shared" si="12"/>
        <v>0</v>
      </c>
      <c r="F146" s="271" cm="1">
        <f t="array" ref="F146">IF(A146&lt;&gt;"",IFERROR(INDEX('ONESheet 2.8'!AV:AV, MATCH(A146, 'ONESheet 2.8'!B:B, 0)+2),0),0)</f>
        <v>0</v>
      </c>
      <c r="G146" s="271">
        <v>0</v>
      </c>
      <c r="H146" s="271">
        <v>0</v>
      </c>
      <c r="I146" s="403" t="str">
        <f>'ONESheet 2.8'!BillingCountryCurrency</f>
        <v>USD</v>
      </c>
      <c r="J146" s="272">
        <f t="shared" si="13"/>
        <v>0</v>
      </c>
      <c r="K146" s="272">
        <f t="shared" si="14"/>
        <v>0</v>
      </c>
      <c r="L146" s="272">
        <f t="shared" si="15"/>
        <v>0</v>
      </c>
      <c r="M146" s="272">
        <f t="shared" si="16"/>
        <v>0</v>
      </c>
      <c r="N146" s="269"/>
      <c r="O146" s="267"/>
    </row>
    <row r="147" spans="1:15">
      <c r="A147" s="267"/>
      <c r="B147" s="267"/>
      <c r="C147" s="275">
        <v>0</v>
      </c>
      <c r="D147" s="269">
        <v>0</v>
      </c>
      <c r="E147" s="269">
        <f t="shared" si="12"/>
        <v>0</v>
      </c>
      <c r="F147" s="271" cm="1">
        <f t="array" ref="F147">IF(A147&lt;&gt;"",IFERROR(INDEX('ONESheet 2.8'!AV:AV, MATCH(A147, 'ONESheet 2.8'!B:B, 0)+2),0),0)</f>
        <v>0</v>
      </c>
      <c r="G147" s="271">
        <v>0</v>
      </c>
      <c r="H147" s="271">
        <v>0</v>
      </c>
      <c r="I147" s="403" t="str">
        <f>'ONESheet 2.8'!BillingCountryCurrency</f>
        <v>USD</v>
      </c>
      <c r="J147" s="272">
        <f t="shared" si="13"/>
        <v>0</v>
      </c>
      <c r="K147" s="272">
        <f t="shared" si="14"/>
        <v>0</v>
      </c>
      <c r="L147" s="272">
        <f t="shared" si="15"/>
        <v>0</v>
      </c>
      <c r="M147" s="272">
        <f t="shared" si="16"/>
        <v>0</v>
      </c>
      <c r="N147" s="269"/>
      <c r="O147" s="267"/>
    </row>
    <row r="148" spans="1:15">
      <c r="A148" s="267"/>
      <c r="B148" s="267"/>
      <c r="C148" s="275">
        <v>0</v>
      </c>
      <c r="D148" s="269">
        <v>0</v>
      </c>
      <c r="E148" s="269">
        <f t="shared" si="12"/>
        <v>0</v>
      </c>
      <c r="F148" s="271" cm="1">
        <f t="array" ref="F148">IF(A148&lt;&gt;"",IFERROR(INDEX('ONESheet 2.8'!AV:AV, MATCH(A148, 'ONESheet 2.8'!B:B, 0)+2),0),0)</f>
        <v>0</v>
      </c>
      <c r="G148" s="271">
        <v>0</v>
      </c>
      <c r="H148" s="271">
        <v>0</v>
      </c>
      <c r="I148" s="403" t="str">
        <f>'ONESheet 2.8'!BillingCountryCurrency</f>
        <v>USD</v>
      </c>
      <c r="J148" s="272">
        <f t="shared" si="13"/>
        <v>0</v>
      </c>
      <c r="K148" s="272">
        <f t="shared" si="14"/>
        <v>0</v>
      </c>
      <c r="L148" s="272">
        <f t="shared" si="15"/>
        <v>0</v>
      </c>
      <c r="M148" s="272">
        <f t="shared" si="16"/>
        <v>0</v>
      </c>
      <c r="N148" s="269"/>
      <c r="O148" s="267"/>
    </row>
    <row r="149" spans="1:15">
      <c r="A149" s="267"/>
      <c r="B149" s="267"/>
      <c r="C149" s="275">
        <v>0</v>
      </c>
      <c r="D149" s="269">
        <v>0</v>
      </c>
      <c r="E149" s="269">
        <f t="shared" si="12"/>
        <v>0</v>
      </c>
      <c r="F149" s="271" cm="1">
        <f t="array" ref="F149">IF(A149&lt;&gt;"",IFERROR(INDEX('ONESheet 2.8'!AV:AV, MATCH(A149, 'ONESheet 2.8'!B:B, 0)+2),0),0)</f>
        <v>0</v>
      </c>
      <c r="G149" s="271">
        <v>0</v>
      </c>
      <c r="H149" s="271">
        <v>0</v>
      </c>
      <c r="I149" s="403" t="str">
        <f>'ONESheet 2.8'!BillingCountryCurrency</f>
        <v>USD</v>
      </c>
      <c r="J149" s="272">
        <f t="shared" si="13"/>
        <v>0</v>
      </c>
      <c r="K149" s="272">
        <f t="shared" si="14"/>
        <v>0</v>
      </c>
      <c r="L149" s="272">
        <f t="shared" si="15"/>
        <v>0</v>
      </c>
      <c r="M149" s="272">
        <f t="shared" si="16"/>
        <v>0</v>
      </c>
      <c r="N149" s="269"/>
      <c r="O149" s="267"/>
    </row>
    <row r="150" spans="1:15">
      <c r="A150" s="267"/>
      <c r="B150" s="267"/>
      <c r="C150" s="275">
        <v>0</v>
      </c>
      <c r="D150" s="269">
        <v>0</v>
      </c>
      <c r="E150" s="269">
        <f t="shared" si="12"/>
        <v>0</v>
      </c>
      <c r="F150" s="271" cm="1">
        <f t="array" ref="F150">IF(A150&lt;&gt;"",IFERROR(INDEX('ONESheet 2.8'!AV:AV, MATCH(A150, 'ONESheet 2.8'!B:B, 0)+2),0),0)</f>
        <v>0</v>
      </c>
      <c r="G150" s="271">
        <v>0</v>
      </c>
      <c r="H150" s="271">
        <v>0</v>
      </c>
      <c r="I150" s="403" t="str">
        <f>'ONESheet 2.8'!BillingCountryCurrency</f>
        <v>USD</v>
      </c>
      <c r="J150" s="272">
        <f t="shared" si="13"/>
        <v>0</v>
      </c>
      <c r="K150" s="272">
        <f t="shared" si="14"/>
        <v>0</v>
      </c>
      <c r="L150" s="272">
        <f t="shared" si="15"/>
        <v>0</v>
      </c>
      <c r="M150" s="272">
        <f t="shared" si="16"/>
        <v>0</v>
      </c>
      <c r="N150" s="269"/>
      <c r="O150" s="267"/>
    </row>
    <row r="151" spans="1:15">
      <c r="A151" s="267"/>
      <c r="B151" s="267"/>
      <c r="C151" s="275">
        <v>0</v>
      </c>
      <c r="D151" s="269">
        <v>0</v>
      </c>
      <c r="E151" s="269">
        <f t="shared" ref="E151" si="17">D151*(1+C151)</f>
        <v>0</v>
      </c>
      <c r="F151" s="271" cm="1">
        <f t="array" ref="F151">IF(A151&lt;&gt;"",IFERROR(INDEX('ONESheet 2.8'!AV:AV, MATCH(A151, 'ONESheet 2.8'!B:B, 0)+2),0),0)</f>
        <v>0</v>
      </c>
      <c r="G151" s="271">
        <v>0</v>
      </c>
      <c r="H151" s="271">
        <v>0</v>
      </c>
      <c r="I151" s="403" t="str">
        <f>'ONESheet 2.8'!BillingCountryCurrency</f>
        <v>USD</v>
      </c>
      <c r="J151" s="272">
        <f t="shared" si="13"/>
        <v>0</v>
      </c>
      <c r="K151" s="272">
        <f t="shared" si="14"/>
        <v>0</v>
      </c>
      <c r="L151" s="272">
        <f t="shared" si="15"/>
        <v>0</v>
      </c>
      <c r="M151" s="272">
        <f t="shared" si="16"/>
        <v>0</v>
      </c>
      <c r="N151" s="269"/>
      <c r="O151" s="267"/>
    </row>
  </sheetData>
  <sheetProtection formatCells="0" formatColumns="0" formatRows="0" insertRows="0" deleteRows="0" autoFilter="0"/>
  <phoneticPr fontId="35"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1E6D1-67D0-4908-8AAE-D7663CEFD478}">
  <sheetPr codeName="Sheet2"/>
  <dimension ref="A1:V201"/>
  <sheetViews>
    <sheetView showGridLines="0" workbookViewId="0">
      <selection activeCell="A2" sqref="A2"/>
    </sheetView>
  </sheetViews>
  <sheetFormatPr defaultColWidth="8.7109375" defaultRowHeight="14.45"/>
  <cols>
    <col min="1" max="1" width="35" customWidth="1"/>
    <col min="2" max="2" width="18.7109375" customWidth="1"/>
    <col min="3" max="3" width="16.7109375" customWidth="1"/>
    <col min="4" max="4" width="19.42578125" customWidth="1"/>
    <col min="5" max="5" width="7" customWidth="1"/>
    <col min="6" max="6" width="31.7109375" customWidth="1"/>
    <col min="7" max="7" width="10.42578125" customWidth="1"/>
    <col min="8" max="8" width="19" customWidth="1"/>
    <col min="9" max="9" width="20.42578125" customWidth="1"/>
    <col min="10" max="10" width="14.42578125" customWidth="1"/>
    <col min="11" max="11" width="16.7109375" style="404" customWidth="1"/>
    <col min="12" max="12" width="16.140625" customWidth="1"/>
    <col min="13" max="15" width="10.7109375" style="273" customWidth="1"/>
    <col min="16" max="16" width="18" hidden="1" customWidth="1"/>
    <col min="17" max="18" width="21.28515625" style="274" customWidth="1"/>
    <col min="19" max="20" width="20" style="274" customWidth="1"/>
    <col min="21" max="21" width="10.7109375" customWidth="1"/>
    <col min="22" max="22" width="65.42578125" customWidth="1"/>
  </cols>
  <sheetData>
    <row r="1" spans="1:22">
      <c r="A1" s="265" t="s">
        <v>407</v>
      </c>
      <c r="B1" s="265" t="s">
        <v>419</v>
      </c>
      <c r="C1" s="265" t="s">
        <v>420</v>
      </c>
      <c r="D1" s="265" t="s">
        <v>421</v>
      </c>
      <c r="E1" s="265" t="s">
        <v>422</v>
      </c>
      <c r="F1" s="265" t="s">
        <v>408</v>
      </c>
      <c r="G1" s="265" t="s">
        <v>423</v>
      </c>
      <c r="H1" s="265" t="s">
        <v>424</v>
      </c>
      <c r="I1" s="265" t="s">
        <v>425</v>
      </c>
      <c r="J1" s="265" t="s">
        <v>426</v>
      </c>
      <c r="K1" s="266" t="s">
        <v>427</v>
      </c>
      <c r="L1" s="265" t="s">
        <v>428</v>
      </c>
      <c r="M1" s="265" t="s">
        <v>119</v>
      </c>
      <c r="N1" s="265" t="s">
        <v>412</v>
      </c>
      <c r="O1" s="265" t="s">
        <v>122</v>
      </c>
      <c r="P1" s="265" t="s">
        <v>425</v>
      </c>
      <c r="Q1" s="266" t="s">
        <v>425</v>
      </c>
      <c r="R1" s="266" t="s">
        <v>429</v>
      </c>
      <c r="S1" s="266" t="s">
        <v>415</v>
      </c>
      <c r="T1" s="266" t="s">
        <v>416</v>
      </c>
      <c r="U1" s="8" t="s">
        <v>417</v>
      </c>
      <c r="V1" s="265" t="s">
        <v>418</v>
      </c>
    </row>
    <row r="2" spans="1:22">
      <c r="A2" s="267"/>
      <c r="B2" s="267"/>
      <c r="C2" s="268"/>
      <c r="D2" s="268"/>
      <c r="E2" s="268"/>
      <c r="F2" s="134"/>
      <c r="G2" s="268">
        <v>0</v>
      </c>
      <c r="H2" s="269">
        <v>0</v>
      </c>
      <c r="I2" s="270">
        <f t="shared" ref="I2:I65" si="0">G2*H2</f>
        <v>0</v>
      </c>
      <c r="J2" s="269" t="s">
        <v>200</v>
      </c>
      <c r="K2" s="403" t="str">
        <f>'ONESheet 2.8'!BillingCountryCurrency</f>
        <v>USD</v>
      </c>
      <c r="L2" s="269">
        <v>1</v>
      </c>
      <c r="M2" s="271" cm="1">
        <f t="array" ref="M2">IF(A2&lt;&gt;"",IFERROR(INDEX('ONESheet 2.8'!AV:AV, MATCH(A2, 'ONESheet 2.8'!B:B, 0)+2),0),0)</f>
        <v>0</v>
      </c>
      <c r="N2" s="271">
        <f>IFERROR(IF(OR(ISBLANK(C2),C2='ONESheet 2.8'!CustomerCountry,COUNTIF(C2,"*xDC*")),0,10%),0)</f>
        <v>0</v>
      </c>
      <c r="O2" s="271" cm="1">
        <f t="array" ref="O2">IFERROR(INDEX(WHT!$C$7:$W$18,MATCH(
_xlfn.SWITCH(C2,"xDC Medellin","Colombia","xDC Belo Horizonte","Brazil","xDC Guadalajara","Mexico","xDC Gurugram","India","xDC Leon","Spain","xDC San Jose","Costa Rica","xDC Warsaw","Poland",C2),
WHT!$B$7:$B$18,0),MATCH('ONESheet 2.8'!CustomerCountry,WHT!$C$5:$W$5,0)),0)</f>
        <v>0</v>
      </c>
      <c r="P2" s="270">
        <f>IFERROR(IF(OR($J2=$K2,AND($J2="LOCAL",$K2&lt;&gt;"CHF")),$I2,IF($J2="LOCAL",$I2/$L2,$I2*$L2)),0)</f>
        <v>0</v>
      </c>
      <c r="Q2" s="272">
        <f>ROUNDUP($P2,2)</f>
        <v>0</v>
      </c>
      <c r="R2" s="272">
        <f>ROUNDUP(IFERROR($P2/(1-$M2),0),2)</f>
        <v>0</v>
      </c>
      <c r="S2" s="272">
        <f>ROUNDUP(IFERROR($P2*$N2,0),2)</f>
        <v>0</v>
      </c>
      <c r="T2" s="272">
        <f>ROUNDUP(IFERROR(SUM($P2,$S2)*$O2,0),2)</f>
        <v>0</v>
      </c>
      <c r="U2" s="268"/>
      <c r="V2" s="267"/>
    </row>
    <row r="3" spans="1:22">
      <c r="A3" s="267"/>
      <c r="B3" s="267"/>
      <c r="C3" s="268"/>
      <c r="D3" s="268"/>
      <c r="E3" s="268"/>
      <c r="F3" s="134"/>
      <c r="G3" s="268">
        <v>0</v>
      </c>
      <c r="H3" s="269">
        <v>0</v>
      </c>
      <c r="I3" s="270">
        <f t="shared" si="0"/>
        <v>0</v>
      </c>
      <c r="J3" s="269" t="s">
        <v>200</v>
      </c>
      <c r="K3" s="403" t="str">
        <f>'ONESheet 2.8'!BillingCountryCurrency</f>
        <v>USD</v>
      </c>
      <c r="L3" s="269">
        <v>1</v>
      </c>
      <c r="M3" s="271" cm="1">
        <f t="array" ref="M3">IF(A3&lt;&gt;"",IFERROR(INDEX('ONESheet 2.8'!AV:AV, MATCH(A3, 'ONESheet 2.8'!B:B, 0)+2),0),0)</f>
        <v>0</v>
      </c>
      <c r="N3" s="271">
        <f>IFERROR(IF(OR(ISBLANK(C3),C3='ONESheet 2.8'!CustomerCountry,COUNTIF(C3,"*xDC*")),0,10%),0)</f>
        <v>0</v>
      </c>
      <c r="O3" s="271" cm="1">
        <f t="array" ref="O3">IFERROR(INDEX(WHT!$C$7:$W$18,MATCH(
_xlfn.SWITCH(C3,"xDC Medellin","Colombia","xDC Belo Horizonte","Brazil","xDC Guadalajara","Mexico","xDC Gurugram","India","xDC Leon","Spain","xDC San Jose","Costa Rica","xDC Warsaw","Poland",C3),
WHT!$B$7:$B$18,0),MATCH('ONESheet 2.8'!CustomerCountry,WHT!$C$5:$W$5,0)),0)</f>
        <v>0</v>
      </c>
      <c r="P3" s="270">
        <f t="shared" ref="P3:P66" si="1">IFERROR(IF(J3=K3,I3,IF(J3="LOCAL",I3/L3,I3*L3)),0)</f>
        <v>0</v>
      </c>
      <c r="Q3" s="272">
        <f t="shared" ref="Q3:Q66" si="2">ROUNDUP(P3,2)</f>
        <v>0</v>
      </c>
      <c r="R3" s="272">
        <f t="shared" ref="R3:R65" si="3">ROUNDUP(IFERROR(P3/(1-M3),0),2)</f>
        <v>0</v>
      </c>
      <c r="S3" s="272">
        <f t="shared" ref="S3:S66" si="4">ROUNDUP(IFERROR($P3*$N3,0),2)</f>
        <v>0</v>
      </c>
      <c r="T3" s="272">
        <f t="shared" ref="T3:T66" si="5">ROUNDUP(IFERROR(SUM($P3,$S3)*$O3,0),2)</f>
        <v>0</v>
      </c>
      <c r="U3" s="268"/>
      <c r="V3" s="267"/>
    </row>
    <row r="4" spans="1:22">
      <c r="A4" s="267"/>
      <c r="B4" s="267"/>
      <c r="C4" s="268"/>
      <c r="D4" s="268"/>
      <c r="E4" s="268"/>
      <c r="F4" s="134"/>
      <c r="G4" s="268">
        <v>0</v>
      </c>
      <c r="H4" s="269">
        <v>0</v>
      </c>
      <c r="I4" s="270">
        <f t="shared" si="0"/>
        <v>0</v>
      </c>
      <c r="J4" s="269" t="s">
        <v>200</v>
      </c>
      <c r="K4" s="403" t="str">
        <f>'ONESheet 2.8'!BillingCountryCurrency</f>
        <v>USD</v>
      </c>
      <c r="L4" s="269">
        <v>1</v>
      </c>
      <c r="M4" s="271" cm="1">
        <f t="array" ref="M4">IF(A4&lt;&gt;"",IFERROR(INDEX('ONESheet 2.8'!AV:AV, MATCH(A4, 'ONESheet 2.8'!B:B, 0)+2),0),0)</f>
        <v>0</v>
      </c>
      <c r="N4" s="271">
        <f>IFERROR(IF(OR(ISBLANK(C4),C4='ONESheet 2.8'!CustomerCountry,COUNTIF(C4,"*xDC*")),0,10%),0)</f>
        <v>0</v>
      </c>
      <c r="O4" s="271" cm="1">
        <f t="array" ref="O4">IFERROR(INDEX(WHT!$C$7:$W$18,MATCH(
_xlfn.SWITCH(C4,"xDC Medellin","Colombia","xDC Belo Horizonte","Brazil","xDC Guadalajara","Mexico","xDC Gurugram","India","xDC Leon","Spain","xDC San Jose","Costa Rica","xDC Warsaw","Poland",C4),
WHT!$B$7:$B$18,0),MATCH('ONESheet 2.8'!CustomerCountry,WHT!$C$5:$W$5,0)),0)</f>
        <v>0</v>
      </c>
      <c r="P4" s="270">
        <f t="shared" si="1"/>
        <v>0</v>
      </c>
      <c r="Q4" s="272">
        <f t="shared" si="2"/>
        <v>0</v>
      </c>
      <c r="R4" s="272">
        <f t="shared" si="3"/>
        <v>0</v>
      </c>
      <c r="S4" s="272">
        <f t="shared" si="4"/>
        <v>0</v>
      </c>
      <c r="T4" s="272">
        <f t="shared" si="5"/>
        <v>0</v>
      </c>
      <c r="U4" s="268"/>
      <c r="V4" s="267"/>
    </row>
    <row r="5" spans="1:22">
      <c r="A5" s="267"/>
      <c r="B5" s="267"/>
      <c r="C5" s="268"/>
      <c r="D5" s="268"/>
      <c r="E5" s="268"/>
      <c r="F5" s="134"/>
      <c r="G5" s="268">
        <v>0</v>
      </c>
      <c r="H5" s="269">
        <v>0</v>
      </c>
      <c r="I5" s="270">
        <f t="shared" si="0"/>
        <v>0</v>
      </c>
      <c r="J5" s="269" t="s">
        <v>200</v>
      </c>
      <c r="K5" s="403" t="str">
        <f>'ONESheet 2.8'!BillingCountryCurrency</f>
        <v>USD</v>
      </c>
      <c r="L5" s="269">
        <v>1</v>
      </c>
      <c r="M5" s="271" cm="1">
        <f t="array" ref="M5">IF(A5&lt;&gt;"",IFERROR(INDEX('ONESheet 2.8'!AV:AV, MATCH(A5, 'ONESheet 2.8'!B:B, 0)+2),0),0)</f>
        <v>0</v>
      </c>
      <c r="N5" s="271">
        <f>IFERROR(IF(OR(ISBLANK(C5),C5='ONESheet 2.8'!CustomerCountry,COUNTIF(C5,"*xDC*")),0,10%),0)</f>
        <v>0</v>
      </c>
      <c r="O5" s="271" cm="1">
        <f t="array" ref="O5">IFERROR(INDEX(WHT!$C$7:$W$18,MATCH(
_xlfn.SWITCH(C5,"xDC Medellin","Colombia","xDC Belo Horizonte","Brazil","xDC Guadalajara","Mexico","xDC Gurugram","India","xDC Leon","Spain","xDC San Jose","Costa Rica","xDC Warsaw","Poland",C5),
WHT!$B$7:$B$18,0),MATCH('ONESheet 2.8'!CustomerCountry,WHT!$C$5:$W$5,0)),0)</f>
        <v>0</v>
      </c>
      <c r="P5" s="270">
        <f t="shared" si="1"/>
        <v>0</v>
      </c>
      <c r="Q5" s="272">
        <f t="shared" si="2"/>
        <v>0</v>
      </c>
      <c r="R5" s="272">
        <f t="shared" si="3"/>
        <v>0</v>
      </c>
      <c r="S5" s="272">
        <f t="shared" si="4"/>
        <v>0</v>
      </c>
      <c r="T5" s="272">
        <f t="shared" si="5"/>
        <v>0</v>
      </c>
      <c r="U5" s="268"/>
      <c r="V5" s="267"/>
    </row>
    <row r="6" spans="1:22">
      <c r="A6" s="267"/>
      <c r="B6" s="267"/>
      <c r="C6" s="268"/>
      <c r="D6" s="268"/>
      <c r="E6" s="268"/>
      <c r="F6" s="268"/>
      <c r="G6" s="268">
        <v>0</v>
      </c>
      <c r="H6" s="269">
        <v>0</v>
      </c>
      <c r="I6" s="270">
        <f t="shared" si="0"/>
        <v>0</v>
      </c>
      <c r="J6" s="269" t="s">
        <v>200</v>
      </c>
      <c r="K6" s="403" t="str">
        <f>'ONESheet 2.8'!BillingCountryCurrency</f>
        <v>USD</v>
      </c>
      <c r="L6" s="269">
        <v>1</v>
      </c>
      <c r="M6" s="271" cm="1">
        <f t="array" ref="M6">IF(A6&lt;&gt;"",IFERROR(INDEX('ONESheet 2.8'!AV:AV, MATCH(A6, 'ONESheet 2.8'!B:B, 0)+2),0),0)</f>
        <v>0</v>
      </c>
      <c r="N6" s="271">
        <f>IFERROR(IF(OR(ISBLANK(C6),C6='ONESheet 2.8'!CustomerCountry,COUNTIF(C6,"*xDC*")),0,10%),0)</f>
        <v>0</v>
      </c>
      <c r="O6" s="271" cm="1">
        <f t="array" ref="O6">IFERROR(INDEX(WHT!$C$7:$W$18,MATCH(
_xlfn.SWITCH(C6,"xDC Medellin","Colombia","xDC Belo Horizonte","Brazil","xDC Guadalajara","Mexico","xDC Gurugram","India","xDC Leon","Spain","xDC San Jose","Costa Rica","xDC Warsaw","Poland",C6),
WHT!$B$7:$B$18,0),MATCH('ONESheet 2.8'!CustomerCountry,WHT!$C$5:$W$5,0)),0)</f>
        <v>0</v>
      </c>
      <c r="P6" s="270">
        <f t="shared" si="1"/>
        <v>0</v>
      </c>
      <c r="Q6" s="272">
        <f t="shared" si="2"/>
        <v>0</v>
      </c>
      <c r="R6" s="272">
        <f t="shared" si="3"/>
        <v>0</v>
      </c>
      <c r="S6" s="272">
        <f t="shared" si="4"/>
        <v>0</v>
      </c>
      <c r="T6" s="272">
        <f t="shared" si="5"/>
        <v>0</v>
      </c>
      <c r="U6" s="268"/>
      <c r="V6" s="267"/>
    </row>
    <row r="7" spans="1:22">
      <c r="A7" s="267"/>
      <c r="B7" s="267"/>
      <c r="C7" s="268"/>
      <c r="D7" s="268"/>
      <c r="E7" s="268"/>
      <c r="F7" s="268"/>
      <c r="G7" s="268">
        <v>0</v>
      </c>
      <c r="H7" s="269">
        <v>0</v>
      </c>
      <c r="I7" s="270">
        <f t="shared" si="0"/>
        <v>0</v>
      </c>
      <c r="J7" s="269" t="s">
        <v>200</v>
      </c>
      <c r="K7" s="403" t="str">
        <f>'ONESheet 2.8'!BillingCountryCurrency</f>
        <v>USD</v>
      </c>
      <c r="L7" s="269">
        <v>1</v>
      </c>
      <c r="M7" s="271" cm="1">
        <f t="array" ref="M7">IF(A7&lt;&gt;"",IFERROR(INDEX('ONESheet 2.8'!AV:AV, MATCH(A7, 'ONESheet 2.8'!B:B, 0)+2),0),0)</f>
        <v>0</v>
      </c>
      <c r="N7" s="271">
        <f>IFERROR(IF(OR(ISBLANK(C7),C7='ONESheet 2.8'!CustomerCountry,COUNTIF(C7,"*xDC*")),0,10%),0)</f>
        <v>0</v>
      </c>
      <c r="O7" s="271" cm="1">
        <f t="array" ref="O7">IFERROR(INDEX(WHT!$C$7:$W$18,MATCH(
_xlfn.SWITCH(C7,"xDC Medellin","Colombia","xDC Belo Horizonte","Brazil","xDC Guadalajara","Mexico","xDC Gurugram","India","xDC Leon","Spain","xDC San Jose","Costa Rica","xDC Warsaw","Poland",C7),
WHT!$B$7:$B$18,0),MATCH('ONESheet 2.8'!CustomerCountry,WHT!$C$5:$W$5,0)),0)</f>
        <v>0</v>
      </c>
      <c r="P7" s="270">
        <f t="shared" si="1"/>
        <v>0</v>
      </c>
      <c r="Q7" s="272">
        <f t="shared" si="2"/>
        <v>0</v>
      </c>
      <c r="R7" s="272">
        <f t="shared" si="3"/>
        <v>0</v>
      </c>
      <c r="S7" s="272">
        <f t="shared" si="4"/>
        <v>0</v>
      </c>
      <c r="T7" s="272">
        <f t="shared" si="5"/>
        <v>0</v>
      </c>
      <c r="U7" s="268"/>
      <c r="V7" s="267"/>
    </row>
    <row r="8" spans="1:22">
      <c r="A8" s="267"/>
      <c r="B8" s="267"/>
      <c r="C8" s="268"/>
      <c r="D8" s="268"/>
      <c r="E8" s="268"/>
      <c r="F8" s="268"/>
      <c r="G8" s="268">
        <v>0</v>
      </c>
      <c r="H8" s="269">
        <v>0</v>
      </c>
      <c r="I8" s="270">
        <f t="shared" si="0"/>
        <v>0</v>
      </c>
      <c r="J8" s="269" t="s">
        <v>200</v>
      </c>
      <c r="K8" s="403" t="str">
        <f>'ONESheet 2.8'!BillingCountryCurrency</f>
        <v>USD</v>
      </c>
      <c r="L8" s="269">
        <v>1</v>
      </c>
      <c r="M8" s="271" cm="1">
        <f t="array" ref="M8">IF(A8&lt;&gt;"",IFERROR(INDEX('ONESheet 2.8'!AV:AV, MATCH(A8, 'ONESheet 2.8'!B:B, 0)+2),0),0)</f>
        <v>0</v>
      </c>
      <c r="N8" s="271">
        <f>IFERROR(IF(OR(ISBLANK(C8),C8='ONESheet 2.8'!CustomerCountry,COUNTIF(C8,"*xDC*")),0,10%),0)</f>
        <v>0</v>
      </c>
      <c r="O8" s="271" cm="1">
        <f t="array" ref="O8">IFERROR(INDEX(WHT!$C$7:$W$18,MATCH(
_xlfn.SWITCH(C8,"xDC Medellin","Colombia","xDC Belo Horizonte","Brazil","xDC Guadalajara","Mexico","xDC Gurugram","India","xDC Leon","Spain","xDC San Jose","Costa Rica","xDC Warsaw","Poland",C8),
WHT!$B$7:$B$18,0),MATCH('ONESheet 2.8'!CustomerCountry,WHT!$C$5:$W$5,0)),0)</f>
        <v>0</v>
      </c>
      <c r="P8" s="270">
        <f t="shared" si="1"/>
        <v>0</v>
      </c>
      <c r="Q8" s="272">
        <f t="shared" si="2"/>
        <v>0</v>
      </c>
      <c r="R8" s="272">
        <f t="shared" si="3"/>
        <v>0</v>
      </c>
      <c r="S8" s="272">
        <f t="shared" si="4"/>
        <v>0</v>
      </c>
      <c r="T8" s="272">
        <f t="shared" si="5"/>
        <v>0</v>
      </c>
      <c r="U8" s="268"/>
      <c r="V8" s="267"/>
    </row>
    <row r="9" spans="1:22">
      <c r="A9" s="267"/>
      <c r="B9" s="267"/>
      <c r="C9" s="268"/>
      <c r="D9" s="268"/>
      <c r="E9" s="268"/>
      <c r="F9" s="268"/>
      <c r="G9" s="268">
        <v>0</v>
      </c>
      <c r="H9" s="269">
        <v>0</v>
      </c>
      <c r="I9" s="270">
        <f t="shared" si="0"/>
        <v>0</v>
      </c>
      <c r="J9" s="269" t="s">
        <v>200</v>
      </c>
      <c r="K9" s="403" t="str">
        <f>'ONESheet 2.8'!BillingCountryCurrency</f>
        <v>USD</v>
      </c>
      <c r="L9" s="269">
        <v>1</v>
      </c>
      <c r="M9" s="271" cm="1">
        <f t="array" ref="M9">IF(A9&lt;&gt;"",IFERROR(INDEX('ONESheet 2.8'!AV:AV, MATCH(A9, 'ONESheet 2.8'!B:B, 0)+2),0),0)</f>
        <v>0</v>
      </c>
      <c r="N9" s="271">
        <f>IFERROR(IF(OR(ISBLANK(C9),C9='ONESheet 2.8'!CustomerCountry,COUNTIF(C9,"*xDC*")),0,10%),0)</f>
        <v>0</v>
      </c>
      <c r="O9" s="271" cm="1">
        <f t="array" ref="O9">IFERROR(INDEX(WHT!$C$7:$W$18,MATCH(
_xlfn.SWITCH(C9,"xDC Medellin","Colombia","xDC Belo Horizonte","Brazil","xDC Guadalajara","Mexico","xDC Gurugram","India","xDC Leon","Spain","xDC San Jose","Costa Rica","xDC Warsaw","Poland",C9),
WHT!$B$7:$B$18,0),MATCH('ONESheet 2.8'!CustomerCountry,WHT!$C$5:$W$5,0)),0)</f>
        <v>0</v>
      </c>
      <c r="P9" s="270">
        <f t="shared" si="1"/>
        <v>0</v>
      </c>
      <c r="Q9" s="272">
        <f t="shared" si="2"/>
        <v>0</v>
      </c>
      <c r="R9" s="272">
        <f t="shared" si="3"/>
        <v>0</v>
      </c>
      <c r="S9" s="272">
        <f t="shared" si="4"/>
        <v>0</v>
      </c>
      <c r="T9" s="272">
        <f t="shared" si="5"/>
        <v>0</v>
      </c>
      <c r="U9" s="268"/>
      <c r="V9" s="267"/>
    </row>
    <row r="10" spans="1:22">
      <c r="A10" s="267"/>
      <c r="B10" s="267"/>
      <c r="C10" s="268"/>
      <c r="D10" s="268"/>
      <c r="E10" s="268"/>
      <c r="F10" s="268"/>
      <c r="G10" s="268">
        <v>0</v>
      </c>
      <c r="H10" s="269">
        <v>0</v>
      </c>
      <c r="I10" s="270">
        <f t="shared" si="0"/>
        <v>0</v>
      </c>
      <c r="J10" s="269" t="s">
        <v>200</v>
      </c>
      <c r="K10" s="403" t="str">
        <f>'ONESheet 2.8'!BillingCountryCurrency</f>
        <v>USD</v>
      </c>
      <c r="L10" s="269">
        <v>1</v>
      </c>
      <c r="M10" s="271" cm="1">
        <f t="array" ref="M10">IF(A10&lt;&gt;"",IFERROR(INDEX('ONESheet 2.8'!AV:AV, MATCH(A10, 'ONESheet 2.8'!B:B, 0)+2),0),0)</f>
        <v>0</v>
      </c>
      <c r="N10" s="271">
        <f>IFERROR(IF(OR(ISBLANK(C10),C10='ONESheet 2.8'!CustomerCountry,COUNTIF(C10,"*xDC*")),0,10%),0)</f>
        <v>0</v>
      </c>
      <c r="O10" s="271" cm="1">
        <f t="array" ref="O10">IFERROR(INDEX(WHT!$C$7:$W$18,MATCH(
_xlfn.SWITCH(C10,"xDC Medellin","Colombia","xDC Belo Horizonte","Brazil","xDC Guadalajara","Mexico","xDC Gurugram","India","xDC Leon","Spain","xDC San Jose","Costa Rica","xDC Warsaw","Poland",C10),
WHT!$B$7:$B$18,0),MATCH('ONESheet 2.8'!CustomerCountry,WHT!$C$5:$W$5,0)),0)</f>
        <v>0</v>
      </c>
      <c r="P10" s="270">
        <f t="shared" si="1"/>
        <v>0</v>
      </c>
      <c r="Q10" s="272">
        <f t="shared" si="2"/>
        <v>0</v>
      </c>
      <c r="R10" s="272">
        <f t="shared" si="3"/>
        <v>0</v>
      </c>
      <c r="S10" s="272">
        <f t="shared" si="4"/>
        <v>0</v>
      </c>
      <c r="T10" s="272">
        <f t="shared" si="5"/>
        <v>0</v>
      </c>
      <c r="U10" s="268"/>
      <c r="V10" s="267"/>
    </row>
    <row r="11" spans="1:22">
      <c r="A11" s="267"/>
      <c r="B11" s="267"/>
      <c r="C11" s="268"/>
      <c r="D11" s="268"/>
      <c r="E11" s="268"/>
      <c r="F11" s="268"/>
      <c r="G11" s="268">
        <v>0</v>
      </c>
      <c r="H11" s="269">
        <v>0</v>
      </c>
      <c r="I11" s="270">
        <f t="shared" si="0"/>
        <v>0</v>
      </c>
      <c r="J11" s="269" t="s">
        <v>200</v>
      </c>
      <c r="K11" s="403" t="str">
        <f>'ONESheet 2.8'!BillingCountryCurrency</f>
        <v>USD</v>
      </c>
      <c r="L11" s="269">
        <v>1</v>
      </c>
      <c r="M11" s="271" cm="1">
        <f t="array" ref="M11">IF(A11&lt;&gt;"",IFERROR(INDEX('ONESheet 2.8'!AV:AV, MATCH(A11, 'ONESheet 2.8'!B:B, 0)+2),0),0)</f>
        <v>0</v>
      </c>
      <c r="N11" s="271">
        <f>IFERROR(IF(OR(ISBLANK(C11),C11='ONESheet 2.8'!CustomerCountry,COUNTIF(C11,"*xDC*")),0,10%),0)</f>
        <v>0</v>
      </c>
      <c r="O11" s="271" cm="1">
        <f t="array" ref="O11">IFERROR(INDEX(WHT!$C$7:$W$18,MATCH(
_xlfn.SWITCH(C11,"xDC Medellin","Colombia","xDC Belo Horizonte","Brazil","xDC Guadalajara","Mexico","xDC Gurugram","India","xDC Leon","Spain","xDC San Jose","Costa Rica","xDC Warsaw","Poland",C11),
WHT!$B$7:$B$18,0),MATCH('ONESheet 2.8'!CustomerCountry,WHT!$C$5:$W$5,0)),0)</f>
        <v>0</v>
      </c>
      <c r="P11" s="270">
        <f t="shared" si="1"/>
        <v>0</v>
      </c>
      <c r="Q11" s="272">
        <f t="shared" si="2"/>
        <v>0</v>
      </c>
      <c r="R11" s="272">
        <f t="shared" si="3"/>
        <v>0</v>
      </c>
      <c r="S11" s="272">
        <f t="shared" si="4"/>
        <v>0</v>
      </c>
      <c r="T11" s="272">
        <f t="shared" si="5"/>
        <v>0</v>
      </c>
      <c r="U11" s="268"/>
      <c r="V11" s="267"/>
    </row>
    <row r="12" spans="1:22">
      <c r="A12" s="267"/>
      <c r="B12" s="267"/>
      <c r="C12" s="268"/>
      <c r="D12" s="268"/>
      <c r="E12" s="268"/>
      <c r="F12" s="268"/>
      <c r="G12" s="268">
        <v>0</v>
      </c>
      <c r="H12" s="269">
        <v>0</v>
      </c>
      <c r="I12" s="270">
        <f t="shared" si="0"/>
        <v>0</v>
      </c>
      <c r="J12" s="269" t="s">
        <v>200</v>
      </c>
      <c r="K12" s="403" t="str">
        <f>'ONESheet 2.8'!BillingCountryCurrency</f>
        <v>USD</v>
      </c>
      <c r="L12" s="269">
        <v>1</v>
      </c>
      <c r="M12" s="271" cm="1">
        <f t="array" ref="M12">IF(A12&lt;&gt;"",IFERROR(INDEX('ONESheet 2.8'!AV:AV, MATCH(A12, 'ONESheet 2.8'!B:B, 0)+2),0),0)</f>
        <v>0</v>
      </c>
      <c r="N12" s="271">
        <f>IFERROR(IF(OR(ISBLANK(C12),C12='ONESheet 2.8'!CustomerCountry,COUNTIF(C12,"*xDC*")),0,10%),0)</f>
        <v>0</v>
      </c>
      <c r="O12" s="271" cm="1">
        <f t="array" ref="O12">IFERROR(INDEX(WHT!$C$7:$W$18,MATCH(
_xlfn.SWITCH(C12,"xDC Medellin","Colombia","xDC Belo Horizonte","Brazil","xDC Guadalajara","Mexico","xDC Gurugram","India","xDC Leon","Spain","xDC San Jose","Costa Rica","xDC Warsaw","Poland",C12),
WHT!$B$7:$B$18,0),MATCH('ONESheet 2.8'!CustomerCountry,WHT!$C$5:$W$5,0)),0)</f>
        <v>0</v>
      </c>
      <c r="P12" s="270">
        <f t="shared" si="1"/>
        <v>0</v>
      </c>
      <c r="Q12" s="272">
        <f t="shared" si="2"/>
        <v>0</v>
      </c>
      <c r="R12" s="272">
        <f t="shared" si="3"/>
        <v>0</v>
      </c>
      <c r="S12" s="272">
        <f t="shared" si="4"/>
        <v>0</v>
      </c>
      <c r="T12" s="272">
        <f t="shared" si="5"/>
        <v>0</v>
      </c>
      <c r="U12" s="268"/>
      <c r="V12" s="267"/>
    </row>
    <row r="13" spans="1:22">
      <c r="A13" s="267"/>
      <c r="B13" s="267"/>
      <c r="C13" s="268"/>
      <c r="D13" s="268"/>
      <c r="E13" s="268"/>
      <c r="F13" s="268"/>
      <c r="G13" s="268">
        <v>0</v>
      </c>
      <c r="H13" s="269">
        <v>0</v>
      </c>
      <c r="I13" s="270">
        <f t="shared" si="0"/>
        <v>0</v>
      </c>
      <c r="J13" s="269" t="s">
        <v>200</v>
      </c>
      <c r="K13" s="403" t="str">
        <f>'ONESheet 2.8'!BillingCountryCurrency</f>
        <v>USD</v>
      </c>
      <c r="L13" s="269">
        <v>1</v>
      </c>
      <c r="M13" s="271" cm="1">
        <f t="array" ref="M13">IF(A13&lt;&gt;"",IFERROR(INDEX('ONESheet 2.8'!AV:AV, MATCH(A13, 'ONESheet 2.8'!B:B, 0)+2),0),0)</f>
        <v>0</v>
      </c>
      <c r="N13" s="271">
        <f>IFERROR(IF(OR(ISBLANK(C13),C13='ONESheet 2.8'!CustomerCountry,COUNTIF(C13,"*xDC*")),0,10%),0)</f>
        <v>0</v>
      </c>
      <c r="O13" s="271" cm="1">
        <f t="array" ref="O13">IFERROR(INDEX(WHT!$C$7:$W$18,MATCH(
_xlfn.SWITCH(C13,"xDC Medellin","Colombia","xDC Belo Horizonte","Brazil","xDC Guadalajara","Mexico","xDC Gurugram","India","xDC Leon","Spain","xDC San Jose","Costa Rica","xDC Warsaw","Poland",C13),
WHT!$B$7:$B$18,0),MATCH('ONESheet 2.8'!CustomerCountry,WHT!$C$5:$W$5,0)),0)</f>
        <v>0</v>
      </c>
      <c r="P13" s="270">
        <f t="shared" si="1"/>
        <v>0</v>
      </c>
      <c r="Q13" s="272">
        <f t="shared" si="2"/>
        <v>0</v>
      </c>
      <c r="R13" s="272">
        <f t="shared" si="3"/>
        <v>0</v>
      </c>
      <c r="S13" s="272">
        <f t="shared" si="4"/>
        <v>0</v>
      </c>
      <c r="T13" s="272">
        <f t="shared" si="5"/>
        <v>0</v>
      </c>
      <c r="U13" s="268"/>
      <c r="V13" s="267"/>
    </row>
    <row r="14" spans="1:22">
      <c r="A14" s="267"/>
      <c r="B14" s="267"/>
      <c r="C14" s="268"/>
      <c r="D14" s="268"/>
      <c r="E14" s="268"/>
      <c r="F14" s="268"/>
      <c r="G14" s="268">
        <v>0</v>
      </c>
      <c r="H14" s="269">
        <v>0</v>
      </c>
      <c r="I14" s="270">
        <f t="shared" si="0"/>
        <v>0</v>
      </c>
      <c r="J14" s="269" t="s">
        <v>200</v>
      </c>
      <c r="K14" s="403" t="str">
        <f>'ONESheet 2.8'!BillingCountryCurrency</f>
        <v>USD</v>
      </c>
      <c r="L14" s="269">
        <v>1</v>
      </c>
      <c r="M14" s="271" cm="1">
        <f t="array" ref="M14">IF(A14&lt;&gt;"",IFERROR(INDEX('ONESheet 2.8'!AV:AV, MATCH(A14, 'ONESheet 2.8'!B:B, 0)+2),0),0)</f>
        <v>0</v>
      </c>
      <c r="N14" s="271">
        <f>IFERROR(IF(OR(ISBLANK(C14),C14='ONESheet 2.8'!CustomerCountry,COUNTIF(C14,"*xDC*")),0,10%),0)</f>
        <v>0</v>
      </c>
      <c r="O14" s="271" cm="1">
        <f t="array" ref="O14">IFERROR(INDEX(WHT!$C$7:$W$18,MATCH(
_xlfn.SWITCH(C14,"xDC Medellin","Colombia","xDC Belo Horizonte","Brazil","xDC Guadalajara","Mexico","xDC Gurugram","India","xDC Leon","Spain","xDC San Jose","Costa Rica","xDC Warsaw","Poland",C14),
WHT!$B$7:$B$18,0),MATCH('ONESheet 2.8'!CustomerCountry,WHT!$C$5:$W$5,0)),0)</f>
        <v>0</v>
      </c>
      <c r="P14" s="270">
        <f t="shared" si="1"/>
        <v>0</v>
      </c>
      <c r="Q14" s="272">
        <f t="shared" si="2"/>
        <v>0</v>
      </c>
      <c r="R14" s="272">
        <f t="shared" si="3"/>
        <v>0</v>
      </c>
      <c r="S14" s="272">
        <f t="shared" si="4"/>
        <v>0</v>
      </c>
      <c r="T14" s="272">
        <f t="shared" si="5"/>
        <v>0</v>
      </c>
      <c r="U14" s="268"/>
      <c r="V14" s="267"/>
    </row>
    <row r="15" spans="1:22">
      <c r="A15" s="267"/>
      <c r="B15" s="267"/>
      <c r="C15" s="268"/>
      <c r="D15" s="268"/>
      <c r="E15" s="268"/>
      <c r="F15" s="268"/>
      <c r="G15" s="268">
        <v>0</v>
      </c>
      <c r="H15" s="269">
        <v>0</v>
      </c>
      <c r="I15" s="270">
        <f t="shared" si="0"/>
        <v>0</v>
      </c>
      <c r="J15" s="269" t="s">
        <v>200</v>
      </c>
      <c r="K15" s="403" t="str">
        <f>'ONESheet 2.8'!BillingCountryCurrency</f>
        <v>USD</v>
      </c>
      <c r="L15" s="269">
        <v>1</v>
      </c>
      <c r="M15" s="271" cm="1">
        <f t="array" ref="M15">IF(A15&lt;&gt;"",IFERROR(INDEX('ONESheet 2.8'!AV:AV, MATCH(A15, 'ONESheet 2.8'!B:B, 0)+2),0),0)</f>
        <v>0</v>
      </c>
      <c r="N15" s="271">
        <f>IFERROR(IF(OR(ISBLANK(C15),C15='ONESheet 2.8'!CustomerCountry,COUNTIF(C15,"*xDC*")),0,10%),0)</f>
        <v>0</v>
      </c>
      <c r="O15" s="271" cm="1">
        <f t="array" ref="O15">IFERROR(INDEX(WHT!$C$7:$W$18,MATCH(
_xlfn.SWITCH(C15,"xDC Medellin","Colombia","xDC Belo Horizonte","Brazil","xDC Guadalajara","Mexico","xDC Gurugram","India","xDC Leon","Spain","xDC San Jose","Costa Rica","xDC Warsaw","Poland",C15),
WHT!$B$7:$B$18,0),MATCH('ONESheet 2.8'!CustomerCountry,WHT!$C$5:$W$5,0)),0)</f>
        <v>0</v>
      </c>
      <c r="P15" s="270">
        <f t="shared" si="1"/>
        <v>0</v>
      </c>
      <c r="Q15" s="272">
        <f t="shared" si="2"/>
        <v>0</v>
      </c>
      <c r="R15" s="272">
        <f t="shared" si="3"/>
        <v>0</v>
      </c>
      <c r="S15" s="272">
        <f t="shared" si="4"/>
        <v>0</v>
      </c>
      <c r="T15" s="272">
        <f t="shared" si="5"/>
        <v>0</v>
      </c>
      <c r="U15" s="268"/>
      <c r="V15" s="267"/>
    </row>
    <row r="16" spans="1:22">
      <c r="A16" s="267"/>
      <c r="B16" s="267"/>
      <c r="C16" s="268"/>
      <c r="D16" s="268"/>
      <c r="E16" s="268"/>
      <c r="F16" s="268"/>
      <c r="G16" s="268">
        <v>0</v>
      </c>
      <c r="H16" s="269">
        <v>0</v>
      </c>
      <c r="I16" s="270">
        <f t="shared" si="0"/>
        <v>0</v>
      </c>
      <c r="J16" s="269" t="s">
        <v>200</v>
      </c>
      <c r="K16" s="403" t="str">
        <f>'ONESheet 2.8'!BillingCountryCurrency</f>
        <v>USD</v>
      </c>
      <c r="L16" s="269">
        <v>1</v>
      </c>
      <c r="M16" s="271" cm="1">
        <f t="array" ref="M16">IF(A16&lt;&gt;"",IFERROR(INDEX('ONESheet 2.8'!AV:AV, MATCH(A16, 'ONESheet 2.8'!B:B, 0)+2),0),0)</f>
        <v>0</v>
      </c>
      <c r="N16" s="271">
        <f>IFERROR(IF(OR(ISBLANK(C16),C16='ONESheet 2.8'!CustomerCountry,COUNTIF(C16,"*xDC*")),0,10%),0)</f>
        <v>0</v>
      </c>
      <c r="O16" s="271" cm="1">
        <f t="array" ref="O16">IFERROR(INDEX(WHT!$C$7:$W$18,MATCH(
_xlfn.SWITCH(C16,"xDC Medellin","Colombia","xDC Belo Horizonte","Brazil","xDC Guadalajara","Mexico","xDC Gurugram","India","xDC Leon","Spain","xDC San Jose","Costa Rica","xDC Warsaw","Poland",C16),
WHT!$B$7:$B$18,0),MATCH('ONESheet 2.8'!CustomerCountry,WHT!$C$5:$W$5,0)),0)</f>
        <v>0</v>
      </c>
      <c r="P16" s="270">
        <f t="shared" si="1"/>
        <v>0</v>
      </c>
      <c r="Q16" s="272">
        <f t="shared" si="2"/>
        <v>0</v>
      </c>
      <c r="R16" s="272">
        <f t="shared" si="3"/>
        <v>0</v>
      </c>
      <c r="S16" s="272">
        <f t="shared" si="4"/>
        <v>0</v>
      </c>
      <c r="T16" s="272">
        <f t="shared" si="5"/>
        <v>0</v>
      </c>
      <c r="U16" s="268"/>
      <c r="V16" s="267"/>
    </row>
    <row r="17" spans="1:22">
      <c r="A17" s="267"/>
      <c r="B17" s="267"/>
      <c r="C17" s="268"/>
      <c r="D17" s="268"/>
      <c r="E17" s="268"/>
      <c r="F17" s="268"/>
      <c r="G17" s="268">
        <v>0</v>
      </c>
      <c r="H17" s="269">
        <v>0</v>
      </c>
      <c r="I17" s="270">
        <f t="shared" si="0"/>
        <v>0</v>
      </c>
      <c r="J17" s="269" t="s">
        <v>200</v>
      </c>
      <c r="K17" s="403" t="str">
        <f>'ONESheet 2.8'!BillingCountryCurrency</f>
        <v>USD</v>
      </c>
      <c r="L17" s="269">
        <v>1</v>
      </c>
      <c r="M17" s="271" cm="1">
        <f t="array" ref="M17">IF(A17&lt;&gt;"",IFERROR(INDEX('ONESheet 2.8'!AV:AV, MATCH(A17, 'ONESheet 2.8'!B:B, 0)+2),0),0)</f>
        <v>0</v>
      </c>
      <c r="N17" s="271">
        <f>IFERROR(IF(OR(ISBLANK(C17),C17='ONESheet 2.8'!CustomerCountry,COUNTIF(C17,"*xDC*")),0,10%),0)</f>
        <v>0</v>
      </c>
      <c r="O17" s="271" cm="1">
        <f t="array" ref="O17">IFERROR(INDEX(WHT!$C$7:$W$18,MATCH(
_xlfn.SWITCH(C17,"xDC Medellin","Colombia","xDC Belo Horizonte","Brazil","xDC Guadalajara","Mexico","xDC Gurugram","India","xDC Leon","Spain","xDC San Jose","Costa Rica","xDC Warsaw","Poland",C17),
WHT!$B$7:$B$18,0),MATCH('ONESheet 2.8'!CustomerCountry,WHT!$C$5:$W$5,0)),0)</f>
        <v>0</v>
      </c>
      <c r="P17" s="270">
        <f t="shared" si="1"/>
        <v>0</v>
      </c>
      <c r="Q17" s="272">
        <f t="shared" si="2"/>
        <v>0</v>
      </c>
      <c r="R17" s="272">
        <f t="shared" si="3"/>
        <v>0</v>
      </c>
      <c r="S17" s="272">
        <f t="shared" si="4"/>
        <v>0</v>
      </c>
      <c r="T17" s="272">
        <f t="shared" si="5"/>
        <v>0</v>
      </c>
      <c r="U17" s="268"/>
      <c r="V17" s="267"/>
    </row>
    <row r="18" spans="1:22">
      <c r="A18" s="267"/>
      <c r="B18" s="267"/>
      <c r="C18" s="268"/>
      <c r="D18" s="268"/>
      <c r="E18" s="268"/>
      <c r="F18" s="268"/>
      <c r="G18" s="268">
        <v>0</v>
      </c>
      <c r="H18" s="269">
        <v>0</v>
      </c>
      <c r="I18" s="270">
        <f t="shared" si="0"/>
        <v>0</v>
      </c>
      <c r="J18" s="269" t="s">
        <v>200</v>
      </c>
      <c r="K18" s="403" t="str">
        <f>'ONESheet 2.8'!BillingCountryCurrency</f>
        <v>USD</v>
      </c>
      <c r="L18" s="269">
        <v>1</v>
      </c>
      <c r="M18" s="271" cm="1">
        <f t="array" ref="M18">IF(A18&lt;&gt;"",IFERROR(INDEX('ONESheet 2.8'!AV:AV, MATCH(A18, 'ONESheet 2.8'!B:B, 0)+2),0),0)</f>
        <v>0</v>
      </c>
      <c r="N18" s="271">
        <f>IFERROR(IF(OR(ISBLANK(C18),C18='ONESheet 2.8'!CustomerCountry,COUNTIF(C18,"*xDC*")),0,10%),0)</f>
        <v>0</v>
      </c>
      <c r="O18" s="271" cm="1">
        <f t="array" ref="O18">IFERROR(INDEX(WHT!$C$7:$W$18,MATCH(
_xlfn.SWITCH(C18,"xDC Medellin","Colombia","xDC Belo Horizonte","Brazil","xDC Guadalajara","Mexico","xDC Gurugram","India","xDC Leon","Spain","xDC San Jose","Costa Rica","xDC Warsaw","Poland",C18),
WHT!$B$7:$B$18,0),MATCH('ONESheet 2.8'!CustomerCountry,WHT!$C$5:$W$5,0)),0)</f>
        <v>0</v>
      </c>
      <c r="P18" s="270">
        <f t="shared" si="1"/>
        <v>0</v>
      </c>
      <c r="Q18" s="272">
        <f t="shared" si="2"/>
        <v>0</v>
      </c>
      <c r="R18" s="272">
        <f t="shared" si="3"/>
        <v>0</v>
      </c>
      <c r="S18" s="272">
        <f t="shared" si="4"/>
        <v>0</v>
      </c>
      <c r="T18" s="272">
        <f t="shared" si="5"/>
        <v>0</v>
      </c>
      <c r="U18" s="268"/>
      <c r="V18" s="267"/>
    </row>
    <row r="19" spans="1:22">
      <c r="A19" s="267"/>
      <c r="B19" s="267"/>
      <c r="C19" s="268"/>
      <c r="D19" s="268"/>
      <c r="E19" s="268"/>
      <c r="F19" s="268"/>
      <c r="G19" s="268">
        <v>0</v>
      </c>
      <c r="H19" s="269">
        <v>0</v>
      </c>
      <c r="I19" s="270">
        <f t="shared" si="0"/>
        <v>0</v>
      </c>
      <c r="J19" s="269" t="s">
        <v>200</v>
      </c>
      <c r="K19" s="403" t="str">
        <f>'ONESheet 2.8'!BillingCountryCurrency</f>
        <v>USD</v>
      </c>
      <c r="L19" s="269">
        <v>1</v>
      </c>
      <c r="M19" s="271" cm="1">
        <f t="array" ref="M19">IF(A19&lt;&gt;"",IFERROR(INDEX('ONESheet 2.8'!AV:AV, MATCH(A19, 'ONESheet 2.8'!B:B, 0)+2),0),0)</f>
        <v>0</v>
      </c>
      <c r="N19" s="271">
        <f>IFERROR(IF(OR(ISBLANK(C19),C19='ONESheet 2.8'!CustomerCountry,COUNTIF(C19,"*xDC*")),0,10%),0)</f>
        <v>0</v>
      </c>
      <c r="O19" s="271" cm="1">
        <f t="array" ref="O19">IFERROR(INDEX(WHT!$C$7:$W$18,MATCH(
_xlfn.SWITCH(C19,"xDC Medellin","Colombia","xDC Belo Horizonte","Brazil","xDC Guadalajara","Mexico","xDC Gurugram","India","xDC Leon","Spain","xDC San Jose","Costa Rica","xDC Warsaw","Poland",C19),
WHT!$B$7:$B$18,0),MATCH('ONESheet 2.8'!CustomerCountry,WHT!$C$5:$W$5,0)),0)</f>
        <v>0</v>
      </c>
      <c r="P19" s="270">
        <f t="shared" si="1"/>
        <v>0</v>
      </c>
      <c r="Q19" s="272">
        <f t="shared" si="2"/>
        <v>0</v>
      </c>
      <c r="R19" s="272">
        <f t="shared" si="3"/>
        <v>0</v>
      </c>
      <c r="S19" s="272">
        <f t="shared" si="4"/>
        <v>0</v>
      </c>
      <c r="T19" s="272">
        <f t="shared" si="5"/>
        <v>0</v>
      </c>
      <c r="U19" s="268"/>
      <c r="V19" s="267"/>
    </row>
    <row r="20" spans="1:22">
      <c r="A20" s="267"/>
      <c r="B20" s="267"/>
      <c r="C20" s="268"/>
      <c r="D20" s="268"/>
      <c r="E20" s="268"/>
      <c r="F20" s="268"/>
      <c r="G20" s="268">
        <v>0</v>
      </c>
      <c r="H20" s="269">
        <v>0</v>
      </c>
      <c r="I20" s="270">
        <f t="shared" si="0"/>
        <v>0</v>
      </c>
      <c r="J20" s="269" t="s">
        <v>200</v>
      </c>
      <c r="K20" s="403" t="str">
        <f>'ONESheet 2.8'!BillingCountryCurrency</f>
        <v>USD</v>
      </c>
      <c r="L20" s="269">
        <v>1</v>
      </c>
      <c r="M20" s="271" cm="1">
        <f t="array" ref="M20">IF(A20&lt;&gt;"",IFERROR(INDEX('ONESheet 2.8'!AV:AV, MATCH(A20, 'ONESheet 2.8'!B:B, 0)+2),0),0)</f>
        <v>0</v>
      </c>
      <c r="N20" s="271">
        <f>IFERROR(IF(OR(ISBLANK(C20),C20='ONESheet 2.8'!CustomerCountry,COUNTIF(C20,"*xDC*")),0,10%),0)</f>
        <v>0</v>
      </c>
      <c r="O20" s="271" cm="1">
        <f t="array" ref="O20">IFERROR(INDEX(WHT!$C$7:$W$18,MATCH(
_xlfn.SWITCH(C20,"xDC Medellin","Colombia","xDC Belo Horizonte","Brazil","xDC Guadalajara","Mexico","xDC Gurugram","India","xDC Leon","Spain","xDC San Jose","Costa Rica","xDC Warsaw","Poland",C20),
WHT!$B$7:$B$18,0),MATCH('ONESheet 2.8'!CustomerCountry,WHT!$C$5:$W$5,0)),0)</f>
        <v>0</v>
      </c>
      <c r="P20" s="270">
        <f t="shared" si="1"/>
        <v>0</v>
      </c>
      <c r="Q20" s="272">
        <f t="shared" si="2"/>
        <v>0</v>
      </c>
      <c r="R20" s="272">
        <f t="shared" si="3"/>
        <v>0</v>
      </c>
      <c r="S20" s="272">
        <f t="shared" si="4"/>
        <v>0</v>
      </c>
      <c r="T20" s="272">
        <f t="shared" si="5"/>
        <v>0</v>
      </c>
      <c r="U20" s="268"/>
      <c r="V20" s="267"/>
    </row>
    <row r="21" spans="1:22">
      <c r="A21" s="267"/>
      <c r="B21" s="267"/>
      <c r="C21" s="268"/>
      <c r="D21" s="268"/>
      <c r="E21" s="268"/>
      <c r="F21" s="268"/>
      <c r="G21" s="268">
        <v>0</v>
      </c>
      <c r="H21" s="269">
        <v>0</v>
      </c>
      <c r="I21" s="270">
        <f t="shared" si="0"/>
        <v>0</v>
      </c>
      <c r="J21" s="269" t="s">
        <v>200</v>
      </c>
      <c r="K21" s="403" t="str">
        <f>'ONESheet 2.8'!BillingCountryCurrency</f>
        <v>USD</v>
      </c>
      <c r="L21" s="269">
        <v>1</v>
      </c>
      <c r="M21" s="271" cm="1">
        <f t="array" ref="M21">IF(A21&lt;&gt;"",IFERROR(INDEX('ONESheet 2.8'!AV:AV, MATCH(A21, 'ONESheet 2.8'!B:B, 0)+2),0),0)</f>
        <v>0</v>
      </c>
      <c r="N21" s="271">
        <f>IFERROR(IF(OR(ISBLANK(C21),C21='ONESheet 2.8'!CustomerCountry,COUNTIF(C21,"*xDC*")),0,10%),0)</f>
        <v>0</v>
      </c>
      <c r="O21" s="271" cm="1">
        <f t="array" ref="O21">IFERROR(INDEX(WHT!$C$7:$W$18,MATCH(
_xlfn.SWITCH(C21,"xDC Medellin","Colombia","xDC Belo Horizonte","Brazil","xDC Guadalajara","Mexico","xDC Gurugram","India","xDC Leon","Spain","xDC San Jose","Costa Rica","xDC Warsaw","Poland",C21),
WHT!$B$7:$B$18,0),MATCH('ONESheet 2.8'!CustomerCountry,WHT!$C$5:$W$5,0)),0)</f>
        <v>0</v>
      </c>
      <c r="P21" s="270">
        <f t="shared" si="1"/>
        <v>0</v>
      </c>
      <c r="Q21" s="272">
        <f t="shared" si="2"/>
        <v>0</v>
      </c>
      <c r="R21" s="272">
        <f t="shared" si="3"/>
        <v>0</v>
      </c>
      <c r="S21" s="272">
        <f t="shared" si="4"/>
        <v>0</v>
      </c>
      <c r="T21" s="272">
        <f t="shared" si="5"/>
        <v>0</v>
      </c>
      <c r="U21" s="268"/>
      <c r="V21" s="267"/>
    </row>
    <row r="22" spans="1:22">
      <c r="A22" s="267"/>
      <c r="B22" s="267"/>
      <c r="C22" s="268"/>
      <c r="D22" s="268"/>
      <c r="E22" s="268"/>
      <c r="F22" s="268"/>
      <c r="G22" s="268">
        <v>0</v>
      </c>
      <c r="H22" s="269">
        <v>0</v>
      </c>
      <c r="I22" s="270">
        <f t="shared" si="0"/>
        <v>0</v>
      </c>
      <c r="J22" s="269" t="s">
        <v>200</v>
      </c>
      <c r="K22" s="403" t="str">
        <f>'ONESheet 2.8'!BillingCountryCurrency</f>
        <v>USD</v>
      </c>
      <c r="L22" s="269">
        <v>1</v>
      </c>
      <c r="M22" s="271" cm="1">
        <f t="array" ref="M22">IF(A22&lt;&gt;"",IFERROR(INDEX('ONESheet 2.8'!AV:AV, MATCH(A22, 'ONESheet 2.8'!B:B, 0)+2),0),0)</f>
        <v>0</v>
      </c>
      <c r="N22" s="271">
        <f>IFERROR(IF(OR(ISBLANK(C22),C22='ONESheet 2.8'!CustomerCountry,COUNTIF(C22,"*xDC*")),0,10%),0)</f>
        <v>0</v>
      </c>
      <c r="O22" s="271" cm="1">
        <f t="array" ref="O22">IFERROR(INDEX(WHT!$C$7:$W$18,MATCH(
_xlfn.SWITCH(C22,"xDC Medellin","Colombia","xDC Belo Horizonte","Brazil","xDC Guadalajara","Mexico","xDC Gurugram","India","xDC Leon","Spain","xDC San Jose","Costa Rica","xDC Warsaw","Poland",C22),
WHT!$B$7:$B$18,0),MATCH('ONESheet 2.8'!CustomerCountry,WHT!$C$5:$W$5,0)),0)</f>
        <v>0</v>
      </c>
      <c r="P22" s="270">
        <f t="shared" si="1"/>
        <v>0</v>
      </c>
      <c r="Q22" s="272">
        <f t="shared" si="2"/>
        <v>0</v>
      </c>
      <c r="R22" s="272">
        <f t="shared" si="3"/>
        <v>0</v>
      </c>
      <c r="S22" s="272">
        <f t="shared" si="4"/>
        <v>0</v>
      </c>
      <c r="T22" s="272">
        <f t="shared" si="5"/>
        <v>0</v>
      </c>
      <c r="U22" s="268"/>
      <c r="V22" s="267"/>
    </row>
    <row r="23" spans="1:22">
      <c r="A23" s="267"/>
      <c r="B23" s="267"/>
      <c r="C23" s="268"/>
      <c r="D23" s="268"/>
      <c r="E23" s="268"/>
      <c r="F23" s="268"/>
      <c r="G23" s="268">
        <v>0</v>
      </c>
      <c r="H23" s="269">
        <v>0</v>
      </c>
      <c r="I23" s="270">
        <f t="shared" si="0"/>
        <v>0</v>
      </c>
      <c r="J23" s="269" t="s">
        <v>200</v>
      </c>
      <c r="K23" s="403" t="str">
        <f>'ONESheet 2.8'!BillingCountryCurrency</f>
        <v>USD</v>
      </c>
      <c r="L23" s="269">
        <v>1</v>
      </c>
      <c r="M23" s="271" cm="1">
        <f t="array" ref="M23">IF(A23&lt;&gt;"",IFERROR(INDEX('ONESheet 2.8'!AV:AV, MATCH(A23, 'ONESheet 2.8'!B:B, 0)+2),0),0)</f>
        <v>0</v>
      </c>
      <c r="N23" s="271">
        <f>IFERROR(IF(OR(ISBLANK(C23),C23='ONESheet 2.8'!CustomerCountry,COUNTIF(C23,"*xDC*")),0,10%),0)</f>
        <v>0</v>
      </c>
      <c r="O23" s="271" cm="1">
        <f t="array" ref="O23">IFERROR(INDEX(WHT!$C$7:$W$18,MATCH(
_xlfn.SWITCH(C23,"xDC Medellin","Colombia","xDC Belo Horizonte","Brazil","xDC Guadalajara","Mexico","xDC Gurugram","India","xDC Leon","Spain","xDC San Jose","Costa Rica","xDC Warsaw","Poland",C23),
WHT!$B$7:$B$18,0),MATCH('ONESheet 2.8'!CustomerCountry,WHT!$C$5:$W$5,0)),0)</f>
        <v>0</v>
      </c>
      <c r="P23" s="270">
        <f t="shared" si="1"/>
        <v>0</v>
      </c>
      <c r="Q23" s="272">
        <f t="shared" si="2"/>
        <v>0</v>
      </c>
      <c r="R23" s="272">
        <f t="shared" si="3"/>
        <v>0</v>
      </c>
      <c r="S23" s="272">
        <f t="shared" si="4"/>
        <v>0</v>
      </c>
      <c r="T23" s="272">
        <f t="shared" si="5"/>
        <v>0</v>
      </c>
      <c r="U23" s="268"/>
      <c r="V23" s="267"/>
    </row>
    <row r="24" spans="1:22">
      <c r="A24" s="267"/>
      <c r="B24" s="267"/>
      <c r="C24" s="268"/>
      <c r="D24" s="268"/>
      <c r="E24" s="268"/>
      <c r="F24" s="268"/>
      <c r="G24" s="268">
        <v>0</v>
      </c>
      <c r="H24" s="269">
        <v>0</v>
      </c>
      <c r="I24" s="270">
        <f t="shared" si="0"/>
        <v>0</v>
      </c>
      <c r="J24" s="269" t="s">
        <v>200</v>
      </c>
      <c r="K24" s="403" t="str">
        <f>'ONESheet 2.8'!BillingCountryCurrency</f>
        <v>USD</v>
      </c>
      <c r="L24" s="269">
        <v>1</v>
      </c>
      <c r="M24" s="271" cm="1">
        <f t="array" ref="M24">IF(A24&lt;&gt;"",IFERROR(INDEX('ONESheet 2.8'!AV:AV, MATCH(A24, 'ONESheet 2.8'!B:B, 0)+2),0),0)</f>
        <v>0</v>
      </c>
      <c r="N24" s="271">
        <f>IFERROR(IF(OR(ISBLANK(C24),C24='ONESheet 2.8'!CustomerCountry,COUNTIF(C24,"*xDC*")),0,10%),0)</f>
        <v>0</v>
      </c>
      <c r="O24" s="271" cm="1">
        <f t="array" ref="O24">IFERROR(INDEX(WHT!$C$7:$W$18,MATCH(
_xlfn.SWITCH(C24,"xDC Medellin","Colombia","xDC Belo Horizonte","Brazil","xDC Guadalajara","Mexico","xDC Gurugram","India","xDC Leon","Spain","xDC San Jose","Costa Rica","xDC Warsaw","Poland",C24),
WHT!$B$7:$B$18,0),MATCH('ONESheet 2.8'!CustomerCountry,WHT!$C$5:$W$5,0)),0)</f>
        <v>0</v>
      </c>
      <c r="P24" s="270">
        <f t="shared" si="1"/>
        <v>0</v>
      </c>
      <c r="Q24" s="272">
        <f t="shared" si="2"/>
        <v>0</v>
      </c>
      <c r="R24" s="272">
        <f t="shared" si="3"/>
        <v>0</v>
      </c>
      <c r="S24" s="272">
        <f t="shared" si="4"/>
        <v>0</v>
      </c>
      <c r="T24" s="272">
        <f t="shared" si="5"/>
        <v>0</v>
      </c>
      <c r="U24" s="268"/>
      <c r="V24" s="267"/>
    </row>
    <row r="25" spans="1:22">
      <c r="A25" s="267"/>
      <c r="B25" s="267"/>
      <c r="C25" s="268"/>
      <c r="D25" s="268"/>
      <c r="E25" s="268"/>
      <c r="F25" s="268"/>
      <c r="G25" s="268">
        <v>0</v>
      </c>
      <c r="H25" s="269">
        <v>0</v>
      </c>
      <c r="I25" s="270">
        <f t="shared" si="0"/>
        <v>0</v>
      </c>
      <c r="J25" s="269" t="s">
        <v>200</v>
      </c>
      <c r="K25" s="403" t="str">
        <f>'ONESheet 2.8'!BillingCountryCurrency</f>
        <v>USD</v>
      </c>
      <c r="L25" s="269">
        <v>1</v>
      </c>
      <c r="M25" s="271" cm="1">
        <f t="array" ref="M25">IF(A25&lt;&gt;"",IFERROR(INDEX('ONESheet 2.8'!AV:AV, MATCH(A25, 'ONESheet 2.8'!B:B, 0)+2),0),0)</f>
        <v>0</v>
      </c>
      <c r="N25" s="271">
        <f>IFERROR(IF(OR(ISBLANK(C25),C25='ONESheet 2.8'!CustomerCountry,COUNTIF(C25,"*xDC*")),0,10%),0)</f>
        <v>0</v>
      </c>
      <c r="O25" s="271" cm="1">
        <f t="array" ref="O25">IFERROR(INDEX(WHT!$C$7:$W$18,MATCH(
_xlfn.SWITCH(C25,"xDC Medellin","Colombia","xDC Belo Horizonte","Brazil","xDC Guadalajara","Mexico","xDC Gurugram","India","xDC Leon","Spain","xDC San Jose","Costa Rica","xDC Warsaw","Poland",C25),
WHT!$B$7:$B$18,0),MATCH('ONESheet 2.8'!CustomerCountry,WHT!$C$5:$W$5,0)),0)</f>
        <v>0</v>
      </c>
      <c r="P25" s="270">
        <f t="shared" si="1"/>
        <v>0</v>
      </c>
      <c r="Q25" s="272">
        <f t="shared" si="2"/>
        <v>0</v>
      </c>
      <c r="R25" s="272">
        <f t="shared" si="3"/>
        <v>0</v>
      </c>
      <c r="S25" s="272">
        <f t="shared" si="4"/>
        <v>0</v>
      </c>
      <c r="T25" s="272">
        <f t="shared" si="5"/>
        <v>0</v>
      </c>
      <c r="U25" s="268"/>
      <c r="V25" s="267"/>
    </row>
    <row r="26" spans="1:22">
      <c r="A26" s="267"/>
      <c r="B26" s="267"/>
      <c r="C26" s="268"/>
      <c r="D26" s="268"/>
      <c r="E26" s="268"/>
      <c r="F26" s="268"/>
      <c r="G26" s="268">
        <v>0</v>
      </c>
      <c r="H26" s="269">
        <v>0</v>
      </c>
      <c r="I26" s="270">
        <f t="shared" si="0"/>
        <v>0</v>
      </c>
      <c r="J26" s="269" t="s">
        <v>200</v>
      </c>
      <c r="K26" s="403" t="str">
        <f>'ONESheet 2.8'!BillingCountryCurrency</f>
        <v>USD</v>
      </c>
      <c r="L26" s="269">
        <v>1</v>
      </c>
      <c r="M26" s="271" cm="1">
        <f t="array" ref="M26">IF(A26&lt;&gt;"",IFERROR(INDEX('ONESheet 2.8'!AV:AV, MATCH(A26, 'ONESheet 2.8'!B:B, 0)+2),0),0)</f>
        <v>0</v>
      </c>
      <c r="N26" s="271">
        <f>IFERROR(IF(OR(ISBLANK(C26),C26='ONESheet 2.8'!CustomerCountry,COUNTIF(C26,"*xDC*")),0,10%),0)</f>
        <v>0</v>
      </c>
      <c r="O26" s="271" cm="1">
        <f t="array" ref="O26">IFERROR(INDEX(WHT!$C$7:$W$18,MATCH(
_xlfn.SWITCH(C26,"xDC Medellin","Colombia","xDC Belo Horizonte","Brazil","xDC Guadalajara","Mexico","xDC Gurugram","India","xDC Leon","Spain","xDC San Jose","Costa Rica","xDC Warsaw","Poland",C26),
WHT!$B$7:$B$18,0),MATCH('ONESheet 2.8'!CustomerCountry,WHT!$C$5:$W$5,0)),0)</f>
        <v>0</v>
      </c>
      <c r="P26" s="270">
        <f t="shared" si="1"/>
        <v>0</v>
      </c>
      <c r="Q26" s="272">
        <f t="shared" si="2"/>
        <v>0</v>
      </c>
      <c r="R26" s="272">
        <f t="shared" si="3"/>
        <v>0</v>
      </c>
      <c r="S26" s="272">
        <f t="shared" si="4"/>
        <v>0</v>
      </c>
      <c r="T26" s="272">
        <f t="shared" si="5"/>
        <v>0</v>
      </c>
      <c r="U26" s="268"/>
      <c r="V26" s="267"/>
    </row>
    <row r="27" spans="1:22">
      <c r="A27" s="267"/>
      <c r="B27" s="267"/>
      <c r="C27" s="268"/>
      <c r="D27" s="268"/>
      <c r="E27" s="268"/>
      <c r="F27" s="268"/>
      <c r="G27" s="268">
        <v>0</v>
      </c>
      <c r="H27" s="269">
        <v>0</v>
      </c>
      <c r="I27" s="270">
        <f t="shared" si="0"/>
        <v>0</v>
      </c>
      <c r="J27" s="269" t="s">
        <v>200</v>
      </c>
      <c r="K27" s="403" t="str">
        <f>'ONESheet 2.8'!BillingCountryCurrency</f>
        <v>USD</v>
      </c>
      <c r="L27" s="269">
        <v>1</v>
      </c>
      <c r="M27" s="271" cm="1">
        <f t="array" ref="M27">IF(A27&lt;&gt;"",IFERROR(INDEX('ONESheet 2.8'!AV:AV, MATCH(A27, 'ONESheet 2.8'!B:B, 0)+2),0),0)</f>
        <v>0</v>
      </c>
      <c r="N27" s="271">
        <f>IFERROR(IF(OR(ISBLANK(C27),C27='ONESheet 2.8'!CustomerCountry,COUNTIF(C27,"*xDC*")),0,10%),0)</f>
        <v>0</v>
      </c>
      <c r="O27" s="271" cm="1">
        <f t="array" ref="O27">IFERROR(INDEX(WHT!$C$7:$W$18,MATCH(
_xlfn.SWITCH(C27,"xDC Medellin","Colombia","xDC Belo Horizonte","Brazil","xDC Guadalajara","Mexico","xDC Gurugram","India","xDC Leon","Spain","xDC San Jose","Costa Rica","xDC Warsaw","Poland",C27),
WHT!$B$7:$B$18,0),MATCH('ONESheet 2.8'!CustomerCountry,WHT!$C$5:$W$5,0)),0)</f>
        <v>0</v>
      </c>
      <c r="P27" s="270">
        <f t="shared" si="1"/>
        <v>0</v>
      </c>
      <c r="Q27" s="272">
        <f t="shared" si="2"/>
        <v>0</v>
      </c>
      <c r="R27" s="272">
        <f t="shared" si="3"/>
        <v>0</v>
      </c>
      <c r="S27" s="272">
        <f t="shared" si="4"/>
        <v>0</v>
      </c>
      <c r="T27" s="272">
        <f t="shared" si="5"/>
        <v>0</v>
      </c>
      <c r="U27" s="268"/>
      <c r="V27" s="267"/>
    </row>
    <row r="28" spans="1:22">
      <c r="A28" s="267"/>
      <c r="B28" s="267"/>
      <c r="C28" s="268"/>
      <c r="D28" s="268"/>
      <c r="E28" s="268"/>
      <c r="F28" s="268"/>
      <c r="G28" s="268">
        <v>0</v>
      </c>
      <c r="H28" s="269">
        <v>0</v>
      </c>
      <c r="I28" s="270">
        <f t="shared" si="0"/>
        <v>0</v>
      </c>
      <c r="J28" s="269" t="s">
        <v>200</v>
      </c>
      <c r="K28" s="403" t="str">
        <f>'ONESheet 2.8'!BillingCountryCurrency</f>
        <v>USD</v>
      </c>
      <c r="L28" s="269">
        <v>1</v>
      </c>
      <c r="M28" s="271" cm="1">
        <f t="array" ref="M28">IF(A28&lt;&gt;"",IFERROR(INDEX('ONESheet 2.8'!AV:AV, MATCH(A28, 'ONESheet 2.8'!B:B, 0)+2),0),0)</f>
        <v>0</v>
      </c>
      <c r="N28" s="271">
        <f>IFERROR(IF(OR(ISBLANK(C28),C28='ONESheet 2.8'!CustomerCountry,COUNTIF(C28,"*xDC*")),0,10%),0)</f>
        <v>0</v>
      </c>
      <c r="O28" s="271" cm="1">
        <f t="array" ref="O28">IFERROR(INDEX(WHT!$C$7:$W$18,MATCH(
_xlfn.SWITCH(C28,"xDC Medellin","Colombia","xDC Belo Horizonte","Brazil","xDC Guadalajara","Mexico","xDC Gurugram","India","xDC Leon","Spain","xDC San Jose","Costa Rica","xDC Warsaw","Poland",C28),
WHT!$B$7:$B$18,0),MATCH('ONESheet 2.8'!CustomerCountry,WHT!$C$5:$W$5,0)),0)</f>
        <v>0</v>
      </c>
      <c r="P28" s="270">
        <f t="shared" si="1"/>
        <v>0</v>
      </c>
      <c r="Q28" s="272">
        <f t="shared" si="2"/>
        <v>0</v>
      </c>
      <c r="R28" s="272">
        <f t="shared" si="3"/>
        <v>0</v>
      </c>
      <c r="S28" s="272">
        <f t="shared" si="4"/>
        <v>0</v>
      </c>
      <c r="T28" s="272">
        <f t="shared" si="5"/>
        <v>0</v>
      </c>
      <c r="U28" s="268"/>
      <c r="V28" s="267"/>
    </row>
    <row r="29" spans="1:22">
      <c r="A29" s="267"/>
      <c r="B29" s="267"/>
      <c r="C29" s="268"/>
      <c r="D29" s="268"/>
      <c r="E29" s="268"/>
      <c r="F29" s="268"/>
      <c r="G29" s="268">
        <v>0</v>
      </c>
      <c r="H29" s="269">
        <v>0</v>
      </c>
      <c r="I29" s="270">
        <f t="shared" si="0"/>
        <v>0</v>
      </c>
      <c r="J29" s="269" t="s">
        <v>200</v>
      </c>
      <c r="K29" s="403" t="str">
        <f>'ONESheet 2.8'!BillingCountryCurrency</f>
        <v>USD</v>
      </c>
      <c r="L29" s="269">
        <v>1</v>
      </c>
      <c r="M29" s="271" cm="1">
        <f t="array" ref="M29">IF(A29&lt;&gt;"",IFERROR(INDEX('ONESheet 2.8'!AV:AV, MATCH(A29, 'ONESheet 2.8'!B:B, 0)+2),0),0)</f>
        <v>0</v>
      </c>
      <c r="N29" s="271">
        <f>IFERROR(IF(OR(ISBLANK(C29),C29='ONESheet 2.8'!CustomerCountry,COUNTIF(C29,"*xDC*")),0,10%),0)</f>
        <v>0</v>
      </c>
      <c r="O29" s="271" cm="1">
        <f t="array" ref="O29">IFERROR(INDEX(WHT!$C$7:$W$18,MATCH(
_xlfn.SWITCH(C29,"xDC Medellin","Colombia","xDC Belo Horizonte","Brazil","xDC Guadalajara","Mexico","xDC Gurugram","India","xDC Leon","Spain","xDC San Jose","Costa Rica","xDC Warsaw","Poland",C29),
WHT!$B$7:$B$18,0),MATCH('ONESheet 2.8'!CustomerCountry,WHT!$C$5:$W$5,0)),0)</f>
        <v>0</v>
      </c>
      <c r="P29" s="270">
        <f t="shared" si="1"/>
        <v>0</v>
      </c>
      <c r="Q29" s="272">
        <f t="shared" si="2"/>
        <v>0</v>
      </c>
      <c r="R29" s="272">
        <f t="shared" si="3"/>
        <v>0</v>
      </c>
      <c r="S29" s="272">
        <f t="shared" si="4"/>
        <v>0</v>
      </c>
      <c r="T29" s="272">
        <f t="shared" si="5"/>
        <v>0</v>
      </c>
      <c r="U29" s="268"/>
      <c r="V29" s="267"/>
    </row>
    <row r="30" spans="1:22">
      <c r="A30" s="267"/>
      <c r="B30" s="267"/>
      <c r="C30" s="268"/>
      <c r="D30" s="268"/>
      <c r="E30" s="268"/>
      <c r="F30" s="268"/>
      <c r="G30" s="268">
        <v>0</v>
      </c>
      <c r="H30" s="269">
        <v>0</v>
      </c>
      <c r="I30" s="270">
        <f t="shared" si="0"/>
        <v>0</v>
      </c>
      <c r="J30" s="269" t="s">
        <v>200</v>
      </c>
      <c r="K30" s="403" t="str">
        <f>'ONESheet 2.8'!BillingCountryCurrency</f>
        <v>USD</v>
      </c>
      <c r="L30" s="269">
        <v>1</v>
      </c>
      <c r="M30" s="271" cm="1">
        <f t="array" ref="M30">IF(A30&lt;&gt;"",IFERROR(INDEX('ONESheet 2.8'!AV:AV, MATCH(A30, 'ONESheet 2.8'!B:B, 0)+2),0),0)</f>
        <v>0</v>
      </c>
      <c r="N30" s="271">
        <f>IFERROR(IF(OR(ISBLANK(C30),C30='ONESheet 2.8'!CustomerCountry,COUNTIF(C30,"*xDC*")),0,10%),0)</f>
        <v>0</v>
      </c>
      <c r="O30" s="271" cm="1">
        <f t="array" ref="O30">IFERROR(INDEX(WHT!$C$7:$W$18,MATCH(
_xlfn.SWITCH(C30,"xDC Medellin","Colombia","xDC Belo Horizonte","Brazil","xDC Guadalajara","Mexico","xDC Gurugram","India","xDC Leon","Spain","xDC San Jose","Costa Rica","xDC Warsaw","Poland",C30),
WHT!$B$7:$B$18,0),MATCH('ONESheet 2.8'!CustomerCountry,WHT!$C$5:$W$5,0)),0)</f>
        <v>0</v>
      </c>
      <c r="P30" s="270">
        <f t="shared" si="1"/>
        <v>0</v>
      </c>
      <c r="Q30" s="272">
        <f t="shared" si="2"/>
        <v>0</v>
      </c>
      <c r="R30" s="272">
        <f t="shared" si="3"/>
        <v>0</v>
      </c>
      <c r="S30" s="272">
        <f t="shared" si="4"/>
        <v>0</v>
      </c>
      <c r="T30" s="272">
        <f t="shared" si="5"/>
        <v>0</v>
      </c>
      <c r="U30" s="268"/>
      <c r="V30" s="267"/>
    </row>
    <row r="31" spans="1:22">
      <c r="A31" s="267"/>
      <c r="B31" s="267"/>
      <c r="C31" s="268"/>
      <c r="D31" s="268"/>
      <c r="E31" s="268"/>
      <c r="F31" s="268"/>
      <c r="G31" s="268">
        <v>0</v>
      </c>
      <c r="H31" s="269">
        <v>0</v>
      </c>
      <c r="I31" s="270">
        <f t="shared" si="0"/>
        <v>0</v>
      </c>
      <c r="J31" s="269" t="s">
        <v>200</v>
      </c>
      <c r="K31" s="403" t="str">
        <f>'ONESheet 2.8'!BillingCountryCurrency</f>
        <v>USD</v>
      </c>
      <c r="L31" s="269">
        <v>1</v>
      </c>
      <c r="M31" s="271" cm="1">
        <f t="array" ref="M31">IF(A31&lt;&gt;"",IFERROR(INDEX('ONESheet 2.8'!AV:AV, MATCH(A31, 'ONESheet 2.8'!B:B, 0)+2),0),0)</f>
        <v>0</v>
      </c>
      <c r="N31" s="271">
        <f>IFERROR(IF(OR(ISBLANK(C31),C31='ONESheet 2.8'!CustomerCountry,COUNTIF(C31,"*xDC*")),0,10%),0)</f>
        <v>0</v>
      </c>
      <c r="O31" s="271" cm="1">
        <f t="array" ref="O31">IFERROR(INDEX(WHT!$C$7:$W$18,MATCH(
_xlfn.SWITCH(C31,"xDC Medellin","Colombia","xDC Belo Horizonte","Brazil","xDC Guadalajara","Mexico","xDC Gurugram","India","xDC Leon","Spain","xDC San Jose","Costa Rica","xDC Warsaw","Poland",C31),
WHT!$B$7:$B$18,0),MATCH('ONESheet 2.8'!CustomerCountry,WHT!$C$5:$W$5,0)),0)</f>
        <v>0</v>
      </c>
      <c r="P31" s="270">
        <f t="shared" si="1"/>
        <v>0</v>
      </c>
      <c r="Q31" s="272">
        <f t="shared" si="2"/>
        <v>0</v>
      </c>
      <c r="R31" s="272">
        <f t="shared" si="3"/>
        <v>0</v>
      </c>
      <c r="S31" s="272">
        <f t="shared" si="4"/>
        <v>0</v>
      </c>
      <c r="T31" s="272">
        <f t="shared" si="5"/>
        <v>0</v>
      </c>
      <c r="U31" s="268"/>
      <c r="V31" s="267"/>
    </row>
    <row r="32" spans="1:22">
      <c r="A32" s="267"/>
      <c r="B32" s="267"/>
      <c r="C32" s="268"/>
      <c r="D32" s="268"/>
      <c r="E32" s="268"/>
      <c r="F32" s="268"/>
      <c r="G32" s="268">
        <v>0</v>
      </c>
      <c r="H32" s="269">
        <v>0</v>
      </c>
      <c r="I32" s="270">
        <f t="shared" si="0"/>
        <v>0</v>
      </c>
      <c r="J32" s="269" t="s">
        <v>200</v>
      </c>
      <c r="K32" s="403" t="str">
        <f>'ONESheet 2.8'!BillingCountryCurrency</f>
        <v>USD</v>
      </c>
      <c r="L32" s="269">
        <v>1</v>
      </c>
      <c r="M32" s="271" cm="1">
        <f t="array" ref="M32">IF(A32&lt;&gt;"",IFERROR(INDEX('ONESheet 2.8'!AV:AV, MATCH(A32, 'ONESheet 2.8'!B:B, 0)+2),0),0)</f>
        <v>0</v>
      </c>
      <c r="N32" s="271">
        <f>IFERROR(IF(OR(ISBLANK(C32),C32='ONESheet 2.8'!CustomerCountry,COUNTIF(C32,"*xDC*")),0,10%),0)</f>
        <v>0</v>
      </c>
      <c r="O32" s="271" cm="1">
        <f t="array" ref="O32">IFERROR(INDEX(WHT!$C$7:$W$18,MATCH(
_xlfn.SWITCH(C32,"xDC Medellin","Colombia","xDC Belo Horizonte","Brazil","xDC Guadalajara","Mexico","xDC Gurugram","India","xDC Leon","Spain","xDC San Jose","Costa Rica","xDC Warsaw","Poland",C32),
WHT!$B$7:$B$18,0),MATCH('ONESheet 2.8'!CustomerCountry,WHT!$C$5:$W$5,0)),0)</f>
        <v>0</v>
      </c>
      <c r="P32" s="270">
        <f t="shared" si="1"/>
        <v>0</v>
      </c>
      <c r="Q32" s="272">
        <f t="shared" si="2"/>
        <v>0</v>
      </c>
      <c r="R32" s="272">
        <f t="shared" si="3"/>
        <v>0</v>
      </c>
      <c r="S32" s="272">
        <f t="shared" si="4"/>
        <v>0</v>
      </c>
      <c r="T32" s="272">
        <f t="shared" si="5"/>
        <v>0</v>
      </c>
      <c r="U32" s="268"/>
      <c r="V32" s="267"/>
    </row>
    <row r="33" spans="1:22">
      <c r="A33" s="267"/>
      <c r="B33" s="267"/>
      <c r="C33" s="268"/>
      <c r="D33" s="268"/>
      <c r="E33" s="268"/>
      <c r="F33" s="268"/>
      <c r="G33" s="268">
        <v>0</v>
      </c>
      <c r="H33" s="269">
        <v>0</v>
      </c>
      <c r="I33" s="270">
        <f t="shared" si="0"/>
        <v>0</v>
      </c>
      <c r="J33" s="269" t="s">
        <v>200</v>
      </c>
      <c r="K33" s="403" t="str">
        <f>'ONESheet 2.8'!BillingCountryCurrency</f>
        <v>USD</v>
      </c>
      <c r="L33" s="269">
        <v>1</v>
      </c>
      <c r="M33" s="271" cm="1">
        <f t="array" ref="M33">IF(A33&lt;&gt;"",IFERROR(INDEX('ONESheet 2.8'!AV:AV, MATCH(A33, 'ONESheet 2.8'!B:B, 0)+2),0),0)</f>
        <v>0</v>
      </c>
      <c r="N33" s="271">
        <f>IFERROR(IF(OR(ISBLANK(C33),C33='ONESheet 2.8'!CustomerCountry,COUNTIF(C33,"*xDC*")),0,10%),0)</f>
        <v>0</v>
      </c>
      <c r="O33" s="271" cm="1">
        <f t="array" ref="O33">IFERROR(INDEX(WHT!$C$7:$W$18,MATCH(
_xlfn.SWITCH(C33,"xDC Medellin","Colombia","xDC Belo Horizonte","Brazil","xDC Guadalajara","Mexico","xDC Gurugram","India","xDC Leon","Spain","xDC San Jose","Costa Rica","xDC Warsaw","Poland",C33),
WHT!$B$7:$B$18,0),MATCH('ONESheet 2.8'!CustomerCountry,WHT!$C$5:$W$5,0)),0)</f>
        <v>0</v>
      </c>
      <c r="P33" s="270">
        <f t="shared" si="1"/>
        <v>0</v>
      </c>
      <c r="Q33" s="272">
        <f t="shared" si="2"/>
        <v>0</v>
      </c>
      <c r="R33" s="272">
        <f t="shared" si="3"/>
        <v>0</v>
      </c>
      <c r="S33" s="272">
        <f t="shared" si="4"/>
        <v>0</v>
      </c>
      <c r="T33" s="272">
        <f t="shared" si="5"/>
        <v>0</v>
      </c>
      <c r="U33" s="268"/>
      <c r="V33" s="267"/>
    </row>
    <row r="34" spans="1:22">
      <c r="A34" s="267"/>
      <c r="B34" s="267"/>
      <c r="C34" s="268"/>
      <c r="D34" s="268"/>
      <c r="E34" s="268"/>
      <c r="F34" s="268"/>
      <c r="G34" s="268">
        <v>0</v>
      </c>
      <c r="H34" s="269">
        <v>0</v>
      </c>
      <c r="I34" s="270">
        <f t="shared" si="0"/>
        <v>0</v>
      </c>
      <c r="J34" s="269" t="s">
        <v>200</v>
      </c>
      <c r="K34" s="403" t="str">
        <f>'ONESheet 2.8'!BillingCountryCurrency</f>
        <v>USD</v>
      </c>
      <c r="L34" s="269">
        <v>1</v>
      </c>
      <c r="M34" s="271" cm="1">
        <f t="array" ref="M34">IF(A34&lt;&gt;"",IFERROR(INDEX('ONESheet 2.8'!AV:AV, MATCH(A34, 'ONESheet 2.8'!B:B, 0)+2),0),0)</f>
        <v>0</v>
      </c>
      <c r="N34" s="271">
        <f>IFERROR(IF(OR(ISBLANK(C34),C34='ONESheet 2.8'!CustomerCountry,COUNTIF(C34,"*xDC*")),0,10%),0)</f>
        <v>0</v>
      </c>
      <c r="O34" s="271" cm="1">
        <f t="array" ref="O34">IFERROR(INDEX(WHT!$C$7:$W$18,MATCH(
_xlfn.SWITCH(C34,"xDC Medellin","Colombia","xDC Belo Horizonte","Brazil","xDC Guadalajara","Mexico","xDC Gurugram","India","xDC Leon","Spain","xDC San Jose","Costa Rica","xDC Warsaw","Poland",C34),
WHT!$B$7:$B$18,0),MATCH('ONESheet 2.8'!CustomerCountry,WHT!$C$5:$W$5,0)),0)</f>
        <v>0</v>
      </c>
      <c r="P34" s="270">
        <f t="shared" si="1"/>
        <v>0</v>
      </c>
      <c r="Q34" s="272">
        <f t="shared" si="2"/>
        <v>0</v>
      </c>
      <c r="R34" s="272">
        <f t="shared" si="3"/>
        <v>0</v>
      </c>
      <c r="S34" s="272">
        <f t="shared" si="4"/>
        <v>0</v>
      </c>
      <c r="T34" s="272">
        <f t="shared" si="5"/>
        <v>0</v>
      </c>
      <c r="U34" s="268"/>
      <c r="V34" s="267"/>
    </row>
    <row r="35" spans="1:22">
      <c r="A35" s="267"/>
      <c r="B35" s="267"/>
      <c r="C35" s="268"/>
      <c r="D35" s="268"/>
      <c r="E35" s="268"/>
      <c r="F35" s="268"/>
      <c r="G35" s="268">
        <v>0</v>
      </c>
      <c r="H35" s="269">
        <v>0</v>
      </c>
      <c r="I35" s="270">
        <f t="shared" si="0"/>
        <v>0</v>
      </c>
      <c r="J35" s="269" t="s">
        <v>200</v>
      </c>
      <c r="K35" s="403" t="str">
        <f>'ONESheet 2.8'!BillingCountryCurrency</f>
        <v>USD</v>
      </c>
      <c r="L35" s="269">
        <v>1</v>
      </c>
      <c r="M35" s="271" cm="1">
        <f t="array" ref="M35">IF(A35&lt;&gt;"",IFERROR(INDEX('ONESheet 2.8'!AV:AV, MATCH(A35, 'ONESheet 2.8'!B:B, 0)+2),0),0)</f>
        <v>0</v>
      </c>
      <c r="N35" s="271">
        <f>IFERROR(IF(OR(ISBLANK(C35),C35='ONESheet 2.8'!CustomerCountry,COUNTIF(C35,"*xDC*")),0,10%),0)</f>
        <v>0</v>
      </c>
      <c r="O35" s="271" cm="1">
        <f t="array" ref="O35">IFERROR(INDEX(WHT!$C$7:$W$18,MATCH(
_xlfn.SWITCH(C35,"xDC Medellin","Colombia","xDC Belo Horizonte","Brazil","xDC Guadalajara","Mexico","xDC Gurugram","India","xDC Leon","Spain","xDC San Jose","Costa Rica","xDC Warsaw","Poland",C35),
WHT!$B$7:$B$18,0),MATCH('ONESheet 2.8'!CustomerCountry,WHT!$C$5:$W$5,0)),0)</f>
        <v>0</v>
      </c>
      <c r="P35" s="270">
        <f t="shared" si="1"/>
        <v>0</v>
      </c>
      <c r="Q35" s="272">
        <f t="shared" si="2"/>
        <v>0</v>
      </c>
      <c r="R35" s="272">
        <f t="shared" si="3"/>
        <v>0</v>
      </c>
      <c r="S35" s="272">
        <f t="shared" si="4"/>
        <v>0</v>
      </c>
      <c r="T35" s="272">
        <f t="shared" si="5"/>
        <v>0</v>
      </c>
      <c r="U35" s="268"/>
      <c r="V35" s="267"/>
    </row>
    <row r="36" spans="1:22">
      <c r="A36" s="267"/>
      <c r="B36" s="267"/>
      <c r="C36" s="268"/>
      <c r="D36" s="268"/>
      <c r="E36" s="268"/>
      <c r="F36" s="268"/>
      <c r="G36" s="268">
        <v>0</v>
      </c>
      <c r="H36" s="269">
        <v>0</v>
      </c>
      <c r="I36" s="270">
        <f t="shared" si="0"/>
        <v>0</v>
      </c>
      <c r="J36" s="269" t="s">
        <v>200</v>
      </c>
      <c r="K36" s="403" t="str">
        <f>'ONESheet 2.8'!BillingCountryCurrency</f>
        <v>USD</v>
      </c>
      <c r="L36" s="269">
        <v>1</v>
      </c>
      <c r="M36" s="271" cm="1">
        <f t="array" ref="M36">IF(A36&lt;&gt;"",IFERROR(INDEX('ONESheet 2.8'!AV:AV, MATCH(A36, 'ONESheet 2.8'!B:B, 0)+2),0),0)</f>
        <v>0</v>
      </c>
      <c r="N36" s="271">
        <f>IFERROR(IF(OR(ISBLANK(C36),C36='ONESheet 2.8'!CustomerCountry,COUNTIF(C36,"*xDC*")),0,10%),0)</f>
        <v>0</v>
      </c>
      <c r="O36" s="271" cm="1">
        <f t="array" ref="O36">IFERROR(INDEX(WHT!$C$7:$W$18,MATCH(
_xlfn.SWITCH(C36,"xDC Medellin","Colombia","xDC Belo Horizonte","Brazil","xDC Guadalajara","Mexico","xDC Gurugram","India","xDC Leon","Spain","xDC San Jose","Costa Rica","xDC Warsaw","Poland",C36),
WHT!$B$7:$B$18,0),MATCH('ONESheet 2.8'!CustomerCountry,WHT!$C$5:$W$5,0)),0)</f>
        <v>0</v>
      </c>
      <c r="P36" s="270">
        <f t="shared" si="1"/>
        <v>0</v>
      </c>
      <c r="Q36" s="272">
        <f t="shared" si="2"/>
        <v>0</v>
      </c>
      <c r="R36" s="272">
        <f t="shared" si="3"/>
        <v>0</v>
      </c>
      <c r="S36" s="272">
        <f t="shared" si="4"/>
        <v>0</v>
      </c>
      <c r="T36" s="272">
        <f t="shared" si="5"/>
        <v>0</v>
      </c>
      <c r="U36" s="268"/>
      <c r="V36" s="267"/>
    </row>
    <row r="37" spans="1:22">
      <c r="A37" s="267"/>
      <c r="B37" s="267"/>
      <c r="C37" s="268"/>
      <c r="D37" s="268"/>
      <c r="E37" s="268"/>
      <c r="F37" s="268"/>
      <c r="G37" s="268">
        <v>0</v>
      </c>
      <c r="H37" s="269">
        <v>0</v>
      </c>
      <c r="I37" s="270">
        <f t="shared" si="0"/>
        <v>0</v>
      </c>
      <c r="J37" s="269" t="s">
        <v>200</v>
      </c>
      <c r="K37" s="403" t="str">
        <f>'ONESheet 2.8'!BillingCountryCurrency</f>
        <v>USD</v>
      </c>
      <c r="L37" s="269">
        <v>1</v>
      </c>
      <c r="M37" s="271" cm="1">
        <f t="array" ref="M37">IF(A37&lt;&gt;"",IFERROR(INDEX('ONESheet 2.8'!AV:AV, MATCH(A37, 'ONESheet 2.8'!B:B, 0)+2),0),0)</f>
        <v>0</v>
      </c>
      <c r="N37" s="271">
        <f>IFERROR(IF(OR(ISBLANK(C37),C37='ONESheet 2.8'!CustomerCountry,COUNTIF(C37,"*xDC*")),0,10%),0)</f>
        <v>0</v>
      </c>
      <c r="O37" s="271" cm="1">
        <f t="array" ref="O37">IFERROR(INDEX(WHT!$C$7:$W$18,MATCH(
_xlfn.SWITCH(C37,"xDC Medellin","Colombia","xDC Belo Horizonte","Brazil","xDC Guadalajara","Mexico","xDC Gurugram","India","xDC Leon","Spain","xDC San Jose","Costa Rica","xDC Warsaw","Poland",C37),
WHT!$B$7:$B$18,0),MATCH('ONESheet 2.8'!CustomerCountry,WHT!$C$5:$W$5,0)),0)</f>
        <v>0</v>
      </c>
      <c r="P37" s="270">
        <f t="shared" si="1"/>
        <v>0</v>
      </c>
      <c r="Q37" s="272">
        <f t="shared" si="2"/>
        <v>0</v>
      </c>
      <c r="R37" s="272">
        <f t="shared" si="3"/>
        <v>0</v>
      </c>
      <c r="S37" s="272">
        <f t="shared" si="4"/>
        <v>0</v>
      </c>
      <c r="T37" s="272">
        <f t="shared" si="5"/>
        <v>0</v>
      </c>
      <c r="U37" s="268"/>
      <c r="V37" s="267"/>
    </row>
    <row r="38" spans="1:22">
      <c r="A38" s="267"/>
      <c r="B38" s="267"/>
      <c r="C38" s="268"/>
      <c r="D38" s="268"/>
      <c r="E38" s="268"/>
      <c r="F38" s="268"/>
      <c r="G38" s="268">
        <v>0</v>
      </c>
      <c r="H38" s="269">
        <v>0</v>
      </c>
      <c r="I38" s="270">
        <f t="shared" si="0"/>
        <v>0</v>
      </c>
      <c r="J38" s="269" t="s">
        <v>200</v>
      </c>
      <c r="K38" s="403" t="str">
        <f>'ONESheet 2.8'!BillingCountryCurrency</f>
        <v>USD</v>
      </c>
      <c r="L38" s="269">
        <v>1</v>
      </c>
      <c r="M38" s="271" cm="1">
        <f t="array" ref="M38">IF(A38&lt;&gt;"",IFERROR(INDEX('ONESheet 2.8'!AV:AV, MATCH(A38, 'ONESheet 2.8'!B:B, 0)+2),0),0)</f>
        <v>0</v>
      </c>
      <c r="N38" s="271">
        <f>IFERROR(IF(OR(ISBLANK(C38),C38='ONESheet 2.8'!CustomerCountry,COUNTIF(C38,"*xDC*")),0,10%),0)</f>
        <v>0</v>
      </c>
      <c r="O38" s="271" cm="1">
        <f t="array" ref="O38">IFERROR(INDEX(WHT!$C$7:$W$18,MATCH(
_xlfn.SWITCH(C38,"xDC Medellin","Colombia","xDC Belo Horizonte","Brazil","xDC Guadalajara","Mexico","xDC Gurugram","India","xDC Leon","Spain","xDC San Jose","Costa Rica","xDC Warsaw","Poland",C38),
WHT!$B$7:$B$18,0),MATCH('ONESheet 2.8'!CustomerCountry,WHT!$C$5:$W$5,0)),0)</f>
        <v>0</v>
      </c>
      <c r="P38" s="270">
        <f t="shared" si="1"/>
        <v>0</v>
      </c>
      <c r="Q38" s="272">
        <f t="shared" si="2"/>
        <v>0</v>
      </c>
      <c r="R38" s="272">
        <f t="shared" si="3"/>
        <v>0</v>
      </c>
      <c r="S38" s="272">
        <f t="shared" si="4"/>
        <v>0</v>
      </c>
      <c r="T38" s="272">
        <f t="shared" si="5"/>
        <v>0</v>
      </c>
      <c r="U38" s="268"/>
      <c r="V38" s="267"/>
    </row>
    <row r="39" spans="1:22">
      <c r="A39" s="267"/>
      <c r="B39" s="267"/>
      <c r="C39" s="268"/>
      <c r="D39" s="268"/>
      <c r="E39" s="268"/>
      <c r="F39" s="268"/>
      <c r="G39" s="268">
        <v>0</v>
      </c>
      <c r="H39" s="269">
        <v>0</v>
      </c>
      <c r="I39" s="270">
        <f t="shared" si="0"/>
        <v>0</v>
      </c>
      <c r="J39" s="269" t="s">
        <v>200</v>
      </c>
      <c r="K39" s="403" t="str">
        <f>'ONESheet 2.8'!BillingCountryCurrency</f>
        <v>USD</v>
      </c>
      <c r="L39" s="269">
        <v>1</v>
      </c>
      <c r="M39" s="271" cm="1">
        <f t="array" ref="M39">IF(A39&lt;&gt;"",IFERROR(INDEX('ONESheet 2.8'!AV:AV, MATCH(A39, 'ONESheet 2.8'!B:B, 0)+2),0),0)</f>
        <v>0</v>
      </c>
      <c r="N39" s="271">
        <f>IFERROR(IF(OR(ISBLANK(C39),C39='ONESheet 2.8'!CustomerCountry,COUNTIF(C39,"*xDC*")),0,10%),0)</f>
        <v>0</v>
      </c>
      <c r="O39" s="271" cm="1">
        <f t="array" ref="O39">IFERROR(INDEX(WHT!$C$7:$W$18,MATCH(
_xlfn.SWITCH(C39,"xDC Medellin","Colombia","xDC Belo Horizonte","Brazil","xDC Guadalajara","Mexico","xDC Gurugram","India","xDC Leon","Spain","xDC San Jose","Costa Rica","xDC Warsaw","Poland",C39),
WHT!$B$7:$B$18,0),MATCH('ONESheet 2.8'!CustomerCountry,WHT!$C$5:$W$5,0)),0)</f>
        <v>0</v>
      </c>
      <c r="P39" s="270">
        <f t="shared" si="1"/>
        <v>0</v>
      </c>
      <c r="Q39" s="272">
        <f t="shared" si="2"/>
        <v>0</v>
      </c>
      <c r="R39" s="272">
        <f t="shared" si="3"/>
        <v>0</v>
      </c>
      <c r="S39" s="272">
        <f t="shared" si="4"/>
        <v>0</v>
      </c>
      <c r="T39" s="272">
        <f t="shared" si="5"/>
        <v>0</v>
      </c>
      <c r="U39" s="268"/>
      <c r="V39" s="267"/>
    </row>
    <row r="40" spans="1:22">
      <c r="A40" s="267"/>
      <c r="B40" s="267"/>
      <c r="C40" s="268"/>
      <c r="D40" s="268"/>
      <c r="E40" s="268"/>
      <c r="F40" s="268"/>
      <c r="G40" s="268">
        <v>0</v>
      </c>
      <c r="H40" s="269">
        <v>0</v>
      </c>
      <c r="I40" s="270">
        <f t="shared" si="0"/>
        <v>0</v>
      </c>
      <c r="J40" s="269" t="s">
        <v>200</v>
      </c>
      <c r="K40" s="403" t="str">
        <f>'ONESheet 2.8'!BillingCountryCurrency</f>
        <v>USD</v>
      </c>
      <c r="L40" s="269">
        <v>1</v>
      </c>
      <c r="M40" s="271" cm="1">
        <f t="array" ref="M40">IF(A40&lt;&gt;"",IFERROR(INDEX('ONESheet 2.8'!AV:AV, MATCH(A40, 'ONESheet 2.8'!B:B, 0)+2),0),0)</f>
        <v>0</v>
      </c>
      <c r="N40" s="271">
        <f>IFERROR(IF(OR(ISBLANK(C40),C40='ONESheet 2.8'!CustomerCountry,COUNTIF(C40,"*xDC*")),0,10%),0)</f>
        <v>0</v>
      </c>
      <c r="O40" s="271" cm="1">
        <f t="array" ref="O40">IFERROR(INDEX(WHT!$C$7:$W$18,MATCH(
_xlfn.SWITCH(C40,"xDC Medellin","Colombia","xDC Belo Horizonte","Brazil","xDC Guadalajara","Mexico","xDC Gurugram","India","xDC Leon","Spain","xDC San Jose","Costa Rica","xDC Warsaw","Poland",C40),
WHT!$B$7:$B$18,0),MATCH('ONESheet 2.8'!CustomerCountry,WHT!$C$5:$W$5,0)),0)</f>
        <v>0</v>
      </c>
      <c r="P40" s="270">
        <f t="shared" si="1"/>
        <v>0</v>
      </c>
      <c r="Q40" s="272">
        <f t="shared" si="2"/>
        <v>0</v>
      </c>
      <c r="R40" s="272">
        <f t="shared" si="3"/>
        <v>0</v>
      </c>
      <c r="S40" s="272">
        <f t="shared" si="4"/>
        <v>0</v>
      </c>
      <c r="T40" s="272">
        <f t="shared" si="5"/>
        <v>0</v>
      </c>
      <c r="U40" s="268"/>
      <c r="V40" s="267"/>
    </row>
    <row r="41" spans="1:22">
      <c r="A41" s="267"/>
      <c r="B41" s="267"/>
      <c r="C41" s="268"/>
      <c r="D41" s="268"/>
      <c r="E41" s="268"/>
      <c r="F41" s="268"/>
      <c r="G41" s="268">
        <v>0</v>
      </c>
      <c r="H41" s="269">
        <v>0</v>
      </c>
      <c r="I41" s="270">
        <f t="shared" si="0"/>
        <v>0</v>
      </c>
      <c r="J41" s="269" t="s">
        <v>200</v>
      </c>
      <c r="K41" s="403" t="str">
        <f>'ONESheet 2.8'!BillingCountryCurrency</f>
        <v>USD</v>
      </c>
      <c r="L41" s="269">
        <v>1</v>
      </c>
      <c r="M41" s="271" cm="1">
        <f t="array" ref="M41">IF(A41&lt;&gt;"",IFERROR(INDEX('ONESheet 2.8'!AV:AV, MATCH(A41, 'ONESheet 2.8'!B:B, 0)+2),0),0)</f>
        <v>0</v>
      </c>
      <c r="N41" s="271">
        <f>IFERROR(IF(OR(ISBLANK(C41),C41='ONESheet 2.8'!CustomerCountry,COUNTIF(C41,"*xDC*")),0,10%),0)</f>
        <v>0</v>
      </c>
      <c r="O41" s="271" cm="1">
        <f t="array" ref="O41">IFERROR(INDEX(WHT!$C$7:$W$18,MATCH(
_xlfn.SWITCH(C41,"xDC Medellin","Colombia","xDC Belo Horizonte","Brazil","xDC Guadalajara","Mexico","xDC Gurugram","India","xDC Leon","Spain","xDC San Jose","Costa Rica","xDC Warsaw","Poland",C41),
WHT!$B$7:$B$18,0),MATCH('ONESheet 2.8'!CustomerCountry,WHT!$C$5:$W$5,0)),0)</f>
        <v>0</v>
      </c>
      <c r="P41" s="270">
        <f t="shared" si="1"/>
        <v>0</v>
      </c>
      <c r="Q41" s="272">
        <f t="shared" si="2"/>
        <v>0</v>
      </c>
      <c r="R41" s="272">
        <f t="shared" si="3"/>
        <v>0</v>
      </c>
      <c r="S41" s="272">
        <f t="shared" si="4"/>
        <v>0</v>
      </c>
      <c r="T41" s="272">
        <f t="shared" si="5"/>
        <v>0</v>
      </c>
      <c r="U41" s="268"/>
      <c r="V41" s="267"/>
    </row>
    <row r="42" spans="1:22">
      <c r="A42" s="267"/>
      <c r="B42" s="267"/>
      <c r="C42" s="268"/>
      <c r="D42" s="268"/>
      <c r="E42" s="268"/>
      <c r="F42" s="268"/>
      <c r="G42" s="268">
        <v>0</v>
      </c>
      <c r="H42" s="269">
        <v>0</v>
      </c>
      <c r="I42" s="270">
        <f t="shared" si="0"/>
        <v>0</v>
      </c>
      <c r="J42" s="269" t="s">
        <v>200</v>
      </c>
      <c r="K42" s="403" t="str">
        <f>'ONESheet 2.8'!BillingCountryCurrency</f>
        <v>USD</v>
      </c>
      <c r="L42" s="269">
        <v>1</v>
      </c>
      <c r="M42" s="271" cm="1">
        <f t="array" ref="M42">IF(A42&lt;&gt;"",IFERROR(INDEX('ONESheet 2.8'!AV:AV, MATCH(A42, 'ONESheet 2.8'!B:B, 0)+2),0),0)</f>
        <v>0</v>
      </c>
      <c r="N42" s="271">
        <f>IFERROR(IF(OR(ISBLANK(C42),C42='ONESheet 2.8'!CustomerCountry,COUNTIF(C42,"*xDC*")),0,10%),0)</f>
        <v>0</v>
      </c>
      <c r="O42" s="271" cm="1">
        <f t="array" ref="O42">IFERROR(INDEX(WHT!$C$7:$W$18,MATCH(
_xlfn.SWITCH(C42,"xDC Medellin","Colombia","xDC Belo Horizonte","Brazil","xDC Guadalajara","Mexico","xDC Gurugram","India","xDC Leon","Spain","xDC San Jose","Costa Rica","xDC Warsaw","Poland",C42),
WHT!$B$7:$B$18,0),MATCH('ONESheet 2.8'!CustomerCountry,WHT!$C$5:$W$5,0)),0)</f>
        <v>0</v>
      </c>
      <c r="P42" s="270">
        <f t="shared" si="1"/>
        <v>0</v>
      </c>
      <c r="Q42" s="272">
        <f t="shared" si="2"/>
        <v>0</v>
      </c>
      <c r="R42" s="272">
        <f t="shared" si="3"/>
        <v>0</v>
      </c>
      <c r="S42" s="272">
        <f t="shared" si="4"/>
        <v>0</v>
      </c>
      <c r="T42" s="272">
        <f t="shared" si="5"/>
        <v>0</v>
      </c>
      <c r="U42" s="268"/>
      <c r="V42" s="267"/>
    </row>
    <row r="43" spans="1:22">
      <c r="A43" s="267"/>
      <c r="B43" s="267"/>
      <c r="C43" s="268"/>
      <c r="D43" s="268"/>
      <c r="E43" s="268"/>
      <c r="F43" s="268"/>
      <c r="G43" s="268">
        <v>0</v>
      </c>
      <c r="H43" s="269">
        <v>0</v>
      </c>
      <c r="I43" s="270">
        <f t="shared" si="0"/>
        <v>0</v>
      </c>
      <c r="J43" s="269" t="s">
        <v>200</v>
      </c>
      <c r="K43" s="403" t="str">
        <f>'ONESheet 2.8'!BillingCountryCurrency</f>
        <v>USD</v>
      </c>
      <c r="L43" s="269">
        <v>1</v>
      </c>
      <c r="M43" s="271" cm="1">
        <f t="array" ref="M43">IF(A43&lt;&gt;"",IFERROR(INDEX('ONESheet 2.8'!AV:AV, MATCH(A43, 'ONESheet 2.8'!B:B, 0)+2),0),0)</f>
        <v>0</v>
      </c>
      <c r="N43" s="271">
        <f>IFERROR(IF(OR(ISBLANK(C43),C43='ONESheet 2.8'!CustomerCountry,COUNTIF(C43,"*xDC*")),0,10%),0)</f>
        <v>0</v>
      </c>
      <c r="O43" s="271" cm="1">
        <f t="array" ref="O43">IFERROR(INDEX(WHT!$C$7:$W$18,MATCH(
_xlfn.SWITCH(C43,"xDC Medellin","Colombia","xDC Belo Horizonte","Brazil","xDC Guadalajara","Mexico","xDC Gurugram","India","xDC Leon","Spain","xDC San Jose","Costa Rica","xDC Warsaw","Poland",C43),
WHT!$B$7:$B$18,0),MATCH('ONESheet 2.8'!CustomerCountry,WHT!$C$5:$W$5,0)),0)</f>
        <v>0</v>
      </c>
      <c r="P43" s="270">
        <f t="shared" si="1"/>
        <v>0</v>
      </c>
      <c r="Q43" s="272">
        <f t="shared" si="2"/>
        <v>0</v>
      </c>
      <c r="R43" s="272">
        <f t="shared" si="3"/>
        <v>0</v>
      </c>
      <c r="S43" s="272">
        <f t="shared" si="4"/>
        <v>0</v>
      </c>
      <c r="T43" s="272">
        <f t="shared" si="5"/>
        <v>0</v>
      </c>
      <c r="U43" s="268"/>
      <c r="V43" s="267"/>
    </row>
    <row r="44" spans="1:22">
      <c r="A44" s="267"/>
      <c r="B44" s="267"/>
      <c r="C44" s="268"/>
      <c r="D44" s="268"/>
      <c r="E44" s="268"/>
      <c r="F44" s="268"/>
      <c r="G44" s="268">
        <v>0</v>
      </c>
      <c r="H44" s="269">
        <v>0</v>
      </c>
      <c r="I44" s="270">
        <f t="shared" si="0"/>
        <v>0</v>
      </c>
      <c r="J44" s="269" t="s">
        <v>200</v>
      </c>
      <c r="K44" s="403" t="str">
        <f>'ONESheet 2.8'!BillingCountryCurrency</f>
        <v>USD</v>
      </c>
      <c r="L44" s="269">
        <v>1</v>
      </c>
      <c r="M44" s="271" cm="1">
        <f t="array" ref="M44">IF(A44&lt;&gt;"",IFERROR(INDEX('ONESheet 2.8'!AV:AV, MATCH(A44, 'ONESheet 2.8'!B:B, 0)+2),0),0)</f>
        <v>0</v>
      </c>
      <c r="N44" s="271">
        <f>IFERROR(IF(OR(ISBLANK(C44),C44='ONESheet 2.8'!CustomerCountry,COUNTIF(C44,"*xDC*")),0,10%),0)</f>
        <v>0</v>
      </c>
      <c r="O44" s="271" cm="1">
        <f t="array" ref="O44">IFERROR(INDEX(WHT!$C$7:$W$18,MATCH(
_xlfn.SWITCH(C44,"xDC Medellin","Colombia","xDC Belo Horizonte","Brazil","xDC Guadalajara","Mexico","xDC Gurugram","India","xDC Leon","Spain","xDC San Jose","Costa Rica","xDC Warsaw","Poland",C44),
WHT!$B$7:$B$18,0),MATCH('ONESheet 2.8'!CustomerCountry,WHT!$C$5:$W$5,0)),0)</f>
        <v>0</v>
      </c>
      <c r="P44" s="270">
        <f t="shared" si="1"/>
        <v>0</v>
      </c>
      <c r="Q44" s="272">
        <f t="shared" si="2"/>
        <v>0</v>
      </c>
      <c r="R44" s="272">
        <f t="shared" si="3"/>
        <v>0</v>
      </c>
      <c r="S44" s="272">
        <f t="shared" si="4"/>
        <v>0</v>
      </c>
      <c r="T44" s="272">
        <f t="shared" si="5"/>
        <v>0</v>
      </c>
      <c r="U44" s="268"/>
      <c r="V44" s="267"/>
    </row>
    <row r="45" spans="1:22">
      <c r="A45" s="267"/>
      <c r="B45" s="267"/>
      <c r="C45" s="268"/>
      <c r="D45" s="268"/>
      <c r="E45" s="268"/>
      <c r="F45" s="268"/>
      <c r="G45" s="268">
        <v>0</v>
      </c>
      <c r="H45" s="269">
        <v>0</v>
      </c>
      <c r="I45" s="270">
        <f t="shared" si="0"/>
        <v>0</v>
      </c>
      <c r="J45" s="269" t="s">
        <v>200</v>
      </c>
      <c r="K45" s="403" t="str">
        <f>'ONESheet 2.8'!BillingCountryCurrency</f>
        <v>USD</v>
      </c>
      <c r="L45" s="269">
        <v>1</v>
      </c>
      <c r="M45" s="271" cm="1">
        <f t="array" ref="M45">IF(A45&lt;&gt;"",IFERROR(INDEX('ONESheet 2.8'!AV:AV, MATCH(A45, 'ONESheet 2.8'!B:B, 0)+2),0),0)</f>
        <v>0</v>
      </c>
      <c r="N45" s="271">
        <f>IFERROR(IF(OR(ISBLANK(C45),C45='ONESheet 2.8'!CustomerCountry,COUNTIF(C45,"*xDC*")),0,10%),0)</f>
        <v>0</v>
      </c>
      <c r="O45" s="271" cm="1">
        <f t="array" ref="O45">IFERROR(INDEX(WHT!$C$7:$W$18,MATCH(
_xlfn.SWITCH(C45,"xDC Medellin","Colombia","xDC Belo Horizonte","Brazil","xDC Guadalajara","Mexico","xDC Gurugram","India","xDC Leon","Spain","xDC San Jose","Costa Rica","xDC Warsaw","Poland",C45),
WHT!$B$7:$B$18,0),MATCH('ONESheet 2.8'!CustomerCountry,WHT!$C$5:$W$5,0)),0)</f>
        <v>0</v>
      </c>
      <c r="P45" s="270">
        <f t="shared" si="1"/>
        <v>0</v>
      </c>
      <c r="Q45" s="272">
        <f t="shared" si="2"/>
        <v>0</v>
      </c>
      <c r="R45" s="272">
        <f t="shared" si="3"/>
        <v>0</v>
      </c>
      <c r="S45" s="272">
        <f t="shared" si="4"/>
        <v>0</v>
      </c>
      <c r="T45" s="272">
        <f t="shared" si="5"/>
        <v>0</v>
      </c>
      <c r="U45" s="268"/>
      <c r="V45" s="267"/>
    </row>
    <row r="46" spans="1:22">
      <c r="A46" s="267"/>
      <c r="B46" s="267"/>
      <c r="C46" s="268"/>
      <c r="D46" s="268"/>
      <c r="E46" s="268"/>
      <c r="F46" s="268"/>
      <c r="G46" s="268">
        <v>0</v>
      </c>
      <c r="H46" s="269">
        <v>0</v>
      </c>
      <c r="I46" s="270">
        <f t="shared" si="0"/>
        <v>0</v>
      </c>
      <c r="J46" s="269" t="s">
        <v>200</v>
      </c>
      <c r="K46" s="403" t="str">
        <f>'ONESheet 2.8'!BillingCountryCurrency</f>
        <v>USD</v>
      </c>
      <c r="L46" s="269">
        <v>1</v>
      </c>
      <c r="M46" s="271" cm="1">
        <f t="array" ref="M46">IF(A46&lt;&gt;"",IFERROR(INDEX('ONESheet 2.8'!AV:AV, MATCH(A46, 'ONESheet 2.8'!B:B, 0)+2),0),0)</f>
        <v>0</v>
      </c>
      <c r="N46" s="271">
        <f>IFERROR(IF(OR(ISBLANK(C46),C46='ONESheet 2.8'!CustomerCountry,COUNTIF(C46,"*xDC*")),0,10%),0)</f>
        <v>0</v>
      </c>
      <c r="O46" s="271" cm="1">
        <f t="array" ref="O46">IFERROR(INDEX(WHT!$C$7:$W$18,MATCH(
_xlfn.SWITCH(C46,"xDC Medellin","Colombia","xDC Belo Horizonte","Brazil","xDC Guadalajara","Mexico","xDC Gurugram","India","xDC Leon","Spain","xDC San Jose","Costa Rica","xDC Warsaw","Poland",C46),
WHT!$B$7:$B$18,0),MATCH('ONESheet 2.8'!CustomerCountry,WHT!$C$5:$W$5,0)),0)</f>
        <v>0</v>
      </c>
      <c r="P46" s="270">
        <f t="shared" si="1"/>
        <v>0</v>
      </c>
      <c r="Q46" s="272">
        <f t="shared" si="2"/>
        <v>0</v>
      </c>
      <c r="R46" s="272">
        <f t="shared" si="3"/>
        <v>0</v>
      </c>
      <c r="S46" s="272">
        <f t="shared" si="4"/>
        <v>0</v>
      </c>
      <c r="T46" s="272">
        <f t="shared" si="5"/>
        <v>0</v>
      </c>
      <c r="U46" s="268"/>
      <c r="V46" s="267"/>
    </row>
    <row r="47" spans="1:22">
      <c r="A47" s="267"/>
      <c r="B47" s="267"/>
      <c r="C47" s="268"/>
      <c r="D47" s="268"/>
      <c r="E47" s="268"/>
      <c r="F47" s="268"/>
      <c r="G47" s="268">
        <v>0</v>
      </c>
      <c r="H47" s="269">
        <v>0</v>
      </c>
      <c r="I47" s="270">
        <f t="shared" si="0"/>
        <v>0</v>
      </c>
      <c r="J47" s="269" t="s">
        <v>200</v>
      </c>
      <c r="K47" s="403" t="str">
        <f>'ONESheet 2.8'!BillingCountryCurrency</f>
        <v>USD</v>
      </c>
      <c r="L47" s="269">
        <v>1</v>
      </c>
      <c r="M47" s="271" cm="1">
        <f t="array" ref="M47">IF(A47&lt;&gt;"",IFERROR(INDEX('ONESheet 2.8'!AV:AV, MATCH(A47, 'ONESheet 2.8'!B:B, 0)+2),0),0)</f>
        <v>0</v>
      </c>
      <c r="N47" s="271">
        <f>IFERROR(IF(OR(ISBLANK(C47),C47='ONESheet 2.8'!CustomerCountry,COUNTIF(C47,"*xDC*")),0,10%),0)</f>
        <v>0</v>
      </c>
      <c r="O47" s="271" cm="1">
        <f t="array" ref="O47">IFERROR(INDEX(WHT!$C$7:$W$18,MATCH(
_xlfn.SWITCH(C47,"xDC Medellin","Colombia","xDC Belo Horizonte","Brazil","xDC Guadalajara","Mexico","xDC Gurugram","India","xDC Leon","Spain","xDC San Jose","Costa Rica","xDC Warsaw","Poland",C47),
WHT!$B$7:$B$18,0),MATCH('ONESheet 2.8'!CustomerCountry,WHT!$C$5:$W$5,0)),0)</f>
        <v>0</v>
      </c>
      <c r="P47" s="270">
        <f t="shared" si="1"/>
        <v>0</v>
      </c>
      <c r="Q47" s="272">
        <f t="shared" si="2"/>
        <v>0</v>
      </c>
      <c r="R47" s="272">
        <f t="shared" si="3"/>
        <v>0</v>
      </c>
      <c r="S47" s="272">
        <f t="shared" si="4"/>
        <v>0</v>
      </c>
      <c r="T47" s="272">
        <f t="shared" si="5"/>
        <v>0</v>
      </c>
      <c r="U47" s="268"/>
      <c r="V47" s="267"/>
    </row>
    <row r="48" spans="1:22">
      <c r="A48" s="267"/>
      <c r="B48" s="267"/>
      <c r="C48" s="268"/>
      <c r="D48" s="268"/>
      <c r="E48" s="268"/>
      <c r="F48" s="268"/>
      <c r="G48" s="268">
        <v>0</v>
      </c>
      <c r="H48" s="269">
        <v>0</v>
      </c>
      <c r="I48" s="270">
        <f t="shared" si="0"/>
        <v>0</v>
      </c>
      <c r="J48" s="269" t="s">
        <v>200</v>
      </c>
      <c r="K48" s="403" t="str">
        <f>'ONESheet 2.8'!BillingCountryCurrency</f>
        <v>USD</v>
      </c>
      <c r="L48" s="269">
        <v>1</v>
      </c>
      <c r="M48" s="271" cm="1">
        <f t="array" ref="M48">IF(A48&lt;&gt;"",IFERROR(INDEX('ONESheet 2.8'!AV:AV, MATCH(A48, 'ONESheet 2.8'!B:B, 0)+2),0),0)</f>
        <v>0</v>
      </c>
      <c r="N48" s="271">
        <f>IFERROR(IF(OR(ISBLANK(C48),C48='ONESheet 2.8'!CustomerCountry,COUNTIF(C48,"*xDC*")),0,10%),0)</f>
        <v>0</v>
      </c>
      <c r="O48" s="271" cm="1">
        <f t="array" ref="O48">IFERROR(INDEX(WHT!$C$7:$W$18,MATCH(
_xlfn.SWITCH(C48,"xDC Medellin","Colombia","xDC Belo Horizonte","Brazil","xDC Guadalajara","Mexico","xDC Gurugram","India","xDC Leon","Spain","xDC San Jose","Costa Rica","xDC Warsaw","Poland",C48),
WHT!$B$7:$B$18,0),MATCH('ONESheet 2.8'!CustomerCountry,WHT!$C$5:$W$5,0)),0)</f>
        <v>0</v>
      </c>
      <c r="P48" s="270">
        <f t="shared" si="1"/>
        <v>0</v>
      </c>
      <c r="Q48" s="272">
        <f t="shared" si="2"/>
        <v>0</v>
      </c>
      <c r="R48" s="272">
        <f t="shared" si="3"/>
        <v>0</v>
      </c>
      <c r="S48" s="272">
        <f t="shared" si="4"/>
        <v>0</v>
      </c>
      <c r="T48" s="272">
        <f t="shared" si="5"/>
        <v>0</v>
      </c>
      <c r="U48" s="268"/>
      <c r="V48" s="267"/>
    </row>
    <row r="49" spans="1:22">
      <c r="A49" s="267"/>
      <c r="B49" s="267"/>
      <c r="C49" s="268"/>
      <c r="D49" s="268"/>
      <c r="E49" s="268"/>
      <c r="F49" s="268"/>
      <c r="G49" s="268">
        <v>0</v>
      </c>
      <c r="H49" s="269">
        <v>0</v>
      </c>
      <c r="I49" s="270">
        <f t="shared" si="0"/>
        <v>0</v>
      </c>
      <c r="J49" s="269" t="s">
        <v>200</v>
      </c>
      <c r="K49" s="403" t="str">
        <f>'ONESheet 2.8'!BillingCountryCurrency</f>
        <v>USD</v>
      </c>
      <c r="L49" s="269">
        <v>1</v>
      </c>
      <c r="M49" s="271" cm="1">
        <f t="array" ref="M49">IF(A49&lt;&gt;"",IFERROR(INDEX('ONESheet 2.8'!AV:AV, MATCH(A49, 'ONESheet 2.8'!B:B, 0)+2),0),0)</f>
        <v>0</v>
      </c>
      <c r="N49" s="271">
        <f>IFERROR(IF(OR(ISBLANK(C49),C49='ONESheet 2.8'!CustomerCountry,COUNTIF(C49,"*xDC*")),0,10%),0)</f>
        <v>0</v>
      </c>
      <c r="O49" s="271" cm="1">
        <f t="array" ref="O49">IFERROR(INDEX(WHT!$C$7:$W$18,MATCH(
_xlfn.SWITCH(C49,"xDC Medellin","Colombia","xDC Belo Horizonte","Brazil","xDC Guadalajara","Mexico","xDC Gurugram","India","xDC Leon","Spain","xDC San Jose","Costa Rica","xDC Warsaw","Poland",C49),
WHT!$B$7:$B$18,0),MATCH('ONESheet 2.8'!CustomerCountry,WHT!$C$5:$W$5,0)),0)</f>
        <v>0</v>
      </c>
      <c r="P49" s="270">
        <f t="shared" si="1"/>
        <v>0</v>
      </c>
      <c r="Q49" s="272">
        <f t="shared" si="2"/>
        <v>0</v>
      </c>
      <c r="R49" s="272">
        <f t="shared" si="3"/>
        <v>0</v>
      </c>
      <c r="S49" s="272">
        <f t="shared" si="4"/>
        <v>0</v>
      </c>
      <c r="T49" s="272">
        <f t="shared" si="5"/>
        <v>0</v>
      </c>
      <c r="U49" s="268"/>
      <c r="V49" s="267"/>
    </row>
    <row r="50" spans="1:22">
      <c r="A50" s="267"/>
      <c r="B50" s="267"/>
      <c r="C50" s="268"/>
      <c r="D50" s="268"/>
      <c r="E50" s="268"/>
      <c r="F50" s="268"/>
      <c r="G50" s="268">
        <v>0</v>
      </c>
      <c r="H50" s="269">
        <v>0</v>
      </c>
      <c r="I50" s="270">
        <f t="shared" si="0"/>
        <v>0</v>
      </c>
      <c r="J50" s="269" t="s">
        <v>200</v>
      </c>
      <c r="K50" s="403" t="str">
        <f>'ONESheet 2.8'!BillingCountryCurrency</f>
        <v>USD</v>
      </c>
      <c r="L50" s="269">
        <v>1</v>
      </c>
      <c r="M50" s="271" cm="1">
        <f t="array" ref="M50">IF(A50&lt;&gt;"",IFERROR(INDEX('ONESheet 2.8'!AV:AV, MATCH(A50, 'ONESheet 2.8'!B:B, 0)+2),0),0)</f>
        <v>0</v>
      </c>
      <c r="N50" s="271">
        <f>IFERROR(IF(OR(ISBLANK(C50),C50='ONESheet 2.8'!CustomerCountry,COUNTIF(C50,"*xDC*")),0,10%),0)</f>
        <v>0</v>
      </c>
      <c r="O50" s="271" cm="1">
        <f t="array" ref="O50">IFERROR(INDEX(WHT!$C$7:$W$18,MATCH(
_xlfn.SWITCH(C50,"xDC Medellin","Colombia","xDC Belo Horizonte","Brazil","xDC Guadalajara","Mexico","xDC Gurugram","India","xDC Leon","Spain","xDC San Jose","Costa Rica","xDC Warsaw","Poland",C50),
WHT!$B$7:$B$18,0),MATCH('ONESheet 2.8'!CustomerCountry,WHT!$C$5:$W$5,0)),0)</f>
        <v>0</v>
      </c>
      <c r="P50" s="270">
        <f t="shared" si="1"/>
        <v>0</v>
      </c>
      <c r="Q50" s="272">
        <f t="shared" si="2"/>
        <v>0</v>
      </c>
      <c r="R50" s="272">
        <f t="shared" si="3"/>
        <v>0</v>
      </c>
      <c r="S50" s="272">
        <f t="shared" si="4"/>
        <v>0</v>
      </c>
      <c r="T50" s="272">
        <f t="shared" si="5"/>
        <v>0</v>
      </c>
      <c r="U50" s="268"/>
      <c r="V50" s="267"/>
    </row>
    <row r="51" spans="1:22">
      <c r="A51" s="267"/>
      <c r="B51" s="267"/>
      <c r="C51" s="268"/>
      <c r="D51" s="268"/>
      <c r="E51" s="268"/>
      <c r="F51" s="268"/>
      <c r="G51" s="268">
        <v>0</v>
      </c>
      <c r="H51" s="269">
        <v>0</v>
      </c>
      <c r="I51" s="270">
        <f t="shared" si="0"/>
        <v>0</v>
      </c>
      <c r="J51" s="269" t="s">
        <v>200</v>
      </c>
      <c r="K51" s="403" t="str">
        <f>'ONESheet 2.8'!BillingCountryCurrency</f>
        <v>USD</v>
      </c>
      <c r="L51" s="269">
        <v>1</v>
      </c>
      <c r="M51" s="271" cm="1">
        <f t="array" ref="M51">IF(A51&lt;&gt;"",IFERROR(INDEX('ONESheet 2.8'!AV:AV, MATCH(A51, 'ONESheet 2.8'!B:B, 0)+2),0),0)</f>
        <v>0</v>
      </c>
      <c r="N51" s="271">
        <f>IFERROR(IF(OR(ISBLANK(C51),C51='ONESheet 2.8'!CustomerCountry,COUNTIF(C51,"*xDC*")),0,10%),0)</f>
        <v>0</v>
      </c>
      <c r="O51" s="271" cm="1">
        <f t="array" ref="O51">IFERROR(INDEX(WHT!$C$7:$W$18,MATCH(
_xlfn.SWITCH(C51,"xDC Medellin","Colombia","xDC Belo Horizonte","Brazil","xDC Guadalajara","Mexico","xDC Gurugram","India","xDC Leon","Spain","xDC San Jose","Costa Rica","xDC Warsaw","Poland",C51),
WHT!$B$7:$B$18,0),MATCH('ONESheet 2.8'!CustomerCountry,WHT!$C$5:$W$5,0)),0)</f>
        <v>0</v>
      </c>
      <c r="P51" s="270">
        <f t="shared" si="1"/>
        <v>0</v>
      </c>
      <c r="Q51" s="272">
        <f t="shared" si="2"/>
        <v>0</v>
      </c>
      <c r="R51" s="272">
        <f t="shared" si="3"/>
        <v>0</v>
      </c>
      <c r="S51" s="272">
        <f t="shared" si="4"/>
        <v>0</v>
      </c>
      <c r="T51" s="272">
        <f t="shared" si="5"/>
        <v>0</v>
      </c>
      <c r="U51" s="268"/>
      <c r="V51" s="267"/>
    </row>
    <row r="52" spans="1:22">
      <c r="A52" s="267"/>
      <c r="B52" s="267"/>
      <c r="C52" s="268"/>
      <c r="D52" s="268"/>
      <c r="E52" s="268"/>
      <c r="F52" s="268"/>
      <c r="G52" s="268">
        <v>0</v>
      </c>
      <c r="H52" s="269">
        <v>0</v>
      </c>
      <c r="I52" s="270">
        <f t="shared" si="0"/>
        <v>0</v>
      </c>
      <c r="J52" s="269" t="s">
        <v>200</v>
      </c>
      <c r="K52" s="403" t="str">
        <f>'ONESheet 2.8'!BillingCountryCurrency</f>
        <v>USD</v>
      </c>
      <c r="L52" s="269">
        <v>1</v>
      </c>
      <c r="M52" s="271" cm="1">
        <f t="array" ref="M52">IF(A52&lt;&gt;"",IFERROR(INDEX('ONESheet 2.8'!AV:AV, MATCH(A52, 'ONESheet 2.8'!B:B, 0)+2),0),0)</f>
        <v>0</v>
      </c>
      <c r="N52" s="271">
        <f>IFERROR(IF(OR(ISBLANK(C52),C52='ONESheet 2.8'!CustomerCountry,COUNTIF(C52,"*xDC*")),0,10%),0)</f>
        <v>0</v>
      </c>
      <c r="O52" s="271" cm="1">
        <f t="array" ref="O52">IFERROR(INDEX(WHT!$C$7:$W$18,MATCH(
_xlfn.SWITCH(C52,"xDC Medellin","Colombia","xDC Belo Horizonte","Brazil","xDC Guadalajara","Mexico","xDC Gurugram","India","xDC Leon","Spain","xDC San Jose","Costa Rica","xDC Warsaw","Poland",C52),
WHT!$B$7:$B$18,0),MATCH('ONESheet 2.8'!CustomerCountry,WHT!$C$5:$W$5,0)),0)</f>
        <v>0</v>
      </c>
      <c r="P52" s="270">
        <f t="shared" si="1"/>
        <v>0</v>
      </c>
      <c r="Q52" s="272">
        <f t="shared" si="2"/>
        <v>0</v>
      </c>
      <c r="R52" s="272">
        <f t="shared" si="3"/>
        <v>0</v>
      </c>
      <c r="S52" s="272">
        <f t="shared" si="4"/>
        <v>0</v>
      </c>
      <c r="T52" s="272">
        <f t="shared" si="5"/>
        <v>0</v>
      </c>
      <c r="U52" s="268"/>
      <c r="V52" s="267"/>
    </row>
    <row r="53" spans="1:22">
      <c r="A53" s="267"/>
      <c r="B53" s="267"/>
      <c r="C53" s="268"/>
      <c r="D53" s="268"/>
      <c r="E53" s="268"/>
      <c r="F53" s="268"/>
      <c r="G53" s="268">
        <v>0</v>
      </c>
      <c r="H53" s="269">
        <v>0</v>
      </c>
      <c r="I53" s="270">
        <f t="shared" si="0"/>
        <v>0</v>
      </c>
      <c r="J53" s="269" t="s">
        <v>200</v>
      </c>
      <c r="K53" s="403" t="str">
        <f>'ONESheet 2.8'!BillingCountryCurrency</f>
        <v>USD</v>
      </c>
      <c r="L53" s="269">
        <v>1</v>
      </c>
      <c r="M53" s="271" cm="1">
        <f t="array" ref="M53">IF(A53&lt;&gt;"",IFERROR(INDEX('ONESheet 2.8'!AV:AV, MATCH(A53, 'ONESheet 2.8'!B:B, 0)+2),0),0)</f>
        <v>0</v>
      </c>
      <c r="N53" s="271">
        <f>IFERROR(IF(OR(ISBLANK(C53),C53='ONESheet 2.8'!CustomerCountry,COUNTIF(C53,"*xDC*")),0,10%),0)</f>
        <v>0</v>
      </c>
      <c r="O53" s="271" cm="1">
        <f t="array" ref="O53">IFERROR(INDEX(WHT!$C$7:$W$18,MATCH(
_xlfn.SWITCH(C53,"xDC Medellin","Colombia","xDC Belo Horizonte","Brazil","xDC Guadalajara","Mexico","xDC Gurugram","India","xDC Leon","Spain","xDC San Jose","Costa Rica","xDC Warsaw","Poland",C53),
WHT!$B$7:$B$18,0),MATCH('ONESheet 2.8'!CustomerCountry,WHT!$C$5:$W$5,0)),0)</f>
        <v>0</v>
      </c>
      <c r="P53" s="270">
        <f t="shared" si="1"/>
        <v>0</v>
      </c>
      <c r="Q53" s="272">
        <f t="shared" si="2"/>
        <v>0</v>
      </c>
      <c r="R53" s="272">
        <f t="shared" si="3"/>
        <v>0</v>
      </c>
      <c r="S53" s="272">
        <f t="shared" si="4"/>
        <v>0</v>
      </c>
      <c r="T53" s="272">
        <f t="shared" si="5"/>
        <v>0</v>
      </c>
      <c r="U53" s="268"/>
      <c r="V53" s="267"/>
    </row>
    <row r="54" spans="1:22">
      <c r="A54" s="267"/>
      <c r="B54" s="267"/>
      <c r="C54" s="268"/>
      <c r="D54" s="268"/>
      <c r="E54" s="268"/>
      <c r="F54" s="268"/>
      <c r="G54" s="268">
        <v>0</v>
      </c>
      <c r="H54" s="269">
        <v>0</v>
      </c>
      <c r="I54" s="270">
        <f t="shared" si="0"/>
        <v>0</v>
      </c>
      <c r="J54" s="269" t="s">
        <v>200</v>
      </c>
      <c r="K54" s="403" t="str">
        <f>'ONESheet 2.8'!BillingCountryCurrency</f>
        <v>USD</v>
      </c>
      <c r="L54" s="269">
        <v>1</v>
      </c>
      <c r="M54" s="271" cm="1">
        <f t="array" ref="M54">IF(A54&lt;&gt;"",IFERROR(INDEX('ONESheet 2.8'!AV:AV, MATCH(A54, 'ONESheet 2.8'!B:B, 0)+2),0),0)</f>
        <v>0</v>
      </c>
      <c r="N54" s="271">
        <f>IFERROR(IF(OR(ISBLANK(C54),C54='ONESheet 2.8'!CustomerCountry,COUNTIF(C54,"*xDC*")),0,10%),0)</f>
        <v>0</v>
      </c>
      <c r="O54" s="271" cm="1">
        <f t="array" ref="O54">IFERROR(INDEX(WHT!$C$7:$W$18,MATCH(
_xlfn.SWITCH(C54,"xDC Medellin","Colombia","xDC Belo Horizonte","Brazil","xDC Guadalajara","Mexico","xDC Gurugram","India","xDC Leon","Spain","xDC San Jose","Costa Rica","xDC Warsaw","Poland",C54),
WHT!$B$7:$B$18,0),MATCH('ONESheet 2.8'!CustomerCountry,WHT!$C$5:$W$5,0)),0)</f>
        <v>0</v>
      </c>
      <c r="P54" s="270">
        <f t="shared" si="1"/>
        <v>0</v>
      </c>
      <c r="Q54" s="272">
        <f t="shared" si="2"/>
        <v>0</v>
      </c>
      <c r="R54" s="272">
        <f t="shared" si="3"/>
        <v>0</v>
      </c>
      <c r="S54" s="272">
        <f t="shared" si="4"/>
        <v>0</v>
      </c>
      <c r="T54" s="272">
        <f t="shared" si="5"/>
        <v>0</v>
      </c>
      <c r="U54" s="268"/>
      <c r="V54" s="267"/>
    </row>
    <row r="55" spans="1:22">
      <c r="A55" s="267"/>
      <c r="B55" s="267"/>
      <c r="C55" s="268"/>
      <c r="D55" s="268"/>
      <c r="E55" s="268"/>
      <c r="F55" s="268"/>
      <c r="G55" s="268">
        <v>0</v>
      </c>
      <c r="H55" s="269">
        <v>0</v>
      </c>
      <c r="I55" s="270">
        <f t="shared" si="0"/>
        <v>0</v>
      </c>
      <c r="J55" s="269" t="s">
        <v>200</v>
      </c>
      <c r="K55" s="403" t="str">
        <f>'ONESheet 2.8'!BillingCountryCurrency</f>
        <v>USD</v>
      </c>
      <c r="L55" s="269">
        <v>1</v>
      </c>
      <c r="M55" s="271" cm="1">
        <f t="array" ref="M55">IF(A55&lt;&gt;"",IFERROR(INDEX('ONESheet 2.8'!AV:AV, MATCH(A55, 'ONESheet 2.8'!B:B, 0)+2),0),0)</f>
        <v>0</v>
      </c>
      <c r="N55" s="271">
        <f>IFERROR(IF(OR(ISBLANK(C55),C55='ONESheet 2.8'!CustomerCountry,COUNTIF(C55,"*xDC*")),0,10%),0)</f>
        <v>0</v>
      </c>
      <c r="O55" s="271" cm="1">
        <f t="array" ref="O55">IFERROR(INDEX(WHT!$C$7:$W$18,MATCH(
_xlfn.SWITCH(C55,"xDC Medellin","Colombia","xDC Belo Horizonte","Brazil","xDC Guadalajara","Mexico","xDC Gurugram","India","xDC Leon","Spain","xDC San Jose","Costa Rica","xDC Warsaw","Poland",C55),
WHT!$B$7:$B$18,0),MATCH('ONESheet 2.8'!CustomerCountry,WHT!$C$5:$W$5,0)),0)</f>
        <v>0</v>
      </c>
      <c r="P55" s="270">
        <f t="shared" si="1"/>
        <v>0</v>
      </c>
      <c r="Q55" s="272">
        <f t="shared" si="2"/>
        <v>0</v>
      </c>
      <c r="R55" s="272">
        <f t="shared" si="3"/>
        <v>0</v>
      </c>
      <c r="S55" s="272">
        <f t="shared" si="4"/>
        <v>0</v>
      </c>
      <c r="T55" s="272">
        <f t="shared" si="5"/>
        <v>0</v>
      </c>
      <c r="U55" s="268"/>
      <c r="V55" s="267"/>
    </row>
    <row r="56" spans="1:22">
      <c r="A56" s="267"/>
      <c r="B56" s="267"/>
      <c r="C56" s="268"/>
      <c r="D56" s="268"/>
      <c r="E56" s="268"/>
      <c r="F56" s="268"/>
      <c r="G56" s="268">
        <v>0</v>
      </c>
      <c r="H56" s="269">
        <v>0</v>
      </c>
      <c r="I56" s="270">
        <f t="shared" si="0"/>
        <v>0</v>
      </c>
      <c r="J56" s="269" t="s">
        <v>200</v>
      </c>
      <c r="K56" s="403" t="str">
        <f>'ONESheet 2.8'!BillingCountryCurrency</f>
        <v>USD</v>
      </c>
      <c r="L56" s="269">
        <v>1</v>
      </c>
      <c r="M56" s="271" cm="1">
        <f t="array" ref="M56">IF(A56&lt;&gt;"",IFERROR(INDEX('ONESheet 2.8'!AV:AV, MATCH(A56, 'ONESheet 2.8'!B:B, 0)+2),0),0)</f>
        <v>0</v>
      </c>
      <c r="N56" s="271">
        <f>IFERROR(IF(OR(ISBLANK(C56),C56='ONESheet 2.8'!CustomerCountry,COUNTIF(C56,"*xDC*")),0,10%),0)</f>
        <v>0</v>
      </c>
      <c r="O56" s="271" cm="1">
        <f t="array" ref="O56">IFERROR(INDEX(WHT!$C$7:$W$18,MATCH(
_xlfn.SWITCH(C56,"xDC Medellin","Colombia","xDC Belo Horizonte","Brazil","xDC Guadalajara","Mexico","xDC Gurugram","India","xDC Leon","Spain","xDC San Jose","Costa Rica","xDC Warsaw","Poland",C56),
WHT!$B$7:$B$18,0),MATCH('ONESheet 2.8'!CustomerCountry,WHT!$C$5:$W$5,0)),0)</f>
        <v>0</v>
      </c>
      <c r="P56" s="270">
        <f t="shared" si="1"/>
        <v>0</v>
      </c>
      <c r="Q56" s="272">
        <f t="shared" si="2"/>
        <v>0</v>
      </c>
      <c r="R56" s="272">
        <f t="shared" si="3"/>
        <v>0</v>
      </c>
      <c r="S56" s="272">
        <f t="shared" si="4"/>
        <v>0</v>
      </c>
      <c r="T56" s="272">
        <f t="shared" si="5"/>
        <v>0</v>
      </c>
      <c r="U56" s="268"/>
      <c r="V56" s="267"/>
    </row>
    <row r="57" spans="1:22">
      <c r="A57" s="267"/>
      <c r="B57" s="267"/>
      <c r="C57" s="268"/>
      <c r="D57" s="268"/>
      <c r="E57" s="268"/>
      <c r="F57" s="268"/>
      <c r="G57" s="268">
        <v>0</v>
      </c>
      <c r="H57" s="269">
        <v>0</v>
      </c>
      <c r="I57" s="270">
        <f t="shared" si="0"/>
        <v>0</v>
      </c>
      <c r="J57" s="269" t="s">
        <v>200</v>
      </c>
      <c r="K57" s="403" t="str">
        <f>'ONESheet 2.8'!BillingCountryCurrency</f>
        <v>USD</v>
      </c>
      <c r="L57" s="269">
        <v>1</v>
      </c>
      <c r="M57" s="271" cm="1">
        <f t="array" ref="M57">IF(A57&lt;&gt;"",IFERROR(INDEX('ONESheet 2.8'!AV:AV, MATCH(A57, 'ONESheet 2.8'!B:B, 0)+2),0),0)</f>
        <v>0</v>
      </c>
      <c r="N57" s="271">
        <f>IFERROR(IF(OR(ISBLANK(C57),C57='ONESheet 2.8'!CustomerCountry,COUNTIF(C57,"*xDC*")),0,10%),0)</f>
        <v>0</v>
      </c>
      <c r="O57" s="271" cm="1">
        <f t="array" ref="O57">IFERROR(INDEX(WHT!$C$7:$W$18,MATCH(
_xlfn.SWITCH(C57,"xDC Medellin","Colombia","xDC Belo Horizonte","Brazil","xDC Guadalajara","Mexico","xDC Gurugram","India","xDC Leon","Spain","xDC San Jose","Costa Rica","xDC Warsaw","Poland",C57),
WHT!$B$7:$B$18,0),MATCH('ONESheet 2.8'!CustomerCountry,WHT!$C$5:$W$5,0)),0)</f>
        <v>0</v>
      </c>
      <c r="P57" s="270">
        <f t="shared" si="1"/>
        <v>0</v>
      </c>
      <c r="Q57" s="272">
        <f t="shared" si="2"/>
        <v>0</v>
      </c>
      <c r="R57" s="272">
        <f t="shared" si="3"/>
        <v>0</v>
      </c>
      <c r="S57" s="272">
        <f t="shared" si="4"/>
        <v>0</v>
      </c>
      <c r="T57" s="272">
        <f t="shared" si="5"/>
        <v>0</v>
      </c>
      <c r="U57" s="268"/>
      <c r="V57" s="267"/>
    </row>
    <row r="58" spans="1:22">
      <c r="A58" s="267"/>
      <c r="B58" s="267"/>
      <c r="C58" s="268"/>
      <c r="D58" s="268"/>
      <c r="E58" s="268"/>
      <c r="F58" s="268"/>
      <c r="G58" s="268">
        <v>0</v>
      </c>
      <c r="H58" s="269">
        <v>0</v>
      </c>
      <c r="I58" s="270">
        <f t="shared" si="0"/>
        <v>0</v>
      </c>
      <c r="J58" s="269" t="s">
        <v>200</v>
      </c>
      <c r="K58" s="403" t="str">
        <f>'ONESheet 2.8'!BillingCountryCurrency</f>
        <v>USD</v>
      </c>
      <c r="L58" s="269">
        <v>1</v>
      </c>
      <c r="M58" s="271" cm="1">
        <f t="array" ref="M58">IF(A58&lt;&gt;"",IFERROR(INDEX('ONESheet 2.8'!AV:AV, MATCH(A58, 'ONESheet 2.8'!B:B, 0)+2),0),0)</f>
        <v>0</v>
      </c>
      <c r="N58" s="271">
        <f>IFERROR(IF(OR(ISBLANK(C58),C58='ONESheet 2.8'!CustomerCountry,COUNTIF(C58,"*xDC*")),0,10%),0)</f>
        <v>0</v>
      </c>
      <c r="O58" s="271" cm="1">
        <f t="array" ref="O58">IFERROR(INDEX(WHT!$C$7:$W$18,MATCH(
_xlfn.SWITCH(C58,"xDC Medellin","Colombia","xDC Belo Horizonte","Brazil","xDC Guadalajara","Mexico","xDC Gurugram","India","xDC Leon","Spain","xDC San Jose","Costa Rica","xDC Warsaw","Poland",C58),
WHT!$B$7:$B$18,0),MATCH('ONESheet 2.8'!CustomerCountry,WHT!$C$5:$W$5,0)),0)</f>
        <v>0</v>
      </c>
      <c r="P58" s="270">
        <f t="shared" si="1"/>
        <v>0</v>
      </c>
      <c r="Q58" s="272">
        <f t="shared" si="2"/>
        <v>0</v>
      </c>
      <c r="R58" s="272">
        <f t="shared" si="3"/>
        <v>0</v>
      </c>
      <c r="S58" s="272">
        <f t="shared" si="4"/>
        <v>0</v>
      </c>
      <c r="T58" s="272">
        <f t="shared" si="5"/>
        <v>0</v>
      </c>
      <c r="U58" s="268"/>
      <c r="V58" s="267"/>
    </row>
    <row r="59" spans="1:22">
      <c r="A59" s="267"/>
      <c r="B59" s="267"/>
      <c r="C59" s="268"/>
      <c r="D59" s="268"/>
      <c r="E59" s="268"/>
      <c r="F59" s="268"/>
      <c r="G59" s="268">
        <v>0</v>
      </c>
      <c r="H59" s="269">
        <v>0</v>
      </c>
      <c r="I59" s="270">
        <f t="shared" si="0"/>
        <v>0</v>
      </c>
      <c r="J59" s="269" t="s">
        <v>200</v>
      </c>
      <c r="K59" s="403" t="str">
        <f>'ONESheet 2.8'!BillingCountryCurrency</f>
        <v>USD</v>
      </c>
      <c r="L59" s="269">
        <v>1</v>
      </c>
      <c r="M59" s="271" cm="1">
        <f t="array" ref="M59">IF(A59&lt;&gt;"",IFERROR(INDEX('ONESheet 2.8'!AV:AV, MATCH(A59, 'ONESheet 2.8'!B:B, 0)+2),0),0)</f>
        <v>0</v>
      </c>
      <c r="N59" s="271">
        <f>IFERROR(IF(OR(ISBLANK(C59),C59='ONESheet 2.8'!CustomerCountry,COUNTIF(C59,"*xDC*")),0,10%),0)</f>
        <v>0</v>
      </c>
      <c r="O59" s="271" cm="1">
        <f t="array" ref="O59">IFERROR(INDEX(WHT!$C$7:$W$18,MATCH(
_xlfn.SWITCH(C59,"xDC Medellin","Colombia","xDC Belo Horizonte","Brazil","xDC Guadalajara","Mexico","xDC Gurugram","India","xDC Leon","Spain","xDC San Jose","Costa Rica","xDC Warsaw","Poland",C59),
WHT!$B$7:$B$18,0),MATCH('ONESheet 2.8'!CustomerCountry,WHT!$C$5:$W$5,0)),0)</f>
        <v>0</v>
      </c>
      <c r="P59" s="270">
        <f t="shared" si="1"/>
        <v>0</v>
      </c>
      <c r="Q59" s="272">
        <f t="shared" si="2"/>
        <v>0</v>
      </c>
      <c r="R59" s="272">
        <f t="shared" si="3"/>
        <v>0</v>
      </c>
      <c r="S59" s="272">
        <f t="shared" si="4"/>
        <v>0</v>
      </c>
      <c r="T59" s="272">
        <f t="shared" si="5"/>
        <v>0</v>
      </c>
      <c r="U59" s="268"/>
      <c r="V59" s="267"/>
    </row>
    <row r="60" spans="1:22">
      <c r="A60" s="267"/>
      <c r="B60" s="267"/>
      <c r="C60" s="268"/>
      <c r="D60" s="268"/>
      <c r="E60" s="268"/>
      <c r="F60" s="268"/>
      <c r="G60" s="268">
        <v>0</v>
      </c>
      <c r="H60" s="269">
        <v>0</v>
      </c>
      <c r="I60" s="270">
        <f t="shared" si="0"/>
        <v>0</v>
      </c>
      <c r="J60" s="269" t="s">
        <v>200</v>
      </c>
      <c r="K60" s="403" t="str">
        <f>'ONESheet 2.8'!BillingCountryCurrency</f>
        <v>USD</v>
      </c>
      <c r="L60" s="269">
        <v>1</v>
      </c>
      <c r="M60" s="271" cm="1">
        <f t="array" ref="M60">IF(A60&lt;&gt;"",IFERROR(INDEX('ONESheet 2.8'!AV:AV, MATCH(A60, 'ONESheet 2.8'!B:B, 0)+2),0),0)</f>
        <v>0</v>
      </c>
      <c r="N60" s="271">
        <f>IFERROR(IF(OR(ISBLANK(C60),C60='ONESheet 2.8'!CustomerCountry,COUNTIF(C60,"*xDC*")),0,10%),0)</f>
        <v>0</v>
      </c>
      <c r="O60" s="271" cm="1">
        <f t="array" ref="O60">IFERROR(INDEX(WHT!$C$7:$W$18,MATCH(
_xlfn.SWITCH(C60,"xDC Medellin","Colombia","xDC Belo Horizonte","Brazil","xDC Guadalajara","Mexico","xDC Gurugram","India","xDC Leon","Spain","xDC San Jose","Costa Rica","xDC Warsaw","Poland",C60),
WHT!$B$7:$B$18,0),MATCH('ONESheet 2.8'!CustomerCountry,WHT!$C$5:$W$5,0)),0)</f>
        <v>0</v>
      </c>
      <c r="P60" s="270">
        <f t="shared" si="1"/>
        <v>0</v>
      </c>
      <c r="Q60" s="272">
        <f t="shared" si="2"/>
        <v>0</v>
      </c>
      <c r="R60" s="272">
        <f t="shared" si="3"/>
        <v>0</v>
      </c>
      <c r="S60" s="272">
        <f t="shared" si="4"/>
        <v>0</v>
      </c>
      <c r="T60" s="272">
        <f t="shared" si="5"/>
        <v>0</v>
      </c>
      <c r="U60" s="268"/>
      <c r="V60" s="267"/>
    </row>
    <row r="61" spans="1:22">
      <c r="A61" s="267"/>
      <c r="B61" s="267"/>
      <c r="C61" s="268"/>
      <c r="D61" s="268"/>
      <c r="E61" s="268"/>
      <c r="F61" s="268"/>
      <c r="G61" s="268">
        <v>0</v>
      </c>
      <c r="H61" s="269">
        <v>0</v>
      </c>
      <c r="I61" s="270">
        <f t="shared" si="0"/>
        <v>0</v>
      </c>
      <c r="J61" s="269" t="s">
        <v>200</v>
      </c>
      <c r="K61" s="403" t="str">
        <f>'ONESheet 2.8'!BillingCountryCurrency</f>
        <v>USD</v>
      </c>
      <c r="L61" s="269">
        <v>1</v>
      </c>
      <c r="M61" s="271" cm="1">
        <f t="array" ref="M61">IF(A61&lt;&gt;"",IFERROR(INDEX('ONESheet 2.8'!AV:AV, MATCH(A61, 'ONESheet 2.8'!B:B, 0)+2),0),0)</f>
        <v>0</v>
      </c>
      <c r="N61" s="271">
        <f>IFERROR(IF(OR(ISBLANK(C61),C61='ONESheet 2.8'!CustomerCountry,COUNTIF(C61,"*xDC*")),0,10%),0)</f>
        <v>0</v>
      </c>
      <c r="O61" s="271" cm="1">
        <f t="array" ref="O61">IFERROR(INDEX(WHT!$C$7:$W$18,MATCH(
_xlfn.SWITCH(C61,"xDC Medellin","Colombia","xDC Belo Horizonte","Brazil","xDC Guadalajara","Mexico","xDC Gurugram","India","xDC Leon","Spain","xDC San Jose","Costa Rica","xDC Warsaw","Poland",C61),
WHT!$B$7:$B$18,0),MATCH('ONESheet 2.8'!CustomerCountry,WHT!$C$5:$W$5,0)),0)</f>
        <v>0</v>
      </c>
      <c r="P61" s="270">
        <f t="shared" si="1"/>
        <v>0</v>
      </c>
      <c r="Q61" s="272">
        <f t="shared" si="2"/>
        <v>0</v>
      </c>
      <c r="R61" s="272">
        <f t="shared" si="3"/>
        <v>0</v>
      </c>
      <c r="S61" s="272">
        <f t="shared" si="4"/>
        <v>0</v>
      </c>
      <c r="T61" s="272">
        <f t="shared" si="5"/>
        <v>0</v>
      </c>
      <c r="U61" s="268"/>
      <c r="V61" s="267"/>
    </row>
    <row r="62" spans="1:22">
      <c r="A62" s="267"/>
      <c r="B62" s="267"/>
      <c r="C62" s="268"/>
      <c r="D62" s="268"/>
      <c r="E62" s="268"/>
      <c r="F62" s="268"/>
      <c r="G62" s="268">
        <v>0</v>
      </c>
      <c r="H62" s="269">
        <v>0</v>
      </c>
      <c r="I62" s="270">
        <f t="shared" si="0"/>
        <v>0</v>
      </c>
      <c r="J62" s="269" t="s">
        <v>200</v>
      </c>
      <c r="K62" s="403" t="str">
        <f>'ONESheet 2.8'!BillingCountryCurrency</f>
        <v>USD</v>
      </c>
      <c r="L62" s="269">
        <v>1</v>
      </c>
      <c r="M62" s="271" cm="1">
        <f t="array" ref="M62">IF(A62&lt;&gt;"",IFERROR(INDEX('ONESheet 2.8'!AV:AV, MATCH(A62, 'ONESheet 2.8'!B:B, 0)+2),0),0)</f>
        <v>0</v>
      </c>
      <c r="N62" s="271">
        <f>IFERROR(IF(OR(ISBLANK(C62),C62='ONESheet 2.8'!CustomerCountry,COUNTIF(C62,"*xDC*")),0,10%),0)</f>
        <v>0</v>
      </c>
      <c r="O62" s="271" cm="1">
        <f t="array" ref="O62">IFERROR(INDEX(WHT!$C$7:$W$18,MATCH(
_xlfn.SWITCH(C62,"xDC Medellin","Colombia","xDC Belo Horizonte","Brazil","xDC Guadalajara","Mexico","xDC Gurugram","India","xDC Leon","Spain","xDC San Jose","Costa Rica","xDC Warsaw","Poland",C62),
WHT!$B$7:$B$18,0),MATCH('ONESheet 2.8'!CustomerCountry,WHT!$C$5:$W$5,0)),0)</f>
        <v>0</v>
      </c>
      <c r="P62" s="270">
        <f t="shared" si="1"/>
        <v>0</v>
      </c>
      <c r="Q62" s="272">
        <f t="shared" si="2"/>
        <v>0</v>
      </c>
      <c r="R62" s="272">
        <f t="shared" si="3"/>
        <v>0</v>
      </c>
      <c r="S62" s="272">
        <f t="shared" si="4"/>
        <v>0</v>
      </c>
      <c r="T62" s="272">
        <f t="shared" si="5"/>
        <v>0</v>
      </c>
      <c r="U62" s="268"/>
      <c r="V62" s="267"/>
    </row>
    <row r="63" spans="1:22">
      <c r="A63" s="267"/>
      <c r="B63" s="267"/>
      <c r="C63" s="268"/>
      <c r="D63" s="268"/>
      <c r="E63" s="268"/>
      <c r="F63" s="268"/>
      <c r="G63" s="268">
        <v>0</v>
      </c>
      <c r="H63" s="269">
        <v>0</v>
      </c>
      <c r="I63" s="270">
        <f t="shared" si="0"/>
        <v>0</v>
      </c>
      <c r="J63" s="269" t="s">
        <v>200</v>
      </c>
      <c r="K63" s="403" t="str">
        <f>'ONESheet 2.8'!BillingCountryCurrency</f>
        <v>USD</v>
      </c>
      <c r="L63" s="269">
        <v>1</v>
      </c>
      <c r="M63" s="271" cm="1">
        <f t="array" ref="M63">IF(A63&lt;&gt;"",IFERROR(INDEX('ONESheet 2.8'!AV:AV, MATCH(A63, 'ONESheet 2.8'!B:B, 0)+2),0),0)</f>
        <v>0</v>
      </c>
      <c r="N63" s="271">
        <f>IFERROR(IF(OR(ISBLANK(C63),C63='ONESheet 2.8'!CustomerCountry,COUNTIF(C63,"*xDC*")),0,10%),0)</f>
        <v>0</v>
      </c>
      <c r="O63" s="271" cm="1">
        <f t="array" ref="O63">IFERROR(INDEX(WHT!$C$7:$W$18,MATCH(
_xlfn.SWITCH(C63,"xDC Medellin","Colombia","xDC Belo Horizonte","Brazil","xDC Guadalajara","Mexico","xDC Gurugram","India","xDC Leon","Spain","xDC San Jose","Costa Rica","xDC Warsaw","Poland",C63),
WHT!$B$7:$B$18,0),MATCH('ONESheet 2.8'!CustomerCountry,WHT!$C$5:$W$5,0)),0)</f>
        <v>0</v>
      </c>
      <c r="P63" s="270">
        <f t="shared" si="1"/>
        <v>0</v>
      </c>
      <c r="Q63" s="272">
        <f t="shared" si="2"/>
        <v>0</v>
      </c>
      <c r="R63" s="272">
        <f t="shared" si="3"/>
        <v>0</v>
      </c>
      <c r="S63" s="272">
        <f t="shared" si="4"/>
        <v>0</v>
      </c>
      <c r="T63" s="272">
        <f t="shared" si="5"/>
        <v>0</v>
      </c>
      <c r="U63" s="268"/>
      <c r="V63" s="267"/>
    </row>
    <row r="64" spans="1:22">
      <c r="A64" s="267"/>
      <c r="B64" s="267"/>
      <c r="C64" s="268"/>
      <c r="D64" s="268"/>
      <c r="E64" s="268"/>
      <c r="F64" s="268"/>
      <c r="G64" s="268">
        <v>0</v>
      </c>
      <c r="H64" s="269">
        <v>0</v>
      </c>
      <c r="I64" s="270">
        <f t="shared" si="0"/>
        <v>0</v>
      </c>
      <c r="J64" s="269" t="s">
        <v>200</v>
      </c>
      <c r="K64" s="403" t="str">
        <f>'ONESheet 2.8'!BillingCountryCurrency</f>
        <v>USD</v>
      </c>
      <c r="L64" s="269">
        <v>1</v>
      </c>
      <c r="M64" s="271" cm="1">
        <f t="array" ref="M64">IF(A64&lt;&gt;"",IFERROR(INDEX('ONESheet 2.8'!AV:AV, MATCH(A64, 'ONESheet 2.8'!B:B, 0)+2),0),0)</f>
        <v>0</v>
      </c>
      <c r="N64" s="271">
        <f>IFERROR(IF(OR(ISBLANK(C64),C64='ONESheet 2.8'!CustomerCountry,COUNTIF(C64,"*xDC*")),0,10%),0)</f>
        <v>0</v>
      </c>
      <c r="O64" s="271" cm="1">
        <f t="array" ref="O64">IFERROR(INDEX(WHT!$C$7:$W$18,MATCH(
_xlfn.SWITCH(C64,"xDC Medellin","Colombia","xDC Belo Horizonte","Brazil","xDC Guadalajara","Mexico","xDC Gurugram","India","xDC Leon","Spain","xDC San Jose","Costa Rica","xDC Warsaw","Poland",C64),
WHT!$B$7:$B$18,0),MATCH('ONESheet 2.8'!CustomerCountry,WHT!$C$5:$W$5,0)),0)</f>
        <v>0</v>
      </c>
      <c r="P64" s="270">
        <f t="shared" si="1"/>
        <v>0</v>
      </c>
      <c r="Q64" s="272">
        <f t="shared" si="2"/>
        <v>0</v>
      </c>
      <c r="R64" s="272">
        <f t="shared" si="3"/>
        <v>0</v>
      </c>
      <c r="S64" s="272">
        <f t="shared" si="4"/>
        <v>0</v>
      </c>
      <c r="T64" s="272">
        <f t="shared" si="5"/>
        <v>0</v>
      </c>
      <c r="U64" s="268"/>
      <c r="V64" s="267"/>
    </row>
    <row r="65" spans="1:22">
      <c r="A65" s="267"/>
      <c r="B65" s="267"/>
      <c r="C65" s="268"/>
      <c r="D65" s="268"/>
      <c r="E65" s="268"/>
      <c r="F65" s="268"/>
      <c r="G65" s="268">
        <v>0</v>
      </c>
      <c r="H65" s="269">
        <v>0</v>
      </c>
      <c r="I65" s="270">
        <f t="shared" si="0"/>
        <v>0</v>
      </c>
      <c r="J65" s="269" t="s">
        <v>200</v>
      </c>
      <c r="K65" s="403" t="str">
        <f>'ONESheet 2.8'!BillingCountryCurrency</f>
        <v>USD</v>
      </c>
      <c r="L65" s="269">
        <v>1</v>
      </c>
      <c r="M65" s="271" cm="1">
        <f t="array" ref="M65">IF(A65&lt;&gt;"",IFERROR(INDEX('ONESheet 2.8'!AV:AV, MATCH(A65, 'ONESheet 2.8'!B:B, 0)+2),0),0)</f>
        <v>0</v>
      </c>
      <c r="N65" s="271">
        <f>IFERROR(IF(OR(ISBLANK(C65),C65='ONESheet 2.8'!CustomerCountry,COUNTIF(C65,"*xDC*")),0,10%),0)</f>
        <v>0</v>
      </c>
      <c r="O65" s="271" cm="1">
        <f t="array" ref="O65">IFERROR(INDEX(WHT!$C$7:$W$18,MATCH(
_xlfn.SWITCH(C65,"xDC Medellin","Colombia","xDC Belo Horizonte","Brazil","xDC Guadalajara","Mexico","xDC Gurugram","India","xDC Leon","Spain","xDC San Jose","Costa Rica","xDC Warsaw","Poland",C65),
WHT!$B$7:$B$18,0),MATCH('ONESheet 2.8'!CustomerCountry,WHT!$C$5:$W$5,0)),0)</f>
        <v>0</v>
      </c>
      <c r="P65" s="270">
        <f t="shared" si="1"/>
        <v>0</v>
      </c>
      <c r="Q65" s="272">
        <f t="shared" si="2"/>
        <v>0</v>
      </c>
      <c r="R65" s="272">
        <f t="shared" si="3"/>
        <v>0</v>
      </c>
      <c r="S65" s="272">
        <f t="shared" si="4"/>
        <v>0</v>
      </c>
      <c r="T65" s="272">
        <f t="shared" si="5"/>
        <v>0</v>
      </c>
      <c r="U65" s="268"/>
      <c r="V65" s="267"/>
    </row>
    <row r="66" spans="1:22">
      <c r="A66" s="267"/>
      <c r="B66" s="267"/>
      <c r="C66" s="268"/>
      <c r="D66" s="268"/>
      <c r="E66" s="268"/>
      <c r="F66" s="268"/>
      <c r="G66" s="268">
        <v>0</v>
      </c>
      <c r="H66" s="269">
        <v>0</v>
      </c>
      <c r="I66" s="270">
        <f t="shared" ref="I66:I129" si="6">G66*H66</f>
        <v>0</v>
      </c>
      <c r="J66" s="269" t="s">
        <v>200</v>
      </c>
      <c r="K66" s="403" t="str">
        <f>'ONESheet 2.8'!BillingCountryCurrency</f>
        <v>USD</v>
      </c>
      <c r="L66" s="269">
        <v>1</v>
      </c>
      <c r="M66" s="271" cm="1">
        <f t="array" ref="M66">IF(A66&lt;&gt;"",IFERROR(INDEX('ONESheet 2.8'!AV:AV, MATCH(A66, 'ONESheet 2.8'!B:B, 0)+2),0),0)</f>
        <v>0</v>
      </c>
      <c r="N66" s="271">
        <f>IFERROR(IF(OR(ISBLANK(C66),C66='ONESheet 2.8'!CustomerCountry,COUNTIF(C66,"*xDC*")),0,10%),0)</f>
        <v>0</v>
      </c>
      <c r="O66" s="271" cm="1">
        <f t="array" ref="O66">IFERROR(INDEX(WHT!$C$7:$W$18,MATCH(
_xlfn.SWITCH(C66,"xDC Medellin","Colombia","xDC Belo Horizonte","Brazil","xDC Guadalajara","Mexico","xDC Gurugram","India","xDC Leon","Spain","xDC San Jose","Costa Rica","xDC Warsaw","Poland",C66),
WHT!$B$7:$B$18,0),MATCH('ONESheet 2.8'!CustomerCountry,WHT!$C$5:$W$5,0)),0)</f>
        <v>0</v>
      </c>
      <c r="P66" s="270">
        <f t="shared" si="1"/>
        <v>0</v>
      </c>
      <c r="Q66" s="272">
        <f t="shared" si="2"/>
        <v>0</v>
      </c>
      <c r="R66" s="272">
        <f t="shared" ref="R66:R129" si="7">ROUNDUP(IFERROR(P66/(1-M66),0),2)</f>
        <v>0</v>
      </c>
      <c r="S66" s="272">
        <f t="shared" si="4"/>
        <v>0</v>
      </c>
      <c r="T66" s="272">
        <f t="shared" si="5"/>
        <v>0</v>
      </c>
      <c r="U66" s="268"/>
      <c r="V66" s="267"/>
    </row>
    <row r="67" spans="1:22">
      <c r="A67" s="267"/>
      <c r="B67" s="267"/>
      <c r="C67" s="268"/>
      <c r="D67" s="268"/>
      <c r="E67" s="268"/>
      <c r="F67" s="268"/>
      <c r="G67" s="268">
        <v>0</v>
      </c>
      <c r="H67" s="269">
        <v>0</v>
      </c>
      <c r="I67" s="270">
        <f t="shared" si="6"/>
        <v>0</v>
      </c>
      <c r="J67" s="269" t="s">
        <v>200</v>
      </c>
      <c r="K67" s="403" t="str">
        <f>'ONESheet 2.8'!BillingCountryCurrency</f>
        <v>USD</v>
      </c>
      <c r="L67" s="269">
        <v>1</v>
      </c>
      <c r="M67" s="271" cm="1">
        <f t="array" ref="M67">IF(A67&lt;&gt;"",IFERROR(INDEX('ONESheet 2.8'!AV:AV, MATCH(A67, 'ONESheet 2.8'!B:B, 0)+2),0),0)</f>
        <v>0</v>
      </c>
      <c r="N67" s="271">
        <f>IFERROR(IF(OR(ISBLANK(C67),C67='ONESheet 2.8'!CustomerCountry,COUNTIF(C67,"*xDC*")),0,10%),0)</f>
        <v>0</v>
      </c>
      <c r="O67" s="271" cm="1">
        <f t="array" ref="O67">IFERROR(INDEX(WHT!$C$7:$W$18,MATCH(
_xlfn.SWITCH(C67,"xDC Medellin","Colombia","xDC Belo Horizonte","Brazil","xDC Guadalajara","Mexico","xDC Gurugram","India","xDC Leon","Spain","xDC San Jose","Costa Rica","xDC Warsaw","Poland",C67),
WHT!$B$7:$B$18,0),MATCH('ONESheet 2.8'!CustomerCountry,WHT!$C$5:$W$5,0)),0)</f>
        <v>0</v>
      </c>
      <c r="P67" s="270">
        <f t="shared" ref="P67:P130" si="8">IFERROR(IF(J67=K67,I67,IF(J67="LOCAL",I67/L67,I67*L67)),0)</f>
        <v>0</v>
      </c>
      <c r="Q67" s="272">
        <f t="shared" ref="Q67:Q130" si="9">ROUNDUP(P67,2)</f>
        <v>0</v>
      </c>
      <c r="R67" s="272">
        <f t="shared" si="7"/>
        <v>0</v>
      </c>
      <c r="S67" s="272">
        <f t="shared" ref="S67:S130" si="10">ROUNDUP(IFERROR($P67*$N67,0),2)</f>
        <v>0</v>
      </c>
      <c r="T67" s="272">
        <f t="shared" ref="T67:T130" si="11">ROUNDUP(IFERROR(SUM($P67,$S67)*$O67,0),2)</f>
        <v>0</v>
      </c>
      <c r="U67" s="268"/>
      <c r="V67" s="267"/>
    </row>
    <row r="68" spans="1:22">
      <c r="A68" s="267"/>
      <c r="B68" s="267"/>
      <c r="C68" s="268"/>
      <c r="D68" s="268"/>
      <c r="E68" s="268"/>
      <c r="F68" s="268"/>
      <c r="G68" s="268">
        <v>0</v>
      </c>
      <c r="H68" s="269">
        <v>0</v>
      </c>
      <c r="I68" s="270">
        <f t="shared" si="6"/>
        <v>0</v>
      </c>
      <c r="J68" s="269" t="s">
        <v>200</v>
      </c>
      <c r="K68" s="403" t="str">
        <f>'ONESheet 2.8'!BillingCountryCurrency</f>
        <v>USD</v>
      </c>
      <c r="L68" s="269">
        <v>1</v>
      </c>
      <c r="M68" s="271" cm="1">
        <f t="array" ref="M68">IF(A68&lt;&gt;"",IFERROR(INDEX('ONESheet 2.8'!AV:AV, MATCH(A68, 'ONESheet 2.8'!B:B, 0)+2),0),0)</f>
        <v>0</v>
      </c>
      <c r="N68" s="271">
        <f>IFERROR(IF(OR(ISBLANK(C68),C68='ONESheet 2.8'!CustomerCountry,COUNTIF(C68,"*xDC*")),0,10%),0)</f>
        <v>0</v>
      </c>
      <c r="O68" s="271" cm="1">
        <f t="array" ref="O68">IFERROR(INDEX(WHT!$C$7:$W$18,MATCH(
_xlfn.SWITCH(C68,"xDC Medellin","Colombia","xDC Belo Horizonte","Brazil","xDC Guadalajara","Mexico","xDC Gurugram","India","xDC Leon","Spain","xDC San Jose","Costa Rica","xDC Warsaw","Poland",C68),
WHT!$B$7:$B$18,0),MATCH('ONESheet 2.8'!CustomerCountry,WHT!$C$5:$W$5,0)),0)</f>
        <v>0</v>
      </c>
      <c r="P68" s="270">
        <f t="shared" si="8"/>
        <v>0</v>
      </c>
      <c r="Q68" s="272">
        <f t="shared" si="9"/>
        <v>0</v>
      </c>
      <c r="R68" s="272">
        <f t="shared" si="7"/>
        <v>0</v>
      </c>
      <c r="S68" s="272">
        <f t="shared" si="10"/>
        <v>0</v>
      </c>
      <c r="T68" s="272">
        <f t="shared" si="11"/>
        <v>0</v>
      </c>
      <c r="U68" s="268"/>
      <c r="V68" s="267"/>
    </row>
    <row r="69" spans="1:22">
      <c r="A69" s="267"/>
      <c r="B69" s="267"/>
      <c r="C69" s="268"/>
      <c r="D69" s="268"/>
      <c r="E69" s="268"/>
      <c r="F69" s="268"/>
      <c r="G69" s="268">
        <v>0</v>
      </c>
      <c r="H69" s="269">
        <v>0</v>
      </c>
      <c r="I69" s="270">
        <f t="shared" si="6"/>
        <v>0</v>
      </c>
      <c r="J69" s="269" t="s">
        <v>200</v>
      </c>
      <c r="K69" s="403" t="str">
        <f>'ONESheet 2.8'!BillingCountryCurrency</f>
        <v>USD</v>
      </c>
      <c r="L69" s="269">
        <v>1</v>
      </c>
      <c r="M69" s="271" cm="1">
        <f t="array" ref="M69">IF(A69&lt;&gt;"",IFERROR(INDEX('ONESheet 2.8'!AV:AV, MATCH(A69, 'ONESheet 2.8'!B:B, 0)+2),0),0)</f>
        <v>0</v>
      </c>
      <c r="N69" s="271">
        <f>IFERROR(IF(OR(ISBLANK(C69),C69='ONESheet 2.8'!CustomerCountry,COUNTIF(C69,"*xDC*")),0,10%),0)</f>
        <v>0</v>
      </c>
      <c r="O69" s="271" cm="1">
        <f t="array" ref="O69">IFERROR(INDEX(WHT!$C$7:$W$18,MATCH(
_xlfn.SWITCH(C69,"xDC Medellin","Colombia","xDC Belo Horizonte","Brazil","xDC Guadalajara","Mexico","xDC Gurugram","India","xDC Leon","Spain","xDC San Jose","Costa Rica","xDC Warsaw","Poland",C69),
WHT!$B$7:$B$18,0),MATCH('ONESheet 2.8'!CustomerCountry,WHT!$C$5:$W$5,0)),0)</f>
        <v>0</v>
      </c>
      <c r="P69" s="270">
        <f t="shared" si="8"/>
        <v>0</v>
      </c>
      <c r="Q69" s="272">
        <f t="shared" si="9"/>
        <v>0</v>
      </c>
      <c r="R69" s="272">
        <f t="shared" si="7"/>
        <v>0</v>
      </c>
      <c r="S69" s="272">
        <f t="shared" si="10"/>
        <v>0</v>
      </c>
      <c r="T69" s="272">
        <f t="shared" si="11"/>
        <v>0</v>
      </c>
      <c r="U69" s="268"/>
      <c r="V69" s="267"/>
    </row>
    <row r="70" spans="1:22">
      <c r="A70" s="267"/>
      <c r="B70" s="267"/>
      <c r="C70" s="268"/>
      <c r="D70" s="268"/>
      <c r="E70" s="268"/>
      <c r="F70" s="268"/>
      <c r="G70" s="268">
        <v>0</v>
      </c>
      <c r="H70" s="269">
        <v>0</v>
      </c>
      <c r="I70" s="270">
        <f t="shared" si="6"/>
        <v>0</v>
      </c>
      <c r="J70" s="269" t="s">
        <v>200</v>
      </c>
      <c r="K70" s="403" t="str">
        <f>'ONESheet 2.8'!BillingCountryCurrency</f>
        <v>USD</v>
      </c>
      <c r="L70" s="269">
        <v>1</v>
      </c>
      <c r="M70" s="271" cm="1">
        <f t="array" ref="M70">IF(A70&lt;&gt;"",IFERROR(INDEX('ONESheet 2.8'!AV:AV, MATCH(A70, 'ONESheet 2.8'!B:B, 0)+2),0),0)</f>
        <v>0</v>
      </c>
      <c r="N70" s="271">
        <f>IFERROR(IF(OR(ISBLANK(C70),C70='ONESheet 2.8'!CustomerCountry,COUNTIF(C70,"*xDC*")),0,10%),0)</f>
        <v>0</v>
      </c>
      <c r="O70" s="271" cm="1">
        <f t="array" ref="O70">IFERROR(INDEX(WHT!$C$7:$W$18,MATCH(
_xlfn.SWITCH(C70,"xDC Medellin","Colombia","xDC Belo Horizonte","Brazil","xDC Guadalajara","Mexico","xDC Gurugram","India","xDC Leon","Spain","xDC San Jose","Costa Rica","xDC Warsaw","Poland",C70),
WHT!$B$7:$B$18,0),MATCH('ONESheet 2.8'!CustomerCountry,WHT!$C$5:$W$5,0)),0)</f>
        <v>0</v>
      </c>
      <c r="P70" s="270">
        <f t="shared" si="8"/>
        <v>0</v>
      </c>
      <c r="Q70" s="272">
        <f t="shared" si="9"/>
        <v>0</v>
      </c>
      <c r="R70" s="272">
        <f t="shared" si="7"/>
        <v>0</v>
      </c>
      <c r="S70" s="272">
        <f t="shared" si="10"/>
        <v>0</v>
      </c>
      <c r="T70" s="272">
        <f t="shared" si="11"/>
        <v>0</v>
      </c>
      <c r="U70" s="268"/>
      <c r="V70" s="267"/>
    </row>
    <row r="71" spans="1:22">
      <c r="A71" s="267"/>
      <c r="B71" s="267"/>
      <c r="C71" s="268"/>
      <c r="D71" s="268"/>
      <c r="E71" s="268"/>
      <c r="F71" s="268"/>
      <c r="G71" s="268">
        <v>0</v>
      </c>
      <c r="H71" s="269">
        <v>0</v>
      </c>
      <c r="I71" s="270">
        <f t="shared" si="6"/>
        <v>0</v>
      </c>
      <c r="J71" s="269" t="s">
        <v>200</v>
      </c>
      <c r="K71" s="403" t="str">
        <f>'ONESheet 2.8'!BillingCountryCurrency</f>
        <v>USD</v>
      </c>
      <c r="L71" s="269">
        <v>1</v>
      </c>
      <c r="M71" s="271" cm="1">
        <f t="array" ref="M71">IF(A71&lt;&gt;"",IFERROR(INDEX('ONESheet 2.8'!AV:AV, MATCH(A71, 'ONESheet 2.8'!B:B, 0)+2),0),0)</f>
        <v>0</v>
      </c>
      <c r="N71" s="271">
        <f>IFERROR(IF(OR(ISBLANK(C71),C71='ONESheet 2.8'!CustomerCountry,COUNTIF(C71,"*xDC*")),0,10%),0)</f>
        <v>0</v>
      </c>
      <c r="O71" s="271" cm="1">
        <f t="array" ref="O71">IFERROR(INDEX(WHT!$C$7:$W$18,MATCH(
_xlfn.SWITCH(C71,"xDC Medellin","Colombia","xDC Belo Horizonte","Brazil","xDC Guadalajara","Mexico","xDC Gurugram","India","xDC Leon","Spain","xDC San Jose","Costa Rica","xDC Warsaw","Poland",C71),
WHT!$B$7:$B$18,0),MATCH('ONESheet 2.8'!CustomerCountry,WHT!$C$5:$W$5,0)),0)</f>
        <v>0</v>
      </c>
      <c r="P71" s="270">
        <f t="shared" si="8"/>
        <v>0</v>
      </c>
      <c r="Q71" s="272">
        <f t="shared" si="9"/>
        <v>0</v>
      </c>
      <c r="R71" s="272">
        <f t="shared" si="7"/>
        <v>0</v>
      </c>
      <c r="S71" s="272">
        <f t="shared" si="10"/>
        <v>0</v>
      </c>
      <c r="T71" s="272">
        <f t="shared" si="11"/>
        <v>0</v>
      </c>
      <c r="U71" s="268"/>
      <c r="V71" s="267"/>
    </row>
    <row r="72" spans="1:22">
      <c r="A72" s="267"/>
      <c r="B72" s="267"/>
      <c r="C72" s="268"/>
      <c r="D72" s="268"/>
      <c r="E72" s="268"/>
      <c r="F72" s="268"/>
      <c r="G72" s="268">
        <v>0</v>
      </c>
      <c r="H72" s="269">
        <v>0</v>
      </c>
      <c r="I72" s="270">
        <f t="shared" si="6"/>
        <v>0</v>
      </c>
      <c r="J72" s="269" t="s">
        <v>200</v>
      </c>
      <c r="K72" s="403" t="str">
        <f>'ONESheet 2.8'!BillingCountryCurrency</f>
        <v>USD</v>
      </c>
      <c r="L72" s="269">
        <v>1</v>
      </c>
      <c r="M72" s="271" cm="1">
        <f t="array" ref="M72">IF(A72&lt;&gt;"",IFERROR(INDEX('ONESheet 2.8'!AV:AV, MATCH(A72, 'ONESheet 2.8'!B:B, 0)+2),0),0)</f>
        <v>0</v>
      </c>
      <c r="N72" s="271">
        <f>IFERROR(IF(OR(ISBLANK(C72),C72='ONESheet 2.8'!CustomerCountry,COUNTIF(C72,"*xDC*")),0,10%),0)</f>
        <v>0</v>
      </c>
      <c r="O72" s="271" cm="1">
        <f t="array" ref="O72">IFERROR(INDEX(WHT!$C$7:$W$18,MATCH(
_xlfn.SWITCH(C72,"xDC Medellin","Colombia","xDC Belo Horizonte","Brazil","xDC Guadalajara","Mexico","xDC Gurugram","India","xDC Leon","Spain","xDC San Jose","Costa Rica","xDC Warsaw","Poland",C72),
WHT!$B$7:$B$18,0),MATCH('ONESheet 2.8'!CustomerCountry,WHT!$C$5:$W$5,0)),0)</f>
        <v>0</v>
      </c>
      <c r="P72" s="270">
        <f t="shared" si="8"/>
        <v>0</v>
      </c>
      <c r="Q72" s="272">
        <f t="shared" si="9"/>
        <v>0</v>
      </c>
      <c r="R72" s="272">
        <f t="shared" si="7"/>
        <v>0</v>
      </c>
      <c r="S72" s="272">
        <f t="shared" si="10"/>
        <v>0</v>
      </c>
      <c r="T72" s="272">
        <f t="shared" si="11"/>
        <v>0</v>
      </c>
      <c r="U72" s="268"/>
      <c r="V72" s="267"/>
    </row>
    <row r="73" spans="1:22">
      <c r="A73" s="267"/>
      <c r="B73" s="267"/>
      <c r="C73" s="268"/>
      <c r="D73" s="268"/>
      <c r="E73" s="268"/>
      <c r="F73" s="268"/>
      <c r="G73" s="268">
        <v>0</v>
      </c>
      <c r="H73" s="269">
        <v>0</v>
      </c>
      <c r="I73" s="270">
        <f t="shared" si="6"/>
        <v>0</v>
      </c>
      <c r="J73" s="269" t="s">
        <v>200</v>
      </c>
      <c r="K73" s="403" t="str">
        <f>'ONESheet 2.8'!BillingCountryCurrency</f>
        <v>USD</v>
      </c>
      <c r="L73" s="269">
        <v>1</v>
      </c>
      <c r="M73" s="271" cm="1">
        <f t="array" ref="M73">IF(A73&lt;&gt;"",IFERROR(INDEX('ONESheet 2.8'!AV:AV, MATCH(A73, 'ONESheet 2.8'!B:B, 0)+2),0),0)</f>
        <v>0</v>
      </c>
      <c r="N73" s="271">
        <f>IFERROR(IF(OR(ISBLANK(C73),C73='ONESheet 2.8'!CustomerCountry,COUNTIF(C73,"*xDC*")),0,10%),0)</f>
        <v>0</v>
      </c>
      <c r="O73" s="271" cm="1">
        <f t="array" ref="O73">IFERROR(INDEX(WHT!$C$7:$W$18,MATCH(
_xlfn.SWITCH(C73,"xDC Medellin","Colombia","xDC Belo Horizonte","Brazil","xDC Guadalajara","Mexico","xDC Gurugram","India","xDC Leon","Spain","xDC San Jose","Costa Rica","xDC Warsaw","Poland",C73),
WHT!$B$7:$B$18,0),MATCH('ONESheet 2.8'!CustomerCountry,WHT!$C$5:$W$5,0)),0)</f>
        <v>0</v>
      </c>
      <c r="P73" s="270">
        <f t="shared" si="8"/>
        <v>0</v>
      </c>
      <c r="Q73" s="272">
        <f t="shared" si="9"/>
        <v>0</v>
      </c>
      <c r="R73" s="272">
        <f t="shared" si="7"/>
        <v>0</v>
      </c>
      <c r="S73" s="272">
        <f t="shared" si="10"/>
        <v>0</v>
      </c>
      <c r="T73" s="272">
        <f t="shared" si="11"/>
        <v>0</v>
      </c>
      <c r="U73" s="268"/>
      <c r="V73" s="267"/>
    </row>
    <row r="74" spans="1:22">
      <c r="A74" s="267"/>
      <c r="B74" s="267"/>
      <c r="C74" s="268"/>
      <c r="D74" s="268"/>
      <c r="E74" s="268"/>
      <c r="F74" s="268"/>
      <c r="G74" s="268">
        <v>0</v>
      </c>
      <c r="H74" s="269">
        <v>0</v>
      </c>
      <c r="I74" s="270">
        <f t="shared" si="6"/>
        <v>0</v>
      </c>
      <c r="J74" s="269" t="s">
        <v>200</v>
      </c>
      <c r="K74" s="403" t="str">
        <f>'ONESheet 2.8'!BillingCountryCurrency</f>
        <v>USD</v>
      </c>
      <c r="L74" s="269">
        <v>1</v>
      </c>
      <c r="M74" s="271" cm="1">
        <f t="array" ref="M74">IF(A74&lt;&gt;"",IFERROR(INDEX('ONESheet 2.8'!AV:AV, MATCH(A74, 'ONESheet 2.8'!B:B, 0)+2),0),0)</f>
        <v>0</v>
      </c>
      <c r="N74" s="271">
        <f>IFERROR(IF(OR(ISBLANK(C74),C74='ONESheet 2.8'!CustomerCountry,COUNTIF(C74,"*xDC*")),0,10%),0)</f>
        <v>0</v>
      </c>
      <c r="O74" s="271" cm="1">
        <f t="array" ref="O74">IFERROR(INDEX(WHT!$C$7:$W$18,MATCH(
_xlfn.SWITCH(C74,"xDC Medellin","Colombia","xDC Belo Horizonte","Brazil","xDC Guadalajara","Mexico","xDC Gurugram","India","xDC Leon","Spain","xDC San Jose","Costa Rica","xDC Warsaw","Poland",C74),
WHT!$B$7:$B$18,0),MATCH('ONESheet 2.8'!CustomerCountry,WHT!$C$5:$W$5,0)),0)</f>
        <v>0</v>
      </c>
      <c r="P74" s="270">
        <f t="shared" si="8"/>
        <v>0</v>
      </c>
      <c r="Q74" s="272">
        <f t="shared" si="9"/>
        <v>0</v>
      </c>
      <c r="R74" s="272">
        <f t="shared" si="7"/>
        <v>0</v>
      </c>
      <c r="S74" s="272">
        <f t="shared" si="10"/>
        <v>0</v>
      </c>
      <c r="T74" s="272">
        <f t="shared" si="11"/>
        <v>0</v>
      </c>
      <c r="U74" s="268"/>
      <c r="V74" s="267"/>
    </row>
    <row r="75" spans="1:22">
      <c r="A75" s="267"/>
      <c r="B75" s="267"/>
      <c r="C75" s="268"/>
      <c r="D75" s="268"/>
      <c r="E75" s="268"/>
      <c r="F75" s="268"/>
      <c r="G75" s="268">
        <v>0</v>
      </c>
      <c r="H75" s="269">
        <v>0</v>
      </c>
      <c r="I75" s="270">
        <f t="shared" si="6"/>
        <v>0</v>
      </c>
      <c r="J75" s="269" t="s">
        <v>200</v>
      </c>
      <c r="K75" s="403" t="str">
        <f>'ONESheet 2.8'!BillingCountryCurrency</f>
        <v>USD</v>
      </c>
      <c r="L75" s="269">
        <v>1</v>
      </c>
      <c r="M75" s="271" cm="1">
        <f t="array" ref="M75">IF(A75&lt;&gt;"",IFERROR(INDEX('ONESheet 2.8'!AV:AV, MATCH(A75, 'ONESheet 2.8'!B:B, 0)+2),0),0)</f>
        <v>0</v>
      </c>
      <c r="N75" s="271">
        <f>IFERROR(IF(OR(ISBLANK(C75),C75='ONESheet 2.8'!CustomerCountry,COUNTIF(C75,"*xDC*")),0,10%),0)</f>
        <v>0</v>
      </c>
      <c r="O75" s="271" cm="1">
        <f t="array" ref="O75">IFERROR(INDEX(WHT!$C$7:$W$18,MATCH(
_xlfn.SWITCH(C75,"xDC Medellin","Colombia","xDC Belo Horizonte","Brazil","xDC Guadalajara","Mexico","xDC Gurugram","India","xDC Leon","Spain","xDC San Jose","Costa Rica","xDC Warsaw","Poland",C75),
WHT!$B$7:$B$18,0),MATCH('ONESheet 2.8'!CustomerCountry,WHT!$C$5:$W$5,0)),0)</f>
        <v>0</v>
      </c>
      <c r="P75" s="270">
        <f t="shared" si="8"/>
        <v>0</v>
      </c>
      <c r="Q75" s="272">
        <f t="shared" si="9"/>
        <v>0</v>
      </c>
      <c r="R75" s="272">
        <f t="shared" si="7"/>
        <v>0</v>
      </c>
      <c r="S75" s="272">
        <f t="shared" si="10"/>
        <v>0</v>
      </c>
      <c r="T75" s="272">
        <f t="shared" si="11"/>
        <v>0</v>
      </c>
      <c r="U75" s="268"/>
      <c r="V75" s="267"/>
    </row>
    <row r="76" spans="1:22">
      <c r="A76" s="267"/>
      <c r="B76" s="267"/>
      <c r="C76" s="268"/>
      <c r="D76" s="268"/>
      <c r="E76" s="268"/>
      <c r="F76" s="268"/>
      <c r="G76" s="268">
        <v>0</v>
      </c>
      <c r="H76" s="269">
        <v>0</v>
      </c>
      <c r="I76" s="270">
        <f t="shared" si="6"/>
        <v>0</v>
      </c>
      <c r="J76" s="269" t="s">
        <v>200</v>
      </c>
      <c r="K76" s="403" t="str">
        <f>'ONESheet 2.8'!BillingCountryCurrency</f>
        <v>USD</v>
      </c>
      <c r="L76" s="269">
        <v>1</v>
      </c>
      <c r="M76" s="271" cm="1">
        <f t="array" ref="M76">IF(A76&lt;&gt;"",IFERROR(INDEX('ONESheet 2.8'!AV:AV, MATCH(A76, 'ONESheet 2.8'!B:B, 0)+2),0),0)</f>
        <v>0</v>
      </c>
      <c r="N76" s="271">
        <f>IFERROR(IF(OR(ISBLANK(C76),C76='ONESheet 2.8'!CustomerCountry,COUNTIF(C76,"*xDC*")),0,10%),0)</f>
        <v>0</v>
      </c>
      <c r="O76" s="271" cm="1">
        <f t="array" ref="O76">IFERROR(INDEX(WHT!$C$7:$W$18,MATCH(
_xlfn.SWITCH(C76,"xDC Medellin","Colombia","xDC Belo Horizonte","Brazil","xDC Guadalajara","Mexico","xDC Gurugram","India","xDC Leon","Spain","xDC San Jose","Costa Rica","xDC Warsaw","Poland",C76),
WHT!$B$7:$B$18,0),MATCH('ONESheet 2.8'!CustomerCountry,WHT!$C$5:$W$5,0)),0)</f>
        <v>0</v>
      </c>
      <c r="P76" s="270">
        <f t="shared" si="8"/>
        <v>0</v>
      </c>
      <c r="Q76" s="272">
        <f t="shared" si="9"/>
        <v>0</v>
      </c>
      <c r="R76" s="272">
        <f t="shared" si="7"/>
        <v>0</v>
      </c>
      <c r="S76" s="272">
        <f t="shared" si="10"/>
        <v>0</v>
      </c>
      <c r="T76" s="272">
        <f t="shared" si="11"/>
        <v>0</v>
      </c>
      <c r="U76" s="268"/>
      <c r="V76" s="267"/>
    </row>
    <row r="77" spans="1:22">
      <c r="A77" s="267"/>
      <c r="B77" s="267"/>
      <c r="C77" s="268"/>
      <c r="D77" s="268"/>
      <c r="E77" s="268"/>
      <c r="F77" s="268"/>
      <c r="G77" s="268">
        <v>0</v>
      </c>
      <c r="H77" s="269">
        <v>0</v>
      </c>
      <c r="I77" s="270">
        <f t="shared" si="6"/>
        <v>0</v>
      </c>
      <c r="J77" s="269" t="s">
        <v>200</v>
      </c>
      <c r="K77" s="403" t="str">
        <f>'ONESheet 2.8'!BillingCountryCurrency</f>
        <v>USD</v>
      </c>
      <c r="L77" s="269">
        <v>1</v>
      </c>
      <c r="M77" s="271" cm="1">
        <f t="array" ref="M77">IF(A77&lt;&gt;"",IFERROR(INDEX('ONESheet 2.8'!AV:AV, MATCH(A77, 'ONESheet 2.8'!B:B, 0)+2),0),0)</f>
        <v>0</v>
      </c>
      <c r="N77" s="271">
        <f>IFERROR(IF(OR(ISBLANK(C77),C77='ONESheet 2.8'!CustomerCountry,COUNTIF(C77,"*xDC*")),0,10%),0)</f>
        <v>0</v>
      </c>
      <c r="O77" s="271" cm="1">
        <f t="array" ref="O77">IFERROR(INDEX(WHT!$C$7:$W$18,MATCH(
_xlfn.SWITCH(C77,"xDC Medellin","Colombia","xDC Belo Horizonte","Brazil","xDC Guadalajara","Mexico","xDC Gurugram","India","xDC Leon","Spain","xDC San Jose","Costa Rica","xDC Warsaw","Poland",C77),
WHT!$B$7:$B$18,0),MATCH('ONESheet 2.8'!CustomerCountry,WHT!$C$5:$W$5,0)),0)</f>
        <v>0</v>
      </c>
      <c r="P77" s="270">
        <f t="shared" si="8"/>
        <v>0</v>
      </c>
      <c r="Q77" s="272">
        <f t="shared" si="9"/>
        <v>0</v>
      </c>
      <c r="R77" s="272">
        <f t="shared" si="7"/>
        <v>0</v>
      </c>
      <c r="S77" s="272">
        <f t="shared" si="10"/>
        <v>0</v>
      </c>
      <c r="T77" s="272">
        <f t="shared" si="11"/>
        <v>0</v>
      </c>
      <c r="U77" s="268"/>
      <c r="V77" s="267"/>
    </row>
    <row r="78" spans="1:22">
      <c r="A78" s="267"/>
      <c r="B78" s="267"/>
      <c r="C78" s="268"/>
      <c r="D78" s="268"/>
      <c r="E78" s="268"/>
      <c r="F78" s="268"/>
      <c r="G78" s="268">
        <v>0</v>
      </c>
      <c r="H78" s="269">
        <v>0</v>
      </c>
      <c r="I78" s="270">
        <f t="shared" si="6"/>
        <v>0</v>
      </c>
      <c r="J78" s="269" t="s">
        <v>200</v>
      </c>
      <c r="K78" s="403" t="str">
        <f>'ONESheet 2.8'!BillingCountryCurrency</f>
        <v>USD</v>
      </c>
      <c r="L78" s="269">
        <v>1</v>
      </c>
      <c r="M78" s="271" cm="1">
        <f t="array" ref="M78">IF(A78&lt;&gt;"",IFERROR(INDEX('ONESheet 2.8'!AV:AV, MATCH(A78, 'ONESheet 2.8'!B:B, 0)+2),0),0)</f>
        <v>0</v>
      </c>
      <c r="N78" s="271">
        <f>IFERROR(IF(OR(ISBLANK(C78),C78='ONESheet 2.8'!CustomerCountry,COUNTIF(C78,"*xDC*")),0,10%),0)</f>
        <v>0</v>
      </c>
      <c r="O78" s="271" cm="1">
        <f t="array" ref="O78">IFERROR(INDEX(WHT!$C$7:$W$18,MATCH(
_xlfn.SWITCH(C78,"xDC Medellin","Colombia","xDC Belo Horizonte","Brazil","xDC Guadalajara","Mexico","xDC Gurugram","India","xDC Leon","Spain","xDC San Jose","Costa Rica","xDC Warsaw","Poland",C78),
WHT!$B$7:$B$18,0),MATCH('ONESheet 2.8'!CustomerCountry,WHT!$C$5:$W$5,0)),0)</f>
        <v>0</v>
      </c>
      <c r="P78" s="270">
        <f t="shared" si="8"/>
        <v>0</v>
      </c>
      <c r="Q78" s="272">
        <f t="shared" si="9"/>
        <v>0</v>
      </c>
      <c r="R78" s="272">
        <f t="shared" si="7"/>
        <v>0</v>
      </c>
      <c r="S78" s="272">
        <f t="shared" si="10"/>
        <v>0</v>
      </c>
      <c r="T78" s="272">
        <f t="shared" si="11"/>
        <v>0</v>
      </c>
      <c r="U78" s="268"/>
      <c r="V78" s="267"/>
    </row>
    <row r="79" spans="1:22">
      <c r="A79" s="267"/>
      <c r="B79" s="267"/>
      <c r="C79" s="268"/>
      <c r="D79" s="268"/>
      <c r="E79" s="268"/>
      <c r="F79" s="268"/>
      <c r="G79" s="268">
        <v>0</v>
      </c>
      <c r="H79" s="269">
        <v>0</v>
      </c>
      <c r="I79" s="270">
        <f t="shared" si="6"/>
        <v>0</v>
      </c>
      <c r="J79" s="269" t="s">
        <v>200</v>
      </c>
      <c r="K79" s="403" t="str">
        <f>'ONESheet 2.8'!BillingCountryCurrency</f>
        <v>USD</v>
      </c>
      <c r="L79" s="269">
        <v>1</v>
      </c>
      <c r="M79" s="271" cm="1">
        <f t="array" ref="M79">IF(A79&lt;&gt;"",IFERROR(INDEX('ONESheet 2.8'!AV:AV, MATCH(A79, 'ONESheet 2.8'!B:B, 0)+2),0),0)</f>
        <v>0</v>
      </c>
      <c r="N79" s="271">
        <f>IFERROR(IF(OR(ISBLANK(C79),C79='ONESheet 2.8'!CustomerCountry,COUNTIF(C79,"*xDC*")),0,10%),0)</f>
        <v>0</v>
      </c>
      <c r="O79" s="271" cm="1">
        <f t="array" ref="O79">IFERROR(INDEX(WHT!$C$7:$W$18,MATCH(
_xlfn.SWITCH(C79,"xDC Medellin","Colombia","xDC Belo Horizonte","Brazil","xDC Guadalajara","Mexico","xDC Gurugram","India","xDC Leon","Spain","xDC San Jose","Costa Rica","xDC Warsaw","Poland",C79),
WHT!$B$7:$B$18,0),MATCH('ONESheet 2.8'!CustomerCountry,WHT!$C$5:$W$5,0)),0)</f>
        <v>0</v>
      </c>
      <c r="P79" s="270">
        <f t="shared" si="8"/>
        <v>0</v>
      </c>
      <c r="Q79" s="272">
        <f t="shared" si="9"/>
        <v>0</v>
      </c>
      <c r="R79" s="272">
        <f t="shared" si="7"/>
        <v>0</v>
      </c>
      <c r="S79" s="272">
        <f t="shared" si="10"/>
        <v>0</v>
      </c>
      <c r="T79" s="272">
        <f t="shared" si="11"/>
        <v>0</v>
      </c>
      <c r="U79" s="268"/>
      <c r="V79" s="267"/>
    </row>
    <row r="80" spans="1:22">
      <c r="A80" s="267"/>
      <c r="B80" s="267"/>
      <c r="C80" s="268"/>
      <c r="D80" s="268"/>
      <c r="E80" s="268"/>
      <c r="F80" s="268"/>
      <c r="G80" s="268">
        <v>0</v>
      </c>
      <c r="H80" s="269">
        <v>0</v>
      </c>
      <c r="I80" s="270">
        <f t="shared" si="6"/>
        <v>0</v>
      </c>
      <c r="J80" s="269" t="s">
        <v>200</v>
      </c>
      <c r="K80" s="403" t="str">
        <f>'ONESheet 2.8'!BillingCountryCurrency</f>
        <v>USD</v>
      </c>
      <c r="L80" s="269">
        <v>1</v>
      </c>
      <c r="M80" s="271" cm="1">
        <f t="array" ref="M80">IF(A80&lt;&gt;"",IFERROR(INDEX('ONESheet 2.8'!AV:AV, MATCH(A80, 'ONESheet 2.8'!B:B, 0)+2),0),0)</f>
        <v>0</v>
      </c>
      <c r="N80" s="271">
        <f>IFERROR(IF(OR(ISBLANK(C80),C80='ONESheet 2.8'!CustomerCountry,COUNTIF(C80,"*xDC*")),0,10%),0)</f>
        <v>0</v>
      </c>
      <c r="O80" s="271" cm="1">
        <f t="array" ref="O80">IFERROR(INDEX(WHT!$C$7:$W$18,MATCH(
_xlfn.SWITCH(C80,"xDC Medellin","Colombia","xDC Belo Horizonte","Brazil","xDC Guadalajara","Mexico","xDC Gurugram","India","xDC Leon","Spain","xDC San Jose","Costa Rica","xDC Warsaw","Poland",C80),
WHT!$B$7:$B$18,0),MATCH('ONESheet 2.8'!CustomerCountry,WHT!$C$5:$W$5,0)),0)</f>
        <v>0</v>
      </c>
      <c r="P80" s="270">
        <f t="shared" si="8"/>
        <v>0</v>
      </c>
      <c r="Q80" s="272">
        <f t="shared" si="9"/>
        <v>0</v>
      </c>
      <c r="R80" s="272">
        <f t="shared" si="7"/>
        <v>0</v>
      </c>
      <c r="S80" s="272">
        <f t="shared" si="10"/>
        <v>0</v>
      </c>
      <c r="T80" s="272">
        <f t="shared" si="11"/>
        <v>0</v>
      </c>
      <c r="U80" s="268"/>
      <c r="V80" s="267"/>
    </row>
    <row r="81" spans="1:22">
      <c r="A81" s="267"/>
      <c r="B81" s="267"/>
      <c r="C81" s="268"/>
      <c r="D81" s="268"/>
      <c r="E81" s="268"/>
      <c r="F81" s="268"/>
      <c r="G81" s="268">
        <v>0</v>
      </c>
      <c r="H81" s="269">
        <v>0</v>
      </c>
      <c r="I81" s="270">
        <f t="shared" si="6"/>
        <v>0</v>
      </c>
      <c r="J81" s="269" t="s">
        <v>200</v>
      </c>
      <c r="K81" s="403" t="str">
        <f>'ONESheet 2.8'!BillingCountryCurrency</f>
        <v>USD</v>
      </c>
      <c r="L81" s="269">
        <v>1</v>
      </c>
      <c r="M81" s="271" cm="1">
        <f t="array" ref="M81">IF(A81&lt;&gt;"",IFERROR(INDEX('ONESheet 2.8'!AV:AV, MATCH(A81, 'ONESheet 2.8'!B:B, 0)+2),0),0)</f>
        <v>0</v>
      </c>
      <c r="N81" s="271">
        <f>IFERROR(IF(OR(ISBLANK(C81),C81='ONESheet 2.8'!CustomerCountry,COUNTIF(C81,"*xDC*")),0,10%),0)</f>
        <v>0</v>
      </c>
      <c r="O81" s="271" cm="1">
        <f t="array" ref="O81">IFERROR(INDEX(WHT!$C$7:$W$18,MATCH(
_xlfn.SWITCH(C81,"xDC Medellin","Colombia","xDC Belo Horizonte","Brazil","xDC Guadalajara","Mexico","xDC Gurugram","India","xDC Leon","Spain","xDC San Jose","Costa Rica","xDC Warsaw","Poland",C81),
WHT!$B$7:$B$18,0),MATCH('ONESheet 2.8'!CustomerCountry,WHT!$C$5:$W$5,0)),0)</f>
        <v>0</v>
      </c>
      <c r="P81" s="270">
        <f t="shared" si="8"/>
        <v>0</v>
      </c>
      <c r="Q81" s="272">
        <f t="shared" si="9"/>
        <v>0</v>
      </c>
      <c r="R81" s="272">
        <f t="shared" si="7"/>
        <v>0</v>
      </c>
      <c r="S81" s="272">
        <f t="shared" si="10"/>
        <v>0</v>
      </c>
      <c r="T81" s="272">
        <f t="shared" si="11"/>
        <v>0</v>
      </c>
      <c r="U81" s="268"/>
      <c r="V81" s="267"/>
    </row>
    <row r="82" spans="1:22">
      <c r="A82" s="267"/>
      <c r="B82" s="267"/>
      <c r="C82" s="268"/>
      <c r="D82" s="268"/>
      <c r="E82" s="268"/>
      <c r="F82" s="268"/>
      <c r="G82" s="268">
        <v>0</v>
      </c>
      <c r="H82" s="269">
        <v>0</v>
      </c>
      <c r="I82" s="270">
        <f t="shared" si="6"/>
        <v>0</v>
      </c>
      <c r="J82" s="269" t="s">
        <v>200</v>
      </c>
      <c r="K82" s="403" t="str">
        <f>'ONESheet 2.8'!BillingCountryCurrency</f>
        <v>USD</v>
      </c>
      <c r="L82" s="269">
        <v>1</v>
      </c>
      <c r="M82" s="271" cm="1">
        <f t="array" ref="M82">IF(A82&lt;&gt;"",IFERROR(INDEX('ONESheet 2.8'!AV:AV, MATCH(A82, 'ONESheet 2.8'!B:B, 0)+2),0),0)</f>
        <v>0</v>
      </c>
      <c r="N82" s="271">
        <f>IFERROR(IF(OR(ISBLANK(C82),C82='ONESheet 2.8'!CustomerCountry,COUNTIF(C82,"*xDC*")),0,10%),0)</f>
        <v>0</v>
      </c>
      <c r="O82" s="271" cm="1">
        <f t="array" ref="O82">IFERROR(INDEX(WHT!$C$7:$W$18,MATCH(
_xlfn.SWITCH(C82,"xDC Medellin","Colombia","xDC Belo Horizonte","Brazil","xDC Guadalajara","Mexico","xDC Gurugram","India","xDC Leon","Spain","xDC San Jose","Costa Rica","xDC Warsaw","Poland",C82),
WHT!$B$7:$B$18,0),MATCH('ONESheet 2.8'!CustomerCountry,WHT!$C$5:$W$5,0)),0)</f>
        <v>0</v>
      </c>
      <c r="P82" s="270">
        <f t="shared" si="8"/>
        <v>0</v>
      </c>
      <c r="Q82" s="272">
        <f t="shared" si="9"/>
        <v>0</v>
      </c>
      <c r="R82" s="272">
        <f t="shared" si="7"/>
        <v>0</v>
      </c>
      <c r="S82" s="272">
        <f t="shared" si="10"/>
        <v>0</v>
      </c>
      <c r="T82" s="272">
        <f t="shared" si="11"/>
        <v>0</v>
      </c>
      <c r="U82" s="268"/>
      <c r="V82" s="267"/>
    </row>
    <row r="83" spans="1:22">
      <c r="A83" s="267"/>
      <c r="B83" s="267"/>
      <c r="C83" s="268"/>
      <c r="D83" s="268"/>
      <c r="E83" s="268"/>
      <c r="F83" s="268"/>
      <c r="G83" s="268">
        <v>0</v>
      </c>
      <c r="H83" s="269">
        <v>0</v>
      </c>
      <c r="I83" s="270">
        <f t="shared" si="6"/>
        <v>0</v>
      </c>
      <c r="J83" s="269" t="s">
        <v>200</v>
      </c>
      <c r="K83" s="403" t="str">
        <f>'ONESheet 2.8'!BillingCountryCurrency</f>
        <v>USD</v>
      </c>
      <c r="L83" s="269">
        <v>1</v>
      </c>
      <c r="M83" s="271" cm="1">
        <f t="array" ref="M83">IF(A83&lt;&gt;"",IFERROR(INDEX('ONESheet 2.8'!AV:AV, MATCH(A83, 'ONESheet 2.8'!B:B, 0)+2),0),0)</f>
        <v>0</v>
      </c>
      <c r="N83" s="271">
        <f>IFERROR(IF(OR(ISBLANK(C83),C83='ONESheet 2.8'!CustomerCountry,COUNTIF(C83,"*xDC*")),0,10%),0)</f>
        <v>0</v>
      </c>
      <c r="O83" s="271" cm="1">
        <f t="array" ref="O83">IFERROR(INDEX(WHT!$C$7:$W$18,MATCH(
_xlfn.SWITCH(C83,"xDC Medellin","Colombia","xDC Belo Horizonte","Brazil","xDC Guadalajara","Mexico","xDC Gurugram","India","xDC Leon","Spain","xDC San Jose","Costa Rica","xDC Warsaw","Poland",C83),
WHT!$B$7:$B$18,0),MATCH('ONESheet 2.8'!CustomerCountry,WHT!$C$5:$W$5,0)),0)</f>
        <v>0</v>
      </c>
      <c r="P83" s="270">
        <f t="shared" si="8"/>
        <v>0</v>
      </c>
      <c r="Q83" s="272">
        <f t="shared" si="9"/>
        <v>0</v>
      </c>
      <c r="R83" s="272">
        <f t="shared" si="7"/>
        <v>0</v>
      </c>
      <c r="S83" s="272">
        <f t="shared" si="10"/>
        <v>0</v>
      </c>
      <c r="T83" s="272">
        <f t="shared" si="11"/>
        <v>0</v>
      </c>
      <c r="U83" s="268"/>
      <c r="V83" s="267"/>
    </row>
    <row r="84" spans="1:22">
      <c r="A84" s="267"/>
      <c r="B84" s="267"/>
      <c r="C84" s="268"/>
      <c r="D84" s="268"/>
      <c r="E84" s="268"/>
      <c r="F84" s="268"/>
      <c r="G84" s="268">
        <v>0</v>
      </c>
      <c r="H84" s="269">
        <v>0</v>
      </c>
      <c r="I84" s="270">
        <f t="shared" si="6"/>
        <v>0</v>
      </c>
      <c r="J84" s="269" t="s">
        <v>200</v>
      </c>
      <c r="K84" s="403" t="str">
        <f>'ONESheet 2.8'!BillingCountryCurrency</f>
        <v>USD</v>
      </c>
      <c r="L84" s="269">
        <v>1</v>
      </c>
      <c r="M84" s="271" cm="1">
        <f t="array" ref="M84">IF(A84&lt;&gt;"",IFERROR(INDEX('ONESheet 2.8'!AV:AV, MATCH(A84, 'ONESheet 2.8'!B:B, 0)+2),0),0)</f>
        <v>0</v>
      </c>
      <c r="N84" s="271">
        <f>IFERROR(IF(OR(ISBLANK(C84),C84='ONESheet 2.8'!CustomerCountry,COUNTIF(C84,"*xDC*")),0,10%),0)</f>
        <v>0</v>
      </c>
      <c r="O84" s="271" cm="1">
        <f t="array" ref="O84">IFERROR(INDEX(WHT!$C$7:$W$18,MATCH(
_xlfn.SWITCH(C84,"xDC Medellin","Colombia","xDC Belo Horizonte","Brazil","xDC Guadalajara","Mexico","xDC Gurugram","India","xDC Leon","Spain","xDC San Jose","Costa Rica","xDC Warsaw","Poland",C84),
WHT!$B$7:$B$18,0),MATCH('ONESheet 2.8'!CustomerCountry,WHT!$C$5:$W$5,0)),0)</f>
        <v>0</v>
      </c>
      <c r="P84" s="270">
        <f t="shared" si="8"/>
        <v>0</v>
      </c>
      <c r="Q84" s="272">
        <f t="shared" si="9"/>
        <v>0</v>
      </c>
      <c r="R84" s="272">
        <f t="shared" si="7"/>
        <v>0</v>
      </c>
      <c r="S84" s="272">
        <f t="shared" si="10"/>
        <v>0</v>
      </c>
      <c r="T84" s="272">
        <f t="shared" si="11"/>
        <v>0</v>
      </c>
      <c r="U84" s="268"/>
      <c r="V84" s="267"/>
    </row>
    <row r="85" spans="1:22">
      <c r="A85" s="267"/>
      <c r="B85" s="267"/>
      <c r="C85" s="268"/>
      <c r="D85" s="268"/>
      <c r="E85" s="268"/>
      <c r="F85" s="268"/>
      <c r="G85" s="268">
        <v>0</v>
      </c>
      <c r="H85" s="269">
        <v>0</v>
      </c>
      <c r="I85" s="270">
        <f t="shared" si="6"/>
        <v>0</v>
      </c>
      <c r="J85" s="269" t="s">
        <v>200</v>
      </c>
      <c r="K85" s="403" t="str">
        <f>'ONESheet 2.8'!BillingCountryCurrency</f>
        <v>USD</v>
      </c>
      <c r="L85" s="269">
        <v>1</v>
      </c>
      <c r="M85" s="271" cm="1">
        <f t="array" ref="M85">IF(A85&lt;&gt;"",IFERROR(INDEX('ONESheet 2.8'!AV:AV, MATCH(A85, 'ONESheet 2.8'!B:B, 0)+2),0),0)</f>
        <v>0</v>
      </c>
      <c r="N85" s="271">
        <f>IFERROR(IF(OR(ISBLANK(C85),C85='ONESheet 2.8'!CustomerCountry,COUNTIF(C85,"*xDC*")),0,10%),0)</f>
        <v>0</v>
      </c>
      <c r="O85" s="271" cm="1">
        <f t="array" ref="O85">IFERROR(INDEX(WHT!$C$7:$W$18,MATCH(
_xlfn.SWITCH(C85,"xDC Medellin","Colombia","xDC Belo Horizonte","Brazil","xDC Guadalajara","Mexico","xDC Gurugram","India","xDC Leon","Spain","xDC San Jose","Costa Rica","xDC Warsaw","Poland",C85),
WHT!$B$7:$B$18,0),MATCH('ONESheet 2.8'!CustomerCountry,WHT!$C$5:$W$5,0)),0)</f>
        <v>0</v>
      </c>
      <c r="P85" s="270">
        <f t="shared" si="8"/>
        <v>0</v>
      </c>
      <c r="Q85" s="272">
        <f t="shared" si="9"/>
        <v>0</v>
      </c>
      <c r="R85" s="272">
        <f t="shared" si="7"/>
        <v>0</v>
      </c>
      <c r="S85" s="272">
        <f t="shared" si="10"/>
        <v>0</v>
      </c>
      <c r="T85" s="272">
        <f t="shared" si="11"/>
        <v>0</v>
      </c>
      <c r="U85" s="268"/>
      <c r="V85" s="267"/>
    </row>
    <row r="86" spans="1:22">
      <c r="A86" s="267"/>
      <c r="B86" s="267"/>
      <c r="C86" s="268"/>
      <c r="D86" s="268"/>
      <c r="E86" s="268"/>
      <c r="F86" s="268"/>
      <c r="G86" s="268">
        <v>0</v>
      </c>
      <c r="H86" s="269">
        <v>0</v>
      </c>
      <c r="I86" s="270">
        <f t="shared" si="6"/>
        <v>0</v>
      </c>
      <c r="J86" s="269" t="s">
        <v>200</v>
      </c>
      <c r="K86" s="403" t="str">
        <f>'ONESheet 2.8'!BillingCountryCurrency</f>
        <v>USD</v>
      </c>
      <c r="L86" s="269">
        <v>1</v>
      </c>
      <c r="M86" s="271" cm="1">
        <f t="array" ref="M86">IF(A86&lt;&gt;"",IFERROR(INDEX('ONESheet 2.8'!AV:AV, MATCH(A86, 'ONESheet 2.8'!B:B, 0)+2),0),0)</f>
        <v>0</v>
      </c>
      <c r="N86" s="271">
        <f>IFERROR(IF(OR(ISBLANK(C86),C86='ONESheet 2.8'!CustomerCountry,COUNTIF(C86,"*xDC*")),0,10%),0)</f>
        <v>0</v>
      </c>
      <c r="O86" s="271" cm="1">
        <f t="array" ref="O86">IFERROR(INDEX(WHT!$C$7:$W$18,MATCH(
_xlfn.SWITCH(C86,"xDC Medellin","Colombia","xDC Belo Horizonte","Brazil","xDC Guadalajara","Mexico","xDC Gurugram","India","xDC Leon","Spain","xDC San Jose","Costa Rica","xDC Warsaw","Poland",C86),
WHT!$B$7:$B$18,0),MATCH('ONESheet 2.8'!CustomerCountry,WHT!$C$5:$W$5,0)),0)</f>
        <v>0</v>
      </c>
      <c r="P86" s="270">
        <f t="shared" si="8"/>
        <v>0</v>
      </c>
      <c r="Q86" s="272">
        <f t="shared" si="9"/>
        <v>0</v>
      </c>
      <c r="R86" s="272">
        <f t="shared" si="7"/>
        <v>0</v>
      </c>
      <c r="S86" s="272">
        <f t="shared" si="10"/>
        <v>0</v>
      </c>
      <c r="T86" s="272">
        <f t="shared" si="11"/>
        <v>0</v>
      </c>
      <c r="U86" s="268"/>
      <c r="V86" s="267"/>
    </row>
    <row r="87" spans="1:22">
      <c r="A87" s="267"/>
      <c r="B87" s="267"/>
      <c r="C87" s="268"/>
      <c r="D87" s="268"/>
      <c r="E87" s="268"/>
      <c r="F87" s="268"/>
      <c r="G87" s="268">
        <v>0</v>
      </c>
      <c r="H87" s="269">
        <v>0</v>
      </c>
      <c r="I87" s="270">
        <f t="shared" si="6"/>
        <v>0</v>
      </c>
      <c r="J87" s="269" t="s">
        <v>200</v>
      </c>
      <c r="K87" s="403" t="str">
        <f>'ONESheet 2.8'!BillingCountryCurrency</f>
        <v>USD</v>
      </c>
      <c r="L87" s="269">
        <v>1</v>
      </c>
      <c r="M87" s="271" cm="1">
        <f t="array" ref="M87">IF(A87&lt;&gt;"",IFERROR(INDEX('ONESheet 2.8'!AV:AV, MATCH(A87, 'ONESheet 2.8'!B:B, 0)+2),0),0)</f>
        <v>0</v>
      </c>
      <c r="N87" s="271">
        <f>IFERROR(IF(OR(ISBLANK(C87),C87='ONESheet 2.8'!CustomerCountry,COUNTIF(C87,"*xDC*")),0,10%),0)</f>
        <v>0</v>
      </c>
      <c r="O87" s="271" cm="1">
        <f t="array" ref="O87">IFERROR(INDEX(WHT!$C$7:$W$18,MATCH(
_xlfn.SWITCH(C87,"xDC Medellin","Colombia","xDC Belo Horizonte","Brazil","xDC Guadalajara","Mexico","xDC Gurugram","India","xDC Leon","Spain","xDC San Jose","Costa Rica","xDC Warsaw","Poland",C87),
WHT!$B$7:$B$18,0),MATCH('ONESheet 2.8'!CustomerCountry,WHT!$C$5:$W$5,0)),0)</f>
        <v>0</v>
      </c>
      <c r="P87" s="270">
        <f t="shared" si="8"/>
        <v>0</v>
      </c>
      <c r="Q87" s="272">
        <f t="shared" si="9"/>
        <v>0</v>
      </c>
      <c r="R87" s="272">
        <f t="shared" si="7"/>
        <v>0</v>
      </c>
      <c r="S87" s="272">
        <f t="shared" si="10"/>
        <v>0</v>
      </c>
      <c r="T87" s="272">
        <f t="shared" si="11"/>
        <v>0</v>
      </c>
      <c r="U87" s="268"/>
      <c r="V87" s="267"/>
    </row>
    <row r="88" spans="1:22">
      <c r="A88" s="267"/>
      <c r="B88" s="267"/>
      <c r="C88" s="268"/>
      <c r="D88" s="268"/>
      <c r="E88" s="268"/>
      <c r="F88" s="268"/>
      <c r="G88" s="268">
        <v>0</v>
      </c>
      <c r="H88" s="269">
        <v>0</v>
      </c>
      <c r="I88" s="270">
        <f t="shared" si="6"/>
        <v>0</v>
      </c>
      <c r="J88" s="269" t="s">
        <v>200</v>
      </c>
      <c r="K88" s="403" t="str">
        <f>'ONESheet 2.8'!BillingCountryCurrency</f>
        <v>USD</v>
      </c>
      <c r="L88" s="269">
        <v>1</v>
      </c>
      <c r="M88" s="271" cm="1">
        <f t="array" ref="M88">IF(A88&lt;&gt;"",IFERROR(INDEX('ONESheet 2.8'!AV:AV, MATCH(A88, 'ONESheet 2.8'!B:B, 0)+2),0),0)</f>
        <v>0</v>
      </c>
      <c r="N88" s="271">
        <f>IFERROR(IF(OR(ISBLANK(C88),C88='ONESheet 2.8'!CustomerCountry,COUNTIF(C88,"*xDC*")),0,10%),0)</f>
        <v>0</v>
      </c>
      <c r="O88" s="271" cm="1">
        <f t="array" ref="O88">IFERROR(INDEX(WHT!$C$7:$W$18,MATCH(
_xlfn.SWITCH(C88,"xDC Medellin","Colombia","xDC Belo Horizonte","Brazil","xDC Guadalajara","Mexico","xDC Gurugram","India","xDC Leon","Spain","xDC San Jose","Costa Rica","xDC Warsaw","Poland",C88),
WHT!$B$7:$B$18,0),MATCH('ONESheet 2.8'!CustomerCountry,WHT!$C$5:$W$5,0)),0)</f>
        <v>0</v>
      </c>
      <c r="P88" s="270">
        <f t="shared" si="8"/>
        <v>0</v>
      </c>
      <c r="Q88" s="272">
        <f t="shared" si="9"/>
        <v>0</v>
      </c>
      <c r="R88" s="272">
        <f t="shared" si="7"/>
        <v>0</v>
      </c>
      <c r="S88" s="272">
        <f t="shared" si="10"/>
        <v>0</v>
      </c>
      <c r="T88" s="272">
        <f t="shared" si="11"/>
        <v>0</v>
      </c>
      <c r="U88" s="268"/>
      <c r="V88" s="267"/>
    </row>
    <row r="89" spans="1:22">
      <c r="A89" s="267"/>
      <c r="B89" s="267"/>
      <c r="C89" s="268"/>
      <c r="D89" s="268"/>
      <c r="E89" s="268"/>
      <c r="F89" s="268"/>
      <c r="G89" s="268">
        <v>0</v>
      </c>
      <c r="H89" s="269">
        <v>0</v>
      </c>
      <c r="I89" s="270">
        <f t="shared" si="6"/>
        <v>0</v>
      </c>
      <c r="J89" s="269" t="s">
        <v>200</v>
      </c>
      <c r="K89" s="403" t="str">
        <f>'ONESheet 2.8'!BillingCountryCurrency</f>
        <v>USD</v>
      </c>
      <c r="L89" s="269">
        <v>1</v>
      </c>
      <c r="M89" s="271" cm="1">
        <f t="array" ref="M89">IF(A89&lt;&gt;"",IFERROR(INDEX('ONESheet 2.8'!AV:AV, MATCH(A89, 'ONESheet 2.8'!B:B, 0)+2),0),0)</f>
        <v>0</v>
      </c>
      <c r="N89" s="271">
        <f>IFERROR(IF(OR(ISBLANK(C89),C89='ONESheet 2.8'!CustomerCountry,COUNTIF(C89,"*xDC*")),0,10%),0)</f>
        <v>0</v>
      </c>
      <c r="O89" s="271" cm="1">
        <f t="array" ref="O89">IFERROR(INDEX(WHT!$C$7:$W$18,MATCH(
_xlfn.SWITCH(C89,"xDC Medellin","Colombia","xDC Belo Horizonte","Brazil","xDC Guadalajara","Mexico","xDC Gurugram","India","xDC Leon","Spain","xDC San Jose","Costa Rica","xDC Warsaw","Poland",C89),
WHT!$B$7:$B$18,0),MATCH('ONESheet 2.8'!CustomerCountry,WHT!$C$5:$W$5,0)),0)</f>
        <v>0</v>
      </c>
      <c r="P89" s="270">
        <f t="shared" si="8"/>
        <v>0</v>
      </c>
      <c r="Q89" s="272">
        <f t="shared" si="9"/>
        <v>0</v>
      </c>
      <c r="R89" s="272">
        <f t="shared" si="7"/>
        <v>0</v>
      </c>
      <c r="S89" s="272">
        <f t="shared" si="10"/>
        <v>0</v>
      </c>
      <c r="T89" s="272">
        <f t="shared" si="11"/>
        <v>0</v>
      </c>
      <c r="U89" s="268"/>
      <c r="V89" s="267"/>
    </row>
    <row r="90" spans="1:22">
      <c r="A90" s="267"/>
      <c r="B90" s="267"/>
      <c r="C90" s="268"/>
      <c r="D90" s="268"/>
      <c r="E90" s="268"/>
      <c r="F90" s="268"/>
      <c r="G90" s="268">
        <v>0</v>
      </c>
      <c r="H90" s="269">
        <v>0</v>
      </c>
      <c r="I90" s="270">
        <f t="shared" si="6"/>
        <v>0</v>
      </c>
      <c r="J90" s="269" t="s">
        <v>200</v>
      </c>
      <c r="K90" s="403" t="str">
        <f>'ONESheet 2.8'!BillingCountryCurrency</f>
        <v>USD</v>
      </c>
      <c r="L90" s="269">
        <v>1</v>
      </c>
      <c r="M90" s="271" cm="1">
        <f t="array" ref="M90">IF(A90&lt;&gt;"",IFERROR(INDEX('ONESheet 2.8'!AV:AV, MATCH(A90, 'ONESheet 2.8'!B:B, 0)+2),0),0)</f>
        <v>0</v>
      </c>
      <c r="N90" s="271">
        <f>IFERROR(IF(OR(ISBLANK(C90),C90='ONESheet 2.8'!CustomerCountry,COUNTIF(C90,"*xDC*")),0,10%),0)</f>
        <v>0</v>
      </c>
      <c r="O90" s="271" cm="1">
        <f t="array" ref="O90">IFERROR(INDEX(WHT!$C$7:$W$18,MATCH(
_xlfn.SWITCH(C90,"xDC Medellin","Colombia","xDC Belo Horizonte","Brazil","xDC Guadalajara","Mexico","xDC Gurugram","India","xDC Leon","Spain","xDC San Jose","Costa Rica","xDC Warsaw","Poland",C90),
WHT!$B$7:$B$18,0),MATCH('ONESheet 2.8'!CustomerCountry,WHT!$C$5:$W$5,0)),0)</f>
        <v>0</v>
      </c>
      <c r="P90" s="270">
        <f t="shared" si="8"/>
        <v>0</v>
      </c>
      <c r="Q90" s="272">
        <f t="shared" si="9"/>
        <v>0</v>
      </c>
      <c r="R90" s="272">
        <f t="shared" si="7"/>
        <v>0</v>
      </c>
      <c r="S90" s="272">
        <f t="shared" si="10"/>
        <v>0</v>
      </c>
      <c r="T90" s="272">
        <f t="shared" si="11"/>
        <v>0</v>
      </c>
      <c r="U90" s="268"/>
      <c r="V90" s="267"/>
    </row>
    <row r="91" spans="1:22">
      <c r="A91" s="267"/>
      <c r="B91" s="267"/>
      <c r="C91" s="268"/>
      <c r="D91" s="268"/>
      <c r="E91" s="268"/>
      <c r="F91" s="268"/>
      <c r="G91" s="268">
        <v>0</v>
      </c>
      <c r="H91" s="269">
        <v>0</v>
      </c>
      <c r="I91" s="270">
        <f t="shared" si="6"/>
        <v>0</v>
      </c>
      <c r="J91" s="269" t="s">
        <v>200</v>
      </c>
      <c r="K91" s="403" t="str">
        <f>'ONESheet 2.8'!BillingCountryCurrency</f>
        <v>USD</v>
      </c>
      <c r="L91" s="269">
        <v>1</v>
      </c>
      <c r="M91" s="271" cm="1">
        <f t="array" ref="M91">IF(A91&lt;&gt;"",IFERROR(INDEX('ONESheet 2.8'!AV:AV, MATCH(A91, 'ONESheet 2.8'!B:B, 0)+2),0),0)</f>
        <v>0</v>
      </c>
      <c r="N91" s="271">
        <f>IFERROR(IF(OR(ISBLANK(C91),C91='ONESheet 2.8'!CustomerCountry,COUNTIF(C91,"*xDC*")),0,10%),0)</f>
        <v>0</v>
      </c>
      <c r="O91" s="271" cm="1">
        <f t="array" ref="O91">IFERROR(INDEX(WHT!$C$7:$W$18,MATCH(
_xlfn.SWITCH(C91,"xDC Medellin","Colombia","xDC Belo Horizonte","Brazil","xDC Guadalajara","Mexico","xDC Gurugram","India","xDC Leon","Spain","xDC San Jose","Costa Rica","xDC Warsaw","Poland",C91),
WHT!$B$7:$B$18,0),MATCH('ONESheet 2.8'!CustomerCountry,WHT!$C$5:$W$5,0)),0)</f>
        <v>0</v>
      </c>
      <c r="P91" s="270">
        <f t="shared" si="8"/>
        <v>0</v>
      </c>
      <c r="Q91" s="272">
        <f t="shared" si="9"/>
        <v>0</v>
      </c>
      <c r="R91" s="272">
        <f t="shared" si="7"/>
        <v>0</v>
      </c>
      <c r="S91" s="272">
        <f t="shared" si="10"/>
        <v>0</v>
      </c>
      <c r="T91" s="272">
        <f t="shared" si="11"/>
        <v>0</v>
      </c>
      <c r="U91" s="268"/>
      <c r="V91" s="267"/>
    </row>
    <row r="92" spans="1:22">
      <c r="A92" s="267"/>
      <c r="B92" s="267"/>
      <c r="C92" s="268"/>
      <c r="D92" s="268"/>
      <c r="E92" s="268"/>
      <c r="F92" s="268"/>
      <c r="G92" s="268">
        <v>0</v>
      </c>
      <c r="H92" s="269">
        <v>0</v>
      </c>
      <c r="I92" s="270">
        <f t="shared" si="6"/>
        <v>0</v>
      </c>
      <c r="J92" s="269" t="s">
        <v>200</v>
      </c>
      <c r="K92" s="403" t="str">
        <f>'ONESheet 2.8'!BillingCountryCurrency</f>
        <v>USD</v>
      </c>
      <c r="L92" s="269">
        <v>1</v>
      </c>
      <c r="M92" s="271" cm="1">
        <f t="array" ref="M92">IF(A92&lt;&gt;"",IFERROR(INDEX('ONESheet 2.8'!AV:AV, MATCH(A92, 'ONESheet 2.8'!B:B, 0)+2),0),0)</f>
        <v>0</v>
      </c>
      <c r="N92" s="271">
        <f>IFERROR(IF(OR(ISBLANK(C92),C92='ONESheet 2.8'!CustomerCountry,COUNTIF(C92,"*xDC*")),0,10%),0)</f>
        <v>0</v>
      </c>
      <c r="O92" s="271" cm="1">
        <f t="array" ref="O92">IFERROR(INDEX(WHT!$C$7:$W$18,MATCH(
_xlfn.SWITCH(C92,"xDC Medellin","Colombia","xDC Belo Horizonte","Brazil","xDC Guadalajara","Mexico","xDC Gurugram","India","xDC Leon","Spain","xDC San Jose","Costa Rica","xDC Warsaw","Poland",C92),
WHT!$B$7:$B$18,0),MATCH('ONESheet 2.8'!CustomerCountry,WHT!$C$5:$W$5,0)),0)</f>
        <v>0</v>
      </c>
      <c r="P92" s="270">
        <f t="shared" si="8"/>
        <v>0</v>
      </c>
      <c r="Q92" s="272">
        <f t="shared" si="9"/>
        <v>0</v>
      </c>
      <c r="R92" s="272">
        <f t="shared" si="7"/>
        <v>0</v>
      </c>
      <c r="S92" s="272">
        <f t="shared" si="10"/>
        <v>0</v>
      </c>
      <c r="T92" s="272">
        <f t="shared" si="11"/>
        <v>0</v>
      </c>
      <c r="U92" s="268"/>
      <c r="V92" s="267"/>
    </row>
    <row r="93" spans="1:22">
      <c r="A93" s="267"/>
      <c r="B93" s="267"/>
      <c r="C93" s="268"/>
      <c r="D93" s="268"/>
      <c r="E93" s="268"/>
      <c r="F93" s="268"/>
      <c r="G93" s="268">
        <v>0</v>
      </c>
      <c r="H93" s="269">
        <v>0</v>
      </c>
      <c r="I93" s="270">
        <f t="shared" si="6"/>
        <v>0</v>
      </c>
      <c r="J93" s="269" t="s">
        <v>200</v>
      </c>
      <c r="K93" s="403" t="str">
        <f>'ONESheet 2.8'!BillingCountryCurrency</f>
        <v>USD</v>
      </c>
      <c r="L93" s="269">
        <v>1</v>
      </c>
      <c r="M93" s="271" cm="1">
        <f t="array" ref="M93">IF(A93&lt;&gt;"",IFERROR(INDEX('ONESheet 2.8'!AV:AV, MATCH(A93, 'ONESheet 2.8'!B:B, 0)+2),0),0)</f>
        <v>0</v>
      </c>
      <c r="N93" s="271">
        <f>IFERROR(IF(OR(ISBLANK(C93),C93='ONESheet 2.8'!CustomerCountry,COUNTIF(C93,"*xDC*")),0,10%),0)</f>
        <v>0</v>
      </c>
      <c r="O93" s="271" cm="1">
        <f t="array" ref="O93">IFERROR(INDEX(WHT!$C$7:$W$18,MATCH(
_xlfn.SWITCH(C93,"xDC Medellin","Colombia","xDC Belo Horizonte","Brazil","xDC Guadalajara","Mexico","xDC Gurugram","India","xDC Leon","Spain","xDC San Jose","Costa Rica","xDC Warsaw","Poland",C93),
WHT!$B$7:$B$18,0),MATCH('ONESheet 2.8'!CustomerCountry,WHT!$C$5:$W$5,0)),0)</f>
        <v>0</v>
      </c>
      <c r="P93" s="270">
        <f t="shared" si="8"/>
        <v>0</v>
      </c>
      <c r="Q93" s="272">
        <f t="shared" si="9"/>
        <v>0</v>
      </c>
      <c r="R93" s="272">
        <f t="shared" si="7"/>
        <v>0</v>
      </c>
      <c r="S93" s="272">
        <f t="shared" si="10"/>
        <v>0</v>
      </c>
      <c r="T93" s="272">
        <f t="shared" si="11"/>
        <v>0</v>
      </c>
      <c r="U93" s="268"/>
      <c r="V93" s="267"/>
    </row>
    <row r="94" spans="1:22">
      <c r="A94" s="267"/>
      <c r="B94" s="267"/>
      <c r="C94" s="268"/>
      <c r="D94" s="268"/>
      <c r="E94" s="268"/>
      <c r="F94" s="268"/>
      <c r="G94" s="268">
        <v>0</v>
      </c>
      <c r="H94" s="269">
        <v>0</v>
      </c>
      <c r="I94" s="270">
        <f t="shared" si="6"/>
        <v>0</v>
      </c>
      <c r="J94" s="269" t="s">
        <v>200</v>
      </c>
      <c r="K94" s="403" t="str">
        <f>'ONESheet 2.8'!BillingCountryCurrency</f>
        <v>USD</v>
      </c>
      <c r="L94" s="269">
        <v>1</v>
      </c>
      <c r="M94" s="271" cm="1">
        <f t="array" ref="M94">IF(A94&lt;&gt;"",IFERROR(INDEX('ONESheet 2.8'!AV:AV, MATCH(A94, 'ONESheet 2.8'!B:B, 0)+2),0),0)</f>
        <v>0</v>
      </c>
      <c r="N94" s="271">
        <f>IFERROR(IF(OR(ISBLANK(C94),C94='ONESheet 2.8'!CustomerCountry,COUNTIF(C94,"*xDC*")),0,10%),0)</f>
        <v>0</v>
      </c>
      <c r="O94" s="271" cm="1">
        <f t="array" ref="O94">IFERROR(INDEX(WHT!$C$7:$W$18,MATCH(
_xlfn.SWITCH(C94,"xDC Medellin","Colombia","xDC Belo Horizonte","Brazil","xDC Guadalajara","Mexico","xDC Gurugram","India","xDC Leon","Spain","xDC San Jose","Costa Rica","xDC Warsaw","Poland",C94),
WHT!$B$7:$B$18,0),MATCH('ONESheet 2.8'!CustomerCountry,WHT!$C$5:$W$5,0)),0)</f>
        <v>0</v>
      </c>
      <c r="P94" s="270">
        <f t="shared" si="8"/>
        <v>0</v>
      </c>
      <c r="Q94" s="272">
        <f t="shared" si="9"/>
        <v>0</v>
      </c>
      <c r="R94" s="272">
        <f t="shared" si="7"/>
        <v>0</v>
      </c>
      <c r="S94" s="272">
        <f t="shared" si="10"/>
        <v>0</v>
      </c>
      <c r="T94" s="272">
        <f t="shared" si="11"/>
        <v>0</v>
      </c>
      <c r="U94" s="268"/>
      <c r="V94" s="267"/>
    </row>
    <row r="95" spans="1:22">
      <c r="A95" s="267"/>
      <c r="B95" s="267"/>
      <c r="C95" s="268"/>
      <c r="D95" s="268"/>
      <c r="E95" s="268"/>
      <c r="F95" s="268"/>
      <c r="G95" s="268">
        <v>0</v>
      </c>
      <c r="H95" s="269">
        <v>0</v>
      </c>
      <c r="I95" s="270">
        <f t="shared" si="6"/>
        <v>0</v>
      </c>
      <c r="J95" s="269" t="s">
        <v>200</v>
      </c>
      <c r="K95" s="403" t="str">
        <f>'ONESheet 2.8'!BillingCountryCurrency</f>
        <v>USD</v>
      </c>
      <c r="L95" s="269">
        <v>1</v>
      </c>
      <c r="M95" s="271" cm="1">
        <f t="array" ref="M95">IF(A95&lt;&gt;"",IFERROR(INDEX('ONESheet 2.8'!AV:AV, MATCH(A95, 'ONESheet 2.8'!B:B, 0)+2),0),0)</f>
        <v>0</v>
      </c>
      <c r="N95" s="271">
        <f>IFERROR(IF(OR(ISBLANK(C95),C95='ONESheet 2.8'!CustomerCountry,COUNTIF(C95,"*xDC*")),0,10%),0)</f>
        <v>0</v>
      </c>
      <c r="O95" s="271" cm="1">
        <f t="array" ref="O95">IFERROR(INDEX(WHT!$C$7:$W$18,MATCH(
_xlfn.SWITCH(C95,"xDC Medellin","Colombia","xDC Belo Horizonte","Brazil","xDC Guadalajara","Mexico","xDC Gurugram","India","xDC Leon","Spain","xDC San Jose","Costa Rica","xDC Warsaw","Poland",C95),
WHT!$B$7:$B$18,0),MATCH('ONESheet 2.8'!CustomerCountry,WHT!$C$5:$W$5,0)),0)</f>
        <v>0</v>
      </c>
      <c r="P95" s="270">
        <f t="shared" si="8"/>
        <v>0</v>
      </c>
      <c r="Q95" s="272">
        <f t="shared" si="9"/>
        <v>0</v>
      </c>
      <c r="R95" s="272">
        <f t="shared" si="7"/>
        <v>0</v>
      </c>
      <c r="S95" s="272">
        <f t="shared" si="10"/>
        <v>0</v>
      </c>
      <c r="T95" s="272">
        <f t="shared" si="11"/>
        <v>0</v>
      </c>
      <c r="U95" s="268"/>
      <c r="V95" s="267"/>
    </row>
    <row r="96" spans="1:22">
      <c r="A96" s="267"/>
      <c r="B96" s="267"/>
      <c r="C96" s="268"/>
      <c r="D96" s="268"/>
      <c r="E96" s="268"/>
      <c r="F96" s="268"/>
      <c r="G96" s="268">
        <v>0</v>
      </c>
      <c r="H96" s="269">
        <v>0</v>
      </c>
      <c r="I96" s="270">
        <f t="shared" si="6"/>
        <v>0</v>
      </c>
      <c r="J96" s="269" t="s">
        <v>200</v>
      </c>
      <c r="K96" s="403" t="str">
        <f>'ONESheet 2.8'!BillingCountryCurrency</f>
        <v>USD</v>
      </c>
      <c r="L96" s="269">
        <v>1</v>
      </c>
      <c r="M96" s="271" cm="1">
        <f t="array" ref="M96">IF(A96&lt;&gt;"",IFERROR(INDEX('ONESheet 2.8'!AV:AV, MATCH(A96, 'ONESheet 2.8'!B:B, 0)+2),0),0)</f>
        <v>0</v>
      </c>
      <c r="N96" s="271">
        <f>IFERROR(IF(OR(ISBLANK(C96),C96='ONESheet 2.8'!CustomerCountry,COUNTIF(C96,"*xDC*")),0,10%),0)</f>
        <v>0</v>
      </c>
      <c r="O96" s="271" cm="1">
        <f t="array" ref="O96">IFERROR(INDEX(WHT!$C$7:$W$18,MATCH(
_xlfn.SWITCH(C96,"xDC Medellin","Colombia","xDC Belo Horizonte","Brazil","xDC Guadalajara","Mexico","xDC Gurugram","India","xDC Leon","Spain","xDC San Jose","Costa Rica","xDC Warsaw","Poland",C96),
WHT!$B$7:$B$18,0),MATCH('ONESheet 2.8'!CustomerCountry,WHT!$C$5:$W$5,0)),0)</f>
        <v>0</v>
      </c>
      <c r="P96" s="270">
        <f t="shared" si="8"/>
        <v>0</v>
      </c>
      <c r="Q96" s="272">
        <f t="shared" si="9"/>
        <v>0</v>
      </c>
      <c r="R96" s="272">
        <f t="shared" si="7"/>
        <v>0</v>
      </c>
      <c r="S96" s="272">
        <f t="shared" si="10"/>
        <v>0</v>
      </c>
      <c r="T96" s="272">
        <f t="shared" si="11"/>
        <v>0</v>
      </c>
      <c r="U96" s="268"/>
      <c r="V96" s="267"/>
    </row>
    <row r="97" spans="1:22">
      <c r="A97" s="267"/>
      <c r="B97" s="267"/>
      <c r="C97" s="268"/>
      <c r="D97" s="268"/>
      <c r="E97" s="268"/>
      <c r="F97" s="268"/>
      <c r="G97" s="268">
        <v>0</v>
      </c>
      <c r="H97" s="269">
        <v>0</v>
      </c>
      <c r="I97" s="270">
        <f t="shared" si="6"/>
        <v>0</v>
      </c>
      <c r="J97" s="269" t="s">
        <v>200</v>
      </c>
      <c r="K97" s="403" t="str">
        <f>'ONESheet 2.8'!BillingCountryCurrency</f>
        <v>USD</v>
      </c>
      <c r="L97" s="269">
        <v>1</v>
      </c>
      <c r="M97" s="271" cm="1">
        <f t="array" ref="M97">IF(A97&lt;&gt;"",IFERROR(INDEX('ONESheet 2.8'!AV:AV, MATCH(A97, 'ONESheet 2.8'!B:B, 0)+2),0),0)</f>
        <v>0</v>
      </c>
      <c r="N97" s="271">
        <f>IFERROR(IF(OR(ISBLANK(C97),C97='ONESheet 2.8'!CustomerCountry,COUNTIF(C97,"*xDC*")),0,10%),0)</f>
        <v>0</v>
      </c>
      <c r="O97" s="271" cm="1">
        <f t="array" ref="O97">IFERROR(INDEX(WHT!$C$7:$W$18,MATCH(
_xlfn.SWITCH(C97,"xDC Medellin","Colombia","xDC Belo Horizonte","Brazil","xDC Guadalajara","Mexico","xDC Gurugram","India","xDC Leon","Spain","xDC San Jose","Costa Rica","xDC Warsaw","Poland",C97),
WHT!$B$7:$B$18,0),MATCH('ONESheet 2.8'!CustomerCountry,WHT!$C$5:$W$5,0)),0)</f>
        <v>0</v>
      </c>
      <c r="P97" s="270">
        <f t="shared" si="8"/>
        <v>0</v>
      </c>
      <c r="Q97" s="272">
        <f t="shared" si="9"/>
        <v>0</v>
      </c>
      <c r="R97" s="272">
        <f t="shared" si="7"/>
        <v>0</v>
      </c>
      <c r="S97" s="272">
        <f t="shared" si="10"/>
        <v>0</v>
      </c>
      <c r="T97" s="272">
        <f t="shared" si="11"/>
        <v>0</v>
      </c>
      <c r="U97" s="268"/>
      <c r="V97" s="267"/>
    </row>
    <row r="98" spans="1:22">
      <c r="A98" s="267"/>
      <c r="B98" s="267"/>
      <c r="C98" s="268"/>
      <c r="D98" s="268"/>
      <c r="E98" s="268"/>
      <c r="F98" s="268"/>
      <c r="G98" s="268">
        <v>0</v>
      </c>
      <c r="H98" s="269">
        <v>0</v>
      </c>
      <c r="I98" s="270">
        <f t="shared" si="6"/>
        <v>0</v>
      </c>
      <c r="J98" s="269" t="s">
        <v>200</v>
      </c>
      <c r="K98" s="403" t="str">
        <f>'ONESheet 2.8'!BillingCountryCurrency</f>
        <v>USD</v>
      </c>
      <c r="L98" s="269">
        <v>1</v>
      </c>
      <c r="M98" s="271" cm="1">
        <f t="array" ref="M98">IF(A98&lt;&gt;"",IFERROR(INDEX('ONESheet 2.8'!AV:AV, MATCH(A98, 'ONESheet 2.8'!B:B, 0)+2),0),0)</f>
        <v>0</v>
      </c>
      <c r="N98" s="271">
        <f>IFERROR(IF(OR(ISBLANK(C98),C98='ONESheet 2.8'!CustomerCountry,COUNTIF(C98,"*xDC*")),0,10%),0)</f>
        <v>0</v>
      </c>
      <c r="O98" s="271" cm="1">
        <f t="array" ref="O98">IFERROR(INDEX(WHT!$C$7:$W$18,MATCH(
_xlfn.SWITCH(C98,"xDC Medellin","Colombia","xDC Belo Horizonte","Brazil","xDC Guadalajara","Mexico","xDC Gurugram","India","xDC Leon","Spain","xDC San Jose","Costa Rica","xDC Warsaw","Poland",C98),
WHT!$B$7:$B$18,0),MATCH('ONESheet 2.8'!CustomerCountry,WHT!$C$5:$W$5,0)),0)</f>
        <v>0</v>
      </c>
      <c r="P98" s="270">
        <f t="shared" si="8"/>
        <v>0</v>
      </c>
      <c r="Q98" s="272">
        <f t="shared" si="9"/>
        <v>0</v>
      </c>
      <c r="R98" s="272">
        <f t="shared" si="7"/>
        <v>0</v>
      </c>
      <c r="S98" s="272">
        <f t="shared" si="10"/>
        <v>0</v>
      </c>
      <c r="T98" s="272">
        <f t="shared" si="11"/>
        <v>0</v>
      </c>
      <c r="U98" s="268"/>
      <c r="V98" s="267"/>
    </row>
    <row r="99" spans="1:22">
      <c r="A99" s="267"/>
      <c r="B99" s="267"/>
      <c r="C99" s="268"/>
      <c r="D99" s="268"/>
      <c r="E99" s="268"/>
      <c r="F99" s="268"/>
      <c r="G99" s="268">
        <v>0</v>
      </c>
      <c r="H99" s="269">
        <v>0</v>
      </c>
      <c r="I99" s="270">
        <f t="shared" si="6"/>
        <v>0</v>
      </c>
      <c r="J99" s="269" t="s">
        <v>200</v>
      </c>
      <c r="K99" s="403" t="str">
        <f>'ONESheet 2.8'!BillingCountryCurrency</f>
        <v>USD</v>
      </c>
      <c r="L99" s="269">
        <v>1</v>
      </c>
      <c r="M99" s="271" cm="1">
        <f t="array" ref="M99">IF(A99&lt;&gt;"",IFERROR(INDEX('ONESheet 2.8'!AV:AV, MATCH(A99, 'ONESheet 2.8'!B:B, 0)+2),0),0)</f>
        <v>0</v>
      </c>
      <c r="N99" s="271">
        <f>IFERROR(IF(OR(ISBLANK(C99),C99='ONESheet 2.8'!CustomerCountry,COUNTIF(C99,"*xDC*")),0,10%),0)</f>
        <v>0</v>
      </c>
      <c r="O99" s="271" cm="1">
        <f t="array" ref="O99">IFERROR(INDEX(WHT!$C$7:$W$18,MATCH(
_xlfn.SWITCH(C99,"xDC Medellin","Colombia","xDC Belo Horizonte","Brazil","xDC Guadalajara","Mexico","xDC Gurugram","India","xDC Leon","Spain","xDC San Jose","Costa Rica","xDC Warsaw","Poland",C99),
WHT!$B$7:$B$18,0),MATCH('ONESheet 2.8'!CustomerCountry,WHT!$C$5:$W$5,0)),0)</f>
        <v>0</v>
      </c>
      <c r="P99" s="270">
        <f t="shared" si="8"/>
        <v>0</v>
      </c>
      <c r="Q99" s="272">
        <f t="shared" si="9"/>
        <v>0</v>
      </c>
      <c r="R99" s="272">
        <f t="shared" si="7"/>
        <v>0</v>
      </c>
      <c r="S99" s="272">
        <f t="shared" si="10"/>
        <v>0</v>
      </c>
      <c r="T99" s="272">
        <f t="shared" si="11"/>
        <v>0</v>
      </c>
      <c r="U99" s="268"/>
      <c r="V99" s="267"/>
    </row>
    <row r="100" spans="1:22">
      <c r="A100" s="267"/>
      <c r="B100" s="267"/>
      <c r="C100" s="268"/>
      <c r="D100" s="268"/>
      <c r="E100" s="268"/>
      <c r="F100" s="268"/>
      <c r="G100" s="268">
        <v>0</v>
      </c>
      <c r="H100" s="269">
        <v>0</v>
      </c>
      <c r="I100" s="270">
        <f t="shared" si="6"/>
        <v>0</v>
      </c>
      <c r="J100" s="269" t="s">
        <v>200</v>
      </c>
      <c r="K100" s="403" t="str">
        <f>'ONESheet 2.8'!BillingCountryCurrency</f>
        <v>USD</v>
      </c>
      <c r="L100" s="269">
        <v>1</v>
      </c>
      <c r="M100" s="271" cm="1">
        <f t="array" ref="M100">IF(A100&lt;&gt;"",IFERROR(INDEX('ONESheet 2.8'!AV:AV, MATCH(A100, 'ONESheet 2.8'!B:B, 0)+2),0),0)</f>
        <v>0</v>
      </c>
      <c r="N100" s="271">
        <f>IFERROR(IF(OR(ISBLANK(C100),C100='ONESheet 2.8'!CustomerCountry,COUNTIF(C100,"*xDC*")),0,10%),0)</f>
        <v>0</v>
      </c>
      <c r="O100" s="271" cm="1">
        <f t="array" ref="O100">IFERROR(INDEX(WHT!$C$7:$W$18,MATCH(
_xlfn.SWITCH(C100,"xDC Medellin","Colombia","xDC Belo Horizonte","Brazil","xDC Guadalajara","Mexico","xDC Gurugram","India","xDC Leon","Spain","xDC San Jose","Costa Rica","xDC Warsaw","Poland",C100),
WHT!$B$7:$B$18,0),MATCH('ONESheet 2.8'!CustomerCountry,WHT!$C$5:$W$5,0)),0)</f>
        <v>0</v>
      </c>
      <c r="P100" s="270">
        <f t="shared" si="8"/>
        <v>0</v>
      </c>
      <c r="Q100" s="272">
        <f t="shared" si="9"/>
        <v>0</v>
      </c>
      <c r="R100" s="272">
        <f t="shared" si="7"/>
        <v>0</v>
      </c>
      <c r="S100" s="272">
        <f t="shared" si="10"/>
        <v>0</v>
      </c>
      <c r="T100" s="272">
        <f t="shared" si="11"/>
        <v>0</v>
      </c>
      <c r="U100" s="268"/>
      <c r="V100" s="267"/>
    </row>
    <row r="101" spans="1:22">
      <c r="A101" s="267"/>
      <c r="B101" s="267"/>
      <c r="C101" s="268"/>
      <c r="D101" s="268"/>
      <c r="E101" s="268"/>
      <c r="F101" s="268"/>
      <c r="G101" s="268">
        <v>0</v>
      </c>
      <c r="H101" s="269">
        <v>0</v>
      </c>
      <c r="I101" s="270">
        <f t="shared" si="6"/>
        <v>0</v>
      </c>
      <c r="J101" s="269" t="s">
        <v>200</v>
      </c>
      <c r="K101" s="403" t="str">
        <f>'ONESheet 2.8'!BillingCountryCurrency</f>
        <v>USD</v>
      </c>
      <c r="L101" s="269">
        <v>1</v>
      </c>
      <c r="M101" s="271" cm="1">
        <f t="array" ref="M101">IF(A101&lt;&gt;"",IFERROR(INDEX('ONESheet 2.8'!AV:AV, MATCH(A101, 'ONESheet 2.8'!B:B, 0)+2),0),0)</f>
        <v>0</v>
      </c>
      <c r="N101" s="271">
        <f>IFERROR(IF(OR(ISBLANK(C101),C101='ONESheet 2.8'!CustomerCountry,COUNTIF(C101,"*xDC*")),0,10%),0)</f>
        <v>0</v>
      </c>
      <c r="O101" s="271" cm="1">
        <f t="array" ref="O101">IFERROR(INDEX(WHT!$C$7:$W$18,MATCH(
_xlfn.SWITCH(C101,"xDC Medellin","Colombia","xDC Belo Horizonte","Brazil","xDC Guadalajara","Mexico","xDC Gurugram","India","xDC Leon","Spain","xDC San Jose","Costa Rica","xDC Warsaw","Poland",C101),
WHT!$B$7:$B$18,0),MATCH('ONESheet 2.8'!CustomerCountry,WHT!$C$5:$W$5,0)),0)</f>
        <v>0</v>
      </c>
      <c r="P101" s="270">
        <f t="shared" si="8"/>
        <v>0</v>
      </c>
      <c r="Q101" s="272">
        <f t="shared" si="9"/>
        <v>0</v>
      </c>
      <c r="R101" s="272">
        <f t="shared" si="7"/>
        <v>0</v>
      </c>
      <c r="S101" s="272">
        <f t="shared" si="10"/>
        <v>0</v>
      </c>
      <c r="T101" s="272">
        <f t="shared" si="11"/>
        <v>0</v>
      </c>
      <c r="U101" s="268"/>
      <c r="V101" s="267"/>
    </row>
    <row r="102" spans="1:22">
      <c r="A102" s="267"/>
      <c r="B102" s="267"/>
      <c r="C102" s="268"/>
      <c r="D102" s="268"/>
      <c r="E102" s="268"/>
      <c r="F102" s="268"/>
      <c r="G102" s="268">
        <v>0</v>
      </c>
      <c r="H102" s="269">
        <v>0</v>
      </c>
      <c r="I102" s="270">
        <f t="shared" si="6"/>
        <v>0</v>
      </c>
      <c r="J102" s="269" t="s">
        <v>200</v>
      </c>
      <c r="K102" s="403" t="str">
        <f>'ONESheet 2.8'!BillingCountryCurrency</f>
        <v>USD</v>
      </c>
      <c r="L102" s="269">
        <v>1</v>
      </c>
      <c r="M102" s="271" cm="1">
        <f t="array" ref="M102">IF(A102&lt;&gt;"",IFERROR(INDEX('ONESheet 2.8'!AV:AV, MATCH(A102, 'ONESheet 2.8'!B:B, 0)+2),0),0)</f>
        <v>0</v>
      </c>
      <c r="N102" s="271">
        <f>IFERROR(IF(OR(ISBLANK(C102),C102='ONESheet 2.8'!CustomerCountry,COUNTIF(C102,"*xDC*")),0,10%),0)</f>
        <v>0</v>
      </c>
      <c r="O102" s="271" cm="1">
        <f t="array" ref="O102">IFERROR(INDEX(WHT!$C$7:$W$18,MATCH(
_xlfn.SWITCH(C102,"xDC Medellin","Colombia","xDC Belo Horizonte","Brazil","xDC Guadalajara","Mexico","xDC Gurugram","India","xDC Leon","Spain","xDC San Jose","Costa Rica","xDC Warsaw","Poland",C102),
WHT!$B$7:$B$18,0),MATCH('ONESheet 2.8'!CustomerCountry,WHT!$C$5:$W$5,0)),0)</f>
        <v>0</v>
      </c>
      <c r="P102" s="270">
        <f t="shared" si="8"/>
        <v>0</v>
      </c>
      <c r="Q102" s="272">
        <f t="shared" si="9"/>
        <v>0</v>
      </c>
      <c r="R102" s="272">
        <f t="shared" si="7"/>
        <v>0</v>
      </c>
      <c r="S102" s="272">
        <f t="shared" si="10"/>
        <v>0</v>
      </c>
      <c r="T102" s="272">
        <f t="shared" si="11"/>
        <v>0</v>
      </c>
      <c r="U102" s="268"/>
      <c r="V102" s="267"/>
    </row>
    <row r="103" spans="1:22">
      <c r="A103" s="267"/>
      <c r="B103" s="267"/>
      <c r="C103" s="268"/>
      <c r="D103" s="268"/>
      <c r="E103" s="268"/>
      <c r="F103" s="268"/>
      <c r="G103" s="268">
        <v>0</v>
      </c>
      <c r="H103" s="269">
        <v>0</v>
      </c>
      <c r="I103" s="270">
        <f t="shared" si="6"/>
        <v>0</v>
      </c>
      <c r="J103" s="269" t="s">
        <v>200</v>
      </c>
      <c r="K103" s="403" t="str">
        <f>'ONESheet 2.8'!BillingCountryCurrency</f>
        <v>USD</v>
      </c>
      <c r="L103" s="269">
        <v>1</v>
      </c>
      <c r="M103" s="271" cm="1">
        <f t="array" ref="M103">IF(A103&lt;&gt;"",IFERROR(INDEX('ONESheet 2.8'!AV:AV, MATCH(A103, 'ONESheet 2.8'!B:B, 0)+2),0),0)</f>
        <v>0</v>
      </c>
      <c r="N103" s="271">
        <f>IFERROR(IF(OR(ISBLANK(C103),C103='ONESheet 2.8'!CustomerCountry,COUNTIF(C103,"*xDC*")),0,10%),0)</f>
        <v>0</v>
      </c>
      <c r="O103" s="271" cm="1">
        <f t="array" ref="O103">IFERROR(INDEX(WHT!$C$7:$W$18,MATCH(
_xlfn.SWITCH(C103,"xDC Medellin","Colombia","xDC Belo Horizonte","Brazil","xDC Guadalajara","Mexico","xDC Gurugram","India","xDC Leon","Spain","xDC San Jose","Costa Rica","xDC Warsaw","Poland",C103),
WHT!$B$7:$B$18,0),MATCH('ONESheet 2.8'!CustomerCountry,WHT!$C$5:$W$5,0)),0)</f>
        <v>0</v>
      </c>
      <c r="P103" s="270">
        <f t="shared" si="8"/>
        <v>0</v>
      </c>
      <c r="Q103" s="272">
        <f t="shared" si="9"/>
        <v>0</v>
      </c>
      <c r="R103" s="272">
        <f t="shared" si="7"/>
        <v>0</v>
      </c>
      <c r="S103" s="272">
        <f t="shared" si="10"/>
        <v>0</v>
      </c>
      <c r="T103" s="272">
        <f t="shared" si="11"/>
        <v>0</v>
      </c>
      <c r="U103" s="268"/>
      <c r="V103" s="267"/>
    </row>
    <row r="104" spans="1:22">
      <c r="A104" s="267"/>
      <c r="B104" s="267"/>
      <c r="C104" s="268"/>
      <c r="D104" s="268"/>
      <c r="E104" s="268"/>
      <c r="F104" s="268"/>
      <c r="G104" s="268">
        <v>0</v>
      </c>
      <c r="H104" s="269">
        <v>0</v>
      </c>
      <c r="I104" s="270">
        <f t="shared" si="6"/>
        <v>0</v>
      </c>
      <c r="J104" s="269" t="s">
        <v>200</v>
      </c>
      <c r="K104" s="403" t="str">
        <f>'ONESheet 2.8'!BillingCountryCurrency</f>
        <v>USD</v>
      </c>
      <c r="L104" s="269">
        <v>1</v>
      </c>
      <c r="M104" s="271" cm="1">
        <f t="array" ref="M104">IF(A104&lt;&gt;"",IFERROR(INDEX('ONESheet 2.8'!AV:AV, MATCH(A104, 'ONESheet 2.8'!B:B, 0)+2),0),0)</f>
        <v>0</v>
      </c>
      <c r="N104" s="271">
        <f>IFERROR(IF(OR(ISBLANK(C104),C104='ONESheet 2.8'!CustomerCountry,COUNTIF(C104,"*xDC*")),0,10%),0)</f>
        <v>0</v>
      </c>
      <c r="O104" s="271" cm="1">
        <f t="array" ref="O104">IFERROR(INDEX(WHT!$C$7:$W$18,MATCH(
_xlfn.SWITCH(C104,"xDC Medellin","Colombia","xDC Belo Horizonte","Brazil","xDC Guadalajara","Mexico","xDC Gurugram","India","xDC Leon","Spain","xDC San Jose","Costa Rica","xDC Warsaw","Poland",C104),
WHT!$B$7:$B$18,0),MATCH('ONESheet 2.8'!CustomerCountry,WHT!$C$5:$W$5,0)),0)</f>
        <v>0</v>
      </c>
      <c r="P104" s="270">
        <f t="shared" si="8"/>
        <v>0</v>
      </c>
      <c r="Q104" s="272">
        <f t="shared" si="9"/>
        <v>0</v>
      </c>
      <c r="R104" s="272">
        <f t="shared" si="7"/>
        <v>0</v>
      </c>
      <c r="S104" s="272">
        <f t="shared" si="10"/>
        <v>0</v>
      </c>
      <c r="T104" s="272">
        <f t="shared" si="11"/>
        <v>0</v>
      </c>
      <c r="U104" s="268"/>
      <c r="V104" s="267"/>
    </row>
    <row r="105" spans="1:22">
      <c r="A105" s="267"/>
      <c r="B105" s="267"/>
      <c r="C105" s="268"/>
      <c r="D105" s="268"/>
      <c r="E105" s="268"/>
      <c r="F105" s="268"/>
      <c r="G105" s="268">
        <v>0</v>
      </c>
      <c r="H105" s="269">
        <v>0</v>
      </c>
      <c r="I105" s="270">
        <f t="shared" si="6"/>
        <v>0</v>
      </c>
      <c r="J105" s="269" t="s">
        <v>200</v>
      </c>
      <c r="K105" s="403" t="str">
        <f>'ONESheet 2.8'!BillingCountryCurrency</f>
        <v>USD</v>
      </c>
      <c r="L105" s="269">
        <v>1</v>
      </c>
      <c r="M105" s="271" cm="1">
        <f t="array" ref="M105">IF(A105&lt;&gt;"",IFERROR(INDEX('ONESheet 2.8'!AV:AV, MATCH(A105, 'ONESheet 2.8'!B:B, 0)+2),0),0)</f>
        <v>0</v>
      </c>
      <c r="N105" s="271">
        <f>IFERROR(IF(OR(ISBLANK(C105),C105='ONESheet 2.8'!CustomerCountry,COUNTIF(C105,"*xDC*")),0,10%),0)</f>
        <v>0</v>
      </c>
      <c r="O105" s="271" cm="1">
        <f t="array" ref="O105">IFERROR(INDEX(WHT!$C$7:$W$18,MATCH(
_xlfn.SWITCH(C105,"xDC Medellin","Colombia","xDC Belo Horizonte","Brazil","xDC Guadalajara","Mexico","xDC Gurugram","India","xDC Leon","Spain","xDC San Jose","Costa Rica","xDC Warsaw","Poland",C105),
WHT!$B$7:$B$18,0),MATCH('ONESheet 2.8'!CustomerCountry,WHT!$C$5:$W$5,0)),0)</f>
        <v>0</v>
      </c>
      <c r="P105" s="270">
        <f t="shared" si="8"/>
        <v>0</v>
      </c>
      <c r="Q105" s="272">
        <f t="shared" si="9"/>
        <v>0</v>
      </c>
      <c r="R105" s="272">
        <f t="shared" si="7"/>
        <v>0</v>
      </c>
      <c r="S105" s="272">
        <f t="shared" si="10"/>
        <v>0</v>
      </c>
      <c r="T105" s="272">
        <f t="shared" si="11"/>
        <v>0</v>
      </c>
      <c r="U105" s="268"/>
      <c r="V105" s="267"/>
    </row>
    <row r="106" spans="1:22">
      <c r="A106" s="267"/>
      <c r="B106" s="267"/>
      <c r="C106" s="268"/>
      <c r="D106" s="268"/>
      <c r="E106" s="268"/>
      <c r="F106" s="268"/>
      <c r="G106" s="268">
        <v>0</v>
      </c>
      <c r="H106" s="269">
        <v>0</v>
      </c>
      <c r="I106" s="270">
        <f t="shared" si="6"/>
        <v>0</v>
      </c>
      <c r="J106" s="269" t="s">
        <v>200</v>
      </c>
      <c r="K106" s="403" t="str">
        <f>'ONESheet 2.8'!BillingCountryCurrency</f>
        <v>USD</v>
      </c>
      <c r="L106" s="269">
        <v>1</v>
      </c>
      <c r="M106" s="271" cm="1">
        <f t="array" ref="M106">IF(A106&lt;&gt;"",IFERROR(INDEX('ONESheet 2.8'!AV:AV, MATCH(A106, 'ONESheet 2.8'!B:B, 0)+2),0),0)</f>
        <v>0</v>
      </c>
      <c r="N106" s="271">
        <f>IFERROR(IF(OR(ISBLANK(C106),C106='ONESheet 2.8'!CustomerCountry,COUNTIF(C106,"*xDC*")),0,10%),0)</f>
        <v>0</v>
      </c>
      <c r="O106" s="271" cm="1">
        <f t="array" ref="O106">IFERROR(INDEX(WHT!$C$7:$W$18,MATCH(
_xlfn.SWITCH(C106,"xDC Medellin","Colombia","xDC Belo Horizonte","Brazil","xDC Guadalajara","Mexico","xDC Gurugram","India","xDC Leon","Spain","xDC San Jose","Costa Rica","xDC Warsaw","Poland",C106),
WHT!$B$7:$B$18,0),MATCH('ONESheet 2.8'!CustomerCountry,WHT!$C$5:$W$5,0)),0)</f>
        <v>0</v>
      </c>
      <c r="P106" s="270">
        <f t="shared" si="8"/>
        <v>0</v>
      </c>
      <c r="Q106" s="272">
        <f t="shared" si="9"/>
        <v>0</v>
      </c>
      <c r="R106" s="272">
        <f t="shared" si="7"/>
        <v>0</v>
      </c>
      <c r="S106" s="272">
        <f t="shared" si="10"/>
        <v>0</v>
      </c>
      <c r="T106" s="272">
        <f t="shared" si="11"/>
        <v>0</v>
      </c>
      <c r="U106" s="268"/>
      <c r="V106" s="267"/>
    </row>
    <row r="107" spans="1:22">
      <c r="A107" s="267"/>
      <c r="B107" s="267"/>
      <c r="C107" s="268"/>
      <c r="D107" s="268"/>
      <c r="E107" s="268"/>
      <c r="F107" s="268"/>
      <c r="G107" s="268">
        <v>0</v>
      </c>
      <c r="H107" s="269">
        <v>0</v>
      </c>
      <c r="I107" s="270">
        <f t="shared" si="6"/>
        <v>0</v>
      </c>
      <c r="J107" s="269" t="s">
        <v>200</v>
      </c>
      <c r="K107" s="403" t="str">
        <f>'ONESheet 2.8'!BillingCountryCurrency</f>
        <v>USD</v>
      </c>
      <c r="L107" s="269">
        <v>1</v>
      </c>
      <c r="M107" s="271" cm="1">
        <f t="array" ref="M107">IF(A107&lt;&gt;"",IFERROR(INDEX('ONESheet 2.8'!AV:AV, MATCH(A107, 'ONESheet 2.8'!B:B, 0)+2),0),0)</f>
        <v>0</v>
      </c>
      <c r="N107" s="271">
        <f>IFERROR(IF(OR(ISBLANK(C107),C107='ONESheet 2.8'!CustomerCountry,COUNTIF(C107,"*xDC*")),0,10%),0)</f>
        <v>0</v>
      </c>
      <c r="O107" s="271" cm="1">
        <f t="array" ref="O107">IFERROR(INDEX(WHT!$C$7:$W$18,MATCH(
_xlfn.SWITCH(C107,"xDC Medellin","Colombia","xDC Belo Horizonte","Brazil","xDC Guadalajara","Mexico","xDC Gurugram","India","xDC Leon","Spain","xDC San Jose","Costa Rica","xDC Warsaw","Poland",C107),
WHT!$B$7:$B$18,0),MATCH('ONESheet 2.8'!CustomerCountry,WHT!$C$5:$W$5,0)),0)</f>
        <v>0</v>
      </c>
      <c r="P107" s="270">
        <f t="shared" si="8"/>
        <v>0</v>
      </c>
      <c r="Q107" s="272">
        <f t="shared" si="9"/>
        <v>0</v>
      </c>
      <c r="R107" s="272">
        <f t="shared" si="7"/>
        <v>0</v>
      </c>
      <c r="S107" s="272">
        <f t="shared" si="10"/>
        <v>0</v>
      </c>
      <c r="T107" s="272">
        <f t="shared" si="11"/>
        <v>0</v>
      </c>
      <c r="U107" s="268"/>
      <c r="V107" s="267"/>
    </row>
    <row r="108" spans="1:22">
      <c r="A108" s="267"/>
      <c r="B108" s="267"/>
      <c r="C108" s="268"/>
      <c r="D108" s="268"/>
      <c r="E108" s="268"/>
      <c r="F108" s="268"/>
      <c r="G108" s="268">
        <v>0</v>
      </c>
      <c r="H108" s="269">
        <v>0</v>
      </c>
      <c r="I108" s="270">
        <f t="shared" si="6"/>
        <v>0</v>
      </c>
      <c r="J108" s="269" t="s">
        <v>200</v>
      </c>
      <c r="K108" s="403" t="str">
        <f>'ONESheet 2.8'!BillingCountryCurrency</f>
        <v>USD</v>
      </c>
      <c r="L108" s="269">
        <v>1</v>
      </c>
      <c r="M108" s="271" cm="1">
        <f t="array" ref="M108">IF(A108&lt;&gt;"",IFERROR(INDEX('ONESheet 2.8'!AV:AV, MATCH(A108, 'ONESheet 2.8'!B:B, 0)+2),0),0)</f>
        <v>0</v>
      </c>
      <c r="N108" s="271">
        <f>IFERROR(IF(OR(ISBLANK(C108),C108='ONESheet 2.8'!CustomerCountry,COUNTIF(C108,"*xDC*")),0,10%),0)</f>
        <v>0</v>
      </c>
      <c r="O108" s="271" cm="1">
        <f t="array" ref="O108">IFERROR(INDEX(WHT!$C$7:$W$18,MATCH(
_xlfn.SWITCH(C108,"xDC Medellin","Colombia","xDC Belo Horizonte","Brazil","xDC Guadalajara","Mexico","xDC Gurugram","India","xDC Leon","Spain","xDC San Jose","Costa Rica","xDC Warsaw","Poland",C108),
WHT!$B$7:$B$18,0),MATCH('ONESheet 2.8'!CustomerCountry,WHT!$C$5:$W$5,0)),0)</f>
        <v>0</v>
      </c>
      <c r="P108" s="270">
        <f t="shared" si="8"/>
        <v>0</v>
      </c>
      <c r="Q108" s="272">
        <f t="shared" si="9"/>
        <v>0</v>
      </c>
      <c r="R108" s="272">
        <f t="shared" si="7"/>
        <v>0</v>
      </c>
      <c r="S108" s="272">
        <f t="shared" si="10"/>
        <v>0</v>
      </c>
      <c r="T108" s="272">
        <f t="shared" si="11"/>
        <v>0</v>
      </c>
      <c r="U108" s="268"/>
      <c r="V108" s="267"/>
    </row>
    <row r="109" spans="1:22">
      <c r="A109" s="267"/>
      <c r="B109" s="267"/>
      <c r="C109" s="268"/>
      <c r="D109" s="268"/>
      <c r="E109" s="268"/>
      <c r="F109" s="268"/>
      <c r="G109" s="268">
        <v>0</v>
      </c>
      <c r="H109" s="269">
        <v>0</v>
      </c>
      <c r="I109" s="270">
        <f t="shared" si="6"/>
        <v>0</v>
      </c>
      <c r="J109" s="269" t="s">
        <v>200</v>
      </c>
      <c r="K109" s="403" t="str">
        <f>'ONESheet 2.8'!BillingCountryCurrency</f>
        <v>USD</v>
      </c>
      <c r="L109" s="269">
        <v>1</v>
      </c>
      <c r="M109" s="271" cm="1">
        <f t="array" ref="M109">IF(A109&lt;&gt;"",IFERROR(INDEX('ONESheet 2.8'!AV:AV, MATCH(A109, 'ONESheet 2.8'!B:B, 0)+2),0),0)</f>
        <v>0</v>
      </c>
      <c r="N109" s="271">
        <f>IFERROR(IF(OR(ISBLANK(C109),C109='ONESheet 2.8'!CustomerCountry,COUNTIF(C109,"*xDC*")),0,10%),0)</f>
        <v>0</v>
      </c>
      <c r="O109" s="271" cm="1">
        <f t="array" ref="O109">IFERROR(INDEX(WHT!$C$7:$W$18,MATCH(
_xlfn.SWITCH(C109,"xDC Medellin","Colombia","xDC Belo Horizonte","Brazil","xDC Guadalajara","Mexico","xDC Gurugram","India","xDC Leon","Spain","xDC San Jose","Costa Rica","xDC Warsaw","Poland",C109),
WHT!$B$7:$B$18,0),MATCH('ONESheet 2.8'!CustomerCountry,WHT!$C$5:$W$5,0)),0)</f>
        <v>0</v>
      </c>
      <c r="P109" s="270">
        <f t="shared" si="8"/>
        <v>0</v>
      </c>
      <c r="Q109" s="272">
        <f t="shared" si="9"/>
        <v>0</v>
      </c>
      <c r="R109" s="272">
        <f t="shared" si="7"/>
        <v>0</v>
      </c>
      <c r="S109" s="272">
        <f t="shared" si="10"/>
        <v>0</v>
      </c>
      <c r="T109" s="272">
        <f t="shared" si="11"/>
        <v>0</v>
      </c>
      <c r="U109" s="268"/>
      <c r="V109" s="267"/>
    </row>
    <row r="110" spans="1:22">
      <c r="A110" s="267"/>
      <c r="B110" s="267"/>
      <c r="C110" s="268"/>
      <c r="D110" s="268"/>
      <c r="E110" s="268"/>
      <c r="F110" s="268"/>
      <c r="G110" s="268">
        <v>0</v>
      </c>
      <c r="H110" s="269">
        <v>0</v>
      </c>
      <c r="I110" s="270">
        <f t="shared" si="6"/>
        <v>0</v>
      </c>
      <c r="J110" s="269" t="s">
        <v>200</v>
      </c>
      <c r="K110" s="403" t="str">
        <f>'ONESheet 2.8'!BillingCountryCurrency</f>
        <v>USD</v>
      </c>
      <c r="L110" s="269">
        <v>1</v>
      </c>
      <c r="M110" s="271" cm="1">
        <f t="array" ref="M110">IF(A110&lt;&gt;"",IFERROR(INDEX('ONESheet 2.8'!AV:AV, MATCH(A110, 'ONESheet 2.8'!B:B, 0)+2),0),0)</f>
        <v>0</v>
      </c>
      <c r="N110" s="271">
        <f>IFERROR(IF(OR(ISBLANK(C110),C110='ONESheet 2.8'!CustomerCountry,COUNTIF(C110,"*xDC*")),0,10%),0)</f>
        <v>0</v>
      </c>
      <c r="O110" s="271" cm="1">
        <f t="array" ref="O110">IFERROR(INDEX(WHT!$C$7:$W$18,MATCH(
_xlfn.SWITCH(C110,"xDC Medellin","Colombia","xDC Belo Horizonte","Brazil","xDC Guadalajara","Mexico","xDC Gurugram","India","xDC Leon","Spain","xDC San Jose","Costa Rica","xDC Warsaw","Poland",C110),
WHT!$B$7:$B$18,0),MATCH('ONESheet 2.8'!CustomerCountry,WHT!$C$5:$W$5,0)),0)</f>
        <v>0</v>
      </c>
      <c r="P110" s="270">
        <f t="shared" si="8"/>
        <v>0</v>
      </c>
      <c r="Q110" s="272">
        <f t="shared" si="9"/>
        <v>0</v>
      </c>
      <c r="R110" s="272">
        <f t="shared" si="7"/>
        <v>0</v>
      </c>
      <c r="S110" s="272">
        <f t="shared" si="10"/>
        <v>0</v>
      </c>
      <c r="T110" s="272">
        <f t="shared" si="11"/>
        <v>0</v>
      </c>
      <c r="U110" s="268"/>
      <c r="V110" s="267"/>
    </row>
    <row r="111" spans="1:22">
      <c r="A111" s="267"/>
      <c r="B111" s="267"/>
      <c r="C111" s="268"/>
      <c r="D111" s="268"/>
      <c r="E111" s="268"/>
      <c r="F111" s="268"/>
      <c r="G111" s="268">
        <v>0</v>
      </c>
      <c r="H111" s="269">
        <v>0</v>
      </c>
      <c r="I111" s="270">
        <f t="shared" si="6"/>
        <v>0</v>
      </c>
      <c r="J111" s="269" t="s">
        <v>200</v>
      </c>
      <c r="K111" s="403" t="str">
        <f>'ONESheet 2.8'!BillingCountryCurrency</f>
        <v>USD</v>
      </c>
      <c r="L111" s="269">
        <v>1</v>
      </c>
      <c r="M111" s="271" cm="1">
        <f t="array" ref="M111">IF(A111&lt;&gt;"",IFERROR(INDEX('ONESheet 2.8'!AV:AV, MATCH(A111, 'ONESheet 2.8'!B:B, 0)+2),0),0)</f>
        <v>0</v>
      </c>
      <c r="N111" s="271">
        <f>IFERROR(IF(OR(ISBLANK(C111),C111='ONESheet 2.8'!CustomerCountry,COUNTIF(C111,"*xDC*")),0,10%),0)</f>
        <v>0</v>
      </c>
      <c r="O111" s="271" cm="1">
        <f t="array" ref="O111">IFERROR(INDEX(WHT!$C$7:$W$18,MATCH(
_xlfn.SWITCH(C111,"xDC Medellin","Colombia","xDC Belo Horizonte","Brazil","xDC Guadalajara","Mexico","xDC Gurugram","India","xDC Leon","Spain","xDC San Jose","Costa Rica","xDC Warsaw","Poland",C111),
WHT!$B$7:$B$18,0),MATCH('ONESheet 2.8'!CustomerCountry,WHT!$C$5:$W$5,0)),0)</f>
        <v>0</v>
      </c>
      <c r="P111" s="270">
        <f t="shared" si="8"/>
        <v>0</v>
      </c>
      <c r="Q111" s="272">
        <f t="shared" si="9"/>
        <v>0</v>
      </c>
      <c r="R111" s="272">
        <f t="shared" si="7"/>
        <v>0</v>
      </c>
      <c r="S111" s="272">
        <f t="shared" si="10"/>
        <v>0</v>
      </c>
      <c r="T111" s="272">
        <f t="shared" si="11"/>
        <v>0</v>
      </c>
      <c r="U111" s="268"/>
      <c r="V111" s="267"/>
    </row>
    <row r="112" spans="1:22">
      <c r="A112" s="267"/>
      <c r="B112" s="267"/>
      <c r="C112" s="268"/>
      <c r="D112" s="268"/>
      <c r="E112" s="268"/>
      <c r="F112" s="268"/>
      <c r="G112" s="268">
        <v>0</v>
      </c>
      <c r="H112" s="269">
        <v>0</v>
      </c>
      <c r="I112" s="270">
        <f t="shared" si="6"/>
        <v>0</v>
      </c>
      <c r="J112" s="269" t="s">
        <v>200</v>
      </c>
      <c r="K112" s="403" t="str">
        <f>'ONESheet 2.8'!BillingCountryCurrency</f>
        <v>USD</v>
      </c>
      <c r="L112" s="269">
        <v>1</v>
      </c>
      <c r="M112" s="271" cm="1">
        <f t="array" ref="M112">IF(A112&lt;&gt;"",IFERROR(INDEX('ONESheet 2.8'!AV:AV, MATCH(A112, 'ONESheet 2.8'!B:B, 0)+2),0),0)</f>
        <v>0</v>
      </c>
      <c r="N112" s="271">
        <f>IFERROR(IF(OR(ISBLANK(C112),C112='ONESheet 2.8'!CustomerCountry,COUNTIF(C112,"*xDC*")),0,10%),0)</f>
        <v>0</v>
      </c>
      <c r="O112" s="271" cm="1">
        <f t="array" ref="O112">IFERROR(INDEX(WHT!$C$7:$W$18,MATCH(
_xlfn.SWITCH(C112,"xDC Medellin","Colombia","xDC Belo Horizonte","Brazil","xDC Guadalajara","Mexico","xDC Gurugram","India","xDC Leon","Spain","xDC San Jose","Costa Rica","xDC Warsaw","Poland",C112),
WHT!$B$7:$B$18,0),MATCH('ONESheet 2.8'!CustomerCountry,WHT!$C$5:$W$5,0)),0)</f>
        <v>0</v>
      </c>
      <c r="P112" s="270">
        <f t="shared" si="8"/>
        <v>0</v>
      </c>
      <c r="Q112" s="272">
        <f t="shared" si="9"/>
        <v>0</v>
      </c>
      <c r="R112" s="272">
        <f t="shared" si="7"/>
        <v>0</v>
      </c>
      <c r="S112" s="272">
        <f t="shared" si="10"/>
        <v>0</v>
      </c>
      <c r="T112" s="272">
        <f t="shared" si="11"/>
        <v>0</v>
      </c>
      <c r="U112" s="268"/>
      <c r="V112" s="267"/>
    </row>
    <row r="113" spans="1:22">
      <c r="A113" s="267"/>
      <c r="B113" s="267"/>
      <c r="C113" s="268"/>
      <c r="D113" s="268"/>
      <c r="E113" s="268"/>
      <c r="F113" s="268"/>
      <c r="G113" s="268">
        <v>0</v>
      </c>
      <c r="H113" s="269">
        <v>0</v>
      </c>
      <c r="I113" s="270">
        <f t="shared" si="6"/>
        <v>0</v>
      </c>
      <c r="J113" s="269" t="s">
        <v>200</v>
      </c>
      <c r="K113" s="403" t="str">
        <f>'ONESheet 2.8'!BillingCountryCurrency</f>
        <v>USD</v>
      </c>
      <c r="L113" s="269">
        <v>1</v>
      </c>
      <c r="M113" s="271" cm="1">
        <f t="array" ref="M113">IF(A113&lt;&gt;"",IFERROR(INDEX('ONESheet 2.8'!AV:AV, MATCH(A113, 'ONESheet 2.8'!B:B, 0)+2),0),0)</f>
        <v>0</v>
      </c>
      <c r="N113" s="271">
        <f>IFERROR(IF(OR(ISBLANK(C113),C113='ONESheet 2.8'!CustomerCountry,COUNTIF(C113,"*xDC*")),0,10%),0)</f>
        <v>0</v>
      </c>
      <c r="O113" s="271" cm="1">
        <f t="array" ref="O113">IFERROR(INDEX(WHT!$C$7:$W$18,MATCH(
_xlfn.SWITCH(C113,"xDC Medellin","Colombia","xDC Belo Horizonte","Brazil","xDC Guadalajara","Mexico","xDC Gurugram","India","xDC Leon","Spain","xDC San Jose","Costa Rica","xDC Warsaw","Poland",C113),
WHT!$B$7:$B$18,0),MATCH('ONESheet 2.8'!CustomerCountry,WHT!$C$5:$W$5,0)),0)</f>
        <v>0</v>
      </c>
      <c r="P113" s="270">
        <f t="shared" si="8"/>
        <v>0</v>
      </c>
      <c r="Q113" s="272">
        <f t="shared" si="9"/>
        <v>0</v>
      </c>
      <c r="R113" s="272">
        <f t="shared" si="7"/>
        <v>0</v>
      </c>
      <c r="S113" s="272">
        <f t="shared" si="10"/>
        <v>0</v>
      </c>
      <c r="T113" s="272">
        <f t="shared" si="11"/>
        <v>0</v>
      </c>
      <c r="U113" s="268"/>
      <c r="V113" s="267"/>
    </row>
    <row r="114" spans="1:22">
      <c r="A114" s="267"/>
      <c r="B114" s="267"/>
      <c r="C114" s="268"/>
      <c r="D114" s="268"/>
      <c r="E114" s="268"/>
      <c r="F114" s="268"/>
      <c r="G114" s="268">
        <v>0</v>
      </c>
      <c r="H114" s="269">
        <v>0</v>
      </c>
      <c r="I114" s="270">
        <f t="shared" si="6"/>
        <v>0</v>
      </c>
      <c r="J114" s="269" t="s">
        <v>200</v>
      </c>
      <c r="K114" s="403" t="str">
        <f>'ONESheet 2.8'!BillingCountryCurrency</f>
        <v>USD</v>
      </c>
      <c r="L114" s="269">
        <v>1</v>
      </c>
      <c r="M114" s="271" cm="1">
        <f t="array" ref="M114">IF(A114&lt;&gt;"",IFERROR(INDEX('ONESheet 2.8'!AV:AV, MATCH(A114, 'ONESheet 2.8'!B:B, 0)+2),0),0)</f>
        <v>0</v>
      </c>
      <c r="N114" s="271">
        <f>IFERROR(IF(OR(ISBLANK(C114),C114='ONESheet 2.8'!CustomerCountry,COUNTIF(C114,"*xDC*")),0,10%),0)</f>
        <v>0</v>
      </c>
      <c r="O114" s="271" cm="1">
        <f t="array" ref="O114">IFERROR(INDEX(WHT!$C$7:$W$18,MATCH(
_xlfn.SWITCH(C114,"xDC Medellin","Colombia","xDC Belo Horizonte","Brazil","xDC Guadalajara","Mexico","xDC Gurugram","India","xDC Leon","Spain","xDC San Jose","Costa Rica","xDC Warsaw","Poland",C114),
WHT!$B$7:$B$18,0),MATCH('ONESheet 2.8'!CustomerCountry,WHT!$C$5:$W$5,0)),0)</f>
        <v>0</v>
      </c>
      <c r="P114" s="270">
        <f t="shared" si="8"/>
        <v>0</v>
      </c>
      <c r="Q114" s="272">
        <f t="shared" si="9"/>
        <v>0</v>
      </c>
      <c r="R114" s="272">
        <f t="shared" si="7"/>
        <v>0</v>
      </c>
      <c r="S114" s="272">
        <f t="shared" si="10"/>
        <v>0</v>
      </c>
      <c r="T114" s="272">
        <f t="shared" si="11"/>
        <v>0</v>
      </c>
      <c r="U114" s="268"/>
      <c r="V114" s="267"/>
    </row>
    <row r="115" spans="1:22">
      <c r="A115" s="267"/>
      <c r="B115" s="267"/>
      <c r="C115" s="268"/>
      <c r="D115" s="268"/>
      <c r="E115" s="268"/>
      <c r="F115" s="268"/>
      <c r="G115" s="268">
        <v>0</v>
      </c>
      <c r="H115" s="269">
        <v>0</v>
      </c>
      <c r="I115" s="270">
        <f t="shared" si="6"/>
        <v>0</v>
      </c>
      <c r="J115" s="269" t="s">
        <v>200</v>
      </c>
      <c r="K115" s="403" t="str">
        <f>'ONESheet 2.8'!BillingCountryCurrency</f>
        <v>USD</v>
      </c>
      <c r="L115" s="269">
        <v>1</v>
      </c>
      <c r="M115" s="271" cm="1">
        <f t="array" ref="M115">IF(A115&lt;&gt;"",IFERROR(INDEX('ONESheet 2.8'!AV:AV, MATCH(A115, 'ONESheet 2.8'!B:B, 0)+2),0),0)</f>
        <v>0</v>
      </c>
      <c r="N115" s="271">
        <f>IFERROR(IF(OR(ISBLANK(C115),C115='ONESheet 2.8'!CustomerCountry,COUNTIF(C115,"*xDC*")),0,10%),0)</f>
        <v>0</v>
      </c>
      <c r="O115" s="271" cm="1">
        <f t="array" ref="O115">IFERROR(INDEX(WHT!$C$7:$W$18,MATCH(
_xlfn.SWITCH(C115,"xDC Medellin","Colombia","xDC Belo Horizonte","Brazil","xDC Guadalajara","Mexico","xDC Gurugram","India","xDC Leon","Spain","xDC San Jose","Costa Rica","xDC Warsaw","Poland",C115),
WHT!$B$7:$B$18,0),MATCH('ONESheet 2.8'!CustomerCountry,WHT!$C$5:$W$5,0)),0)</f>
        <v>0</v>
      </c>
      <c r="P115" s="270">
        <f t="shared" si="8"/>
        <v>0</v>
      </c>
      <c r="Q115" s="272">
        <f t="shared" si="9"/>
        <v>0</v>
      </c>
      <c r="R115" s="272">
        <f t="shared" si="7"/>
        <v>0</v>
      </c>
      <c r="S115" s="272">
        <f t="shared" si="10"/>
        <v>0</v>
      </c>
      <c r="T115" s="272">
        <f t="shared" si="11"/>
        <v>0</v>
      </c>
      <c r="U115" s="268"/>
      <c r="V115" s="267"/>
    </row>
    <row r="116" spans="1:22">
      <c r="A116" s="267"/>
      <c r="B116" s="267"/>
      <c r="C116" s="268"/>
      <c r="D116" s="268"/>
      <c r="E116" s="268"/>
      <c r="F116" s="268"/>
      <c r="G116" s="268">
        <v>0</v>
      </c>
      <c r="H116" s="269">
        <v>0</v>
      </c>
      <c r="I116" s="270">
        <f t="shared" si="6"/>
        <v>0</v>
      </c>
      <c r="J116" s="269" t="s">
        <v>200</v>
      </c>
      <c r="K116" s="403" t="str">
        <f>'ONESheet 2.8'!BillingCountryCurrency</f>
        <v>USD</v>
      </c>
      <c r="L116" s="269">
        <v>1</v>
      </c>
      <c r="M116" s="271" cm="1">
        <f t="array" ref="M116">IF(A116&lt;&gt;"",IFERROR(INDEX('ONESheet 2.8'!AV:AV, MATCH(A116, 'ONESheet 2.8'!B:B, 0)+2),0),0)</f>
        <v>0</v>
      </c>
      <c r="N116" s="271">
        <f>IFERROR(IF(OR(ISBLANK(C116),C116='ONESheet 2.8'!CustomerCountry,COUNTIF(C116,"*xDC*")),0,10%),0)</f>
        <v>0</v>
      </c>
      <c r="O116" s="271" cm="1">
        <f t="array" ref="O116">IFERROR(INDEX(WHT!$C$7:$W$18,MATCH(
_xlfn.SWITCH(C116,"xDC Medellin","Colombia","xDC Belo Horizonte","Brazil","xDC Guadalajara","Mexico","xDC Gurugram","India","xDC Leon","Spain","xDC San Jose","Costa Rica","xDC Warsaw","Poland",C116),
WHT!$B$7:$B$18,0),MATCH('ONESheet 2.8'!CustomerCountry,WHT!$C$5:$W$5,0)),0)</f>
        <v>0</v>
      </c>
      <c r="P116" s="270">
        <f t="shared" si="8"/>
        <v>0</v>
      </c>
      <c r="Q116" s="272">
        <f t="shared" si="9"/>
        <v>0</v>
      </c>
      <c r="R116" s="272">
        <f t="shared" si="7"/>
        <v>0</v>
      </c>
      <c r="S116" s="272">
        <f t="shared" si="10"/>
        <v>0</v>
      </c>
      <c r="T116" s="272">
        <f t="shared" si="11"/>
        <v>0</v>
      </c>
      <c r="U116" s="268"/>
      <c r="V116" s="267"/>
    </row>
    <row r="117" spans="1:22">
      <c r="A117" s="267"/>
      <c r="B117" s="267"/>
      <c r="C117" s="268"/>
      <c r="D117" s="268"/>
      <c r="E117" s="268"/>
      <c r="F117" s="268"/>
      <c r="G117" s="268">
        <v>0</v>
      </c>
      <c r="H117" s="269">
        <v>0</v>
      </c>
      <c r="I117" s="270">
        <f t="shared" si="6"/>
        <v>0</v>
      </c>
      <c r="J117" s="269" t="s">
        <v>200</v>
      </c>
      <c r="K117" s="403" t="str">
        <f>'ONESheet 2.8'!BillingCountryCurrency</f>
        <v>USD</v>
      </c>
      <c r="L117" s="269">
        <v>1</v>
      </c>
      <c r="M117" s="271" cm="1">
        <f t="array" ref="M117">IF(A117&lt;&gt;"",IFERROR(INDEX('ONESheet 2.8'!AV:AV, MATCH(A117, 'ONESheet 2.8'!B:B, 0)+2),0),0)</f>
        <v>0</v>
      </c>
      <c r="N117" s="271">
        <f>IFERROR(IF(OR(ISBLANK(C117),C117='ONESheet 2.8'!CustomerCountry,COUNTIF(C117,"*xDC*")),0,10%),0)</f>
        <v>0</v>
      </c>
      <c r="O117" s="271" cm="1">
        <f t="array" ref="O117">IFERROR(INDEX(WHT!$C$7:$W$18,MATCH(
_xlfn.SWITCH(C117,"xDC Medellin","Colombia","xDC Belo Horizonte","Brazil","xDC Guadalajara","Mexico","xDC Gurugram","India","xDC Leon","Spain","xDC San Jose","Costa Rica","xDC Warsaw","Poland",C117),
WHT!$B$7:$B$18,0),MATCH('ONESheet 2.8'!CustomerCountry,WHT!$C$5:$W$5,0)),0)</f>
        <v>0</v>
      </c>
      <c r="P117" s="270">
        <f t="shared" si="8"/>
        <v>0</v>
      </c>
      <c r="Q117" s="272">
        <f t="shared" si="9"/>
        <v>0</v>
      </c>
      <c r="R117" s="272">
        <f t="shared" si="7"/>
        <v>0</v>
      </c>
      <c r="S117" s="272">
        <f t="shared" si="10"/>
        <v>0</v>
      </c>
      <c r="T117" s="272">
        <f t="shared" si="11"/>
        <v>0</v>
      </c>
      <c r="U117" s="268"/>
      <c r="V117" s="267"/>
    </row>
    <row r="118" spans="1:22">
      <c r="A118" s="267"/>
      <c r="B118" s="267"/>
      <c r="C118" s="268"/>
      <c r="D118" s="268"/>
      <c r="E118" s="268"/>
      <c r="F118" s="268"/>
      <c r="G118" s="268">
        <v>0</v>
      </c>
      <c r="H118" s="269">
        <v>0</v>
      </c>
      <c r="I118" s="270">
        <f t="shared" si="6"/>
        <v>0</v>
      </c>
      <c r="J118" s="269" t="s">
        <v>200</v>
      </c>
      <c r="K118" s="403" t="str">
        <f>'ONESheet 2.8'!BillingCountryCurrency</f>
        <v>USD</v>
      </c>
      <c r="L118" s="269">
        <v>1</v>
      </c>
      <c r="M118" s="271" cm="1">
        <f t="array" ref="M118">IF(A118&lt;&gt;"",IFERROR(INDEX('ONESheet 2.8'!AV:AV, MATCH(A118, 'ONESheet 2.8'!B:B, 0)+2),0),0)</f>
        <v>0</v>
      </c>
      <c r="N118" s="271">
        <f>IFERROR(IF(OR(ISBLANK(C118),C118='ONESheet 2.8'!CustomerCountry,COUNTIF(C118,"*xDC*")),0,10%),0)</f>
        <v>0</v>
      </c>
      <c r="O118" s="271" cm="1">
        <f t="array" ref="O118">IFERROR(INDEX(WHT!$C$7:$W$18,MATCH(
_xlfn.SWITCH(C118,"xDC Medellin","Colombia","xDC Belo Horizonte","Brazil","xDC Guadalajara","Mexico","xDC Gurugram","India","xDC Leon","Spain","xDC San Jose","Costa Rica","xDC Warsaw","Poland",C118),
WHT!$B$7:$B$18,0),MATCH('ONESheet 2.8'!CustomerCountry,WHT!$C$5:$W$5,0)),0)</f>
        <v>0</v>
      </c>
      <c r="P118" s="270">
        <f t="shared" si="8"/>
        <v>0</v>
      </c>
      <c r="Q118" s="272">
        <f t="shared" si="9"/>
        <v>0</v>
      </c>
      <c r="R118" s="272">
        <f t="shared" si="7"/>
        <v>0</v>
      </c>
      <c r="S118" s="272">
        <f t="shared" si="10"/>
        <v>0</v>
      </c>
      <c r="T118" s="272">
        <f t="shared" si="11"/>
        <v>0</v>
      </c>
      <c r="U118" s="268"/>
      <c r="V118" s="267"/>
    </row>
    <row r="119" spans="1:22">
      <c r="A119" s="267"/>
      <c r="B119" s="267"/>
      <c r="C119" s="268"/>
      <c r="D119" s="268"/>
      <c r="E119" s="268"/>
      <c r="F119" s="268"/>
      <c r="G119" s="268">
        <v>0</v>
      </c>
      <c r="H119" s="269">
        <v>0</v>
      </c>
      <c r="I119" s="270">
        <f t="shared" si="6"/>
        <v>0</v>
      </c>
      <c r="J119" s="269" t="s">
        <v>200</v>
      </c>
      <c r="K119" s="403" t="str">
        <f>'ONESheet 2.8'!BillingCountryCurrency</f>
        <v>USD</v>
      </c>
      <c r="L119" s="269">
        <v>1</v>
      </c>
      <c r="M119" s="271" cm="1">
        <f t="array" ref="M119">IF(A119&lt;&gt;"",IFERROR(INDEX('ONESheet 2.8'!AV:AV, MATCH(A119, 'ONESheet 2.8'!B:B, 0)+2),0),0)</f>
        <v>0</v>
      </c>
      <c r="N119" s="271">
        <f>IFERROR(IF(OR(ISBLANK(C119),C119='ONESheet 2.8'!CustomerCountry,COUNTIF(C119,"*xDC*")),0,10%),0)</f>
        <v>0</v>
      </c>
      <c r="O119" s="271" cm="1">
        <f t="array" ref="O119">IFERROR(INDEX(WHT!$C$7:$W$18,MATCH(
_xlfn.SWITCH(C119,"xDC Medellin","Colombia","xDC Belo Horizonte","Brazil","xDC Guadalajara","Mexico","xDC Gurugram","India","xDC Leon","Spain","xDC San Jose","Costa Rica","xDC Warsaw","Poland",C119),
WHT!$B$7:$B$18,0),MATCH('ONESheet 2.8'!CustomerCountry,WHT!$C$5:$W$5,0)),0)</f>
        <v>0</v>
      </c>
      <c r="P119" s="270">
        <f t="shared" si="8"/>
        <v>0</v>
      </c>
      <c r="Q119" s="272">
        <f t="shared" si="9"/>
        <v>0</v>
      </c>
      <c r="R119" s="272">
        <f t="shared" si="7"/>
        <v>0</v>
      </c>
      <c r="S119" s="272">
        <f t="shared" si="10"/>
        <v>0</v>
      </c>
      <c r="T119" s="272">
        <f t="shared" si="11"/>
        <v>0</v>
      </c>
      <c r="U119" s="268"/>
      <c r="V119" s="267"/>
    </row>
    <row r="120" spans="1:22">
      <c r="A120" s="267"/>
      <c r="B120" s="267"/>
      <c r="C120" s="268"/>
      <c r="D120" s="268"/>
      <c r="E120" s="268"/>
      <c r="F120" s="268"/>
      <c r="G120" s="268">
        <v>0</v>
      </c>
      <c r="H120" s="269">
        <v>0</v>
      </c>
      <c r="I120" s="270">
        <f t="shared" si="6"/>
        <v>0</v>
      </c>
      <c r="J120" s="269" t="s">
        <v>200</v>
      </c>
      <c r="K120" s="403" t="str">
        <f>'ONESheet 2.8'!BillingCountryCurrency</f>
        <v>USD</v>
      </c>
      <c r="L120" s="269">
        <v>1</v>
      </c>
      <c r="M120" s="271" cm="1">
        <f t="array" ref="M120">IF(A120&lt;&gt;"",IFERROR(INDEX('ONESheet 2.8'!AV:AV, MATCH(A120, 'ONESheet 2.8'!B:B, 0)+2),0),0)</f>
        <v>0</v>
      </c>
      <c r="N120" s="271">
        <f>IFERROR(IF(OR(ISBLANK(C120),C120='ONESheet 2.8'!CustomerCountry,COUNTIF(C120,"*xDC*")),0,10%),0)</f>
        <v>0</v>
      </c>
      <c r="O120" s="271" cm="1">
        <f t="array" ref="O120">IFERROR(INDEX(WHT!$C$7:$W$18,MATCH(
_xlfn.SWITCH(C120,"xDC Medellin","Colombia","xDC Belo Horizonte","Brazil","xDC Guadalajara","Mexico","xDC Gurugram","India","xDC Leon","Spain","xDC San Jose","Costa Rica","xDC Warsaw","Poland",C120),
WHT!$B$7:$B$18,0),MATCH('ONESheet 2.8'!CustomerCountry,WHT!$C$5:$W$5,0)),0)</f>
        <v>0</v>
      </c>
      <c r="P120" s="270">
        <f t="shared" si="8"/>
        <v>0</v>
      </c>
      <c r="Q120" s="272">
        <f t="shared" si="9"/>
        <v>0</v>
      </c>
      <c r="R120" s="272">
        <f t="shared" si="7"/>
        <v>0</v>
      </c>
      <c r="S120" s="272">
        <f t="shared" si="10"/>
        <v>0</v>
      </c>
      <c r="T120" s="272">
        <f t="shared" si="11"/>
        <v>0</v>
      </c>
      <c r="U120" s="268"/>
      <c r="V120" s="267"/>
    </row>
    <row r="121" spans="1:22">
      <c r="A121" s="267"/>
      <c r="B121" s="267"/>
      <c r="C121" s="268"/>
      <c r="D121" s="268"/>
      <c r="E121" s="268"/>
      <c r="F121" s="268"/>
      <c r="G121" s="268">
        <v>0</v>
      </c>
      <c r="H121" s="269">
        <v>0</v>
      </c>
      <c r="I121" s="270">
        <f t="shared" si="6"/>
        <v>0</v>
      </c>
      <c r="J121" s="269" t="s">
        <v>200</v>
      </c>
      <c r="K121" s="403" t="str">
        <f>'ONESheet 2.8'!BillingCountryCurrency</f>
        <v>USD</v>
      </c>
      <c r="L121" s="269">
        <v>1</v>
      </c>
      <c r="M121" s="271" cm="1">
        <f t="array" ref="M121">IF(A121&lt;&gt;"",IFERROR(INDEX('ONESheet 2.8'!AV:AV, MATCH(A121, 'ONESheet 2.8'!B:B, 0)+2),0),0)</f>
        <v>0</v>
      </c>
      <c r="N121" s="271">
        <f>IFERROR(IF(OR(ISBLANK(C121),C121='ONESheet 2.8'!CustomerCountry,COUNTIF(C121,"*xDC*")),0,10%),0)</f>
        <v>0</v>
      </c>
      <c r="O121" s="271" cm="1">
        <f t="array" ref="O121">IFERROR(INDEX(WHT!$C$7:$W$18,MATCH(
_xlfn.SWITCH(C121,"xDC Medellin","Colombia","xDC Belo Horizonte","Brazil","xDC Guadalajara","Mexico","xDC Gurugram","India","xDC Leon","Spain","xDC San Jose","Costa Rica","xDC Warsaw","Poland",C121),
WHT!$B$7:$B$18,0),MATCH('ONESheet 2.8'!CustomerCountry,WHT!$C$5:$W$5,0)),0)</f>
        <v>0</v>
      </c>
      <c r="P121" s="270">
        <f t="shared" si="8"/>
        <v>0</v>
      </c>
      <c r="Q121" s="272">
        <f t="shared" si="9"/>
        <v>0</v>
      </c>
      <c r="R121" s="272">
        <f t="shared" si="7"/>
        <v>0</v>
      </c>
      <c r="S121" s="272">
        <f t="shared" si="10"/>
        <v>0</v>
      </c>
      <c r="T121" s="272">
        <f t="shared" si="11"/>
        <v>0</v>
      </c>
      <c r="U121" s="268"/>
      <c r="V121" s="267"/>
    </row>
    <row r="122" spans="1:22">
      <c r="A122" s="267"/>
      <c r="B122" s="267"/>
      <c r="C122" s="268"/>
      <c r="D122" s="268"/>
      <c r="E122" s="268"/>
      <c r="F122" s="268"/>
      <c r="G122" s="268">
        <v>0</v>
      </c>
      <c r="H122" s="269">
        <v>0</v>
      </c>
      <c r="I122" s="270">
        <f t="shared" si="6"/>
        <v>0</v>
      </c>
      <c r="J122" s="269" t="s">
        <v>200</v>
      </c>
      <c r="K122" s="403" t="str">
        <f>'ONESheet 2.8'!BillingCountryCurrency</f>
        <v>USD</v>
      </c>
      <c r="L122" s="269">
        <v>1</v>
      </c>
      <c r="M122" s="271" cm="1">
        <f t="array" ref="M122">IF(A122&lt;&gt;"",IFERROR(INDEX('ONESheet 2.8'!AV:AV, MATCH(A122, 'ONESheet 2.8'!B:B, 0)+2),0),0)</f>
        <v>0</v>
      </c>
      <c r="N122" s="271">
        <f>IFERROR(IF(OR(ISBLANK(C122),C122='ONESheet 2.8'!CustomerCountry,COUNTIF(C122,"*xDC*")),0,10%),0)</f>
        <v>0</v>
      </c>
      <c r="O122" s="271" cm="1">
        <f t="array" ref="O122">IFERROR(INDEX(WHT!$C$7:$W$18,MATCH(
_xlfn.SWITCH(C122,"xDC Medellin","Colombia","xDC Belo Horizonte","Brazil","xDC Guadalajara","Mexico","xDC Gurugram","India","xDC Leon","Spain","xDC San Jose","Costa Rica","xDC Warsaw","Poland",C122),
WHT!$B$7:$B$18,0),MATCH('ONESheet 2.8'!CustomerCountry,WHT!$C$5:$W$5,0)),0)</f>
        <v>0</v>
      </c>
      <c r="P122" s="270">
        <f t="shared" si="8"/>
        <v>0</v>
      </c>
      <c r="Q122" s="272">
        <f t="shared" si="9"/>
        <v>0</v>
      </c>
      <c r="R122" s="272">
        <f t="shared" si="7"/>
        <v>0</v>
      </c>
      <c r="S122" s="272">
        <f t="shared" si="10"/>
        <v>0</v>
      </c>
      <c r="T122" s="272">
        <f t="shared" si="11"/>
        <v>0</v>
      </c>
      <c r="U122" s="268"/>
      <c r="V122" s="267"/>
    </row>
    <row r="123" spans="1:22">
      <c r="A123" s="267"/>
      <c r="B123" s="267"/>
      <c r="C123" s="268"/>
      <c r="D123" s="268"/>
      <c r="E123" s="268"/>
      <c r="F123" s="268"/>
      <c r="G123" s="268">
        <v>0</v>
      </c>
      <c r="H123" s="269">
        <v>0</v>
      </c>
      <c r="I123" s="270">
        <f t="shared" si="6"/>
        <v>0</v>
      </c>
      <c r="J123" s="269" t="s">
        <v>200</v>
      </c>
      <c r="K123" s="403" t="str">
        <f>'ONESheet 2.8'!BillingCountryCurrency</f>
        <v>USD</v>
      </c>
      <c r="L123" s="269">
        <v>1</v>
      </c>
      <c r="M123" s="271" cm="1">
        <f t="array" ref="M123">IF(A123&lt;&gt;"",IFERROR(INDEX('ONESheet 2.8'!AV:AV, MATCH(A123, 'ONESheet 2.8'!B:B, 0)+2),0),0)</f>
        <v>0</v>
      </c>
      <c r="N123" s="271">
        <f>IFERROR(IF(OR(ISBLANK(C123),C123='ONESheet 2.8'!CustomerCountry,COUNTIF(C123,"*xDC*")),0,10%),0)</f>
        <v>0</v>
      </c>
      <c r="O123" s="271" cm="1">
        <f t="array" ref="O123">IFERROR(INDEX(WHT!$C$7:$W$18,MATCH(
_xlfn.SWITCH(C123,"xDC Medellin","Colombia","xDC Belo Horizonte","Brazil","xDC Guadalajara","Mexico","xDC Gurugram","India","xDC Leon","Spain","xDC San Jose","Costa Rica","xDC Warsaw","Poland",C123),
WHT!$B$7:$B$18,0),MATCH('ONESheet 2.8'!CustomerCountry,WHT!$C$5:$W$5,0)),0)</f>
        <v>0</v>
      </c>
      <c r="P123" s="270">
        <f t="shared" si="8"/>
        <v>0</v>
      </c>
      <c r="Q123" s="272">
        <f t="shared" si="9"/>
        <v>0</v>
      </c>
      <c r="R123" s="272">
        <f t="shared" si="7"/>
        <v>0</v>
      </c>
      <c r="S123" s="272">
        <f t="shared" si="10"/>
        <v>0</v>
      </c>
      <c r="T123" s="272">
        <f t="shared" si="11"/>
        <v>0</v>
      </c>
      <c r="U123" s="268"/>
      <c r="V123" s="267"/>
    </row>
    <row r="124" spans="1:22">
      <c r="A124" s="267"/>
      <c r="B124" s="267"/>
      <c r="C124" s="268"/>
      <c r="D124" s="268"/>
      <c r="E124" s="268"/>
      <c r="F124" s="268"/>
      <c r="G124" s="268">
        <v>0</v>
      </c>
      <c r="H124" s="269">
        <v>0</v>
      </c>
      <c r="I124" s="270">
        <f t="shared" si="6"/>
        <v>0</v>
      </c>
      <c r="J124" s="269" t="s">
        <v>200</v>
      </c>
      <c r="K124" s="403" t="str">
        <f>'ONESheet 2.8'!BillingCountryCurrency</f>
        <v>USD</v>
      </c>
      <c r="L124" s="269">
        <v>1</v>
      </c>
      <c r="M124" s="271" cm="1">
        <f t="array" ref="M124">IF(A124&lt;&gt;"",IFERROR(INDEX('ONESheet 2.8'!AV:AV, MATCH(A124, 'ONESheet 2.8'!B:B, 0)+2),0),0)</f>
        <v>0</v>
      </c>
      <c r="N124" s="271">
        <f>IFERROR(IF(OR(ISBLANK(C124),C124='ONESheet 2.8'!CustomerCountry,COUNTIF(C124,"*xDC*")),0,10%),0)</f>
        <v>0</v>
      </c>
      <c r="O124" s="271" cm="1">
        <f t="array" ref="O124">IFERROR(INDEX(WHT!$C$7:$W$18,MATCH(
_xlfn.SWITCH(C124,"xDC Medellin","Colombia","xDC Belo Horizonte","Brazil","xDC Guadalajara","Mexico","xDC Gurugram","India","xDC Leon","Spain","xDC San Jose","Costa Rica","xDC Warsaw","Poland",C124),
WHT!$B$7:$B$18,0),MATCH('ONESheet 2.8'!CustomerCountry,WHT!$C$5:$W$5,0)),0)</f>
        <v>0</v>
      </c>
      <c r="P124" s="270">
        <f t="shared" si="8"/>
        <v>0</v>
      </c>
      <c r="Q124" s="272">
        <f t="shared" si="9"/>
        <v>0</v>
      </c>
      <c r="R124" s="272">
        <f t="shared" si="7"/>
        <v>0</v>
      </c>
      <c r="S124" s="272">
        <f t="shared" si="10"/>
        <v>0</v>
      </c>
      <c r="T124" s="272">
        <f t="shared" si="11"/>
        <v>0</v>
      </c>
      <c r="U124" s="268"/>
      <c r="V124" s="267"/>
    </row>
    <row r="125" spans="1:22">
      <c r="A125" s="267"/>
      <c r="B125" s="267"/>
      <c r="C125" s="268"/>
      <c r="D125" s="268"/>
      <c r="E125" s="268"/>
      <c r="F125" s="268"/>
      <c r="G125" s="268">
        <v>0</v>
      </c>
      <c r="H125" s="269">
        <v>0</v>
      </c>
      <c r="I125" s="270">
        <f t="shared" si="6"/>
        <v>0</v>
      </c>
      <c r="J125" s="269" t="s">
        <v>200</v>
      </c>
      <c r="K125" s="403" t="str">
        <f>'ONESheet 2.8'!BillingCountryCurrency</f>
        <v>USD</v>
      </c>
      <c r="L125" s="269">
        <v>1</v>
      </c>
      <c r="M125" s="271" cm="1">
        <f t="array" ref="M125">IF(A125&lt;&gt;"",IFERROR(INDEX('ONESheet 2.8'!AV:AV, MATCH(A125, 'ONESheet 2.8'!B:B, 0)+2),0),0)</f>
        <v>0</v>
      </c>
      <c r="N125" s="271">
        <f>IFERROR(IF(OR(ISBLANK(C125),C125='ONESheet 2.8'!CustomerCountry,COUNTIF(C125,"*xDC*")),0,10%),0)</f>
        <v>0</v>
      </c>
      <c r="O125" s="271" cm="1">
        <f t="array" ref="O125">IFERROR(INDEX(WHT!$C$7:$W$18,MATCH(
_xlfn.SWITCH(C125,"xDC Medellin","Colombia","xDC Belo Horizonte","Brazil","xDC Guadalajara","Mexico","xDC Gurugram","India","xDC Leon","Spain","xDC San Jose","Costa Rica","xDC Warsaw","Poland",C125),
WHT!$B$7:$B$18,0),MATCH('ONESheet 2.8'!CustomerCountry,WHT!$C$5:$W$5,0)),0)</f>
        <v>0</v>
      </c>
      <c r="P125" s="270">
        <f t="shared" si="8"/>
        <v>0</v>
      </c>
      <c r="Q125" s="272">
        <f t="shared" si="9"/>
        <v>0</v>
      </c>
      <c r="R125" s="272">
        <f t="shared" si="7"/>
        <v>0</v>
      </c>
      <c r="S125" s="272">
        <f t="shared" si="10"/>
        <v>0</v>
      </c>
      <c r="T125" s="272">
        <f t="shared" si="11"/>
        <v>0</v>
      </c>
      <c r="U125" s="268"/>
      <c r="V125" s="267"/>
    </row>
    <row r="126" spans="1:22">
      <c r="A126" s="267"/>
      <c r="B126" s="267"/>
      <c r="C126" s="268"/>
      <c r="D126" s="268"/>
      <c r="E126" s="268"/>
      <c r="F126" s="268"/>
      <c r="G126" s="268">
        <v>0</v>
      </c>
      <c r="H126" s="269">
        <v>0</v>
      </c>
      <c r="I126" s="270">
        <f t="shared" si="6"/>
        <v>0</v>
      </c>
      <c r="J126" s="269" t="s">
        <v>200</v>
      </c>
      <c r="K126" s="403" t="str">
        <f>'ONESheet 2.8'!BillingCountryCurrency</f>
        <v>USD</v>
      </c>
      <c r="L126" s="269">
        <v>1</v>
      </c>
      <c r="M126" s="271" cm="1">
        <f t="array" ref="M126">IF(A126&lt;&gt;"",IFERROR(INDEX('ONESheet 2.8'!AV:AV, MATCH(A126, 'ONESheet 2.8'!B:B, 0)+2),0),0)</f>
        <v>0</v>
      </c>
      <c r="N126" s="271">
        <f>IFERROR(IF(OR(ISBLANK(C126),C126='ONESheet 2.8'!CustomerCountry,COUNTIF(C126,"*xDC*")),0,10%),0)</f>
        <v>0</v>
      </c>
      <c r="O126" s="271" cm="1">
        <f t="array" ref="O126">IFERROR(INDEX(WHT!$C$7:$W$18,MATCH(
_xlfn.SWITCH(C126,"xDC Medellin","Colombia","xDC Belo Horizonte","Brazil","xDC Guadalajara","Mexico","xDC Gurugram","India","xDC Leon","Spain","xDC San Jose","Costa Rica","xDC Warsaw","Poland",C126),
WHT!$B$7:$B$18,0),MATCH('ONESheet 2.8'!CustomerCountry,WHT!$C$5:$W$5,0)),0)</f>
        <v>0</v>
      </c>
      <c r="P126" s="270">
        <f t="shared" si="8"/>
        <v>0</v>
      </c>
      <c r="Q126" s="272">
        <f t="shared" si="9"/>
        <v>0</v>
      </c>
      <c r="R126" s="272">
        <f t="shared" si="7"/>
        <v>0</v>
      </c>
      <c r="S126" s="272">
        <f t="shared" si="10"/>
        <v>0</v>
      </c>
      <c r="T126" s="272">
        <f t="shared" si="11"/>
        <v>0</v>
      </c>
      <c r="U126" s="268"/>
      <c r="V126" s="267"/>
    </row>
    <row r="127" spans="1:22">
      <c r="A127" s="267"/>
      <c r="B127" s="267"/>
      <c r="C127" s="268"/>
      <c r="D127" s="268"/>
      <c r="E127" s="268"/>
      <c r="F127" s="268"/>
      <c r="G127" s="268">
        <v>0</v>
      </c>
      <c r="H127" s="269">
        <v>0</v>
      </c>
      <c r="I127" s="270">
        <f t="shared" si="6"/>
        <v>0</v>
      </c>
      <c r="J127" s="269" t="s">
        <v>200</v>
      </c>
      <c r="K127" s="403" t="str">
        <f>'ONESheet 2.8'!BillingCountryCurrency</f>
        <v>USD</v>
      </c>
      <c r="L127" s="269">
        <v>1</v>
      </c>
      <c r="M127" s="271" cm="1">
        <f t="array" ref="M127">IF(A127&lt;&gt;"",IFERROR(INDEX('ONESheet 2.8'!AV:AV, MATCH(A127, 'ONESheet 2.8'!B:B, 0)+2),0),0)</f>
        <v>0</v>
      </c>
      <c r="N127" s="271">
        <f>IFERROR(IF(OR(ISBLANK(C127),C127='ONESheet 2.8'!CustomerCountry,COUNTIF(C127,"*xDC*")),0,10%),0)</f>
        <v>0</v>
      </c>
      <c r="O127" s="271" cm="1">
        <f t="array" ref="O127">IFERROR(INDEX(WHT!$C$7:$W$18,MATCH(
_xlfn.SWITCH(C127,"xDC Medellin","Colombia","xDC Belo Horizonte","Brazil","xDC Guadalajara","Mexico","xDC Gurugram","India","xDC Leon","Spain","xDC San Jose","Costa Rica","xDC Warsaw","Poland",C127),
WHT!$B$7:$B$18,0),MATCH('ONESheet 2.8'!CustomerCountry,WHT!$C$5:$W$5,0)),0)</f>
        <v>0</v>
      </c>
      <c r="P127" s="270">
        <f t="shared" si="8"/>
        <v>0</v>
      </c>
      <c r="Q127" s="272">
        <f t="shared" si="9"/>
        <v>0</v>
      </c>
      <c r="R127" s="272">
        <f t="shared" si="7"/>
        <v>0</v>
      </c>
      <c r="S127" s="272">
        <f t="shared" si="10"/>
        <v>0</v>
      </c>
      <c r="T127" s="272">
        <f t="shared" si="11"/>
        <v>0</v>
      </c>
      <c r="U127" s="268"/>
      <c r="V127" s="267"/>
    </row>
    <row r="128" spans="1:22">
      <c r="A128" s="267"/>
      <c r="B128" s="267"/>
      <c r="C128" s="268"/>
      <c r="D128" s="268"/>
      <c r="E128" s="268"/>
      <c r="F128" s="268"/>
      <c r="G128" s="268">
        <v>0</v>
      </c>
      <c r="H128" s="269">
        <v>0</v>
      </c>
      <c r="I128" s="270">
        <f t="shared" si="6"/>
        <v>0</v>
      </c>
      <c r="J128" s="269" t="s">
        <v>200</v>
      </c>
      <c r="K128" s="403" t="str">
        <f>'ONESheet 2.8'!BillingCountryCurrency</f>
        <v>USD</v>
      </c>
      <c r="L128" s="269">
        <v>1</v>
      </c>
      <c r="M128" s="271" cm="1">
        <f t="array" ref="M128">IF(A128&lt;&gt;"",IFERROR(INDEX('ONESheet 2.8'!AV:AV, MATCH(A128, 'ONESheet 2.8'!B:B, 0)+2),0),0)</f>
        <v>0</v>
      </c>
      <c r="N128" s="271">
        <f>IFERROR(IF(OR(ISBLANK(C128),C128='ONESheet 2.8'!CustomerCountry,COUNTIF(C128,"*xDC*")),0,10%),0)</f>
        <v>0</v>
      </c>
      <c r="O128" s="271" cm="1">
        <f t="array" ref="O128">IFERROR(INDEX(WHT!$C$7:$W$18,MATCH(
_xlfn.SWITCH(C128,"xDC Medellin","Colombia","xDC Belo Horizonte","Brazil","xDC Guadalajara","Mexico","xDC Gurugram","India","xDC Leon","Spain","xDC San Jose","Costa Rica","xDC Warsaw","Poland",C128),
WHT!$B$7:$B$18,0),MATCH('ONESheet 2.8'!CustomerCountry,WHT!$C$5:$W$5,0)),0)</f>
        <v>0</v>
      </c>
      <c r="P128" s="270">
        <f t="shared" si="8"/>
        <v>0</v>
      </c>
      <c r="Q128" s="272">
        <f t="shared" si="9"/>
        <v>0</v>
      </c>
      <c r="R128" s="272">
        <f t="shared" si="7"/>
        <v>0</v>
      </c>
      <c r="S128" s="272">
        <f t="shared" si="10"/>
        <v>0</v>
      </c>
      <c r="T128" s="272">
        <f t="shared" si="11"/>
        <v>0</v>
      </c>
      <c r="U128" s="268"/>
      <c r="V128" s="267"/>
    </row>
    <row r="129" spans="1:22">
      <c r="A129" s="267"/>
      <c r="B129" s="267"/>
      <c r="C129" s="268"/>
      <c r="D129" s="268"/>
      <c r="E129" s="268"/>
      <c r="F129" s="268"/>
      <c r="G129" s="268">
        <v>0</v>
      </c>
      <c r="H129" s="269">
        <v>0</v>
      </c>
      <c r="I129" s="270">
        <f t="shared" si="6"/>
        <v>0</v>
      </c>
      <c r="J129" s="269" t="s">
        <v>200</v>
      </c>
      <c r="K129" s="403" t="str">
        <f>'ONESheet 2.8'!BillingCountryCurrency</f>
        <v>USD</v>
      </c>
      <c r="L129" s="269">
        <v>1</v>
      </c>
      <c r="M129" s="271" cm="1">
        <f t="array" ref="M129">IF(A129&lt;&gt;"",IFERROR(INDEX('ONESheet 2.8'!AV:AV, MATCH(A129, 'ONESheet 2.8'!B:B, 0)+2),0),0)</f>
        <v>0</v>
      </c>
      <c r="N129" s="271">
        <f>IFERROR(IF(OR(ISBLANK(C129),C129='ONESheet 2.8'!CustomerCountry,COUNTIF(C129,"*xDC*")),0,10%),0)</f>
        <v>0</v>
      </c>
      <c r="O129" s="271" cm="1">
        <f t="array" ref="O129">IFERROR(INDEX(WHT!$C$7:$W$18,MATCH(
_xlfn.SWITCH(C129,"xDC Medellin","Colombia","xDC Belo Horizonte","Brazil","xDC Guadalajara","Mexico","xDC Gurugram","India","xDC Leon","Spain","xDC San Jose","Costa Rica","xDC Warsaw","Poland",C129),
WHT!$B$7:$B$18,0),MATCH('ONESheet 2.8'!CustomerCountry,WHT!$C$5:$W$5,0)),0)</f>
        <v>0</v>
      </c>
      <c r="P129" s="270">
        <f t="shared" si="8"/>
        <v>0</v>
      </c>
      <c r="Q129" s="272">
        <f t="shared" si="9"/>
        <v>0</v>
      </c>
      <c r="R129" s="272">
        <f t="shared" si="7"/>
        <v>0</v>
      </c>
      <c r="S129" s="272">
        <f t="shared" si="10"/>
        <v>0</v>
      </c>
      <c r="T129" s="272">
        <f t="shared" si="11"/>
        <v>0</v>
      </c>
      <c r="U129" s="268"/>
      <c r="V129" s="267"/>
    </row>
    <row r="130" spans="1:22">
      <c r="A130" s="267"/>
      <c r="B130" s="267"/>
      <c r="C130" s="268"/>
      <c r="D130" s="268"/>
      <c r="E130" s="268"/>
      <c r="F130" s="268"/>
      <c r="G130" s="268">
        <v>0</v>
      </c>
      <c r="H130" s="269">
        <v>0</v>
      </c>
      <c r="I130" s="270">
        <f t="shared" ref="I130:I193" si="12">G130*H130</f>
        <v>0</v>
      </c>
      <c r="J130" s="269" t="s">
        <v>200</v>
      </c>
      <c r="K130" s="403" t="str">
        <f>'ONESheet 2.8'!BillingCountryCurrency</f>
        <v>USD</v>
      </c>
      <c r="L130" s="269">
        <v>1</v>
      </c>
      <c r="M130" s="271" cm="1">
        <f t="array" ref="M130">IF(A130&lt;&gt;"",IFERROR(INDEX('ONESheet 2.8'!AV:AV, MATCH(A130, 'ONESheet 2.8'!B:B, 0)+2),0),0)</f>
        <v>0</v>
      </c>
      <c r="N130" s="271">
        <f>IFERROR(IF(OR(ISBLANK(C130),C130='ONESheet 2.8'!CustomerCountry,COUNTIF(C130,"*xDC*")),0,10%),0)</f>
        <v>0</v>
      </c>
      <c r="O130" s="271" cm="1">
        <f t="array" ref="O130">IFERROR(INDEX(WHT!$C$7:$W$18,MATCH(
_xlfn.SWITCH(C130,"xDC Medellin","Colombia","xDC Belo Horizonte","Brazil","xDC Guadalajara","Mexico","xDC Gurugram","India","xDC Leon","Spain","xDC San Jose","Costa Rica","xDC Warsaw","Poland",C130),
WHT!$B$7:$B$18,0),MATCH('ONESheet 2.8'!CustomerCountry,WHT!$C$5:$W$5,0)),0)</f>
        <v>0</v>
      </c>
      <c r="P130" s="270">
        <f t="shared" si="8"/>
        <v>0</v>
      </c>
      <c r="Q130" s="272">
        <f t="shared" si="9"/>
        <v>0</v>
      </c>
      <c r="R130" s="272">
        <f t="shared" ref="R130:R193" si="13">ROUNDUP(IFERROR(P130/(1-M130),0),2)</f>
        <v>0</v>
      </c>
      <c r="S130" s="272">
        <f t="shared" si="10"/>
        <v>0</v>
      </c>
      <c r="T130" s="272">
        <f t="shared" si="11"/>
        <v>0</v>
      </c>
      <c r="U130" s="268"/>
      <c r="V130" s="267"/>
    </row>
    <row r="131" spans="1:22">
      <c r="A131" s="267"/>
      <c r="B131" s="267"/>
      <c r="C131" s="268"/>
      <c r="D131" s="268"/>
      <c r="E131" s="268"/>
      <c r="F131" s="268"/>
      <c r="G131" s="268">
        <v>0</v>
      </c>
      <c r="H131" s="269">
        <v>0</v>
      </c>
      <c r="I131" s="270">
        <f t="shared" si="12"/>
        <v>0</v>
      </c>
      <c r="J131" s="269" t="s">
        <v>200</v>
      </c>
      <c r="K131" s="403" t="str">
        <f>'ONESheet 2.8'!BillingCountryCurrency</f>
        <v>USD</v>
      </c>
      <c r="L131" s="269">
        <v>1</v>
      </c>
      <c r="M131" s="271" cm="1">
        <f t="array" ref="M131">IF(A131&lt;&gt;"",IFERROR(INDEX('ONESheet 2.8'!AV:AV, MATCH(A131, 'ONESheet 2.8'!B:B, 0)+2),0),0)</f>
        <v>0</v>
      </c>
      <c r="N131" s="271">
        <f>IFERROR(IF(OR(ISBLANK(C131),C131='ONESheet 2.8'!CustomerCountry,COUNTIF(C131,"*xDC*")),0,10%),0)</f>
        <v>0</v>
      </c>
      <c r="O131" s="271" cm="1">
        <f t="array" ref="O131">IFERROR(INDEX(WHT!$C$7:$W$18,MATCH(
_xlfn.SWITCH(C131,"xDC Medellin","Colombia","xDC Belo Horizonte","Brazil","xDC Guadalajara","Mexico","xDC Gurugram","India","xDC Leon","Spain","xDC San Jose","Costa Rica","xDC Warsaw","Poland",C131),
WHT!$B$7:$B$18,0),MATCH('ONESheet 2.8'!CustomerCountry,WHT!$C$5:$W$5,0)),0)</f>
        <v>0</v>
      </c>
      <c r="P131" s="270">
        <f t="shared" ref="P131:P194" si="14">IFERROR(IF(J131=K131,I131,IF(J131="LOCAL",I131/L131,I131*L131)),0)</f>
        <v>0</v>
      </c>
      <c r="Q131" s="272">
        <f t="shared" ref="Q131:Q194" si="15">ROUNDUP(P131,2)</f>
        <v>0</v>
      </c>
      <c r="R131" s="272">
        <f t="shared" si="13"/>
        <v>0</v>
      </c>
      <c r="S131" s="272">
        <f t="shared" ref="S131:S194" si="16">ROUNDUP(IFERROR($P131*$N131,0),2)</f>
        <v>0</v>
      </c>
      <c r="T131" s="272">
        <f t="shared" ref="T131:T194" si="17">ROUNDUP(IFERROR(SUM($P131,$S131)*$O131,0),2)</f>
        <v>0</v>
      </c>
      <c r="U131" s="268"/>
      <c r="V131" s="267"/>
    </row>
    <row r="132" spans="1:22">
      <c r="A132" s="267"/>
      <c r="B132" s="267"/>
      <c r="C132" s="268"/>
      <c r="D132" s="268"/>
      <c r="E132" s="268"/>
      <c r="F132" s="268"/>
      <c r="G132" s="268">
        <v>0</v>
      </c>
      <c r="H132" s="269">
        <v>0</v>
      </c>
      <c r="I132" s="270">
        <f t="shared" si="12"/>
        <v>0</v>
      </c>
      <c r="J132" s="269" t="s">
        <v>200</v>
      </c>
      <c r="K132" s="403" t="str">
        <f>'ONESheet 2.8'!BillingCountryCurrency</f>
        <v>USD</v>
      </c>
      <c r="L132" s="269">
        <v>1</v>
      </c>
      <c r="M132" s="271" cm="1">
        <f t="array" ref="M132">IF(A132&lt;&gt;"",IFERROR(INDEX('ONESheet 2.8'!AV:AV, MATCH(A132, 'ONESheet 2.8'!B:B, 0)+2),0),0)</f>
        <v>0</v>
      </c>
      <c r="N132" s="271">
        <f>IFERROR(IF(OR(ISBLANK(C132),C132='ONESheet 2.8'!CustomerCountry,COUNTIF(C132,"*xDC*")),0,10%),0)</f>
        <v>0</v>
      </c>
      <c r="O132" s="271" cm="1">
        <f t="array" ref="O132">IFERROR(INDEX(WHT!$C$7:$W$18,MATCH(
_xlfn.SWITCH(C132,"xDC Medellin","Colombia","xDC Belo Horizonte","Brazil","xDC Guadalajara","Mexico","xDC Gurugram","India","xDC Leon","Spain","xDC San Jose","Costa Rica","xDC Warsaw","Poland",C132),
WHT!$B$7:$B$18,0),MATCH('ONESheet 2.8'!CustomerCountry,WHT!$C$5:$W$5,0)),0)</f>
        <v>0</v>
      </c>
      <c r="P132" s="270">
        <f t="shared" si="14"/>
        <v>0</v>
      </c>
      <c r="Q132" s="272">
        <f t="shared" si="15"/>
        <v>0</v>
      </c>
      <c r="R132" s="272">
        <f t="shared" si="13"/>
        <v>0</v>
      </c>
      <c r="S132" s="272">
        <f t="shared" si="16"/>
        <v>0</v>
      </c>
      <c r="T132" s="272">
        <f t="shared" si="17"/>
        <v>0</v>
      </c>
      <c r="U132" s="268"/>
      <c r="V132" s="267"/>
    </row>
    <row r="133" spans="1:22">
      <c r="A133" s="267"/>
      <c r="B133" s="267"/>
      <c r="C133" s="268"/>
      <c r="D133" s="268"/>
      <c r="E133" s="268"/>
      <c r="F133" s="268"/>
      <c r="G133" s="268">
        <v>0</v>
      </c>
      <c r="H133" s="269">
        <v>0</v>
      </c>
      <c r="I133" s="270">
        <f t="shared" si="12"/>
        <v>0</v>
      </c>
      <c r="J133" s="269" t="s">
        <v>200</v>
      </c>
      <c r="K133" s="403" t="str">
        <f>'ONESheet 2.8'!BillingCountryCurrency</f>
        <v>USD</v>
      </c>
      <c r="L133" s="269">
        <v>1</v>
      </c>
      <c r="M133" s="271" cm="1">
        <f t="array" ref="M133">IF(A133&lt;&gt;"",IFERROR(INDEX('ONESheet 2.8'!AV:AV, MATCH(A133, 'ONESheet 2.8'!B:B, 0)+2),0),0)</f>
        <v>0</v>
      </c>
      <c r="N133" s="271">
        <f>IFERROR(IF(OR(ISBLANK(C133),C133='ONESheet 2.8'!CustomerCountry,COUNTIF(C133,"*xDC*")),0,10%),0)</f>
        <v>0</v>
      </c>
      <c r="O133" s="271" cm="1">
        <f t="array" ref="O133">IFERROR(INDEX(WHT!$C$7:$W$18,MATCH(
_xlfn.SWITCH(C133,"xDC Medellin","Colombia","xDC Belo Horizonte","Brazil","xDC Guadalajara","Mexico","xDC Gurugram","India","xDC Leon","Spain","xDC San Jose","Costa Rica","xDC Warsaw","Poland",C133),
WHT!$B$7:$B$18,0),MATCH('ONESheet 2.8'!CustomerCountry,WHT!$C$5:$W$5,0)),0)</f>
        <v>0</v>
      </c>
      <c r="P133" s="270">
        <f t="shared" si="14"/>
        <v>0</v>
      </c>
      <c r="Q133" s="272">
        <f t="shared" si="15"/>
        <v>0</v>
      </c>
      <c r="R133" s="272">
        <f t="shared" si="13"/>
        <v>0</v>
      </c>
      <c r="S133" s="272">
        <f t="shared" si="16"/>
        <v>0</v>
      </c>
      <c r="T133" s="272">
        <f t="shared" si="17"/>
        <v>0</v>
      </c>
      <c r="U133" s="268"/>
      <c r="V133" s="267"/>
    </row>
    <row r="134" spans="1:22">
      <c r="A134" s="267"/>
      <c r="B134" s="267"/>
      <c r="C134" s="268"/>
      <c r="D134" s="268"/>
      <c r="E134" s="268"/>
      <c r="F134" s="268"/>
      <c r="G134" s="268">
        <v>0</v>
      </c>
      <c r="H134" s="269">
        <v>0</v>
      </c>
      <c r="I134" s="270">
        <f t="shared" si="12"/>
        <v>0</v>
      </c>
      <c r="J134" s="269" t="s">
        <v>200</v>
      </c>
      <c r="K134" s="403" t="str">
        <f>'ONESheet 2.8'!BillingCountryCurrency</f>
        <v>USD</v>
      </c>
      <c r="L134" s="269">
        <v>1</v>
      </c>
      <c r="M134" s="271" cm="1">
        <f t="array" ref="M134">IF(A134&lt;&gt;"",IFERROR(INDEX('ONESheet 2.8'!AV:AV, MATCH(A134, 'ONESheet 2.8'!B:B, 0)+2),0),0)</f>
        <v>0</v>
      </c>
      <c r="N134" s="271">
        <f>IFERROR(IF(OR(ISBLANK(C134),C134='ONESheet 2.8'!CustomerCountry,COUNTIF(C134,"*xDC*")),0,10%),0)</f>
        <v>0</v>
      </c>
      <c r="O134" s="271" cm="1">
        <f t="array" ref="O134">IFERROR(INDEX(WHT!$C$7:$W$18,MATCH(
_xlfn.SWITCH(C134,"xDC Medellin","Colombia","xDC Belo Horizonte","Brazil","xDC Guadalajara","Mexico","xDC Gurugram","India","xDC Leon","Spain","xDC San Jose","Costa Rica","xDC Warsaw","Poland",C134),
WHT!$B$7:$B$18,0),MATCH('ONESheet 2.8'!CustomerCountry,WHT!$C$5:$W$5,0)),0)</f>
        <v>0</v>
      </c>
      <c r="P134" s="270">
        <f t="shared" si="14"/>
        <v>0</v>
      </c>
      <c r="Q134" s="272">
        <f t="shared" si="15"/>
        <v>0</v>
      </c>
      <c r="R134" s="272">
        <f t="shared" si="13"/>
        <v>0</v>
      </c>
      <c r="S134" s="272">
        <f t="shared" si="16"/>
        <v>0</v>
      </c>
      <c r="T134" s="272">
        <f t="shared" si="17"/>
        <v>0</v>
      </c>
      <c r="U134" s="268"/>
      <c r="V134" s="267"/>
    </row>
    <row r="135" spans="1:22">
      <c r="A135" s="267"/>
      <c r="B135" s="267"/>
      <c r="C135" s="268"/>
      <c r="D135" s="268"/>
      <c r="E135" s="268"/>
      <c r="F135" s="268"/>
      <c r="G135" s="268">
        <v>0</v>
      </c>
      <c r="H135" s="269">
        <v>0</v>
      </c>
      <c r="I135" s="270">
        <f t="shared" si="12"/>
        <v>0</v>
      </c>
      <c r="J135" s="269" t="s">
        <v>200</v>
      </c>
      <c r="K135" s="403" t="str">
        <f>'ONESheet 2.8'!BillingCountryCurrency</f>
        <v>USD</v>
      </c>
      <c r="L135" s="269">
        <v>1</v>
      </c>
      <c r="M135" s="271" cm="1">
        <f t="array" ref="M135">IF(A135&lt;&gt;"",IFERROR(INDEX('ONESheet 2.8'!AV:AV, MATCH(A135, 'ONESheet 2.8'!B:B, 0)+2),0),0)</f>
        <v>0</v>
      </c>
      <c r="N135" s="271">
        <f>IFERROR(IF(OR(ISBLANK(C135),C135='ONESheet 2.8'!CustomerCountry,COUNTIF(C135,"*xDC*")),0,10%),0)</f>
        <v>0</v>
      </c>
      <c r="O135" s="271" cm="1">
        <f t="array" ref="O135">IFERROR(INDEX(WHT!$C$7:$W$18,MATCH(
_xlfn.SWITCH(C135,"xDC Medellin","Colombia","xDC Belo Horizonte","Brazil","xDC Guadalajara","Mexico","xDC Gurugram","India","xDC Leon","Spain","xDC San Jose","Costa Rica","xDC Warsaw","Poland",C135),
WHT!$B$7:$B$18,0),MATCH('ONESheet 2.8'!CustomerCountry,WHT!$C$5:$W$5,0)),0)</f>
        <v>0</v>
      </c>
      <c r="P135" s="270">
        <f t="shared" si="14"/>
        <v>0</v>
      </c>
      <c r="Q135" s="272">
        <f t="shared" si="15"/>
        <v>0</v>
      </c>
      <c r="R135" s="272">
        <f t="shared" si="13"/>
        <v>0</v>
      </c>
      <c r="S135" s="272">
        <f t="shared" si="16"/>
        <v>0</v>
      </c>
      <c r="T135" s="272">
        <f t="shared" si="17"/>
        <v>0</v>
      </c>
      <c r="U135" s="268"/>
      <c r="V135" s="267"/>
    </row>
    <row r="136" spans="1:22">
      <c r="A136" s="267"/>
      <c r="B136" s="267"/>
      <c r="C136" s="268"/>
      <c r="D136" s="268"/>
      <c r="E136" s="268"/>
      <c r="F136" s="268"/>
      <c r="G136" s="268">
        <v>0</v>
      </c>
      <c r="H136" s="269">
        <v>0</v>
      </c>
      <c r="I136" s="270">
        <f t="shared" si="12"/>
        <v>0</v>
      </c>
      <c r="J136" s="269" t="s">
        <v>200</v>
      </c>
      <c r="K136" s="403" t="str">
        <f>'ONESheet 2.8'!BillingCountryCurrency</f>
        <v>USD</v>
      </c>
      <c r="L136" s="269">
        <v>1</v>
      </c>
      <c r="M136" s="271" cm="1">
        <f t="array" ref="M136">IF(A136&lt;&gt;"",IFERROR(INDEX('ONESheet 2.8'!AV:AV, MATCH(A136, 'ONESheet 2.8'!B:B, 0)+2),0),0)</f>
        <v>0</v>
      </c>
      <c r="N136" s="271">
        <f>IFERROR(IF(OR(ISBLANK(C136),C136='ONESheet 2.8'!CustomerCountry,COUNTIF(C136,"*xDC*")),0,10%),0)</f>
        <v>0</v>
      </c>
      <c r="O136" s="271" cm="1">
        <f t="array" ref="O136">IFERROR(INDEX(WHT!$C$7:$W$18,MATCH(
_xlfn.SWITCH(C136,"xDC Medellin","Colombia","xDC Belo Horizonte","Brazil","xDC Guadalajara","Mexico","xDC Gurugram","India","xDC Leon","Spain","xDC San Jose","Costa Rica","xDC Warsaw","Poland",C136),
WHT!$B$7:$B$18,0),MATCH('ONESheet 2.8'!CustomerCountry,WHT!$C$5:$W$5,0)),0)</f>
        <v>0</v>
      </c>
      <c r="P136" s="270">
        <f t="shared" si="14"/>
        <v>0</v>
      </c>
      <c r="Q136" s="272">
        <f t="shared" si="15"/>
        <v>0</v>
      </c>
      <c r="R136" s="272">
        <f t="shared" si="13"/>
        <v>0</v>
      </c>
      <c r="S136" s="272">
        <f t="shared" si="16"/>
        <v>0</v>
      </c>
      <c r="T136" s="272">
        <f t="shared" si="17"/>
        <v>0</v>
      </c>
      <c r="U136" s="268"/>
      <c r="V136" s="267"/>
    </row>
    <row r="137" spans="1:22">
      <c r="A137" s="267"/>
      <c r="B137" s="267"/>
      <c r="C137" s="268"/>
      <c r="D137" s="268"/>
      <c r="E137" s="268"/>
      <c r="F137" s="268"/>
      <c r="G137" s="268">
        <v>0</v>
      </c>
      <c r="H137" s="269">
        <v>0</v>
      </c>
      <c r="I137" s="270">
        <f t="shared" si="12"/>
        <v>0</v>
      </c>
      <c r="J137" s="269" t="s">
        <v>200</v>
      </c>
      <c r="K137" s="403" t="str">
        <f>'ONESheet 2.8'!BillingCountryCurrency</f>
        <v>USD</v>
      </c>
      <c r="L137" s="269">
        <v>1</v>
      </c>
      <c r="M137" s="271" cm="1">
        <f t="array" ref="M137">IF(A137&lt;&gt;"",IFERROR(INDEX('ONESheet 2.8'!AV:AV, MATCH(A137, 'ONESheet 2.8'!B:B, 0)+2),0),0)</f>
        <v>0</v>
      </c>
      <c r="N137" s="271">
        <f>IFERROR(IF(OR(ISBLANK(C137),C137='ONESheet 2.8'!CustomerCountry,COUNTIF(C137,"*xDC*")),0,10%),0)</f>
        <v>0</v>
      </c>
      <c r="O137" s="271" cm="1">
        <f t="array" ref="O137">IFERROR(INDEX(WHT!$C$7:$W$18,MATCH(
_xlfn.SWITCH(C137,"xDC Medellin","Colombia","xDC Belo Horizonte","Brazil","xDC Guadalajara","Mexico","xDC Gurugram","India","xDC Leon","Spain","xDC San Jose","Costa Rica","xDC Warsaw","Poland",C137),
WHT!$B$7:$B$18,0),MATCH('ONESheet 2.8'!CustomerCountry,WHT!$C$5:$W$5,0)),0)</f>
        <v>0</v>
      </c>
      <c r="P137" s="270">
        <f t="shared" si="14"/>
        <v>0</v>
      </c>
      <c r="Q137" s="272">
        <f t="shared" si="15"/>
        <v>0</v>
      </c>
      <c r="R137" s="272">
        <f t="shared" si="13"/>
        <v>0</v>
      </c>
      <c r="S137" s="272">
        <f t="shared" si="16"/>
        <v>0</v>
      </c>
      <c r="T137" s="272">
        <f t="shared" si="17"/>
        <v>0</v>
      </c>
      <c r="U137" s="268"/>
      <c r="V137" s="267"/>
    </row>
    <row r="138" spans="1:22">
      <c r="A138" s="267"/>
      <c r="B138" s="267"/>
      <c r="C138" s="268"/>
      <c r="D138" s="268"/>
      <c r="E138" s="268"/>
      <c r="F138" s="268"/>
      <c r="G138" s="268">
        <v>0</v>
      </c>
      <c r="H138" s="269">
        <v>0</v>
      </c>
      <c r="I138" s="270">
        <f t="shared" si="12"/>
        <v>0</v>
      </c>
      <c r="J138" s="269" t="s">
        <v>200</v>
      </c>
      <c r="K138" s="403" t="str">
        <f>'ONESheet 2.8'!BillingCountryCurrency</f>
        <v>USD</v>
      </c>
      <c r="L138" s="269">
        <v>1</v>
      </c>
      <c r="M138" s="271" cm="1">
        <f t="array" ref="M138">IF(A138&lt;&gt;"",IFERROR(INDEX('ONESheet 2.8'!AV:AV, MATCH(A138, 'ONESheet 2.8'!B:B, 0)+2),0),0)</f>
        <v>0</v>
      </c>
      <c r="N138" s="271">
        <f>IFERROR(IF(OR(ISBLANK(C138),C138='ONESheet 2.8'!CustomerCountry,COUNTIF(C138,"*xDC*")),0,10%),0)</f>
        <v>0</v>
      </c>
      <c r="O138" s="271" cm="1">
        <f t="array" ref="O138">IFERROR(INDEX(WHT!$C$7:$W$18,MATCH(
_xlfn.SWITCH(C138,"xDC Medellin","Colombia","xDC Belo Horizonte","Brazil","xDC Guadalajara","Mexico","xDC Gurugram","India","xDC Leon","Spain","xDC San Jose","Costa Rica","xDC Warsaw","Poland",C138),
WHT!$B$7:$B$18,0),MATCH('ONESheet 2.8'!CustomerCountry,WHT!$C$5:$W$5,0)),0)</f>
        <v>0</v>
      </c>
      <c r="P138" s="270">
        <f t="shared" si="14"/>
        <v>0</v>
      </c>
      <c r="Q138" s="272">
        <f t="shared" si="15"/>
        <v>0</v>
      </c>
      <c r="R138" s="272">
        <f t="shared" si="13"/>
        <v>0</v>
      </c>
      <c r="S138" s="272">
        <f t="shared" si="16"/>
        <v>0</v>
      </c>
      <c r="T138" s="272">
        <f t="shared" si="17"/>
        <v>0</v>
      </c>
      <c r="U138" s="268"/>
      <c r="V138" s="267"/>
    </row>
    <row r="139" spans="1:22">
      <c r="A139" s="267"/>
      <c r="B139" s="267"/>
      <c r="C139" s="268"/>
      <c r="D139" s="268"/>
      <c r="E139" s="268"/>
      <c r="F139" s="268"/>
      <c r="G139" s="268">
        <v>0</v>
      </c>
      <c r="H139" s="269">
        <v>0</v>
      </c>
      <c r="I139" s="270">
        <f t="shared" si="12"/>
        <v>0</v>
      </c>
      <c r="J139" s="269" t="s">
        <v>200</v>
      </c>
      <c r="K139" s="403" t="str">
        <f>'ONESheet 2.8'!BillingCountryCurrency</f>
        <v>USD</v>
      </c>
      <c r="L139" s="269">
        <v>1</v>
      </c>
      <c r="M139" s="271" cm="1">
        <f t="array" ref="M139">IF(A139&lt;&gt;"",IFERROR(INDEX('ONESheet 2.8'!AV:AV, MATCH(A139, 'ONESheet 2.8'!B:B, 0)+2),0),0)</f>
        <v>0</v>
      </c>
      <c r="N139" s="271">
        <f>IFERROR(IF(OR(ISBLANK(C139),C139='ONESheet 2.8'!CustomerCountry,COUNTIF(C139,"*xDC*")),0,10%),0)</f>
        <v>0</v>
      </c>
      <c r="O139" s="271" cm="1">
        <f t="array" ref="O139">IFERROR(INDEX(WHT!$C$7:$W$18,MATCH(
_xlfn.SWITCH(C139,"xDC Medellin","Colombia","xDC Belo Horizonte","Brazil","xDC Guadalajara","Mexico","xDC Gurugram","India","xDC Leon","Spain","xDC San Jose","Costa Rica","xDC Warsaw","Poland",C139),
WHT!$B$7:$B$18,0),MATCH('ONESheet 2.8'!CustomerCountry,WHT!$C$5:$W$5,0)),0)</f>
        <v>0</v>
      </c>
      <c r="P139" s="270">
        <f t="shared" si="14"/>
        <v>0</v>
      </c>
      <c r="Q139" s="272">
        <f t="shared" si="15"/>
        <v>0</v>
      </c>
      <c r="R139" s="272">
        <f t="shared" si="13"/>
        <v>0</v>
      </c>
      <c r="S139" s="272">
        <f t="shared" si="16"/>
        <v>0</v>
      </c>
      <c r="T139" s="272">
        <f t="shared" si="17"/>
        <v>0</v>
      </c>
      <c r="U139" s="268"/>
      <c r="V139" s="267"/>
    </row>
    <row r="140" spans="1:22">
      <c r="A140" s="267"/>
      <c r="B140" s="267"/>
      <c r="C140" s="268"/>
      <c r="D140" s="268"/>
      <c r="E140" s="268"/>
      <c r="F140" s="268"/>
      <c r="G140" s="268">
        <v>0</v>
      </c>
      <c r="H140" s="269">
        <v>0</v>
      </c>
      <c r="I140" s="270">
        <f t="shared" si="12"/>
        <v>0</v>
      </c>
      <c r="J140" s="269" t="s">
        <v>200</v>
      </c>
      <c r="K140" s="403" t="str">
        <f>'ONESheet 2.8'!BillingCountryCurrency</f>
        <v>USD</v>
      </c>
      <c r="L140" s="269">
        <v>1</v>
      </c>
      <c r="M140" s="271" cm="1">
        <f t="array" ref="M140">IF(A140&lt;&gt;"",IFERROR(INDEX('ONESheet 2.8'!AV:AV, MATCH(A140, 'ONESheet 2.8'!B:B, 0)+2),0),0)</f>
        <v>0</v>
      </c>
      <c r="N140" s="271">
        <f>IFERROR(IF(OR(ISBLANK(C140),C140='ONESheet 2.8'!CustomerCountry,COUNTIF(C140,"*xDC*")),0,10%),0)</f>
        <v>0</v>
      </c>
      <c r="O140" s="271" cm="1">
        <f t="array" ref="O140">IFERROR(INDEX(WHT!$C$7:$W$18,MATCH(
_xlfn.SWITCH(C140,"xDC Medellin","Colombia","xDC Belo Horizonte","Brazil","xDC Guadalajara","Mexico","xDC Gurugram","India","xDC Leon","Spain","xDC San Jose","Costa Rica","xDC Warsaw","Poland",C140),
WHT!$B$7:$B$18,0),MATCH('ONESheet 2.8'!CustomerCountry,WHT!$C$5:$W$5,0)),0)</f>
        <v>0</v>
      </c>
      <c r="P140" s="270">
        <f t="shared" si="14"/>
        <v>0</v>
      </c>
      <c r="Q140" s="272">
        <f t="shared" si="15"/>
        <v>0</v>
      </c>
      <c r="R140" s="272">
        <f t="shared" si="13"/>
        <v>0</v>
      </c>
      <c r="S140" s="272">
        <f t="shared" si="16"/>
        <v>0</v>
      </c>
      <c r="T140" s="272">
        <f t="shared" si="17"/>
        <v>0</v>
      </c>
      <c r="U140" s="268"/>
      <c r="V140" s="267"/>
    </row>
    <row r="141" spans="1:22">
      <c r="A141" s="267"/>
      <c r="B141" s="267"/>
      <c r="C141" s="268"/>
      <c r="D141" s="268"/>
      <c r="E141" s="268"/>
      <c r="F141" s="268"/>
      <c r="G141" s="268">
        <v>0</v>
      </c>
      <c r="H141" s="269">
        <v>0</v>
      </c>
      <c r="I141" s="270">
        <f t="shared" si="12"/>
        <v>0</v>
      </c>
      <c r="J141" s="269" t="s">
        <v>200</v>
      </c>
      <c r="K141" s="403" t="str">
        <f>'ONESheet 2.8'!BillingCountryCurrency</f>
        <v>USD</v>
      </c>
      <c r="L141" s="269">
        <v>1</v>
      </c>
      <c r="M141" s="271" cm="1">
        <f t="array" ref="M141">IF(A141&lt;&gt;"",IFERROR(INDEX('ONESheet 2.8'!AV:AV, MATCH(A141, 'ONESheet 2.8'!B:B, 0)+2),0),0)</f>
        <v>0</v>
      </c>
      <c r="N141" s="271">
        <f>IFERROR(IF(OR(ISBLANK(C141),C141='ONESheet 2.8'!CustomerCountry,COUNTIF(C141,"*xDC*")),0,10%),0)</f>
        <v>0</v>
      </c>
      <c r="O141" s="271" cm="1">
        <f t="array" ref="O141">IFERROR(INDEX(WHT!$C$7:$W$18,MATCH(
_xlfn.SWITCH(C141,"xDC Medellin","Colombia","xDC Belo Horizonte","Brazil","xDC Guadalajara","Mexico","xDC Gurugram","India","xDC Leon","Spain","xDC San Jose","Costa Rica","xDC Warsaw","Poland",C141),
WHT!$B$7:$B$18,0),MATCH('ONESheet 2.8'!CustomerCountry,WHT!$C$5:$W$5,0)),0)</f>
        <v>0</v>
      </c>
      <c r="P141" s="270">
        <f t="shared" si="14"/>
        <v>0</v>
      </c>
      <c r="Q141" s="272">
        <f t="shared" si="15"/>
        <v>0</v>
      </c>
      <c r="R141" s="272">
        <f t="shared" si="13"/>
        <v>0</v>
      </c>
      <c r="S141" s="272">
        <f t="shared" si="16"/>
        <v>0</v>
      </c>
      <c r="T141" s="272">
        <f t="shared" si="17"/>
        <v>0</v>
      </c>
      <c r="U141" s="268"/>
      <c r="V141" s="267"/>
    </row>
    <row r="142" spans="1:22">
      <c r="A142" s="267"/>
      <c r="B142" s="267"/>
      <c r="C142" s="268"/>
      <c r="D142" s="268"/>
      <c r="E142" s="268"/>
      <c r="F142" s="268"/>
      <c r="G142" s="268">
        <v>0</v>
      </c>
      <c r="H142" s="269">
        <v>0</v>
      </c>
      <c r="I142" s="270">
        <f t="shared" si="12"/>
        <v>0</v>
      </c>
      <c r="J142" s="269" t="s">
        <v>200</v>
      </c>
      <c r="K142" s="403" t="str">
        <f>'ONESheet 2.8'!BillingCountryCurrency</f>
        <v>USD</v>
      </c>
      <c r="L142" s="269">
        <v>1</v>
      </c>
      <c r="M142" s="271" cm="1">
        <f t="array" ref="M142">IF(A142&lt;&gt;"",IFERROR(INDEX('ONESheet 2.8'!AV:AV, MATCH(A142, 'ONESheet 2.8'!B:B, 0)+2),0),0)</f>
        <v>0</v>
      </c>
      <c r="N142" s="271">
        <f>IFERROR(IF(OR(ISBLANK(C142),C142='ONESheet 2.8'!CustomerCountry,COUNTIF(C142,"*xDC*")),0,10%),0)</f>
        <v>0</v>
      </c>
      <c r="O142" s="271" cm="1">
        <f t="array" ref="O142">IFERROR(INDEX(WHT!$C$7:$W$18,MATCH(
_xlfn.SWITCH(C142,"xDC Medellin","Colombia","xDC Belo Horizonte","Brazil","xDC Guadalajara","Mexico","xDC Gurugram","India","xDC Leon","Spain","xDC San Jose","Costa Rica","xDC Warsaw","Poland",C142),
WHT!$B$7:$B$18,0),MATCH('ONESheet 2.8'!CustomerCountry,WHT!$C$5:$W$5,0)),0)</f>
        <v>0</v>
      </c>
      <c r="P142" s="270">
        <f t="shared" si="14"/>
        <v>0</v>
      </c>
      <c r="Q142" s="272">
        <f t="shared" si="15"/>
        <v>0</v>
      </c>
      <c r="R142" s="272">
        <f t="shared" si="13"/>
        <v>0</v>
      </c>
      <c r="S142" s="272">
        <f t="shared" si="16"/>
        <v>0</v>
      </c>
      <c r="T142" s="272">
        <f t="shared" si="17"/>
        <v>0</v>
      </c>
      <c r="U142" s="268"/>
      <c r="V142" s="267"/>
    </row>
    <row r="143" spans="1:22">
      <c r="A143" s="267"/>
      <c r="B143" s="267"/>
      <c r="C143" s="268"/>
      <c r="D143" s="268"/>
      <c r="E143" s="268"/>
      <c r="F143" s="268"/>
      <c r="G143" s="268">
        <v>0</v>
      </c>
      <c r="H143" s="269">
        <v>0</v>
      </c>
      <c r="I143" s="270">
        <f t="shared" si="12"/>
        <v>0</v>
      </c>
      <c r="J143" s="269" t="s">
        <v>200</v>
      </c>
      <c r="K143" s="403" t="str">
        <f>'ONESheet 2.8'!BillingCountryCurrency</f>
        <v>USD</v>
      </c>
      <c r="L143" s="269">
        <v>1</v>
      </c>
      <c r="M143" s="271" cm="1">
        <f t="array" ref="M143">IF(A143&lt;&gt;"",IFERROR(INDEX('ONESheet 2.8'!AV:AV, MATCH(A143, 'ONESheet 2.8'!B:B, 0)+2),0),0)</f>
        <v>0</v>
      </c>
      <c r="N143" s="271">
        <f>IFERROR(IF(OR(ISBLANK(C143),C143='ONESheet 2.8'!CustomerCountry,COUNTIF(C143,"*xDC*")),0,10%),0)</f>
        <v>0</v>
      </c>
      <c r="O143" s="271" cm="1">
        <f t="array" ref="O143">IFERROR(INDEX(WHT!$C$7:$W$18,MATCH(
_xlfn.SWITCH(C143,"xDC Medellin","Colombia","xDC Belo Horizonte","Brazil","xDC Guadalajara","Mexico","xDC Gurugram","India","xDC Leon","Spain","xDC San Jose","Costa Rica","xDC Warsaw","Poland",C143),
WHT!$B$7:$B$18,0),MATCH('ONESheet 2.8'!CustomerCountry,WHT!$C$5:$W$5,0)),0)</f>
        <v>0</v>
      </c>
      <c r="P143" s="270">
        <f t="shared" si="14"/>
        <v>0</v>
      </c>
      <c r="Q143" s="272">
        <f t="shared" si="15"/>
        <v>0</v>
      </c>
      <c r="R143" s="272">
        <f t="shared" si="13"/>
        <v>0</v>
      </c>
      <c r="S143" s="272">
        <f t="shared" si="16"/>
        <v>0</v>
      </c>
      <c r="T143" s="272">
        <f t="shared" si="17"/>
        <v>0</v>
      </c>
      <c r="U143" s="268"/>
      <c r="V143" s="267"/>
    </row>
    <row r="144" spans="1:22">
      <c r="A144" s="267"/>
      <c r="B144" s="267"/>
      <c r="C144" s="268"/>
      <c r="D144" s="268"/>
      <c r="E144" s="268"/>
      <c r="F144" s="268"/>
      <c r="G144" s="268">
        <v>0</v>
      </c>
      <c r="H144" s="269">
        <v>0</v>
      </c>
      <c r="I144" s="270">
        <f t="shared" si="12"/>
        <v>0</v>
      </c>
      <c r="J144" s="269" t="s">
        <v>200</v>
      </c>
      <c r="K144" s="403" t="str">
        <f>'ONESheet 2.8'!BillingCountryCurrency</f>
        <v>USD</v>
      </c>
      <c r="L144" s="269">
        <v>1</v>
      </c>
      <c r="M144" s="271" cm="1">
        <f t="array" ref="M144">IF(A144&lt;&gt;"",IFERROR(INDEX('ONESheet 2.8'!AV:AV, MATCH(A144, 'ONESheet 2.8'!B:B, 0)+2),0),0)</f>
        <v>0</v>
      </c>
      <c r="N144" s="271">
        <f>IFERROR(IF(OR(ISBLANK(C144),C144='ONESheet 2.8'!CustomerCountry,COUNTIF(C144,"*xDC*")),0,10%),0)</f>
        <v>0</v>
      </c>
      <c r="O144" s="271" cm="1">
        <f t="array" ref="O144">IFERROR(INDEX(WHT!$C$7:$W$18,MATCH(
_xlfn.SWITCH(C144,"xDC Medellin","Colombia","xDC Belo Horizonte","Brazil","xDC Guadalajara","Mexico","xDC Gurugram","India","xDC Leon","Spain","xDC San Jose","Costa Rica","xDC Warsaw","Poland",C144),
WHT!$B$7:$B$18,0),MATCH('ONESheet 2.8'!CustomerCountry,WHT!$C$5:$W$5,0)),0)</f>
        <v>0</v>
      </c>
      <c r="P144" s="270">
        <f t="shared" si="14"/>
        <v>0</v>
      </c>
      <c r="Q144" s="272">
        <f t="shared" si="15"/>
        <v>0</v>
      </c>
      <c r="R144" s="272">
        <f t="shared" si="13"/>
        <v>0</v>
      </c>
      <c r="S144" s="272">
        <f t="shared" si="16"/>
        <v>0</v>
      </c>
      <c r="T144" s="272">
        <f t="shared" si="17"/>
        <v>0</v>
      </c>
      <c r="U144" s="268"/>
      <c r="V144" s="267"/>
    </row>
    <row r="145" spans="1:22">
      <c r="A145" s="267"/>
      <c r="B145" s="267"/>
      <c r="C145" s="268"/>
      <c r="D145" s="268"/>
      <c r="E145" s="268"/>
      <c r="F145" s="268"/>
      <c r="G145" s="268">
        <v>0</v>
      </c>
      <c r="H145" s="269">
        <v>0</v>
      </c>
      <c r="I145" s="270">
        <f t="shared" si="12"/>
        <v>0</v>
      </c>
      <c r="J145" s="269" t="s">
        <v>200</v>
      </c>
      <c r="K145" s="403" t="str">
        <f>'ONESheet 2.8'!BillingCountryCurrency</f>
        <v>USD</v>
      </c>
      <c r="L145" s="269">
        <v>1</v>
      </c>
      <c r="M145" s="271" cm="1">
        <f t="array" ref="M145">IF(A145&lt;&gt;"",IFERROR(INDEX('ONESheet 2.8'!AV:AV, MATCH(A145, 'ONESheet 2.8'!B:B, 0)+2),0),0)</f>
        <v>0</v>
      </c>
      <c r="N145" s="271">
        <f>IFERROR(IF(OR(ISBLANK(C145),C145='ONESheet 2.8'!CustomerCountry,COUNTIF(C145,"*xDC*")),0,10%),0)</f>
        <v>0</v>
      </c>
      <c r="O145" s="271" cm="1">
        <f t="array" ref="O145">IFERROR(INDEX(WHT!$C$7:$W$18,MATCH(
_xlfn.SWITCH(C145,"xDC Medellin","Colombia","xDC Belo Horizonte","Brazil","xDC Guadalajara","Mexico","xDC Gurugram","India","xDC Leon","Spain","xDC San Jose","Costa Rica","xDC Warsaw","Poland",C145),
WHT!$B$7:$B$18,0),MATCH('ONESheet 2.8'!CustomerCountry,WHT!$C$5:$W$5,0)),0)</f>
        <v>0</v>
      </c>
      <c r="P145" s="270">
        <f t="shared" si="14"/>
        <v>0</v>
      </c>
      <c r="Q145" s="272">
        <f t="shared" si="15"/>
        <v>0</v>
      </c>
      <c r="R145" s="272">
        <f t="shared" si="13"/>
        <v>0</v>
      </c>
      <c r="S145" s="272">
        <f t="shared" si="16"/>
        <v>0</v>
      </c>
      <c r="T145" s="272">
        <f t="shared" si="17"/>
        <v>0</v>
      </c>
      <c r="U145" s="268"/>
      <c r="V145" s="267"/>
    </row>
    <row r="146" spans="1:22">
      <c r="A146" s="267"/>
      <c r="B146" s="267"/>
      <c r="C146" s="268"/>
      <c r="D146" s="268"/>
      <c r="E146" s="268"/>
      <c r="F146" s="268"/>
      <c r="G146" s="268">
        <v>0</v>
      </c>
      <c r="H146" s="269">
        <v>0</v>
      </c>
      <c r="I146" s="270">
        <f t="shared" si="12"/>
        <v>0</v>
      </c>
      <c r="J146" s="269" t="s">
        <v>200</v>
      </c>
      <c r="K146" s="403" t="str">
        <f>'ONESheet 2.8'!BillingCountryCurrency</f>
        <v>USD</v>
      </c>
      <c r="L146" s="269">
        <v>1</v>
      </c>
      <c r="M146" s="271" cm="1">
        <f t="array" ref="M146">IF(A146&lt;&gt;"",IFERROR(INDEX('ONESheet 2.8'!AV:AV, MATCH(A146, 'ONESheet 2.8'!B:B, 0)+2),0),0)</f>
        <v>0</v>
      </c>
      <c r="N146" s="271">
        <f>IFERROR(IF(OR(ISBLANK(C146),C146='ONESheet 2.8'!CustomerCountry,COUNTIF(C146,"*xDC*")),0,10%),0)</f>
        <v>0</v>
      </c>
      <c r="O146" s="271" cm="1">
        <f t="array" ref="O146">IFERROR(INDEX(WHT!$C$7:$W$18,MATCH(
_xlfn.SWITCH(C146,"xDC Medellin","Colombia","xDC Belo Horizonte","Brazil","xDC Guadalajara","Mexico","xDC Gurugram","India","xDC Leon","Spain","xDC San Jose","Costa Rica","xDC Warsaw","Poland",C146),
WHT!$B$7:$B$18,0),MATCH('ONESheet 2.8'!CustomerCountry,WHT!$C$5:$W$5,0)),0)</f>
        <v>0</v>
      </c>
      <c r="P146" s="270">
        <f t="shared" si="14"/>
        <v>0</v>
      </c>
      <c r="Q146" s="272">
        <f t="shared" si="15"/>
        <v>0</v>
      </c>
      <c r="R146" s="272">
        <f t="shared" si="13"/>
        <v>0</v>
      </c>
      <c r="S146" s="272">
        <f t="shared" si="16"/>
        <v>0</v>
      </c>
      <c r="T146" s="272">
        <f t="shared" si="17"/>
        <v>0</v>
      </c>
      <c r="U146" s="268"/>
      <c r="V146" s="267"/>
    </row>
    <row r="147" spans="1:22">
      <c r="A147" s="267"/>
      <c r="B147" s="267"/>
      <c r="C147" s="268"/>
      <c r="D147" s="268"/>
      <c r="E147" s="268"/>
      <c r="F147" s="268"/>
      <c r="G147" s="268">
        <v>0</v>
      </c>
      <c r="H147" s="269">
        <v>0</v>
      </c>
      <c r="I147" s="270">
        <f t="shared" si="12"/>
        <v>0</v>
      </c>
      <c r="J147" s="269" t="s">
        <v>200</v>
      </c>
      <c r="K147" s="403" t="str">
        <f>'ONESheet 2.8'!BillingCountryCurrency</f>
        <v>USD</v>
      </c>
      <c r="L147" s="269">
        <v>1</v>
      </c>
      <c r="M147" s="271" cm="1">
        <f t="array" ref="M147">IF(A147&lt;&gt;"",IFERROR(INDEX('ONESheet 2.8'!AV:AV, MATCH(A147, 'ONESheet 2.8'!B:B, 0)+2),0),0)</f>
        <v>0</v>
      </c>
      <c r="N147" s="271">
        <f>IFERROR(IF(OR(ISBLANK(C147),C147='ONESheet 2.8'!CustomerCountry,COUNTIF(C147,"*xDC*")),0,10%),0)</f>
        <v>0</v>
      </c>
      <c r="O147" s="271" cm="1">
        <f t="array" ref="O147">IFERROR(INDEX(WHT!$C$7:$W$18,MATCH(
_xlfn.SWITCH(C147,"xDC Medellin","Colombia","xDC Belo Horizonte","Brazil","xDC Guadalajara","Mexico","xDC Gurugram","India","xDC Leon","Spain","xDC San Jose","Costa Rica","xDC Warsaw","Poland",C147),
WHT!$B$7:$B$18,0),MATCH('ONESheet 2.8'!CustomerCountry,WHT!$C$5:$W$5,0)),0)</f>
        <v>0</v>
      </c>
      <c r="P147" s="270">
        <f t="shared" si="14"/>
        <v>0</v>
      </c>
      <c r="Q147" s="272">
        <f t="shared" si="15"/>
        <v>0</v>
      </c>
      <c r="R147" s="272">
        <f t="shared" si="13"/>
        <v>0</v>
      </c>
      <c r="S147" s="272">
        <f t="shared" si="16"/>
        <v>0</v>
      </c>
      <c r="T147" s="272">
        <f t="shared" si="17"/>
        <v>0</v>
      </c>
      <c r="U147" s="268"/>
      <c r="V147" s="267"/>
    </row>
    <row r="148" spans="1:22">
      <c r="A148" s="267"/>
      <c r="B148" s="267"/>
      <c r="C148" s="268"/>
      <c r="D148" s="268"/>
      <c r="E148" s="268"/>
      <c r="F148" s="268"/>
      <c r="G148" s="268">
        <v>0</v>
      </c>
      <c r="H148" s="269">
        <v>0</v>
      </c>
      <c r="I148" s="270">
        <f t="shared" si="12"/>
        <v>0</v>
      </c>
      <c r="J148" s="269" t="s">
        <v>200</v>
      </c>
      <c r="K148" s="403" t="str">
        <f>'ONESheet 2.8'!BillingCountryCurrency</f>
        <v>USD</v>
      </c>
      <c r="L148" s="269">
        <v>1</v>
      </c>
      <c r="M148" s="271" cm="1">
        <f t="array" ref="M148">IF(A148&lt;&gt;"",IFERROR(INDEX('ONESheet 2.8'!AV:AV, MATCH(A148, 'ONESheet 2.8'!B:B, 0)+2),0),0)</f>
        <v>0</v>
      </c>
      <c r="N148" s="271">
        <f>IFERROR(IF(OR(ISBLANK(C148),C148='ONESheet 2.8'!CustomerCountry,COUNTIF(C148,"*xDC*")),0,10%),0)</f>
        <v>0</v>
      </c>
      <c r="O148" s="271" cm="1">
        <f t="array" ref="O148">IFERROR(INDEX(WHT!$C$7:$W$18,MATCH(
_xlfn.SWITCH(C148,"xDC Medellin","Colombia","xDC Belo Horizonte","Brazil","xDC Guadalajara","Mexico","xDC Gurugram","India","xDC Leon","Spain","xDC San Jose","Costa Rica","xDC Warsaw","Poland",C148),
WHT!$B$7:$B$18,0),MATCH('ONESheet 2.8'!CustomerCountry,WHT!$C$5:$W$5,0)),0)</f>
        <v>0</v>
      </c>
      <c r="P148" s="270">
        <f t="shared" si="14"/>
        <v>0</v>
      </c>
      <c r="Q148" s="272">
        <f t="shared" si="15"/>
        <v>0</v>
      </c>
      <c r="R148" s="272">
        <f t="shared" si="13"/>
        <v>0</v>
      </c>
      <c r="S148" s="272">
        <f t="shared" si="16"/>
        <v>0</v>
      </c>
      <c r="T148" s="272">
        <f t="shared" si="17"/>
        <v>0</v>
      </c>
      <c r="U148" s="268"/>
      <c r="V148" s="267"/>
    </row>
    <row r="149" spans="1:22">
      <c r="A149" s="267"/>
      <c r="B149" s="267"/>
      <c r="C149" s="268"/>
      <c r="D149" s="268"/>
      <c r="E149" s="268"/>
      <c r="F149" s="268"/>
      <c r="G149" s="268">
        <v>0</v>
      </c>
      <c r="H149" s="269">
        <v>0</v>
      </c>
      <c r="I149" s="270">
        <f t="shared" si="12"/>
        <v>0</v>
      </c>
      <c r="J149" s="269" t="s">
        <v>200</v>
      </c>
      <c r="K149" s="403" t="str">
        <f>'ONESheet 2.8'!BillingCountryCurrency</f>
        <v>USD</v>
      </c>
      <c r="L149" s="269">
        <v>1</v>
      </c>
      <c r="M149" s="271" cm="1">
        <f t="array" ref="M149">IF(A149&lt;&gt;"",IFERROR(INDEX('ONESheet 2.8'!AV:AV, MATCH(A149, 'ONESheet 2.8'!B:B, 0)+2),0),0)</f>
        <v>0</v>
      </c>
      <c r="N149" s="271">
        <f>IFERROR(IF(OR(ISBLANK(C149),C149='ONESheet 2.8'!CustomerCountry,COUNTIF(C149,"*xDC*")),0,10%),0)</f>
        <v>0</v>
      </c>
      <c r="O149" s="271" cm="1">
        <f t="array" ref="O149">IFERROR(INDEX(WHT!$C$7:$W$18,MATCH(
_xlfn.SWITCH(C149,"xDC Medellin","Colombia","xDC Belo Horizonte","Brazil","xDC Guadalajara","Mexico","xDC Gurugram","India","xDC Leon","Spain","xDC San Jose","Costa Rica","xDC Warsaw","Poland",C149),
WHT!$B$7:$B$18,0),MATCH('ONESheet 2.8'!CustomerCountry,WHT!$C$5:$W$5,0)),0)</f>
        <v>0</v>
      </c>
      <c r="P149" s="270">
        <f t="shared" si="14"/>
        <v>0</v>
      </c>
      <c r="Q149" s="272">
        <f t="shared" si="15"/>
        <v>0</v>
      </c>
      <c r="R149" s="272">
        <f t="shared" si="13"/>
        <v>0</v>
      </c>
      <c r="S149" s="272">
        <f t="shared" si="16"/>
        <v>0</v>
      </c>
      <c r="T149" s="272">
        <f t="shared" si="17"/>
        <v>0</v>
      </c>
      <c r="U149" s="268"/>
      <c r="V149" s="267"/>
    </row>
    <row r="150" spans="1:22">
      <c r="A150" s="267"/>
      <c r="B150" s="267"/>
      <c r="C150" s="268"/>
      <c r="D150" s="268"/>
      <c r="E150" s="268"/>
      <c r="F150" s="268"/>
      <c r="G150" s="268">
        <v>0</v>
      </c>
      <c r="H150" s="269">
        <v>0</v>
      </c>
      <c r="I150" s="270">
        <f t="shared" si="12"/>
        <v>0</v>
      </c>
      <c r="J150" s="269" t="s">
        <v>200</v>
      </c>
      <c r="K150" s="403" t="str">
        <f>'ONESheet 2.8'!BillingCountryCurrency</f>
        <v>USD</v>
      </c>
      <c r="L150" s="269">
        <v>1</v>
      </c>
      <c r="M150" s="271" cm="1">
        <f t="array" ref="M150">IF(A150&lt;&gt;"",IFERROR(INDEX('ONESheet 2.8'!AV:AV, MATCH(A150, 'ONESheet 2.8'!B:B, 0)+2),0),0)</f>
        <v>0</v>
      </c>
      <c r="N150" s="271">
        <f>IFERROR(IF(OR(ISBLANK(C150),C150='ONESheet 2.8'!CustomerCountry,COUNTIF(C150,"*xDC*")),0,10%),0)</f>
        <v>0</v>
      </c>
      <c r="O150" s="271" cm="1">
        <f t="array" ref="O150">IFERROR(INDEX(WHT!$C$7:$W$18,MATCH(
_xlfn.SWITCH(C150,"xDC Medellin","Colombia","xDC Belo Horizonte","Brazil","xDC Guadalajara","Mexico","xDC Gurugram","India","xDC Leon","Spain","xDC San Jose","Costa Rica","xDC Warsaw","Poland",C150),
WHT!$B$7:$B$18,0),MATCH('ONESheet 2.8'!CustomerCountry,WHT!$C$5:$W$5,0)),0)</f>
        <v>0</v>
      </c>
      <c r="P150" s="270">
        <f t="shared" si="14"/>
        <v>0</v>
      </c>
      <c r="Q150" s="272">
        <f t="shared" si="15"/>
        <v>0</v>
      </c>
      <c r="R150" s="272">
        <f t="shared" si="13"/>
        <v>0</v>
      </c>
      <c r="S150" s="272">
        <f t="shared" si="16"/>
        <v>0</v>
      </c>
      <c r="T150" s="272">
        <f t="shared" si="17"/>
        <v>0</v>
      </c>
      <c r="U150" s="268"/>
      <c r="V150" s="267"/>
    </row>
    <row r="151" spans="1:22">
      <c r="A151" s="267"/>
      <c r="B151" s="267"/>
      <c r="C151" s="268"/>
      <c r="D151" s="268"/>
      <c r="E151" s="268"/>
      <c r="F151" s="268"/>
      <c r="G151" s="268">
        <v>0</v>
      </c>
      <c r="H151" s="269">
        <v>0</v>
      </c>
      <c r="I151" s="270">
        <f t="shared" si="12"/>
        <v>0</v>
      </c>
      <c r="J151" s="269" t="s">
        <v>200</v>
      </c>
      <c r="K151" s="403" t="str">
        <f>'ONESheet 2.8'!BillingCountryCurrency</f>
        <v>USD</v>
      </c>
      <c r="L151" s="269">
        <v>1</v>
      </c>
      <c r="M151" s="271" cm="1">
        <f t="array" ref="M151">IF(A151&lt;&gt;"",IFERROR(INDEX('ONESheet 2.8'!AV:AV, MATCH(A151, 'ONESheet 2.8'!B:B, 0)+2),0),0)</f>
        <v>0</v>
      </c>
      <c r="N151" s="271">
        <f>IFERROR(IF(OR(ISBLANK(C151),C151='ONESheet 2.8'!CustomerCountry,COUNTIF(C151,"*xDC*")),0,10%),0)</f>
        <v>0</v>
      </c>
      <c r="O151" s="271" cm="1">
        <f t="array" ref="O151">IFERROR(INDEX(WHT!$C$7:$W$18,MATCH(
_xlfn.SWITCH(C151,"xDC Medellin","Colombia","xDC Belo Horizonte","Brazil","xDC Guadalajara","Mexico","xDC Gurugram","India","xDC Leon","Spain","xDC San Jose","Costa Rica","xDC Warsaw","Poland",C151),
WHT!$B$7:$B$18,0),MATCH('ONESheet 2.8'!CustomerCountry,WHT!$C$5:$W$5,0)),0)</f>
        <v>0</v>
      </c>
      <c r="P151" s="270">
        <f t="shared" si="14"/>
        <v>0</v>
      </c>
      <c r="Q151" s="272">
        <f t="shared" si="15"/>
        <v>0</v>
      </c>
      <c r="R151" s="272">
        <f t="shared" si="13"/>
        <v>0</v>
      </c>
      <c r="S151" s="272">
        <f t="shared" si="16"/>
        <v>0</v>
      </c>
      <c r="T151" s="272">
        <f t="shared" si="17"/>
        <v>0</v>
      </c>
      <c r="U151" s="268"/>
      <c r="V151" s="267"/>
    </row>
    <row r="152" spans="1:22">
      <c r="A152" s="267"/>
      <c r="B152" s="267"/>
      <c r="C152" s="268"/>
      <c r="D152" s="268"/>
      <c r="E152" s="268"/>
      <c r="F152" s="268"/>
      <c r="G152" s="268">
        <v>0</v>
      </c>
      <c r="H152" s="269">
        <v>0</v>
      </c>
      <c r="I152" s="270">
        <f t="shared" si="12"/>
        <v>0</v>
      </c>
      <c r="J152" s="269" t="s">
        <v>200</v>
      </c>
      <c r="K152" s="403" t="str">
        <f>'ONESheet 2.8'!BillingCountryCurrency</f>
        <v>USD</v>
      </c>
      <c r="L152" s="269">
        <v>1</v>
      </c>
      <c r="M152" s="271" cm="1">
        <f t="array" ref="M152">IF(A152&lt;&gt;"",IFERROR(INDEX('ONESheet 2.8'!AV:AV, MATCH(A152, 'ONESheet 2.8'!B:B, 0)+2),0),0)</f>
        <v>0</v>
      </c>
      <c r="N152" s="271">
        <f>IFERROR(IF(OR(ISBLANK(C152),C152='ONESheet 2.8'!CustomerCountry,COUNTIF(C152,"*xDC*")),0,10%),0)</f>
        <v>0</v>
      </c>
      <c r="O152" s="271" cm="1">
        <f t="array" ref="O152">IFERROR(INDEX(WHT!$C$7:$W$18,MATCH(
_xlfn.SWITCH(C152,"xDC Medellin","Colombia","xDC Belo Horizonte","Brazil","xDC Guadalajara","Mexico","xDC Gurugram","India","xDC Leon","Spain","xDC San Jose","Costa Rica","xDC Warsaw","Poland",C152),
WHT!$B$7:$B$18,0),MATCH('ONESheet 2.8'!CustomerCountry,WHT!$C$5:$W$5,0)),0)</f>
        <v>0</v>
      </c>
      <c r="P152" s="270">
        <f t="shared" si="14"/>
        <v>0</v>
      </c>
      <c r="Q152" s="272">
        <f t="shared" si="15"/>
        <v>0</v>
      </c>
      <c r="R152" s="272">
        <f t="shared" si="13"/>
        <v>0</v>
      </c>
      <c r="S152" s="272">
        <f t="shared" si="16"/>
        <v>0</v>
      </c>
      <c r="T152" s="272">
        <f t="shared" si="17"/>
        <v>0</v>
      </c>
      <c r="U152" s="268"/>
      <c r="V152" s="267"/>
    </row>
    <row r="153" spans="1:22">
      <c r="A153" s="267"/>
      <c r="B153" s="267"/>
      <c r="C153" s="268"/>
      <c r="D153" s="268"/>
      <c r="E153" s="268"/>
      <c r="F153" s="268"/>
      <c r="G153" s="268">
        <v>0</v>
      </c>
      <c r="H153" s="269">
        <v>0</v>
      </c>
      <c r="I153" s="270">
        <f t="shared" si="12"/>
        <v>0</v>
      </c>
      <c r="J153" s="269" t="s">
        <v>200</v>
      </c>
      <c r="K153" s="403" t="str">
        <f>'ONESheet 2.8'!BillingCountryCurrency</f>
        <v>USD</v>
      </c>
      <c r="L153" s="269">
        <v>1</v>
      </c>
      <c r="M153" s="271" cm="1">
        <f t="array" ref="M153">IF(A153&lt;&gt;"",IFERROR(INDEX('ONESheet 2.8'!AV:AV, MATCH(A153, 'ONESheet 2.8'!B:B, 0)+2),0),0)</f>
        <v>0</v>
      </c>
      <c r="N153" s="271">
        <f>IFERROR(IF(OR(ISBLANK(C153),C153='ONESheet 2.8'!CustomerCountry,COUNTIF(C153,"*xDC*")),0,10%),0)</f>
        <v>0</v>
      </c>
      <c r="O153" s="271" cm="1">
        <f t="array" ref="O153">IFERROR(INDEX(WHT!$C$7:$W$18,MATCH(
_xlfn.SWITCH(C153,"xDC Medellin","Colombia","xDC Belo Horizonte","Brazil","xDC Guadalajara","Mexico","xDC Gurugram","India","xDC Leon","Spain","xDC San Jose","Costa Rica","xDC Warsaw","Poland",C153),
WHT!$B$7:$B$18,0),MATCH('ONESheet 2.8'!CustomerCountry,WHT!$C$5:$W$5,0)),0)</f>
        <v>0</v>
      </c>
      <c r="P153" s="270">
        <f t="shared" si="14"/>
        <v>0</v>
      </c>
      <c r="Q153" s="272">
        <f t="shared" si="15"/>
        <v>0</v>
      </c>
      <c r="R153" s="272">
        <f t="shared" si="13"/>
        <v>0</v>
      </c>
      <c r="S153" s="272">
        <f t="shared" si="16"/>
        <v>0</v>
      </c>
      <c r="T153" s="272">
        <f t="shared" si="17"/>
        <v>0</v>
      </c>
      <c r="U153" s="268"/>
      <c r="V153" s="267"/>
    </row>
    <row r="154" spans="1:22">
      <c r="A154" s="267"/>
      <c r="B154" s="267"/>
      <c r="C154" s="268"/>
      <c r="D154" s="268"/>
      <c r="E154" s="268"/>
      <c r="F154" s="268"/>
      <c r="G154" s="268">
        <v>0</v>
      </c>
      <c r="H154" s="269">
        <v>0</v>
      </c>
      <c r="I154" s="270">
        <f t="shared" si="12"/>
        <v>0</v>
      </c>
      <c r="J154" s="269" t="s">
        <v>200</v>
      </c>
      <c r="K154" s="403" t="str">
        <f>'ONESheet 2.8'!BillingCountryCurrency</f>
        <v>USD</v>
      </c>
      <c r="L154" s="269">
        <v>1</v>
      </c>
      <c r="M154" s="271" cm="1">
        <f t="array" ref="M154">IF(A154&lt;&gt;"",IFERROR(INDEX('ONESheet 2.8'!AV:AV, MATCH(A154, 'ONESheet 2.8'!B:B, 0)+2),0),0)</f>
        <v>0</v>
      </c>
      <c r="N154" s="271">
        <f>IFERROR(IF(OR(ISBLANK(C154),C154='ONESheet 2.8'!CustomerCountry,COUNTIF(C154,"*xDC*")),0,10%),0)</f>
        <v>0</v>
      </c>
      <c r="O154" s="271" cm="1">
        <f t="array" ref="O154">IFERROR(INDEX(WHT!$C$7:$W$18,MATCH(
_xlfn.SWITCH(C154,"xDC Medellin","Colombia","xDC Belo Horizonte","Brazil","xDC Guadalajara","Mexico","xDC Gurugram","India","xDC Leon","Spain","xDC San Jose","Costa Rica","xDC Warsaw","Poland",C154),
WHT!$B$7:$B$18,0),MATCH('ONESheet 2.8'!CustomerCountry,WHT!$C$5:$W$5,0)),0)</f>
        <v>0</v>
      </c>
      <c r="P154" s="270">
        <f t="shared" si="14"/>
        <v>0</v>
      </c>
      <c r="Q154" s="272">
        <f t="shared" si="15"/>
        <v>0</v>
      </c>
      <c r="R154" s="272">
        <f t="shared" si="13"/>
        <v>0</v>
      </c>
      <c r="S154" s="272">
        <f t="shared" si="16"/>
        <v>0</v>
      </c>
      <c r="T154" s="272">
        <f t="shared" si="17"/>
        <v>0</v>
      </c>
      <c r="U154" s="268"/>
      <c r="V154" s="267"/>
    </row>
    <row r="155" spans="1:22">
      <c r="A155" s="267"/>
      <c r="B155" s="267"/>
      <c r="C155" s="268"/>
      <c r="D155" s="268"/>
      <c r="E155" s="268"/>
      <c r="F155" s="268"/>
      <c r="G155" s="268">
        <v>0</v>
      </c>
      <c r="H155" s="269">
        <v>0</v>
      </c>
      <c r="I155" s="270">
        <f t="shared" si="12"/>
        <v>0</v>
      </c>
      <c r="J155" s="269" t="s">
        <v>200</v>
      </c>
      <c r="K155" s="403" t="str">
        <f>'ONESheet 2.8'!BillingCountryCurrency</f>
        <v>USD</v>
      </c>
      <c r="L155" s="269">
        <v>1</v>
      </c>
      <c r="M155" s="271" cm="1">
        <f t="array" ref="M155">IF(A155&lt;&gt;"",IFERROR(INDEX('ONESheet 2.8'!AV:AV, MATCH(A155, 'ONESheet 2.8'!B:B, 0)+2),0),0)</f>
        <v>0</v>
      </c>
      <c r="N155" s="271">
        <f>IFERROR(IF(OR(ISBLANK(C155),C155='ONESheet 2.8'!CustomerCountry,COUNTIF(C155,"*xDC*")),0,10%),0)</f>
        <v>0</v>
      </c>
      <c r="O155" s="271" cm="1">
        <f t="array" ref="O155">IFERROR(INDEX(WHT!$C$7:$W$18,MATCH(
_xlfn.SWITCH(C155,"xDC Medellin","Colombia","xDC Belo Horizonte","Brazil","xDC Guadalajara","Mexico","xDC Gurugram","India","xDC Leon","Spain","xDC San Jose","Costa Rica","xDC Warsaw","Poland",C155),
WHT!$B$7:$B$18,0),MATCH('ONESheet 2.8'!CustomerCountry,WHT!$C$5:$W$5,0)),0)</f>
        <v>0</v>
      </c>
      <c r="P155" s="270">
        <f t="shared" si="14"/>
        <v>0</v>
      </c>
      <c r="Q155" s="272">
        <f t="shared" si="15"/>
        <v>0</v>
      </c>
      <c r="R155" s="272">
        <f t="shared" si="13"/>
        <v>0</v>
      </c>
      <c r="S155" s="272">
        <f t="shared" si="16"/>
        <v>0</v>
      </c>
      <c r="T155" s="272">
        <f t="shared" si="17"/>
        <v>0</v>
      </c>
      <c r="U155" s="268"/>
      <c r="V155" s="267"/>
    </row>
    <row r="156" spans="1:22">
      <c r="A156" s="267"/>
      <c r="B156" s="267"/>
      <c r="C156" s="268"/>
      <c r="D156" s="268"/>
      <c r="E156" s="268"/>
      <c r="F156" s="268"/>
      <c r="G156" s="268">
        <v>0</v>
      </c>
      <c r="H156" s="269">
        <v>0</v>
      </c>
      <c r="I156" s="270">
        <f t="shared" si="12"/>
        <v>0</v>
      </c>
      <c r="J156" s="269" t="s">
        <v>200</v>
      </c>
      <c r="K156" s="403" t="str">
        <f>'ONESheet 2.8'!BillingCountryCurrency</f>
        <v>USD</v>
      </c>
      <c r="L156" s="269">
        <v>1</v>
      </c>
      <c r="M156" s="271" cm="1">
        <f t="array" ref="M156">IF(A156&lt;&gt;"",IFERROR(INDEX('ONESheet 2.8'!AV:AV, MATCH(A156, 'ONESheet 2.8'!B:B, 0)+2),0),0)</f>
        <v>0</v>
      </c>
      <c r="N156" s="271">
        <f>IFERROR(IF(OR(ISBLANK(C156),C156='ONESheet 2.8'!CustomerCountry,COUNTIF(C156,"*xDC*")),0,10%),0)</f>
        <v>0</v>
      </c>
      <c r="O156" s="271" cm="1">
        <f t="array" ref="O156">IFERROR(INDEX(WHT!$C$7:$W$18,MATCH(
_xlfn.SWITCH(C156,"xDC Medellin","Colombia","xDC Belo Horizonte","Brazil","xDC Guadalajara","Mexico","xDC Gurugram","India","xDC Leon","Spain","xDC San Jose","Costa Rica","xDC Warsaw","Poland",C156),
WHT!$B$7:$B$18,0),MATCH('ONESheet 2.8'!CustomerCountry,WHT!$C$5:$W$5,0)),0)</f>
        <v>0</v>
      </c>
      <c r="P156" s="270">
        <f t="shared" si="14"/>
        <v>0</v>
      </c>
      <c r="Q156" s="272">
        <f t="shared" si="15"/>
        <v>0</v>
      </c>
      <c r="R156" s="272">
        <f t="shared" si="13"/>
        <v>0</v>
      </c>
      <c r="S156" s="272">
        <f t="shared" si="16"/>
        <v>0</v>
      </c>
      <c r="T156" s="272">
        <f t="shared" si="17"/>
        <v>0</v>
      </c>
      <c r="U156" s="268"/>
      <c r="V156" s="267"/>
    </row>
    <row r="157" spans="1:22">
      <c r="A157" s="267"/>
      <c r="B157" s="267"/>
      <c r="C157" s="268"/>
      <c r="D157" s="268"/>
      <c r="E157" s="268"/>
      <c r="F157" s="268"/>
      <c r="G157" s="268">
        <v>0</v>
      </c>
      <c r="H157" s="269">
        <v>0</v>
      </c>
      <c r="I157" s="270">
        <f t="shared" si="12"/>
        <v>0</v>
      </c>
      <c r="J157" s="269" t="s">
        <v>200</v>
      </c>
      <c r="K157" s="403" t="str">
        <f>'ONESheet 2.8'!BillingCountryCurrency</f>
        <v>USD</v>
      </c>
      <c r="L157" s="269">
        <v>1</v>
      </c>
      <c r="M157" s="271" cm="1">
        <f t="array" ref="M157">IF(A157&lt;&gt;"",IFERROR(INDEX('ONESheet 2.8'!AV:AV, MATCH(A157, 'ONESheet 2.8'!B:B, 0)+2),0),0)</f>
        <v>0</v>
      </c>
      <c r="N157" s="271">
        <f>IFERROR(IF(OR(ISBLANK(C157),C157='ONESheet 2.8'!CustomerCountry,COUNTIF(C157,"*xDC*")),0,10%),0)</f>
        <v>0</v>
      </c>
      <c r="O157" s="271" cm="1">
        <f t="array" ref="O157">IFERROR(INDEX(WHT!$C$7:$W$18,MATCH(
_xlfn.SWITCH(C157,"xDC Medellin","Colombia","xDC Belo Horizonte","Brazil","xDC Guadalajara","Mexico","xDC Gurugram","India","xDC Leon","Spain","xDC San Jose","Costa Rica","xDC Warsaw","Poland",C157),
WHT!$B$7:$B$18,0),MATCH('ONESheet 2.8'!CustomerCountry,WHT!$C$5:$W$5,0)),0)</f>
        <v>0</v>
      </c>
      <c r="P157" s="270">
        <f t="shared" si="14"/>
        <v>0</v>
      </c>
      <c r="Q157" s="272">
        <f t="shared" si="15"/>
        <v>0</v>
      </c>
      <c r="R157" s="272">
        <f t="shared" si="13"/>
        <v>0</v>
      </c>
      <c r="S157" s="272">
        <f t="shared" si="16"/>
        <v>0</v>
      </c>
      <c r="T157" s="272">
        <f t="shared" si="17"/>
        <v>0</v>
      </c>
      <c r="U157" s="268"/>
      <c r="V157" s="267"/>
    </row>
    <row r="158" spans="1:22">
      <c r="A158" s="267"/>
      <c r="B158" s="267"/>
      <c r="C158" s="268"/>
      <c r="D158" s="268"/>
      <c r="E158" s="268"/>
      <c r="F158" s="268"/>
      <c r="G158" s="268">
        <v>0</v>
      </c>
      <c r="H158" s="269">
        <v>0</v>
      </c>
      <c r="I158" s="270">
        <f t="shared" si="12"/>
        <v>0</v>
      </c>
      <c r="J158" s="269" t="s">
        <v>200</v>
      </c>
      <c r="K158" s="403" t="str">
        <f>'ONESheet 2.8'!BillingCountryCurrency</f>
        <v>USD</v>
      </c>
      <c r="L158" s="269">
        <v>1</v>
      </c>
      <c r="M158" s="271" cm="1">
        <f t="array" ref="M158">IF(A158&lt;&gt;"",IFERROR(INDEX('ONESheet 2.8'!AV:AV, MATCH(A158, 'ONESheet 2.8'!B:B, 0)+2),0),0)</f>
        <v>0</v>
      </c>
      <c r="N158" s="271">
        <f>IFERROR(IF(OR(ISBLANK(C158),C158='ONESheet 2.8'!CustomerCountry,COUNTIF(C158,"*xDC*")),0,10%),0)</f>
        <v>0</v>
      </c>
      <c r="O158" s="271" cm="1">
        <f t="array" ref="O158">IFERROR(INDEX(WHT!$C$7:$W$18,MATCH(
_xlfn.SWITCH(C158,"xDC Medellin","Colombia","xDC Belo Horizonte","Brazil","xDC Guadalajara","Mexico","xDC Gurugram","India","xDC Leon","Spain","xDC San Jose","Costa Rica","xDC Warsaw","Poland",C158),
WHT!$B$7:$B$18,0),MATCH('ONESheet 2.8'!CustomerCountry,WHT!$C$5:$W$5,0)),0)</f>
        <v>0</v>
      </c>
      <c r="P158" s="270">
        <f t="shared" si="14"/>
        <v>0</v>
      </c>
      <c r="Q158" s="272">
        <f t="shared" si="15"/>
        <v>0</v>
      </c>
      <c r="R158" s="272">
        <f t="shared" si="13"/>
        <v>0</v>
      </c>
      <c r="S158" s="272">
        <f t="shared" si="16"/>
        <v>0</v>
      </c>
      <c r="T158" s="272">
        <f t="shared" si="17"/>
        <v>0</v>
      </c>
      <c r="U158" s="268"/>
      <c r="V158" s="267"/>
    </row>
    <row r="159" spans="1:22">
      <c r="A159" s="267"/>
      <c r="B159" s="267"/>
      <c r="C159" s="268"/>
      <c r="D159" s="268"/>
      <c r="E159" s="268"/>
      <c r="F159" s="268"/>
      <c r="G159" s="268">
        <v>0</v>
      </c>
      <c r="H159" s="269">
        <v>0</v>
      </c>
      <c r="I159" s="270">
        <f t="shared" si="12"/>
        <v>0</v>
      </c>
      <c r="J159" s="269" t="s">
        <v>200</v>
      </c>
      <c r="K159" s="403" t="str">
        <f>'ONESheet 2.8'!BillingCountryCurrency</f>
        <v>USD</v>
      </c>
      <c r="L159" s="269">
        <v>1</v>
      </c>
      <c r="M159" s="271" cm="1">
        <f t="array" ref="M159">IF(A159&lt;&gt;"",IFERROR(INDEX('ONESheet 2.8'!AV:AV, MATCH(A159, 'ONESheet 2.8'!B:B, 0)+2),0),0)</f>
        <v>0</v>
      </c>
      <c r="N159" s="271">
        <f>IFERROR(IF(OR(ISBLANK(C159),C159='ONESheet 2.8'!CustomerCountry,COUNTIF(C159,"*xDC*")),0,10%),0)</f>
        <v>0</v>
      </c>
      <c r="O159" s="271" cm="1">
        <f t="array" ref="O159">IFERROR(INDEX(WHT!$C$7:$W$18,MATCH(
_xlfn.SWITCH(C159,"xDC Medellin","Colombia","xDC Belo Horizonte","Brazil","xDC Guadalajara","Mexico","xDC Gurugram","India","xDC Leon","Spain","xDC San Jose","Costa Rica","xDC Warsaw","Poland",C159),
WHT!$B$7:$B$18,0),MATCH('ONESheet 2.8'!CustomerCountry,WHT!$C$5:$W$5,0)),0)</f>
        <v>0</v>
      </c>
      <c r="P159" s="270">
        <f t="shared" si="14"/>
        <v>0</v>
      </c>
      <c r="Q159" s="272">
        <f t="shared" si="15"/>
        <v>0</v>
      </c>
      <c r="R159" s="272">
        <f t="shared" si="13"/>
        <v>0</v>
      </c>
      <c r="S159" s="272">
        <f t="shared" si="16"/>
        <v>0</v>
      </c>
      <c r="T159" s="272">
        <f t="shared" si="17"/>
        <v>0</v>
      </c>
      <c r="U159" s="268"/>
      <c r="V159" s="267"/>
    </row>
    <row r="160" spans="1:22">
      <c r="A160" s="267"/>
      <c r="B160" s="267"/>
      <c r="C160" s="268"/>
      <c r="D160" s="268"/>
      <c r="E160" s="268"/>
      <c r="F160" s="268"/>
      <c r="G160" s="268">
        <v>0</v>
      </c>
      <c r="H160" s="269">
        <v>0</v>
      </c>
      <c r="I160" s="270">
        <f t="shared" si="12"/>
        <v>0</v>
      </c>
      <c r="J160" s="269" t="s">
        <v>200</v>
      </c>
      <c r="K160" s="403" t="str">
        <f>'ONESheet 2.8'!BillingCountryCurrency</f>
        <v>USD</v>
      </c>
      <c r="L160" s="269">
        <v>1</v>
      </c>
      <c r="M160" s="271" cm="1">
        <f t="array" ref="M160">IF(A160&lt;&gt;"",IFERROR(INDEX('ONESheet 2.8'!AV:AV, MATCH(A160, 'ONESheet 2.8'!B:B, 0)+2),0),0)</f>
        <v>0</v>
      </c>
      <c r="N160" s="271">
        <f>IFERROR(IF(OR(ISBLANK(C160),C160='ONESheet 2.8'!CustomerCountry,COUNTIF(C160,"*xDC*")),0,10%),0)</f>
        <v>0</v>
      </c>
      <c r="O160" s="271" cm="1">
        <f t="array" ref="O160">IFERROR(INDEX(WHT!$C$7:$W$18,MATCH(
_xlfn.SWITCH(C160,"xDC Medellin","Colombia","xDC Belo Horizonte","Brazil","xDC Guadalajara","Mexico","xDC Gurugram","India","xDC Leon","Spain","xDC San Jose","Costa Rica","xDC Warsaw","Poland",C160),
WHT!$B$7:$B$18,0),MATCH('ONESheet 2.8'!CustomerCountry,WHT!$C$5:$W$5,0)),0)</f>
        <v>0</v>
      </c>
      <c r="P160" s="270">
        <f t="shared" si="14"/>
        <v>0</v>
      </c>
      <c r="Q160" s="272">
        <f t="shared" si="15"/>
        <v>0</v>
      </c>
      <c r="R160" s="272">
        <f t="shared" si="13"/>
        <v>0</v>
      </c>
      <c r="S160" s="272">
        <f t="shared" si="16"/>
        <v>0</v>
      </c>
      <c r="T160" s="272">
        <f t="shared" si="17"/>
        <v>0</v>
      </c>
      <c r="U160" s="268"/>
      <c r="V160" s="267"/>
    </row>
    <row r="161" spans="1:22">
      <c r="A161" s="267"/>
      <c r="B161" s="267"/>
      <c r="C161" s="268"/>
      <c r="D161" s="268"/>
      <c r="E161" s="268"/>
      <c r="F161" s="268"/>
      <c r="G161" s="268">
        <v>0</v>
      </c>
      <c r="H161" s="269">
        <v>0</v>
      </c>
      <c r="I161" s="270">
        <f t="shared" si="12"/>
        <v>0</v>
      </c>
      <c r="J161" s="269" t="s">
        <v>200</v>
      </c>
      <c r="K161" s="403" t="str">
        <f>'ONESheet 2.8'!BillingCountryCurrency</f>
        <v>USD</v>
      </c>
      <c r="L161" s="269">
        <v>1</v>
      </c>
      <c r="M161" s="271" cm="1">
        <f t="array" ref="M161">IF(A161&lt;&gt;"",IFERROR(INDEX('ONESheet 2.8'!AV:AV, MATCH(A161, 'ONESheet 2.8'!B:B, 0)+2),0),0)</f>
        <v>0</v>
      </c>
      <c r="N161" s="271">
        <f>IFERROR(IF(OR(ISBLANK(C161),C161='ONESheet 2.8'!CustomerCountry,COUNTIF(C161,"*xDC*")),0,10%),0)</f>
        <v>0</v>
      </c>
      <c r="O161" s="271" cm="1">
        <f t="array" ref="O161">IFERROR(INDEX(WHT!$C$7:$W$18,MATCH(
_xlfn.SWITCH(C161,"xDC Medellin","Colombia","xDC Belo Horizonte","Brazil","xDC Guadalajara","Mexico","xDC Gurugram","India","xDC Leon","Spain","xDC San Jose","Costa Rica","xDC Warsaw","Poland",C161),
WHT!$B$7:$B$18,0),MATCH('ONESheet 2.8'!CustomerCountry,WHT!$C$5:$W$5,0)),0)</f>
        <v>0</v>
      </c>
      <c r="P161" s="270">
        <f t="shared" si="14"/>
        <v>0</v>
      </c>
      <c r="Q161" s="272">
        <f t="shared" si="15"/>
        <v>0</v>
      </c>
      <c r="R161" s="272">
        <f t="shared" si="13"/>
        <v>0</v>
      </c>
      <c r="S161" s="272">
        <f t="shared" si="16"/>
        <v>0</v>
      </c>
      <c r="T161" s="272">
        <f t="shared" si="17"/>
        <v>0</v>
      </c>
      <c r="U161" s="268"/>
      <c r="V161" s="267"/>
    </row>
    <row r="162" spans="1:22">
      <c r="A162" s="267"/>
      <c r="B162" s="267"/>
      <c r="C162" s="268"/>
      <c r="D162" s="268"/>
      <c r="E162" s="268"/>
      <c r="F162" s="268"/>
      <c r="G162" s="268">
        <v>0</v>
      </c>
      <c r="H162" s="269">
        <v>0</v>
      </c>
      <c r="I162" s="270">
        <f t="shared" si="12"/>
        <v>0</v>
      </c>
      <c r="J162" s="269" t="s">
        <v>200</v>
      </c>
      <c r="K162" s="403" t="str">
        <f>'ONESheet 2.8'!BillingCountryCurrency</f>
        <v>USD</v>
      </c>
      <c r="L162" s="269">
        <v>1</v>
      </c>
      <c r="M162" s="271" cm="1">
        <f t="array" ref="M162">IF(A162&lt;&gt;"",IFERROR(INDEX('ONESheet 2.8'!AV:AV, MATCH(A162, 'ONESheet 2.8'!B:B, 0)+2),0),0)</f>
        <v>0</v>
      </c>
      <c r="N162" s="271">
        <f>IFERROR(IF(OR(ISBLANK(C162),C162='ONESheet 2.8'!CustomerCountry,COUNTIF(C162,"*xDC*")),0,10%),0)</f>
        <v>0</v>
      </c>
      <c r="O162" s="271" cm="1">
        <f t="array" ref="O162">IFERROR(INDEX(WHT!$C$7:$W$18,MATCH(
_xlfn.SWITCH(C162,"xDC Medellin","Colombia","xDC Belo Horizonte","Brazil","xDC Guadalajara","Mexico","xDC Gurugram","India","xDC Leon","Spain","xDC San Jose","Costa Rica","xDC Warsaw","Poland",C162),
WHT!$B$7:$B$18,0),MATCH('ONESheet 2.8'!CustomerCountry,WHT!$C$5:$W$5,0)),0)</f>
        <v>0</v>
      </c>
      <c r="P162" s="270">
        <f t="shared" si="14"/>
        <v>0</v>
      </c>
      <c r="Q162" s="272">
        <f t="shared" si="15"/>
        <v>0</v>
      </c>
      <c r="R162" s="272">
        <f t="shared" si="13"/>
        <v>0</v>
      </c>
      <c r="S162" s="272">
        <f t="shared" si="16"/>
        <v>0</v>
      </c>
      <c r="T162" s="272">
        <f t="shared" si="17"/>
        <v>0</v>
      </c>
      <c r="U162" s="268"/>
      <c r="V162" s="267"/>
    </row>
    <row r="163" spans="1:22">
      <c r="A163" s="267"/>
      <c r="B163" s="267"/>
      <c r="C163" s="268"/>
      <c r="D163" s="268"/>
      <c r="E163" s="268"/>
      <c r="F163" s="268"/>
      <c r="G163" s="268">
        <v>0</v>
      </c>
      <c r="H163" s="269">
        <v>0</v>
      </c>
      <c r="I163" s="270">
        <f t="shared" si="12"/>
        <v>0</v>
      </c>
      <c r="J163" s="269" t="s">
        <v>200</v>
      </c>
      <c r="K163" s="403" t="str">
        <f>'ONESheet 2.8'!BillingCountryCurrency</f>
        <v>USD</v>
      </c>
      <c r="L163" s="269">
        <v>1</v>
      </c>
      <c r="M163" s="271" cm="1">
        <f t="array" ref="M163">IF(A163&lt;&gt;"",IFERROR(INDEX('ONESheet 2.8'!AV:AV, MATCH(A163, 'ONESheet 2.8'!B:B, 0)+2),0),0)</f>
        <v>0</v>
      </c>
      <c r="N163" s="271">
        <f>IFERROR(IF(OR(ISBLANK(C163),C163='ONESheet 2.8'!CustomerCountry,COUNTIF(C163,"*xDC*")),0,10%),0)</f>
        <v>0</v>
      </c>
      <c r="O163" s="271" cm="1">
        <f t="array" ref="O163">IFERROR(INDEX(WHT!$C$7:$W$18,MATCH(
_xlfn.SWITCH(C163,"xDC Medellin","Colombia","xDC Belo Horizonte","Brazil","xDC Guadalajara","Mexico","xDC Gurugram","India","xDC Leon","Spain","xDC San Jose","Costa Rica","xDC Warsaw","Poland",C163),
WHT!$B$7:$B$18,0),MATCH('ONESheet 2.8'!CustomerCountry,WHT!$C$5:$W$5,0)),0)</f>
        <v>0</v>
      </c>
      <c r="P163" s="270">
        <f t="shared" si="14"/>
        <v>0</v>
      </c>
      <c r="Q163" s="272">
        <f t="shared" si="15"/>
        <v>0</v>
      </c>
      <c r="R163" s="272">
        <f t="shared" si="13"/>
        <v>0</v>
      </c>
      <c r="S163" s="272">
        <f t="shared" si="16"/>
        <v>0</v>
      </c>
      <c r="T163" s="272">
        <f t="shared" si="17"/>
        <v>0</v>
      </c>
      <c r="U163" s="268"/>
      <c r="V163" s="267"/>
    </row>
    <row r="164" spans="1:22">
      <c r="A164" s="267"/>
      <c r="B164" s="267"/>
      <c r="C164" s="268"/>
      <c r="D164" s="268"/>
      <c r="E164" s="268"/>
      <c r="F164" s="268"/>
      <c r="G164" s="268">
        <v>0</v>
      </c>
      <c r="H164" s="269">
        <v>0</v>
      </c>
      <c r="I164" s="270">
        <f t="shared" si="12"/>
        <v>0</v>
      </c>
      <c r="J164" s="269" t="s">
        <v>200</v>
      </c>
      <c r="K164" s="403" t="str">
        <f>'ONESheet 2.8'!BillingCountryCurrency</f>
        <v>USD</v>
      </c>
      <c r="L164" s="269">
        <v>1</v>
      </c>
      <c r="M164" s="271" cm="1">
        <f t="array" ref="M164">IF(A164&lt;&gt;"",IFERROR(INDEX('ONESheet 2.8'!AV:AV, MATCH(A164, 'ONESheet 2.8'!B:B, 0)+2),0),0)</f>
        <v>0</v>
      </c>
      <c r="N164" s="271">
        <f>IFERROR(IF(OR(ISBLANK(C164),C164='ONESheet 2.8'!CustomerCountry,COUNTIF(C164,"*xDC*")),0,10%),0)</f>
        <v>0</v>
      </c>
      <c r="O164" s="271" cm="1">
        <f t="array" ref="O164">IFERROR(INDEX(WHT!$C$7:$W$18,MATCH(
_xlfn.SWITCH(C164,"xDC Medellin","Colombia","xDC Belo Horizonte","Brazil","xDC Guadalajara","Mexico","xDC Gurugram","India","xDC Leon","Spain","xDC San Jose","Costa Rica","xDC Warsaw","Poland",C164),
WHT!$B$7:$B$18,0),MATCH('ONESheet 2.8'!CustomerCountry,WHT!$C$5:$W$5,0)),0)</f>
        <v>0</v>
      </c>
      <c r="P164" s="270">
        <f t="shared" si="14"/>
        <v>0</v>
      </c>
      <c r="Q164" s="272">
        <f t="shared" si="15"/>
        <v>0</v>
      </c>
      <c r="R164" s="272">
        <f t="shared" si="13"/>
        <v>0</v>
      </c>
      <c r="S164" s="272">
        <f t="shared" si="16"/>
        <v>0</v>
      </c>
      <c r="T164" s="272">
        <f t="shared" si="17"/>
        <v>0</v>
      </c>
      <c r="U164" s="268"/>
      <c r="V164" s="267"/>
    </row>
    <row r="165" spans="1:22">
      <c r="A165" s="267"/>
      <c r="B165" s="267"/>
      <c r="C165" s="268"/>
      <c r="D165" s="268"/>
      <c r="E165" s="268"/>
      <c r="F165" s="268"/>
      <c r="G165" s="268">
        <v>0</v>
      </c>
      <c r="H165" s="269">
        <v>0</v>
      </c>
      <c r="I165" s="270">
        <f t="shared" si="12"/>
        <v>0</v>
      </c>
      <c r="J165" s="269" t="s">
        <v>200</v>
      </c>
      <c r="K165" s="403" t="str">
        <f>'ONESheet 2.8'!BillingCountryCurrency</f>
        <v>USD</v>
      </c>
      <c r="L165" s="269">
        <v>1</v>
      </c>
      <c r="M165" s="271" cm="1">
        <f t="array" ref="M165">IF(A165&lt;&gt;"",IFERROR(INDEX('ONESheet 2.8'!AV:AV, MATCH(A165, 'ONESheet 2.8'!B:B, 0)+2),0),0)</f>
        <v>0</v>
      </c>
      <c r="N165" s="271">
        <f>IFERROR(IF(OR(ISBLANK(C165),C165='ONESheet 2.8'!CustomerCountry,COUNTIF(C165,"*xDC*")),0,10%),0)</f>
        <v>0</v>
      </c>
      <c r="O165" s="271" cm="1">
        <f t="array" ref="O165">IFERROR(INDEX(WHT!$C$7:$W$18,MATCH(
_xlfn.SWITCH(C165,"xDC Medellin","Colombia","xDC Belo Horizonte","Brazil","xDC Guadalajara","Mexico","xDC Gurugram","India","xDC Leon","Spain","xDC San Jose","Costa Rica","xDC Warsaw","Poland",C165),
WHT!$B$7:$B$18,0),MATCH('ONESheet 2.8'!CustomerCountry,WHT!$C$5:$W$5,0)),0)</f>
        <v>0</v>
      </c>
      <c r="P165" s="270">
        <f t="shared" si="14"/>
        <v>0</v>
      </c>
      <c r="Q165" s="272">
        <f t="shared" si="15"/>
        <v>0</v>
      </c>
      <c r="R165" s="272">
        <f t="shared" si="13"/>
        <v>0</v>
      </c>
      <c r="S165" s="272">
        <f t="shared" si="16"/>
        <v>0</v>
      </c>
      <c r="T165" s="272">
        <f t="shared" si="17"/>
        <v>0</v>
      </c>
      <c r="U165" s="268"/>
      <c r="V165" s="267"/>
    </row>
    <row r="166" spans="1:22">
      <c r="A166" s="267"/>
      <c r="B166" s="267"/>
      <c r="C166" s="268"/>
      <c r="D166" s="268"/>
      <c r="E166" s="268"/>
      <c r="F166" s="268"/>
      <c r="G166" s="268">
        <v>0</v>
      </c>
      <c r="H166" s="269">
        <v>0</v>
      </c>
      <c r="I166" s="270">
        <f t="shared" si="12"/>
        <v>0</v>
      </c>
      <c r="J166" s="269" t="s">
        <v>200</v>
      </c>
      <c r="K166" s="403" t="str">
        <f>'ONESheet 2.8'!BillingCountryCurrency</f>
        <v>USD</v>
      </c>
      <c r="L166" s="269">
        <v>1</v>
      </c>
      <c r="M166" s="271" cm="1">
        <f t="array" ref="M166">IF(A166&lt;&gt;"",IFERROR(INDEX('ONESheet 2.8'!AV:AV, MATCH(A166, 'ONESheet 2.8'!B:B, 0)+2),0),0)</f>
        <v>0</v>
      </c>
      <c r="N166" s="271">
        <f>IFERROR(IF(OR(ISBLANK(C166),C166='ONESheet 2.8'!CustomerCountry,COUNTIF(C166,"*xDC*")),0,10%),0)</f>
        <v>0</v>
      </c>
      <c r="O166" s="271" cm="1">
        <f t="array" ref="O166">IFERROR(INDEX(WHT!$C$7:$W$18,MATCH(
_xlfn.SWITCH(C166,"xDC Medellin","Colombia","xDC Belo Horizonte","Brazil","xDC Guadalajara","Mexico","xDC Gurugram","India","xDC Leon","Spain","xDC San Jose","Costa Rica","xDC Warsaw","Poland",C166),
WHT!$B$7:$B$18,0),MATCH('ONESheet 2.8'!CustomerCountry,WHT!$C$5:$W$5,0)),0)</f>
        <v>0</v>
      </c>
      <c r="P166" s="270">
        <f t="shared" si="14"/>
        <v>0</v>
      </c>
      <c r="Q166" s="272">
        <f t="shared" si="15"/>
        <v>0</v>
      </c>
      <c r="R166" s="272">
        <f t="shared" si="13"/>
        <v>0</v>
      </c>
      <c r="S166" s="272">
        <f t="shared" si="16"/>
        <v>0</v>
      </c>
      <c r="T166" s="272">
        <f t="shared" si="17"/>
        <v>0</v>
      </c>
      <c r="U166" s="268"/>
      <c r="V166" s="267"/>
    </row>
    <row r="167" spans="1:22">
      <c r="A167" s="267"/>
      <c r="B167" s="267"/>
      <c r="C167" s="268"/>
      <c r="D167" s="268"/>
      <c r="E167" s="268"/>
      <c r="F167" s="268"/>
      <c r="G167" s="268">
        <v>0</v>
      </c>
      <c r="H167" s="269">
        <v>0</v>
      </c>
      <c r="I167" s="270">
        <f t="shared" si="12"/>
        <v>0</v>
      </c>
      <c r="J167" s="269" t="s">
        <v>200</v>
      </c>
      <c r="K167" s="403" t="str">
        <f>'ONESheet 2.8'!BillingCountryCurrency</f>
        <v>USD</v>
      </c>
      <c r="L167" s="269">
        <v>1</v>
      </c>
      <c r="M167" s="271" cm="1">
        <f t="array" ref="M167">IF(A167&lt;&gt;"",IFERROR(INDEX('ONESheet 2.8'!AV:AV, MATCH(A167, 'ONESheet 2.8'!B:B, 0)+2),0),0)</f>
        <v>0</v>
      </c>
      <c r="N167" s="271">
        <f>IFERROR(IF(OR(ISBLANK(C167),C167='ONESheet 2.8'!CustomerCountry,COUNTIF(C167,"*xDC*")),0,10%),0)</f>
        <v>0</v>
      </c>
      <c r="O167" s="271" cm="1">
        <f t="array" ref="O167">IFERROR(INDEX(WHT!$C$7:$W$18,MATCH(
_xlfn.SWITCH(C167,"xDC Medellin","Colombia","xDC Belo Horizonte","Brazil","xDC Guadalajara","Mexico","xDC Gurugram","India","xDC Leon","Spain","xDC San Jose","Costa Rica","xDC Warsaw","Poland",C167),
WHT!$B$7:$B$18,0),MATCH('ONESheet 2.8'!CustomerCountry,WHT!$C$5:$W$5,0)),0)</f>
        <v>0</v>
      </c>
      <c r="P167" s="270">
        <f t="shared" si="14"/>
        <v>0</v>
      </c>
      <c r="Q167" s="272">
        <f t="shared" si="15"/>
        <v>0</v>
      </c>
      <c r="R167" s="272">
        <f t="shared" si="13"/>
        <v>0</v>
      </c>
      <c r="S167" s="272">
        <f t="shared" si="16"/>
        <v>0</v>
      </c>
      <c r="T167" s="272">
        <f t="shared" si="17"/>
        <v>0</v>
      </c>
      <c r="U167" s="268"/>
      <c r="V167" s="267"/>
    </row>
    <row r="168" spans="1:22">
      <c r="A168" s="267"/>
      <c r="B168" s="267"/>
      <c r="C168" s="268"/>
      <c r="D168" s="268"/>
      <c r="E168" s="268"/>
      <c r="F168" s="268"/>
      <c r="G168" s="268">
        <v>0</v>
      </c>
      <c r="H168" s="269">
        <v>0</v>
      </c>
      <c r="I168" s="270">
        <f t="shared" si="12"/>
        <v>0</v>
      </c>
      <c r="J168" s="269" t="s">
        <v>200</v>
      </c>
      <c r="K168" s="403" t="str">
        <f>'ONESheet 2.8'!BillingCountryCurrency</f>
        <v>USD</v>
      </c>
      <c r="L168" s="269">
        <v>1</v>
      </c>
      <c r="M168" s="271" cm="1">
        <f t="array" ref="M168">IF(A168&lt;&gt;"",IFERROR(INDEX('ONESheet 2.8'!AV:AV, MATCH(A168, 'ONESheet 2.8'!B:B, 0)+2),0),0)</f>
        <v>0</v>
      </c>
      <c r="N168" s="271">
        <f>IFERROR(IF(OR(ISBLANK(C168),C168='ONESheet 2.8'!CustomerCountry,COUNTIF(C168,"*xDC*")),0,10%),0)</f>
        <v>0</v>
      </c>
      <c r="O168" s="271" cm="1">
        <f t="array" ref="O168">IFERROR(INDEX(WHT!$C$7:$W$18,MATCH(
_xlfn.SWITCH(C168,"xDC Medellin","Colombia","xDC Belo Horizonte","Brazil","xDC Guadalajara","Mexico","xDC Gurugram","India","xDC Leon","Spain","xDC San Jose","Costa Rica","xDC Warsaw","Poland",C168),
WHT!$B$7:$B$18,0),MATCH('ONESheet 2.8'!CustomerCountry,WHT!$C$5:$W$5,0)),0)</f>
        <v>0</v>
      </c>
      <c r="P168" s="270">
        <f t="shared" si="14"/>
        <v>0</v>
      </c>
      <c r="Q168" s="272">
        <f t="shared" si="15"/>
        <v>0</v>
      </c>
      <c r="R168" s="272">
        <f t="shared" si="13"/>
        <v>0</v>
      </c>
      <c r="S168" s="272">
        <f t="shared" si="16"/>
        <v>0</v>
      </c>
      <c r="T168" s="272">
        <f t="shared" si="17"/>
        <v>0</v>
      </c>
      <c r="U168" s="268"/>
      <c r="V168" s="267"/>
    </row>
    <row r="169" spans="1:22">
      <c r="A169" s="267"/>
      <c r="B169" s="267"/>
      <c r="C169" s="268"/>
      <c r="D169" s="268"/>
      <c r="E169" s="268"/>
      <c r="F169" s="268"/>
      <c r="G169" s="268">
        <v>0</v>
      </c>
      <c r="H169" s="269">
        <v>0</v>
      </c>
      <c r="I169" s="270">
        <f t="shared" si="12"/>
        <v>0</v>
      </c>
      <c r="J169" s="269" t="s">
        <v>200</v>
      </c>
      <c r="K169" s="403" t="str">
        <f>'ONESheet 2.8'!BillingCountryCurrency</f>
        <v>USD</v>
      </c>
      <c r="L169" s="269">
        <v>1</v>
      </c>
      <c r="M169" s="271" cm="1">
        <f t="array" ref="M169">IF(A169&lt;&gt;"",IFERROR(INDEX('ONESheet 2.8'!AV:AV, MATCH(A169, 'ONESheet 2.8'!B:B, 0)+2),0),0)</f>
        <v>0</v>
      </c>
      <c r="N169" s="271">
        <f>IFERROR(IF(OR(ISBLANK(C169),C169='ONESheet 2.8'!CustomerCountry,COUNTIF(C169,"*xDC*")),0,10%),0)</f>
        <v>0</v>
      </c>
      <c r="O169" s="271" cm="1">
        <f t="array" ref="O169">IFERROR(INDEX(WHT!$C$7:$W$18,MATCH(
_xlfn.SWITCH(C169,"xDC Medellin","Colombia","xDC Belo Horizonte","Brazil","xDC Guadalajara","Mexico","xDC Gurugram","India","xDC Leon","Spain","xDC San Jose","Costa Rica","xDC Warsaw","Poland",C169),
WHT!$B$7:$B$18,0),MATCH('ONESheet 2.8'!CustomerCountry,WHT!$C$5:$W$5,0)),0)</f>
        <v>0</v>
      </c>
      <c r="P169" s="270">
        <f t="shared" si="14"/>
        <v>0</v>
      </c>
      <c r="Q169" s="272">
        <f t="shared" si="15"/>
        <v>0</v>
      </c>
      <c r="R169" s="272">
        <f t="shared" si="13"/>
        <v>0</v>
      </c>
      <c r="S169" s="272">
        <f t="shared" si="16"/>
        <v>0</v>
      </c>
      <c r="T169" s="272">
        <f t="shared" si="17"/>
        <v>0</v>
      </c>
      <c r="U169" s="268"/>
      <c r="V169" s="267"/>
    </row>
    <row r="170" spans="1:22">
      <c r="A170" s="267"/>
      <c r="B170" s="267"/>
      <c r="C170" s="268"/>
      <c r="D170" s="268"/>
      <c r="E170" s="268"/>
      <c r="F170" s="268"/>
      <c r="G170" s="268">
        <v>0</v>
      </c>
      <c r="H170" s="269">
        <v>0</v>
      </c>
      <c r="I170" s="270">
        <f t="shared" si="12"/>
        <v>0</v>
      </c>
      <c r="J170" s="269" t="s">
        <v>200</v>
      </c>
      <c r="K170" s="403" t="str">
        <f>'ONESheet 2.8'!BillingCountryCurrency</f>
        <v>USD</v>
      </c>
      <c r="L170" s="269">
        <v>1</v>
      </c>
      <c r="M170" s="271" cm="1">
        <f t="array" ref="M170">IF(A170&lt;&gt;"",IFERROR(INDEX('ONESheet 2.8'!AV:AV, MATCH(A170, 'ONESheet 2.8'!B:B, 0)+2),0),0)</f>
        <v>0</v>
      </c>
      <c r="N170" s="271">
        <f>IFERROR(IF(OR(ISBLANK(C170),C170='ONESheet 2.8'!CustomerCountry,COUNTIF(C170,"*xDC*")),0,10%),0)</f>
        <v>0</v>
      </c>
      <c r="O170" s="271" cm="1">
        <f t="array" ref="O170">IFERROR(INDEX(WHT!$C$7:$W$18,MATCH(
_xlfn.SWITCH(C170,"xDC Medellin","Colombia","xDC Belo Horizonte","Brazil","xDC Guadalajara","Mexico","xDC Gurugram","India","xDC Leon","Spain","xDC San Jose","Costa Rica","xDC Warsaw","Poland",C170),
WHT!$B$7:$B$18,0),MATCH('ONESheet 2.8'!CustomerCountry,WHT!$C$5:$W$5,0)),0)</f>
        <v>0</v>
      </c>
      <c r="P170" s="270">
        <f t="shared" si="14"/>
        <v>0</v>
      </c>
      <c r="Q170" s="272">
        <f t="shared" si="15"/>
        <v>0</v>
      </c>
      <c r="R170" s="272">
        <f t="shared" si="13"/>
        <v>0</v>
      </c>
      <c r="S170" s="272">
        <f t="shared" si="16"/>
        <v>0</v>
      </c>
      <c r="T170" s="272">
        <f t="shared" si="17"/>
        <v>0</v>
      </c>
      <c r="U170" s="268"/>
      <c r="V170" s="267"/>
    </row>
    <row r="171" spans="1:22">
      <c r="A171" s="267"/>
      <c r="B171" s="267"/>
      <c r="C171" s="268"/>
      <c r="D171" s="268"/>
      <c r="E171" s="268"/>
      <c r="F171" s="268"/>
      <c r="G171" s="268">
        <v>0</v>
      </c>
      <c r="H171" s="269">
        <v>0</v>
      </c>
      <c r="I171" s="270">
        <f t="shared" si="12"/>
        <v>0</v>
      </c>
      <c r="J171" s="269" t="s">
        <v>200</v>
      </c>
      <c r="K171" s="403" t="str">
        <f>'ONESheet 2.8'!BillingCountryCurrency</f>
        <v>USD</v>
      </c>
      <c r="L171" s="269">
        <v>1</v>
      </c>
      <c r="M171" s="271" cm="1">
        <f t="array" ref="M171">IF(A171&lt;&gt;"",IFERROR(INDEX('ONESheet 2.8'!AV:AV, MATCH(A171, 'ONESheet 2.8'!B:B, 0)+2),0),0)</f>
        <v>0</v>
      </c>
      <c r="N171" s="271">
        <f>IFERROR(IF(OR(ISBLANK(C171),C171='ONESheet 2.8'!CustomerCountry,COUNTIF(C171,"*xDC*")),0,10%),0)</f>
        <v>0</v>
      </c>
      <c r="O171" s="271" cm="1">
        <f t="array" ref="O171">IFERROR(INDEX(WHT!$C$7:$W$18,MATCH(
_xlfn.SWITCH(C171,"xDC Medellin","Colombia","xDC Belo Horizonte","Brazil","xDC Guadalajara","Mexico","xDC Gurugram","India","xDC Leon","Spain","xDC San Jose","Costa Rica","xDC Warsaw","Poland",C171),
WHT!$B$7:$B$18,0),MATCH('ONESheet 2.8'!CustomerCountry,WHT!$C$5:$W$5,0)),0)</f>
        <v>0</v>
      </c>
      <c r="P171" s="270">
        <f t="shared" si="14"/>
        <v>0</v>
      </c>
      <c r="Q171" s="272">
        <f t="shared" si="15"/>
        <v>0</v>
      </c>
      <c r="R171" s="272">
        <f t="shared" si="13"/>
        <v>0</v>
      </c>
      <c r="S171" s="272">
        <f t="shared" si="16"/>
        <v>0</v>
      </c>
      <c r="T171" s="272">
        <f t="shared" si="17"/>
        <v>0</v>
      </c>
      <c r="U171" s="268"/>
      <c r="V171" s="267"/>
    </row>
    <row r="172" spans="1:22">
      <c r="A172" s="267"/>
      <c r="B172" s="267"/>
      <c r="C172" s="268"/>
      <c r="D172" s="268"/>
      <c r="E172" s="268"/>
      <c r="F172" s="268"/>
      <c r="G172" s="268">
        <v>0</v>
      </c>
      <c r="H172" s="269">
        <v>0</v>
      </c>
      <c r="I172" s="270">
        <f t="shared" si="12"/>
        <v>0</v>
      </c>
      <c r="J172" s="269" t="s">
        <v>200</v>
      </c>
      <c r="K172" s="403" t="str">
        <f>'ONESheet 2.8'!BillingCountryCurrency</f>
        <v>USD</v>
      </c>
      <c r="L172" s="269">
        <v>1</v>
      </c>
      <c r="M172" s="271" cm="1">
        <f t="array" ref="M172">IF(A172&lt;&gt;"",IFERROR(INDEX('ONESheet 2.8'!AV:AV, MATCH(A172, 'ONESheet 2.8'!B:B, 0)+2),0),0)</f>
        <v>0</v>
      </c>
      <c r="N172" s="271">
        <f>IFERROR(IF(OR(ISBLANK(C172),C172='ONESheet 2.8'!CustomerCountry,COUNTIF(C172,"*xDC*")),0,10%),0)</f>
        <v>0</v>
      </c>
      <c r="O172" s="271" cm="1">
        <f t="array" ref="O172">IFERROR(INDEX(WHT!$C$7:$W$18,MATCH(
_xlfn.SWITCH(C172,"xDC Medellin","Colombia","xDC Belo Horizonte","Brazil","xDC Guadalajara","Mexico","xDC Gurugram","India","xDC Leon","Spain","xDC San Jose","Costa Rica","xDC Warsaw","Poland",C172),
WHT!$B$7:$B$18,0),MATCH('ONESheet 2.8'!CustomerCountry,WHT!$C$5:$W$5,0)),0)</f>
        <v>0</v>
      </c>
      <c r="P172" s="270">
        <f t="shared" si="14"/>
        <v>0</v>
      </c>
      <c r="Q172" s="272">
        <f t="shared" si="15"/>
        <v>0</v>
      </c>
      <c r="R172" s="272">
        <f t="shared" si="13"/>
        <v>0</v>
      </c>
      <c r="S172" s="272">
        <f t="shared" si="16"/>
        <v>0</v>
      </c>
      <c r="T172" s="272">
        <f t="shared" si="17"/>
        <v>0</v>
      </c>
      <c r="U172" s="268"/>
      <c r="V172" s="267"/>
    </row>
    <row r="173" spans="1:22">
      <c r="A173" s="267"/>
      <c r="B173" s="267"/>
      <c r="C173" s="268"/>
      <c r="D173" s="268"/>
      <c r="E173" s="268"/>
      <c r="F173" s="268"/>
      <c r="G173" s="268">
        <v>0</v>
      </c>
      <c r="H173" s="269">
        <v>0</v>
      </c>
      <c r="I173" s="270">
        <f t="shared" si="12"/>
        <v>0</v>
      </c>
      <c r="J173" s="269" t="s">
        <v>200</v>
      </c>
      <c r="K173" s="403" t="str">
        <f>'ONESheet 2.8'!BillingCountryCurrency</f>
        <v>USD</v>
      </c>
      <c r="L173" s="269">
        <v>1</v>
      </c>
      <c r="M173" s="271" cm="1">
        <f t="array" ref="M173">IF(A173&lt;&gt;"",IFERROR(INDEX('ONESheet 2.8'!AV:AV, MATCH(A173, 'ONESheet 2.8'!B:B, 0)+2),0),0)</f>
        <v>0</v>
      </c>
      <c r="N173" s="271">
        <f>IFERROR(IF(OR(ISBLANK(C173),C173='ONESheet 2.8'!CustomerCountry,COUNTIF(C173,"*xDC*")),0,10%),0)</f>
        <v>0</v>
      </c>
      <c r="O173" s="271" cm="1">
        <f t="array" ref="O173">IFERROR(INDEX(WHT!$C$7:$W$18,MATCH(
_xlfn.SWITCH(C173,"xDC Medellin","Colombia","xDC Belo Horizonte","Brazil","xDC Guadalajara","Mexico","xDC Gurugram","India","xDC Leon","Spain","xDC San Jose","Costa Rica","xDC Warsaw","Poland",C173),
WHT!$B$7:$B$18,0),MATCH('ONESheet 2.8'!CustomerCountry,WHT!$C$5:$W$5,0)),0)</f>
        <v>0</v>
      </c>
      <c r="P173" s="270">
        <f t="shared" si="14"/>
        <v>0</v>
      </c>
      <c r="Q173" s="272">
        <f t="shared" si="15"/>
        <v>0</v>
      </c>
      <c r="R173" s="272">
        <f t="shared" si="13"/>
        <v>0</v>
      </c>
      <c r="S173" s="272">
        <f t="shared" si="16"/>
        <v>0</v>
      </c>
      <c r="T173" s="272">
        <f t="shared" si="17"/>
        <v>0</v>
      </c>
      <c r="U173" s="268"/>
      <c r="V173" s="267"/>
    </row>
    <row r="174" spans="1:22">
      <c r="A174" s="267"/>
      <c r="B174" s="267"/>
      <c r="C174" s="268"/>
      <c r="D174" s="268"/>
      <c r="E174" s="268"/>
      <c r="F174" s="268"/>
      <c r="G174" s="268">
        <v>0</v>
      </c>
      <c r="H174" s="269">
        <v>0</v>
      </c>
      <c r="I174" s="270">
        <f t="shared" si="12"/>
        <v>0</v>
      </c>
      <c r="J174" s="269" t="s">
        <v>200</v>
      </c>
      <c r="K174" s="403" t="str">
        <f>'ONESheet 2.8'!BillingCountryCurrency</f>
        <v>USD</v>
      </c>
      <c r="L174" s="269">
        <v>1</v>
      </c>
      <c r="M174" s="271" cm="1">
        <f t="array" ref="M174">IF(A174&lt;&gt;"",IFERROR(INDEX('ONESheet 2.8'!AV:AV, MATCH(A174, 'ONESheet 2.8'!B:B, 0)+2),0),0)</f>
        <v>0</v>
      </c>
      <c r="N174" s="271">
        <f>IFERROR(IF(OR(ISBLANK(C174),C174='ONESheet 2.8'!CustomerCountry,COUNTIF(C174,"*xDC*")),0,10%),0)</f>
        <v>0</v>
      </c>
      <c r="O174" s="271" cm="1">
        <f t="array" ref="O174">IFERROR(INDEX(WHT!$C$7:$W$18,MATCH(
_xlfn.SWITCH(C174,"xDC Medellin","Colombia","xDC Belo Horizonte","Brazil","xDC Guadalajara","Mexico","xDC Gurugram","India","xDC Leon","Spain","xDC San Jose","Costa Rica","xDC Warsaw","Poland",C174),
WHT!$B$7:$B$18,0),MATCH('ONESheet 2.8'!CustomerCountry,WHT!$C$5:$W$5,0)),0)</f>
        <v>0</v>
      </c>
      <c r="P174" s="270">
        <f t="shared" si="14"/>
        <v>0</v>
      </c>
      <c r="Q174" s="272">
        <f t="shared" si="15"/>
        <v>0</v>
      </c>
      <c r="R174" s="272">
        <f t="shared" si="13"/>
        <v>0</v>
      </c>
      <c r="S174" s="272">
        <f t="shared" si="16"/>
        <v>0</v>
      </c>
      <c r="T174" s="272">
        <f t="shared" si="17"/>
        <v>0</v>
      </c>
      <c r="U174" s="268"/>
      <c r="V174" s="267"/>
    </row>
    <row r="175" spans="1:22">
      <c r="A175" s="267"/>
      <c r="B175" s="267"/>
      <c r="C175" s="268"/>
      <c r="D175" s="268"/>
      <c r="E175" s="268"/>
      <c r="F175" s="268"/>
      <c r="G175" s="268">
        <v>0</v>
      </c>
      <c r="H175" s="269">
        <v>0</v>
      </c>
      <c r="I175" s="270">
        <f t="shared" si="12"/>
        <v>0</v>
      </c>
      <c r="J175" s="269" t="s">
        <v>200</v>
      </c>
      <c r="K175" s="403" t="str">
        <f>'ONESheet 2.8'!BillingCountryCurrency</f>
        <v>USD</v>
      </c>
      <c r="L175" s="269">
        <v>1</v>
      </c>
      <c r="M175" s="271" cm="1">
        <f t="array" ref="M175">IF(A175&lt;&gt;"",IFERROR(INDEX('ONESheet 2.8'!AV:AV, MATCH(A175, 'ONESheet 2.8'!B:B, 0)+2),0),0)</f>
        <v>0</v>
      </c>
      <c r="N175" s="271">
        <f>IFERROR(IF(OR(ISBLANK(C175),C175='ONESheet 2.8'!CustomerCountry,COUNTIF(C175,"*xDC*")),0,10%),0)</f>
        <v>0</v>
      </c>
      <c r="O175" s="271" cm="1">
        <f t="array" ref="O175">IFERROR(INDEX(WHT!$C$7:$W$18,MATCH(
_xlfn.SWITCH(C175,"xDC Medellin","Colombia","xDC Belo Horizonte","Brazil","xDC Guadalajara","Mexico","xDC Gurugram","India","xDC Leon","Spain","xDC San Jose","Costa Rica","xDC Warsaw","Poland",C175),
WHT!$B$7:$B$18,0),MATCH('ONESheet 2.8'!CustomerCountry,WHT!$C$5:$W$5,0)),0)</f>
        <v>0</v>
      </c>
      <c r="P175" s="270">
        <f t="shared" si="14"/>
        <v>0</v>
      </c>
      <c r="Q175" s="272">
        <f t="shared" si="15"/>
        <v>0</v>
      </c>
      <c r="R175" s="272">
        <f t="shared" si="13"/>
        <v>0</v>
      </c>
      <c r="S175" s="272">
        <f t="shared" si="16"/>
        <v>0</v>
      </c>
      <c r="T175" s="272">
        <f t="shared" si="17"/>
        <v>0</v>
      </c>
      <c r="U175" s="268"/>
      <c r="V175" s="267"/>
    </row>
    <row r="176" spans="1:22">
      <c r="A176" s="267"/>
      <c r="B176" s="267"/>
      <c r="C176" s="268"/>
      <c r="D176" s="268"/>
      <c r="E176" s="268"/>
      <c r="F176" s="268"/>
      <c r="G176" s="268">
        <v>0</v>
      </c>
      <c r="H176" s="269">
        <v>0</v>
      </c>
      <c r="I176" s="270">
        <f t="shared" si="12"/>
        <v>0</v>
      </c>
      <c r="J176" s="269" t="s">
        <v>200</v>
      </c>
      <c r="K176" s="403" t="str">
        <f>'ONESheet 2.8'!BillingCountryCurrency</f>
        <v>USD</v>
      </c>
      <c r="L176" s="269">
        <v>1</v>
      </c>
      <c r="M176" s="271" cm="1">
        <f t="array" ref="M176">IF(A176&lt;&gt;"",IFERROR(INDEX('ONESheet 2.8'!AV:AV, MATCH(A176, 'ONESheet 2.8'!B:B, 0)+2),0),0)</f>
        <v>0</v>
      </c>
      <c r="N176" s="271">
        <f>IFERROR(IF(OR(ISBLANK(C176),C176='ONESheet 2.8'!CustomerCountry,COUNTIF(C176,"*xDC*")),0,10%),0)</f>
        <v>0</v>
      </c>
      <c r="O176" s="271" cm="1">
        <f t="array" ref="O176">IFERROR(INDEX(WHT!$C$7:$W$18,MATCH(
_xlfn.SWITCH(C176,"xDC Medellin","Colombia","xDC Belo Horizonte","Brazil","xDC Guadalajara","Mexico","xDC Gurugram","India","xDC Leon","Spain","xDC San Jose","Costa Rica","xDC Warsaw","Poland",C176),
WHT!$B$7:$B$18,0),MATCH('ONESheet 2.8'!CustomerCountry,WHT!$C$5:$W$5,0)),0)</f>
        <v>0</v>
      </c>
      <c r="P176" s="270">
        <f t="shared" si="14"/>
        <v>0</v>
      </c>
      <c r="Q176" s="272">
        <f t="shared" si="15"/>
        <v>0</v>
      </c>
      <c r="R176" s="272">
        <f t="shared" si="13"/>
        <v>0</v>
      </c>
      <c r="S176" s="272">
        <f t="shared" si="16"/>
        <v>0</v>
      </c>
      <c r="T176" s="272">
        <f t="shared" si="17"/>
        <v>0</v>
      </c>
      <c r="U176" s="268"/>
      <c r="V176" s="267"/>
    </row>
    <row r="177" spans="1:22">
      <c r="A177" s="267"/>
      <c r="B177" s="267"/>
      <c r="C177" s="268"/>
      <c r="D177" s="268"/>
      <c r="E177" s="268"/>
      <c r="F177" s="268"/>
      <c r="G177" s="268">
        <v>0</v>
      </c>
      <c r="H177" s="269">
        <v>0</v>
      </c>
      <c r="I177" s="270">
        <f t="shared" si="12"/>
        <v>0</v>
      </c>
      <c r="J177" s="269" t="s">
        <v>200</v>
      </c>
      <c r="K177" s="403" t="str">
        <f>'ONESheet 2.8'!BillingCountryCurrency</f>
        <v>USD</v>
      </c>
      <c r="L177" s="269">
        <v>1</v>
      </c>
      <c r="M177" s="271" cm="1">
        <f t="array" ref="M177">IF(A177&lt;&gt;"",IFERROR(INDEX('ONESheet 2.8'!AV:AV, MATCH(A177, 'ONESheet 2.8'!B:B, 0)+2),0),0)</f>
        <v>0</v>
      </c>
      <c r="N177" s="271">
        <f>IFERROR(IF(OR(ISBLANK(C177),C177='ONESheet 2.8'!CustomerCountry,COUNTIF(C177,"*xDC*")),0,10%),0)</f>
        <v>0</v>
      </c>
      <c r="O177" s="271" cm="1">
        <f t="array" ref="O177">IFERROR(INDEX(WHT!$C$7:$W$18,MATCH(
_xlfn.SWITCH(C177,"xDC Medellin","Colombia","xDC Belo Horizonte","Brazil","xDC Guadalajara","Mexico","xDC Gurugram","India","xDC Leon","Spain","xDC San Jose","Costa Rica","xDC Warsaw","Poland",C177),
WHT!$B$7:$B$18,0),MATCH('ONESheet 2.8'!CustomerCountry,WHT!$C$5:$W$5,0)),0)</f>
        <v>0</v>
      </c>
      <c r="P177" s="270">
        <f t="shared" si="14"/>
        <v>0</v>
      </c>
      <c r="Q177" s="272">
        <f t="shared" si="15"/>
        <v>0</v>
      </c>
      <c r="R177" s="272">
        <f t="shared" si="13"/>
        <v>0</v>
      </c>
      <c r="S177" s="272">
        <f t="shared" si="16"/>
        <v>0</v>
      </c>
      <c r="T177" s="272">
        <f t="shared" si="17"/>
        <v>0</v>
      </c>
      <c r="U177" s="268"/>
      <c r="V177" s="267"/>
    </row>
    <row r="178" spans="1:22">
      <c r="A178" s="267"/>
      <c r="B178" s="267"/>
      <c r="C178" s="268"/>
      <c r="D178" s="268"/>
      <c r="E178" s="268"/>
      <c r="F178" s="268"/>
      <c r="G178" s="268">
        <v>0</v>
      </c>
      <c r="H178" s="269">
        <v>0</v>
      </c>
      <c r="I178" s="270">
        <f t="shared" si="12"/>
        <v>0</v>
      </c>
      <c r="J178" s="269" t="s">
        <v>200</v>
      </c>
      <c r="K178" s="403" t="str">
        <f>'ONESheet 2.8'!BillingCountryCurrency</f>
        <v>USD</v>
      </c>
      <c r="L178" s="269">
        <v>1</v>
      </c>
      <c r="M178" s="271" cm="1">
        <f t="array" ref="M178">IF(A178&lt;&gt;"",IFERROR(INDEX('ONESheet 2.8'!AV:AV, MATCH(A178, 'ONESheet 2.8'!B:B, 0)+2),0),0)</f>
        <v>0</v>
      </c>
      <c r="N178" s="271">
        <f>IFERROR(IF(OR(ISBLANK(C178),C178='ONESheet 2.8'!CustomerCountry,COUNTIF(C178,"*xDC*")),0,10%),0)</f>
        <v>0</v>
      </c>
      <c r="O178" s="271" cm="1">
        <f t="array" ref="O178">IFERROR(INDEX(WHT!$C$7:$W$18,MATCH(
_xlfn.SWITCH(C178,"xDC Medellin","Colombia","xDC Belo Horizonte","Brazil","xDC Guadalajara","Mexico","xDC Gurugram","India","xDC Leon","Spain","xDC San Jose","Costa Rica","xDC Warsaw","Poland",C178),
WHT!$B$7:$B$18,0),MATCH('ONESheet 2.8'!CustomerCountry,WHT!$C$5:$W$5,0)),0)</f>
        <v>0</v>
      </c>
      <c r="P178" s="270">
        <f t="shared" si="14"/>
        <v>0</v>
      </c>
      <c r="Q178" s="272">
        <f t="shared" si="15"/>
        <v>0</v>
      </c>
      <c r="R178" s="272">
        <f t="shared" si="13"/>
        <v>0</v>
      </c>
      <c r="S178" s="272">
        <f t="shared" si="16"/>
        <v>0</v>
      </c>
      <c r="T178" s="272">
        <f t="shared" si="17"/>
        <v>0</v>
      </c>
      <c r="U178" s="268"/>
      <c r="V178" s="267"/>
    </row>
    <row r="179" spans="1:22">
      <c r="A179" s="267"/>
      <c r="B179" s="267"/>
      <c r="C179" s="268"/>
      <c r="D179" s="268"/>
      <c r="E179" s="268"/>
      <c r="F179" s="268"/>
      <c r="G179" s="268">
        <v>0</v>
      </c>
      <c r="H179" s="269">
        <v>0</v>
      </c>
      <c r="I179" s="270">
        <f t="shared" si="12"/>
        <v>0</v>
      </c>
      <c r="J179" s="269" t="s">
        <v>200</v>
      </c>
      <c r="K179" s="403" t="str">
        <f>'ONESheet 2.8'!BillingCountryCurrency</f>
        <v>USD</v>
      </c>
      <c r="L179" s="269">
        <v>1</v>
      </c>
      <c r="M179" s="271" cm="1">
        <f t="array" ref="M179">IF(A179&lt;&gt;"",IFERROR(INDEX('ONESheet 2.8'!AV:AV, MATCH(A179, 'ONESheet 2.8'!B:B, 0)+2),0),0)</f>
        <v>0</v>
      </c>
      <c r="N179" s="271">
        <f>IFERROR(IF(OR(ISBLANK(C179),C179='ONESheet 2.8'!CustomerCountry,COUNTIF(C179,"*xDC*")),0,10%),0)</f>
        <v>0</v>
      </c>
      <c r="O179" s="271" cm="1">
        <f t="array" ref="O179">IFERROR(INDEX(WHT!$C$7:$W$18,MATCH(
_xlfn.SWITCH(C179,"xDC Medellin","Colombia","xDC Belo Horizonte","Brazil","xDC Guadalajara","Mexico","xDC Gurugram","India","xDC Leon","Spain","xDC San Jose","Costa Rica","xDC Warsaw","Poland",C179),
WHT!$B$7:$B$18,0),MATCH('ONESheet 2.8'!CustomerCountry,WHT!$C$5:$W$5,0)),0)</f>
        <v>0</v>
      </c>
      <c r="P179" s="270">
        <f t="shared" si="14"/>
        <v>0</v>
      </c>
      <c r="Q179" s="272">
        <f t="shared" si="15"/>
        <v>0</v>
      </c>
      <c r="R179" s="272">
        <f t="shared" si="13"/>
        <v>0</v>
      </c>
      <c r="S179" s="272">
        <f t="shared" si="16"/>
        <v>0</v>
      </c>
      <c r="T179" s="272">
        <f t="shared" si="17"/>
        <v>0</v>
      </c>
      <c r="U179" s="268"/>
      <c r="V179" s="267"/>
    </row>
    <row r="180" spans="1:22">
      <c r="A180" s="267"/>
      <c r="B180" s="267"/>
      <c r="C180" s="268"/>
      <c r="D180" s="268"/>
      <c r="E180" s="268"/>
      <c r="F180" s="268"/>
      <c r="G180" s="268">
        <v>0</v>
      </c>
      <c r="H180" s="269">
        <v>0</v>
      </c>
      <c r="I180" s="270">
        <f t="shared" si="12"/>
        <v>0</v>
      </c>
      <c r="J180" s="269" t="s">
        <v>200</v>
      </c>
      <c r="K180" s="403" t="str">
        <f>'ONESheet 2.8'!BillingCountryCurrency</f>
        <v>USD</v>
      </c>
      <c r="L180" s="269">
        <v>1</v>
      </c>
      <c r="M180" s="271" cm="1">
        <f t="array" ref="M180">IF(A180&lt;&gt;"",IFERROR(INDEX('ONESheet 2.8'!AV:AV, MATCH(A180, 'ONESheet 2.8'!B:B, 0)+2),0),0)</f>
        <v>0</v>
      </c>
      <c r="N180" s="271">
        <f>IFERROR(IF(OR(ISBLANK(C180),C180='ONESheet 2.8'!CustomerCountry,COUNTIF(C180,"*xDC*")),0,10%),0)</f>
        <v>0</v>
      </c>
      <c r="O180" s="271" cm="1">
        <f t="array" ref="O180">IFERROR(INDEX(WHT!$C$7:$W$18,MATCH(
_xlfn.SWITCH(C180,"xDC Medellin","Colombia","xDC Belo Horizonte","Brazil","xDC Guadalajara","Mexico","xDC Gurugram","India","xDC Leon","Spain","xDC San Jose","Costa Rica","xDC Warsaw","Poland",C180),
WHT!$B$7:$B$18,0),MATCH('ONESheet 2.8'!CustomerCountry,WHT!$C$5:$W$5,0)),0)</f>
        <v>0</v>
      </c>
      <c r="P180" s="270">
        <f t="shared" si="14"/>
        <v>0</v>
      </c>
      <c r="Q180" s="272">
        <f t="shared" si="15"/>
        <v>0</v>
      </c>
      <c r="R180" s="272">
        <f t="shared" si="13"/>
        <v>0</v>
      </c>
      <c r="S180" s="272">
        <f t="shared" si="16"/>
        <v>0</v>
      </c>
      <c r="T180" s="272">
        <f t="shared" si="17"/>
        <v>0</v>
      </c>
      <c r="U180" s="268"/>
      <c r="V180" s="267"/>
    </row>
    <row r="181" spans="1:22">
      <c r="A181" s="267"/>
      <c r="B181" s="267"/>
      <c r="C181" s="268"/>
      <c r="D181" s="268"/>
      <c r="E181" s="268"/>
      <c r="F181" s="268"/>
      <c r="G181" s="268">
        <v>0</v>
      </c>
      <c r="H181" s="269">
        <v>0</v>
      </c>
      <c r="I181" s="270">
        <f t="shared" si="12"/>
        <v>0</v>
      </c>
      <c r="J181" s="269" t="s">
        <v>200</v>
      </c>
      <c r="K181" s="403" t="str">
        <f>'ONESheet 2.8'!BillingCountryCurrency</f>
        <v>USD</v>
      </c>
      <c r="L181" s="269">
        <v>1</v>
      </c>
      <c r="M181" s="271" cm="1">
        <f t="array" ref="M181">IF(A181&lt;&gt;"",IFERROR(INDEX('ONESheet 2.8'!AV:AV, MATCH(A181, 'ONESheet 2.8'!B:B, 0)+2),0),0)</f>
        <v>0</v>
      </c>
      <c r="N181" s="271">
        <f>IFERROR(IF(OR(ISBLANK(C181),C181='ONESheet 2.8'!CustomerCountry,COUNTIF(C181,"*xDC*")),0,10%),0)</f>
        <v>0</v>
      </c>
      <c r="O181" s="271" cm="1">
        <f t="array" ref="O181">IFERROR(INDEX(WHT!$C$7:$W$18,MATCH(
_xlfn.SWITCH(C181,"xDC Medellin","Colombia","xDC Belo Horizonte","Brazil","xDC Guadalajara","Mexico","xDC Gurugram","India","xDC Leon","Spain","xDC San Jose","Costa Rica","xDC Warsaw","Poland",C181),
WHT!$B$7:$B$18,0),MATCH('ONESheet 2.8'!CustomerCountry,WHT!$C$5:$W$5,0)),0)</f>
        <v>0</v>
      </c>
      <c r="P181" s="270">
        <f t="shared" si="14"/>
        <v>0</v>
      </c>
      <c r="Q181" s="272">
        <f t="shared" si="15"/>
        <v>0</v>
      </c>
      <c r="R181" s="272">
        <f t="shared" si="13"/>
        <v>0</v>
      </c>
      <c r="S181" s="272">
        <f t="shared" si="16"/>
        <v>0</v>
      </c>
      <c r="T181" s="272">
        <f t="shared" si="17"/>
        <v>0</v>
      </c>
      <c r="U181" s="268"/>
      <c r="V181" s="267"/>
    </row>
    <row r="182" spans="1:22">
      <c r="A182" s="267"/>
      <c r="B182" s="267"/>
      <c r="C182" s="268"/>
      <c r="D182" s="268"/>
      <c r="E182" s="268"/>
      <c r="F182" s="268"/>
      <c r="G182" s="268">
        <v>0</v>
      </c>
      <c r="H182" s="269">
        <v>0</v>
      </c>
      <c r="I182" s="270">
        <f t="shared" si="12"/>
        <v>0</v>
      </c>
      <c r="J182" s="269" t="s">
        <v>200</v>
      </c>
      <c r="K182" s="403" t="str">
        <f>'ONESheet 2.8'!BillingCountryCurrency</f>
        <v>USD</v>
      </c>
      <c r="L182" s="269">
        <v>1</v>
      </c>
      <c r="M182" s="271" cm="1">
        <f t="array" ref="M182">IF(A182&lt;&gt;"",IFERROR(INDEX('ONESheet 2.8'!AV:AV, MATCH(A182, 'ONESheet 2.8'!B:B, 0)+2),0),0)</f>
        <v>0</v>
      </c>
      <c r="N182" s="271">
        <f>IFERROR(IF(OR(ISBLANK(C182),C182='ONESheet 2.8'!CustomerCountry,COUNTIF(C182,"*xDC*")),0,10%),0)</f>
        <v>0</v>
      </c>
      <c r="O182" s="271" cm="1">
        <f t="array" ref="O182">IFERROR(INDEX(WHT!$C$7:$W$18,MATCH(
_xlfn.SWITCH(C182,"xDC Medellin","Colombia","xDC Belo Horizonte","Brazil","xDC Guadalajara","Mexico","xDC Gurugram","India","xDC Leon","Spain","xDC San Jose","Costa Rica","xDC Warsaw","Poland",C182),
WHT!$B$7:$B$18,0),MATCH('ONESheet 2.8'!CustomerCountry,WHT!$C$5:$W$5,0)),0)</f>
        <v>0</v>
      </c>
      <c r="P182" s="270">
        <f t="shared" si="14"/>
        <v>0</v>
      </c>
      <c r="Q182" s="272">
        <f t="shared" si="15"/>
        <v>0</v>
      </c>
      <c r="R182" s="272">
        <f t="shared" si="13"/>
        <v>0</v>
      </c>
      <c r="S182" s="272">
        <f t="shared" si="16"/>
        <v>0</v>
      </c>
      <c r="T182" s="272">
        <f t="shared" si="17"/>
        <v>0</v>
      </c>
      <c r="U182" s="268"/>
      <c r="V182" s="267"/>
    </row>
    <row r="183" spans="1:22">
      <c r="A183" s="267"/>
      <c r="B183" s="267"/>
      <c r="C183" s="268"/>
      <c r="D183" s="268"/>
      <c r="E183" s="268"/>
      <c r="F183" s="268"/>
      <c r="G183" s="268">
        <v>0</v>
      </c>
      <c r="H183" s="269">
        <v>0</v>
      </c>
      <c r="I183" s="270">
        <f t="shared" si="12"/>
        <v>0</v>
      </c>
      <c r="J183" s="269" t="s">
        <v>200</v>
      </c>
      <c r="K183" s="403" t="str">
        <f>'ONESheet 2.8'!BillingCountryCurrency</f>
        <v>USD</v>
      </c>
      <c r="L183" s="269">
        <v>1</v>
      </c>
      <c r="M183" s="271" cm="1">
        <f t="array" ref="M183">IF(A183&lt;&gt;"",IFERROR(INDEX('ONESheet 2.8'!AV:AV, MATCH(A183, 'ONESheet 2.8'!B:B, 0)+2),0),0)</f>
        <v>0</v>
      </c>
      <c r="N183" s="271">
        <f>IFERROR(IF(OR(ISBLANK(C183),C183='ONESheet 2.8'!CustomerCountry,COUNTIF(C183,"*xDC*")),0,10%),0)</f>
        <v>0</v>
      </c>
      <c r="O183" s="271" cm="1">
        <f t="array" ref="O183">IFERROR(INDEX(WHT!$C$7:$W$18,MATCH(
_xlfn.SWITCH(C183,"xDC Medellin","Colombia","xDC Belo Horizonte","Brazil","xDC Guadalajara","Mexico","xDC Gurugram","India","xDC Leon","Spain","xDC San Jose","Costa Rica","xDC Warsaw","Poland",C183),
WHT!$B$7:$B$18,0),MATCH('ONESheet 2.8'!CustomerCountry,WHT!$C$5:$W$5,0)),0)</f>
        <v>0</v>
      </c>
      <c r="P183" s="270">
        <f t="shared" si="14"/>
        <v>0</v>
      </c>
      <c r="Q183" s="272">
        <f t="shared" si="15"/>
        <v>0</v>
      </c>
      <c r="R183" s="272">
        <f t="shared" si="13"/>
        <v>0</v>
      </c>
      <c r="S183" s="272">
        <f t="shared" si="16"/>
        <v>0</v>
      </c>
      <c r="T183" s="272">
        <f t="shared" si="17"/>
        <v>0</v>
      </c>
      <c r="U183" s="268"/>
      <c r="V183" s="267"/>
    </row>
    <row r="184" spans="1:22">
      <c r="A184" s="267"/>
      <c r="B184" s="267"/>
      <c r="C184" s="268"/>
      <c r="D184" s="268"/>
      <c r="E184" s="268"/>
      <c r="F184" s="268"/>
      <c r="G184" s="268">
        <v>0</v>
      </c>
      <c r="H184" s="269">
        <v>0</v>
      </c>
      <c r="I184" s="270">
        <f t="shared" si="12"/>
        <v>0</v>
      </c>
      <c r="J184" s="269" t="s">
        <v>200</v>
      </c>
      <c r="K184" s="403" t="str">
        <f>'ONESheet 2.8'!BillingCountryCurrency</f>
        <v>USD</v>
      </c>
      <c r="L184" s="269">
        <v>1</v>
      </c>
      <c r="M184" s="271" cm="1">
        <f t="array" ref="M184">IF(A184&lt;&gt;"",IFERROR(INDEX('ONESheet 2.8'!AV:AV, MATCH(A184, 'ONESheet 2.8'!B:B, 0)+2),0),0)</f>
        <v>0</v>
      </c>
      <c r="N184" s="271">
        <f>IFERROR(IF(OR(ISBLANK(C184),C184='ONESheet 2.8'!CustomerCountry,COUNTIF(C184,"*xDC*")),0,10%),0)</f>
        <v>0</v>
      </c>
      <c r="O184" s="271" cm="1">
        <f t="array" ref="O184">IFERROR(INDEX(WHT!$C$7:$W$18,MATCH(
_xlfn.SWITCH(C184,"xDC Medellin","Colombia","xDC Belo Horizonte","Brazil","xDC Guadalajara","Mexico","xDC Gurugram","India","xDC Leon","Spain","xDC San Jose","Costa Rica","xDC Warsaw","Poland",C184),
WHT!$B$7:$B$18,0),MATCH('ONESheet 2.8'!CustomerCountry,WHT!$C$5:$W$5,0)),0)</f>
        <v>0</v>
      </c>
      <c r="P184" s="270">
        <f t="shared" si="14"/>
        <v>0</v>
      </c>
      <c r="Q184" s="272">
        <f t="shared" si="15"/>
        <v>0</v>
      </c>
      <c r="R184" s="272">
        <f t="shared" si="13"/>
        <v>0</v>
      </c>
      <c r="S184" s="272">
        <f t="shared" si="16"/>
        <v>0</v>
      </c>
      <c r="T184" s="272">
        <f t="shared" si="17"/>
        <v>0</v>
      </c>
      <c r="U184" s="268"/>
      <c r="V184" s="267"/>
    </row>
    <row r="185" spans="1:22">
      <c r="A185" s="267"/>
      <c r="B185" s="267"/>
      <c r="C185" s="268"/>
      <c r="D185" s="268"/>
      <c r="E185" s="268"/>
      <c r="F185" s="268"/>
      <c r="G185" s="268">
        <v>0</v>
      </c>
      <c r="H185" s="269">
        <v>0</v>
      </c>
      <c r="I185" s="270">
        <f t="shared" si="12"/>
        <v>0</v>
      </c>
      <c r="J185" s="269" t="s">
        <v>200</v>
      </c>
      <c r="K185" s="403" t="str">
        <f>'ONESheet 2.8'!BillingCountryCurrency</f>
        <v>USD</v>
      </c>
      <c r="L185" s="269">
        <v>1</v>
      </c>
      <c r="M185" s="271" cm="1">
        <f t="array" ref="M185">IF(A185&lt;&gt;"",IFERROR(INDEX('ONESheet 2.8'!AV:AV, MATCH(A185, 'ONESheet 2.8'!B:B, 0)+2),0),0)</f>
        <v>0</v>
      </c>
      <c r="N185" s="271">
        <f>IFERROR(IF(OR(ISBLANK(C185),C185='ONESheet 2.8'!CustomerCountry,COUNTIF(C185,"*xDC*")),0,10%),0)</f>
        <v>0</v>
      </c>
      <c r="O185" s="271" cm="1">
        <f t="array" ref="O185">IFERROR(INDEX(WHT!$C$7:$W$18,MATCH(
_xlfn.SWITCH(C185,"xDC Medellin","Colombia","xDC Belo Horizonte","Brazil","xDC Guadalajara","Mexico","xDC Gurugram","India","xDC Leon","Spain","xDC San Jose","Costa Rica","xDC Warsaw","Poland",C185),
WHT!$B$7:$B$18,0),MATCH('ONESheet 2.8'!CustomerCountry,WHT!$C$5:$W$5,0)),0)</f>
        <v>0</v>
      </c>
      <c r="P185" s="270">
        <f t="shared" si="14"/>
        <v>0</v>
      </c>
      <c r="Q185" s="272">
        <f t="shared" si="15"/>
        <v>0</v>
      </c>
      <c r="R185" s="272">
        <f t="shared" si="13"/>
        <v>0</v>
      </c>
      <c r="S185" s="272">
        <f t="shared" si="16"/>
        <v>0</v>
      </c>
      <c r="T185" s="272">
        <f t="shared" si="17"/>
        <v>0</v>
      </c>
      <c r="U185" s="268"/>
      <c r="V185" s="267"/>
    </row>
    <row r="186" spans="1:22">
      <c r="A186" s="267"/>
      <c r="B186" s="267"/>
      <c r="C186" s="268"/>
      <c r="D186" s="268"/>
      <c r="E186" s="268"/>
      <c r="F186" s="268"/>
      <c r="G186" s="268">
        <v>0</v>
      </c>
      <c r="H186" s="269">
        <v>0</v>
      </c>
      <c r="I186" s="270">
        <f t="shared" si="12"/>
        <v>0</v>
      </c>
      <c r="J186" s="269" t="s">
        <v>200</v>
      </c>
      <c r="K186" s="403" t="str">
        <f>'ONESheet 2.8'!BillingCountryCurrency</f>
        <v>USD</v>
      </c>
      <c r="L186" s="269">
        <v>1</v>
      </c>
      <c r="M186" s="271" cm="1">
        <f t="array" ref="M186">IF(A186&lt;&gt;"",IFERROR(INDEX('ONESheet 2.8'!AV:AV, MATCH(A186, 'ONESheet 2.8'!B:B, 0)+2),0),0)</f>
        <v>0</v>
      </c>
      <c r="N186" s="271">
        <f>IFERROR(IF(OR(ISBLANK(C186),C186='ONESheet 2.8'!CustomerCountry,COUNTIF(C186,"*xDC*")),0,10%),0)</f>
        <v>0</v>
      </c>
      <c r="O186" s="271" cm="1">
        <f t="array" ref="O186">IFERROR(INDEX(WHT!$C$7:$W$18,MATCH(
_xlfn.SWITCH(C186,"xDC Medellin","Colombia","xDC Belo Horizonte","Brazil","xDC Guadalajara","Mexico","xDC Gurugram","India","xDC Leon","Spain","xDC San Jose","Costa Rica","xDC Warsaw","Poland",C186),
WHT!$B$7:$B$18,0),MATCH('ONESheet 2.8'!CustomerCountry,WHT!$C$5:$W$5,0)),0)</f>
        <v>0</v>
      </c>
      <c r="P186" s="270">
        <f t="shared" si="14"/>
        <v>0</v>
      </c>
      <c r="Q186" s="272">
        <f t="shared" si="15"/>
        <v>0</v>
      </c>
      <c r="R186" s="272">
        <f t="shared" si="13"/>
        <v>0</v>
      </c>
      <c r="S186" s="272">
        <f t="shared" si="16"/>
        <v>0</v>
      </c>
      <c r="T186" s="272">
        <f t="shared" si="17"/>
        <v>0</v>
      </c>
      <c r="U186" s="268"/>
      <c r="V186" s="267"/>
    </row>
    <row r="187" spans="1:22">
      <c r="A187" s="267"/>
      <c r="B187" s="267"/>
      <c r="C187" s="268"/>
      <c r="D187" s="268"/>
      <c r="E187" s="268"/>
      <c r="F187" s="268"/>
      <c r="G187" s="268">
        <v>0</v>
      </c>
      <c r="H187" s="269">
        <v>0</v>
      </c>
      <c r="I187" s="270">
        <f t="shared" si="12"/>
        <v>0</v>
      </c>
      <c r="J187" s="269" t="s">
        <v>200</v>
      </c>
      <c r="K187" s="403" t="str">
        <f>'ONESheet 2.8'!BillingCountryCurrency</f>
        <v>USD</v>
      </c>
      <c r="L187" s="269">
        <v>1</v>
      </c>
      <c r="M187" s="271" cm="1">
        <f t="array" ref="M187">IF(A187&lt;&gt;"",IFERROR(INDEX('ONESheet 2.8'!AV:AV, MATCH(A187, 'ONESheet 2.8'!B:B, 0)+2),0),0)</f>
        <v>0</v>
      </c>
      <c r="N187" s="271">
        <f>IFERROR(IF(OR(ISBLANK(C187),C187='ONESheet 2.8'!CustomerCountry,COUNTIF(C187,"*xDC*")),0,10%),0)</f>
        <v>0</v>
      </c>
      <c r="O187" s="271" cm="1">
        <f t="array" ref="O187">IFERROR(INDEX(WHT!$C$7:$W$18,MATCH(
_xlfn.SWITCH(C187,"xDC Medellin","Colombia","xDC Belo Horizonte","Brazil","xDC Guadalajara","Mexico","xDC Gurugram","India","xDC Leon","Spain","xDC San Jose","Costa Rica","xDC Warsaw","Poland",C187),
WHT!$B$7:$B$18,0),MATCH('ONESheet 2.8'!CustomerCountry,WHT!$C$5:$W$5,0)),0)</f>
        <v>0</v>
      </c>
      <c r="P187" s="270">
        <f t="shared" si="14"/>
        <v>0</v>
      </c>
      <c r="Q187" s="272">
        <f t="shared" si="15"/>
        <v>0</v>
      </c>
      <c r="R187" s="272">
        <f t="shared" si="13"/>
        <v>0</v>
      </c>
      <c r="S187" s="272">
        <f t="shared" si="16"/>
        <v>0</v>
      </c>
      <c r="T187" s="272">
        <f t="shared" si="17"/>
        <v>0</v>
      </c>
      <c r="U187" s="268"/>
      <c r="V187" s="267"/>
    </row>
    <row r="188" spans="1:22">
      <c r="A188" s="267"/>
      <c r="B188" s="267"/>
      <c r="C188" s="268"/>
      <c r="D188" s="268"/>
      <c r="E188" s="268"/>
      <c r="F188" s="268"/>
      <c r="G188" s="268">
        <v>0</v>
      </c>
      <c r="H188" s="269">
        <v>0</v>
      </c>
      <c r="I188" s="270">
        <f t="shared" si="12"/>
        <v>0</v>
      </c>
      <c r="J188" s="269" t="s">
        <v>200</v>
      </c>
      <c r="K188" s="403" t="str">
        <f>'ONESheet 2.8'!BillingCountryCurrency</f>
        <v>USD</v>
      </c>
      <c r="L188" s="269">
        <v>1</v>
      </c>
      <c r="M188" s="271" cm="1">
        <f t="array" ref="M188">IF(A188&lt;&gt;"",IFERROR(INDEX('ONESheet 2.8'!AV:AV, MATCH(A188, 'ONESheet 2.8'!B:B, 0)+2),0),0)</f>
        <v>0</v>
      </c>
      <c r="N188" s="271">
        <f>IFERROR(IF(OR(ISBLANK(C188),C188='ONESheet 2.8'!CustomerCountry,COUNTIF(C188,"*xDC*")),0,10%),0)</f>
        <v>0</v>
      </c>
      <c r="O188" s="271" cm="1">
        <f t="array" ref="O188">IFERROR(INDEX(WHT!$C$7:$W$18,MATCH(
_xlfn.SWITCH(C188,"xDC Medellin","Colombia","xDC Belo Horizonte","Brazil","xDC Guadalajara","Mexico","xDC Gurugram","India","xDC Leon","Spain","xDC San Jose","Costa Rica","xDC Warsaw","Poland",C188),
WHT!$B$7:$B$18,0),MATCH('ONESheet 2.8'!CustomerCountry,WHT!$C$5:$W$5,0)),0)</f>
        <v>0</v>
      </c>
      <c r="P188" s="270">
        <f t="shared" si="14"/>
        <v>0</v>
      </c>
      <c r="Q188" s="272">
        <f t="shared" si="15"/>
        <v>0</v>
      </c>
      <c r="R188" s="272">
        <f t="shared" si="13"/>
        <v>0</v>
      </c>
      <c r="S188" s="272">
        <f t="shared" si="16"/>
        <v>0</v>
      </c>
      <c r="T188" s="272">
        <f t="shared" si="17"/>
        <v>0</v>
      </c>
      <c r="U188" s="268"/>
      <c r="V188" s="267"/>
    </row>
    <row r="189" spans="1:22">
      <c r="A189" s="267"/>
      <c r="B189" s="267"/>
      <c r="C189" s="268"/>
      <c r="D189" s="268"/>
      <c r="E189" s="268"/>
      <c r="F189" s="268"/>
      <c r="G189" s="268">
        <v>0</v>
      </c>
      <c r="H189" s="269">
        <v>0</v>
      </c>
      <c r="I189" s="270">
        <f t="shared" si="12"/>
        <v>0</v>
      </c>
      <c r="J189" s="269" t="s">
        <v>200</v>
      </c>
      <c r="K189" s="403" t="str">
        <f>'ONESheet 2.8'!BillingCountryCurrency</f>
        <v>USD</v>
      </c>
      <c r="L189" s="269">
        <v>1</v>
      </c>
      <c r="M189" s="271" cm="1">
        <f t="array" ref="M189">IF(A189&lt;&gt;"",IFERROR(INDEX('ONESheet 2.8'!AV:AV, MATCH(A189, 'ONESheet 2.8'!B:B, 0)+2),0),0)</f>
        <v>0</v>
      </c>
      <c r="N189" s="271">
        <f>IFERROR(IF(OR(ISBLANK(C189),C189='ONESheet 2.8'!CustomerCountry,COUNTIF(C189,"*xDC*")),0,10%),0)</f>
        <v>0</v>
      </c>
      <c r="O189" s="271" cm="1">
        <f t="array" ref="O189">IFERROR(INDEX(WHT!$C$7:$W$18,MATCH(
_xlfn.SWITCH(C189,"xDC Medellin","Colombia","xDC Belo Horizonte","Brazil","xDC Guadalajara","Mexico","xDC Gurugram","India","xDC Leon","Spain","xDC San Jose","Costa Rica","xDC Warsaw","Poland",C189),
WHT!$B$7:$B$18,0),MATCH('ONESheet 2.8'!CustomerCountry,WHT!$C$5:$W$5,0)),0)</f>
        <v>0</v>
      </c>
      <c r="P189" s="270">
        <f t="shared" si="14"/>
        <v>0</v>
      </c>
      <c r="Q189" s="272">
        <f t="shared" si="15"/>
        <v>0</v>
      </c>
      <c r="R189" s="272">
        <f t="shared" si="13"/>
        <v>0</v>
      </c>
      <c r="S189" s="272">
        <f t="shared" si="16"/>
        <v>0</v>
      </c>
      <c r="T189" s="272">
        <f t="shared" si="17"/>
        <v>0</v>
      </c>
      <c r="U189" s="268"/>
      <c r="V189" s="267"/>
    </row>
    <row r="190" spans="1:22">
      <c r="A190" s="267"/>
      <c r="B190" s="267"/>
      <c r="C190" s="268"/>
      <c r="D190" s="268"/>
      <c r="E190" s="268"/>
      <c r="F190" s="268"/>
      <c r="G190" s="268">
        <v>0</v>
      </c>
      <c r="H190" s="269">
        <v>0</v>
      </c>
      <c r="I190" s="270">
        <f t="shared" si="12"/>
        <v>0</v>
      </c>
      <c r="J190" s="269" t="s">
        <v>200</v>
      </c>
      <c r="K190" s="403" t="str">
        <f>'ONESheet 2.8'!BillingCountryCurrency</f>
        <v>USD</v>
      </c>
      <c r="L190" s="269">
        <v>1</v>
      </c>
      <c r="M190" s="271" cm="1">
        <f t="array" ref="M190">IF(A190&lt;&gt;"",IFERROR(INDEX('ONESheet 2.8'!AV:AV, MATCH(A190, 'ONESheet 2.8'!B:B, 0)+2),0),0)</f>
        <v>0</v>
      </c>
      <c r="N190" s="271">
        <f>IFERROR(IF(OR(ISBLANK(C190),C190='ONESheet 2.8'!CustomerCountry,COUNTIF(C190,"*xDC*")),0,10%),0)</f>
        <v>0</v>
      </c>
      <c r="O190" s="271" cm="1">
        <f t="array" ref="O190">IFERROR(INDEX(WHT!$C$7:$W$18,MATCH(
_xlfn.SWITCH(C190,"xDC Medellin","Colombia","xDC Belo Horizonte","Brazil","xDC Guadalajara","Mexico","xDC Gurugram","India","xDC Leon","Spain","xDC San Jose","Costa Rica","xDC Warsaw","Poland",C190),
WHT!$B$7:$B$18,0),MATCH('ONESheet 2.8'!CustomerCountry,WHT!$C$5:$W$5,0)),0)</f>
        <v>0</v>
      </c>
      <c r="P190" s="270">
        <f t="shared" si="14"/>
        <v>0</v>
      </c>
      <c r="Q190" s="272">
        <f t="shared" si="15"/>
        <v>0</v>
      </c>
      <c r="R190" s="272">
        <f t="shared" si="13"/>
        <v>0</v>
      </c>
      <c r="S190" s="272">
        <f t="shared" si="16"/>
        <v>0</v>
      </c>
      <c r="T190" s="272">
        <f t="shared" si="17"/>
        <v>0</v>
      </c>
      <c r="U190" s="268"/>
      <c r="V190" s="267"/>
    </row>
    <row r="191" spans="1:22">
      <c r="A191" s="267"/>
      <c r="B191" s="267"/>
      <c r="C191" s="268"/>
      <c r="D191" s="268"/>
      <c r="E191" s="268"/>
      <c r="F191" s="268"/>
      <c r="G191" s="268">
        <v>0</v>
      </c>
      <c r="H191" s="269">
        <v>0</v>
      </c>
      <c r="I191" s="270">
        <f t="shared" si="12"/>
        <v>0</v>
      </c>
      <c r="J191" s="269" t="s">
        <v>200</v>
      </c>
      <c r="K191" s="403" t="str">
        <f>'ONESheet 2.8'!BillingCountryCurrency</f>
        <v>USD</v>
      </c>
      <c r="L191" s="269">
        <v>1</v>
      </c>
      <c r="M191" s="271" cm="1">
        <f t="array" ref="M191">IF(A191&lt;&gt;"",IFERROR(INDEX('ONESheet 2.8'!AV:AV, MATCH(A191, 'ONESheet 2.8'!B:B, 0)+2),0),0)</f>
        <v>0</v>
      </c>
      <c r="N191" s="271">
        <f>IFERROR(IF(OR(ISBLANK(C191),C191='ONESheet 2.8'!CustomerCountry,COUNTIF(C191,"*xDC*")),0,10%),0)</f>
        <v>0</v>
      </c>
      <c r="O191" s="271" cm="1">
        <f t="array" ref="O191">IFERROR(INDEX(WHT!$C$7:$W$18,MATCH(
_xlfn.SWITCH(C191,"xDC Medellin","Colombia","xDC Belo Horizonte","Brazil","xDC Guadalajara","Mexico","xDC Gurugram","India","xDC Leon","Spain","xDC San Jose","Costa Rica","xDC Warsaw","Poland",C191),
WHT!$B$7:$B$18,0),MATCH('ONESheet 2.8'!CustomerCountry,WHT!$C$5:$W$5,0)),0)</f>
        <v>0</v>
      </c>
      <c r="P191" s="270">
        <f t="shared" si="14"/>
        <v>0</v>
      </c>
      <c r="Q191" s="272">
        <f t="shared" si="15"/>
        <v>0</v>
      </c>
      <c r="R191" s="272">
        <f t="shared" si="13"/>
        <v>0</v>
      </c>
      <c r="S191" s="272">
        <f t="shared" si="16"/>
        <v>0</v>
      </c>
      <c r="T191" s="272">
        <f t="shared" si="17"/>
        <v>0</v>
      </c>
      <c r="U191" s="268"/>
      <c r="V191" s="267"/>
    </row>
    <row r="192" spans="1:22">
      <c r="A192" s="267"/>
      <c r="B192" s="267"/>
      <c r="C192" s="268"/>
      <c r="D192" s="268"/>
      <c r="E192" s="268"/>
      <c r="F192" s="268"/>
      <c r="G192" s="268">
        <v>0</v>
      </c>
      <c r="H192" s="269">
        <v>0</v>
      </c>
      <c r="I192" s="270">
        <f t="shared" si="12"/>
        <v>0</v>
      </c>
      <c r="J192" s="269" t="s">
        <v>200</v>
      </c>
      <c r="K192" s="403" t="str">
        <f>'ONESheet 2.8'!BillingCountryCurrency</f>
        <v>USD</v>
      </c>
      <c r="L192" s="269">
        <v>1</v>
      </c>
      <c r="M192" s="271" cm="1">
        <f t="array" ref="M192">IF(A192&lt;&gt;"",IFERROR(INDEX('ONESheet 2.8'!AV:AV, MATCH(A192, 'ONESheet 2.8'!B:B, 0)+2),0),0)</f>
        <v>0</v>
      </c>
      <c r="N192" s="271">
        <f>IFERROR(IF(OR(ISBLANK(C192),C192='ONESheet 2.8'!CustomerCountry,COUNTIF(C192,"*xDC*")),0,10%),0)</f>
        <v>0</v>
      </c>
      <c r="O192" s="271" cm="1">
        <f t="array" ref="O192">IFERROR(INDEX(WHT!$C$7:$W$18,MATCH(
_xlfn.SWITCH(C192,"xDC Medellin","Colombia","xDC Belo Horizonte","Brazil","xDC Guadalajara","Mexico","xDC Gurugram","India","xDC Leon","Spain","xDC San Jose","Costa Rica","xDC Warsaw","Poland",C192),
WHT!$B$7:$B$18,0),MATCH('ONESheet 2.8'!CustomerCountry,WHT!$C$5:$W$5,0)),0)</f>
        <v>0</v>
      </c>
      <c r="P192" s="270">
        <f t="shared" si="14"/>
        <v>0</v>
      </c>
      <c r="Q192" s="272">
        <f t="shared" si="15"/>
        <v>0</v>
      </c>
      <c r="R192" s="272">
        <f t="shared" si="13"/>
        <v>0</v>
      </c>
      <c r="S192" s="272">
        <f t="shared" si="16"/>
        <v>0</v>
      </c>
      <c r="T192" s="272">
        <f t="shared" si="17"/>
        <v>0</v>
      </c>
      <c r="U192" s="268"/>
      <c r="V192" s="267"/>
    </row>
    <row r="193" spans="1:22">
      <c r="A193" s="267"/>
      <c r="B193" s="267"/>
      <c r="C193" s="268"/>
      <c r="D193" s="268"/>
      <c r="E193" s="268"/>
      <c r="F193" s="268"/>
      <c r="G193" s="268">
        <v>0</v>
      </c>
      <c r="H193" s="269">
        <v>0</v>
      </c>
      <c r="I193" s="270">
        <f t="shared" si="12"/>
        <v>0</v>
      </c>
      <c r="J193" s="269" t="s">
        <v>200</v>
      </c>
      <c r="K193" s="403" t="str">
        <f>'ONESheet 2.8'!BillingCountryCurrency</f>
        <v>USD</v>
      </c>
      <c r="L193" s="269">
        <v>1</v>
      </c>
      <c r="M193" s="271" cm="1">
        <f t="array" ref="M193">IF(A193&lt;&gt;"",IFERROR(INDEX('ONESheet 2.8'!AV:AV, MATCH(A193, 'ONESheet 2.8'!B:B, 0)+2),0),0)</f>
        <v>0</v>
      </c>
      <c r="N193" s="271">
        <f>IFERROR(IF(OR(ISBLANK(C193),C193='ONESheet 2.8'!CustomerCountry,COUNTIF(C193,"*xDC*")),0,10%),0)</f>
        <v>0</v>
      </c>
      <c r="O193" s="271" cm="1">
        <f t="array" ref="O193">IFERROR(INDEX(WHT!$C$7:$W$18,MATCH(
_xlfn.SWITCH(C193,"xDC Medellin","Colombia","xDC Belo Horizonte","Brazil","xDC Guadalajara","Mexico","xDC Gurugram","India","xDC Leon","Spain","xDC San Jose","Costa Rica","xDC Warsaw","Poland",C193),
WHT!$B$7:$B$18,0),MATCH('ONESheet 2.8'!CustomerCountry,WHT!$C$5:$W$5,0)),0)</f>
        <v>0</v>
      </c>
      <c r="P193" s="270">
        <f t="shared" si="14"/>
        <v>0</v>
      </c>
      <c r="Q193" s="272">
        <f t="shared" si="15"/>
        <v>0</v>
      </c>
      <c r="R193" s="272">
        <f t="shared" si="13"/>
        <v>0</v>
      </c>
      <c r="S193" s="272">
        <f t="shared" si="16"/>
        <v>0</v>
      </c>
      <c r="T193" s="272">
        <f t="shared" si="17"/>
        <v>0</v>
      </c>
      <c r="U193" s="268"/>
      <c r="V193" s="267"/>
    </row>
    <row r="194" spans="1:22">
      <c r="A194" s="267"/>
      <c r="B194" s="267"/>
      <c r="C194" s="268"/>
      <c r="D194" s="268"/>
      <c r="E194" s="268"/>
      <c r="F194" s="268"/>
      <c r="G194" s="268">
        <v>0</v>
      </c>
      <c r="H194" s="269">
        <v>0</v>
      </c>
      <c r="I194" s="270">
        <f t="shared" ref="I194:I201" si="18">G194*H194</f>
        <v>0</v>
      </c>
      <c r="J194" s="269" t="s">
        <v>200</v>
      </c>
      <c r="K194" s="403" t="str">
        <f>'ONESheet 2.8'!BillingCountryCurrency</f>
        <v>USD</v>
      </c>
      <c r="L194" s="269">
        <v>1</v>
      </c>
      <c r="M194" s="271" cm="1">
        <f t="array" ref="M194">IF(A194&lt;&gt;"",IFERROR(INDEX('ONESheet 2.8'!AV:AV, MATCH(A194, 'ONESheet 2.8'!B:B, 0)+2),0),0)</f>
        <v>0</v>
      </c>
      <c r="N194" s="271">
        <f>IFERROR(IF(OR(ISBLANK(C194),C194='ONESheet 2.8'!CustomerCountry,COUNTIF(C194,"*xDC*")),0,10%),0)</f>
        <v>0</v>
      </c>
      <c r="O194" s="271" cm="1">
        <f t="array" ref="O194">IFERROR(INDEX(WHT!$C$7:$W$18,MATCH(
_xlfn.SWITCH(C194,"xDC Medellin","Colombia","xDC Belo Horizonte","Brazil","xDC Guadalajara","Mexico","xDC Gurugram","India","xDC Leon","Spain","xDC San Jose","Costa Rica","xDC Warsaw","Poland",C194),
WHT!$B$7:$B$18,0),MATCH('ONESheet 2.8'!CustomerCountry,WHT!$C$5:$W$5,0)),0)</f>
        <v>0</v>
      </c>
      <c r="P194" s="270">
        <f t="shared" si="14"/>
        <v>0</v>
      </c>
      <c r="Q194" s="272">
        <f t="shared" si="15"/>
        <v>0</v>
      </c>
      <c r="R194" s="272">
        <f t="shared" ref="R194:R201" si="19">ROUNDUP(IFERROR(P194/(1-M194),0),2)</f>
        <v>0</v>
      </c>
      <c r="S194" s="272">
        <f t="shared" si="16"/>
        <v>0</v>
      </c>
      <c r="T194" s="272">
        <f t="shared" si="17"/>
        <v>0</v>
      </c>
      <c r="U194" s="268"/>
      <c r="V194" s="267"/>
    </row>
    <row r="195" spans="1:22">
      <c r="A195" s="267"/>
      <c r="B195" s="267"/>
      <c r="C195" s="268"/>
      <c r="D195" s="268"/>
      <c r="E195" s="268"/>
      <c r="F195" s="268"/>
      <c r="G195" s="268">
        <v>0</v>
      </c>
      <c r="H195" s="269">
        <v>0</v>
      </c>
      <c r="I195" s="270">
        <f t="shared" si="18"/>
        <v>0</v>
      </c>
      <c r="J195" s="269" t="s">
        <v>200</v>
      </c>
      <c r="K195" s="403" t="str">
        <f>'ONESheet 2.8'!BillingCountryCurrency</f>
        <v>USD</v>
      </c>
      <c r="L195" s="269">
        <v>1</v>
      </c>
      <c r="M195" s="271" cm="1">
        <f t="array" ref="M195">IF(A195&lt;&gt;"",IFERROR(INDEX('ONESheet 2.8'!AV:AV, MATCH(A195, 'ONESheet 2.8'!B:B, 0)+2),0),0)</f>
        <v>0</v>
      </c>
      <c r="N195" s="271">
        <f>IFERROR(IF(OR(ISBLANK(C195),C195='ONESheet 2.8'!CustomerCountry,COUNTIF(C195,"*xDC*")),0,10%),0)</f>
        <v>0</v>
      </c>
      <c r="O195" s="271" cm="1">
        <f t="array" ref="O195">IFERROR(INDEX(WHT!$C$7:$W$18,MATCH(
_xlfn.SWITCH(C195,"xDC Medellin","Colombia","xDC Belo Horizonte","Brazil","xDC Guadalajara","Mexico","xDC Gurugram","India","xDC Leon","Spain","xDC San Jose","Costa Rica","xDC Warsaw","Poland",C195),
WHT!$B$7:$B$18,0),MATCH('ONESheet 2.8'!CustomerCountry,WHT!$C$5:$W$5,0)),0)</f>
        <v>0</v>
      </c>
      <c r="P195" s="270">
        <f t="shared" ref="P195:P201" si="20">IFERROR(IF(J195=K195,I195,IF(J195="LOCAL",I195/L195,I195*L195)),0)</f>
        <v>0</v>
      </c>
      <c r="Q195" s="272">
        <f t="shared" ref="Q195:Q201" si="21">ROUNDUP(P195,2)</f>
        <v>0</v>
      </c>
      <c r="R195" s="272">
        <f t="shared" si="19"/>
        <v>0</v>
      </c>
      <c r="S195" s="272">
        <f t="shared" ref="S195:S201" si="22">ROUNDUP(IFERROR($P195*$N195,0),2)</f>
        <v>0</v>
      </c>
      <c r="T195" s="272">
        <f t="shared" ref="T195:T201" si="23">ROUNDUP(IFERROR(SUM($P195,$S195)*$O195,0),2)</f>
        <v>0</v>
      </c>
      <c r="U195" s="268"/>
      <c r="V195" s="267"/>
    </row>
    <row r="196" spans="1:22">
      <c r="A196" s="267"/>
      <c r="B196" s="267"/>
      <c r="C196" s="268"/>
      <c r="D196" s="268"/>
      <c r="E196" s="268"/>
      <c r="F196" s="268"/>
      <c r="G196" s="268">
        <v>0</v>
      </c>
      <c r="H196" s="269">
        <v>0</v>
      </c>
      <c r="I196" s="270">
        <f t="shared" si="18"/>
        <v>0</v>
      </c>
      <c r="J196" s="269" t="s">
        <v>200</v>
      </c>
      <c r="K196" s="403" t="str">
        <f>'ONESheet 2.8'!BillingCountryCurrency</f>
        <v>USD</v>
      </c>
      <c r="L196" s="269">
        <v>1</v>
      </c>
      <c r="M196" s="271" cm="1">
        <f t="array" ref="M196">IF(A196&lt;&gt;"",IFERROR(INDEX('ONESheet 2.8'!AV:AV, MATCH(A196, 'ONESheet 2.8'!B:B, 0)+2),0),0)</f>
        <v>0</v>
      </c>
      <c r="N196" s="271">
        <f>IFERROR(IF(OR(ISBLANK(C196),C196='ONESheet 2.8'!CustomerCountry,COUNTIF(C196,"*xDC*")),0,10%),0)</f>
        <v>0</v>
      </c>
      <c r="O196" s="271" cm="1">
        <f t="array" ref="O196">IFERROR(INDEX(WHT!$C$7:$W$18,MATCH(
_xlfn.SWITCH(C196,"xDC Medellin","Colombia","xDC Belo Horizonte","Brazil","xDC Guadalajara","Mexico","xDC Gurugram","India","xDC Leon","Spain","xDC San Jose","Costa Rica","xDC Warsaw","Poland",C196),
WHT!$B$7:$B$18,0),MATCH('ONESheet 2.8'!CustomerCountry,WHT!$C$5:$W$5,0)),0)</f>
        <v>0</v>
      </c>
      <c r="P196" s="270">
        <f t="shared" si="20"/>
        <v>0</v>
      </c>
      <c r="Q196" s="272">
        <f t="shared" si="21"/>
        <v>0</v>
      </c>
      <c r="R196" s="272">
        <f t="shared" si="19"/>
        <v>0</v>
      </c>
      <c r="S196" s="272">
        <f t="shared" si="22"/>
        <v>0</v>
      </c>
      <c r="T196" s="272">
        <f t="shared" si="23"/>
        <v>0</v>
      </c>
      <c r="U196" s="268"/>
      <c r="V196" s="267"/>
    </row>
    <row r="197" spans="1:22">
      <c r="A197" s="267"/>
      <c r="B197" s="267"/>
      <c r="C197" s="268"/>
      <c r="D197" s="268"/>
      <c r="E197" s="268"/>
      <c r="F197" s="268"/>
      <c r="G197" s="268">
        <v>0</v>
      </c>
      <c r="H197" s="269">
        <v>0</v>
      </c>
      <c r="I197" s="270">
        <f t="shared" si="18"/>
        <v>0</v>
      </c>
      <c r="J197" s="269" t="s">
        <v>200</v>
      </c>
      <c r="K197" s="403" t="str">
        <f>'ONESheet 2.8'!BillingCountryCurrency</f>
        <v>USD</v>
      </c>
      <c r="L197" s="269">
        <v>1</v>
      </c>
      <c r="M197" s="271" cm="1">
        <f t="array" ref="M197">IF(A197&lt;&gt;"",IFERROR(INDEX('ONESheet 2.8'!AV:AV, MATCH(A197, 'ONESheet 2.8'!B:B, 0)+2),0),0)</f>
        <v>0</v>
      </c>
      <c r="N197" s="271">
        <f>IFERROR(IF(OR(ISBLANK(C197),C197='ONESheet 2.8'!CustomerCountry,COUNTIF(C197,"*xDC*")),0,10%),0)</f>
        <v>0</v>
      </c>
      <c r="O197" s="271" cm="1">
        <f t="array" ref="O197">IFERROR(INDEX(WHT!$C$7:$W$18,MATCH(
_xlfn.SWITCH(C197,"xDC Medellin","Colombia","xDC Belo Horizonte","Brazil","xDC Guadalajara","Mexico","xDC Gurugram","India","xDC Leon","Spain","xDC San Jose","Costa Rica","xDC Warsaw","Poland",C197),
WHT!$B$7:$B$18,0),MATCH('ONESheet 2.8'!CustomerCountry,WHT!$C$5:$W$5,0)),0)</f>
        <v>0</v>
      </c>
      <c r="P197" s="270">
        <f t="shared" si="20"/>
        <v>0</v>
      </c>
      <c r="Q197" s="272">
        <f t="shared" si="21"/>
        <v>0</v>
      </c>
      <c r="R197" s="272">
        <f t="shared" si="19"/>
        <v>0</v>
      </c>
      <c r="S197" s="272">
        <f t="shared" si="22"/>
        <v>0</v>
      </c>
      <c r="T197" s="272">
        <f t="shared" si="23"/>
        <v>0</v>
      </c>
      <c r="U197" s="268"/>
      <c r="V197" s="267"/>
    </row>
    <row r="198" spans="1:22">
      <c r="A198" s="267"/>
      <c r="B198" s="267"/>
      <c r="C198" s="268"/>
      <c r="D198" s="268"/>
      <c r="E198" s="268"/>
      <c r="F198" s="268"/>
      <c r="G198" s="268">
        <v>0</v>
      </c>
      <c r="H198" s="269">
        <v>0</v>
      </c>
      <c r="I198" s="270">
        <f t="shared" si="18"/>
        <v>0</v>
      </c>
      <c r="J198" s="269" t="s">
        <v>200</v>
      </c>
      <c r="K198" s="403" t="str">
        <f>'ONESheet 2.8'!BillingCountryCurrency</f>
        <v>USD</v>
      </c>
      <c r="L198" s="269">
        <v>1</v>
      </c>
      <c r="M198" s="271" cm="1">
        <f t="array" ref="M198">IF(A198&lt;&gt;"",IFERROR(INDEX('ONESheet 2.8'!AV:AV, MATCH(A198, 'ONESheet 2.8'!B:B, 0)+2),0),0)</f>
        <v>0</v>
      </c>
      <c r="N198" s="271">
        <f>IFERROR(IF(OR(ISBLANK(C198),C198='ONESheet 2.8'!CustomerCountry,COUNTIF(C198,"*xDC*")),0,10%),0)</f>
        <v>0</v>
      </c>
      <c r="O198" s="271" cm="1">
        <f t="array" ref="O198">IFERROR(INDEX(WHT!$C$7:$W$18,MATCH(
_xlfn.SWITCH(C198,"xDC Medellin","Colombia","xDC Belo Horizonte","Brazil","xDC Guadalajara","Mexico","xDC Gurugram","India","xDC Leon","Spain","xDC San Jose","Costa Rica","xDC Warsaw","Poland",C198),
WHT!$B$7:$B$18,0),MATCH('ONESheet 2.8'!CustomerCountry,WHT!$C$5:$W$5,0)),0)</f>
        <v>0</v>
      </c>
      <c r="P198" s="270">
        <f t="shared" si="20"/>
        <v>0</v>
      </c>
      <c r="Q198" s="272">
        <f t="shared" si="21"/>
        <v>0</v>
      </c>
      <c r="R198" s="272">
        <f t="shared" si="19"/>
        <v>0</v>
      </c>
      <c r="S198" s="272">
        <f t="shared" si="22"/>
        <v>0</v>
      </c>
      <c r="T198" s="272">
        <f t="shared" si="23"/>
        <v>0</v>
      </c>
      <c r="U198" s="268"/>
      <c r="V198" s="267"/>
    </row>
    <row r="199" spans="1:22">
      <c r="A199" s="267"/>
      <c r="B199" s="267"/>
      <c r="C199" s="268"/>
      <c r="D199" s="268"/>
      <c r="E199" s="268"/>
      <c r="F199" s="268"/>
      <c r="G199" s="268">
        <v>0</v>
      </c>
      <c r="H199" s="269">
        <v>0</v>
      </c>
      <c r="I199" s="270">
        <f t="shared" si="18"/>
        <v>0</v>
      </c>
      <c r="J199" s="269" t="s">
        <v>200</v>
      </c>
      <c r="K199" s="403" t="str">
        <f>'ONESheet 2.8'!BillingCountryCurrency</f>
        <v>USD</v>
      </c>
      <c r="L199" s="269">
        <v>1</v>
      </c>
      <c r="M199" s="271" cm="1">
        <f t="array" ref="M199">IF(A199&lt;&gt;"",IFERROR(INDEX('ONESheet 2.8'!AV:AV, MATCH(A199, 'ONESheet 2.8'!B:B, 0)+2),0),0)</f>
        <v>0</v>
      </c>
      <c r="N199" s="271">
        <f>IFERROR(IF(OR(ISBLANK(C199),C199='ONESheet 2.8'!CustomerCountry,COUNTIF(C199,"*xDC*")),0,10%),0)</f>
        <v>0</v>
      </c>
      <c r="O199" s="271" cm="1">
        <f t="array" ref="O199">IFERROR(INDEX(WHT!$C$7:$W$18,MATCH(
_xlfn.SWITCH(C199,"xDC Medellin","Colombia","xDC Belo Horizonte","Brazil","xDC Guadalajara","Mexico","xDC Gurugram","India","xDC Leon","Spain","xDC San Jose","Costa Rica","xDC Warsaw","Poland",C199),
WHT!$B$7:$B$18,0),MATCH('ONESheet 2.8'!CustomerCountry,WHT!$C$5:$W$5,0)),0)</f>
        <v>0</v>
      </c>
      <c r="P199" s="270">
        <f t="shared" si="20"/>
        <v>0</v>
      </c>
      <c r="Q199" s="272">
        <f t="shared" si="21"/>
        <v>0</v>
      </c>
      <c r="R199" s="272">
        <f t="shared" si="19"/>
        <v>0</v>
      </c>
      <c r="S199" s="272">
        <f t="shared" si="22"/>
        <v>0</v>
      </c>
      <c r="T199" s="272">
        <f t="shared" si="23"/>
        <v>0</v>
      </c>
      <c r="U199" s="268"/>
      <c r="V199" s="267"/>
    </row>
    <row r="200" spans="1:22">
      <c r="A200" s="267"/>
      <c r="B200" s="267"/>
      <c r="C200" s="268"/>
      <c r="D200" s="268"/>
      <c r="E200" s="268"/>
      <c r="F200" s="268"/>
      <c r="G200" s="268">
        <v>0</v>
      </c>
      <c r="H200" s="269">
        <v>0</v>
      </c>
      <c r="I200" s="270">
        <f t="shared" si="18"/>
        <v>0</v>
      </c>
      <c r="J200" s="269" t="s">
        <v>200</v>
      </c>
      <c r="K200" s="403" t="str">
        <f>'ONESheet 2.8'!BillingCountryCurrency</f>
        <v>USD</v>
      </c>
      <c r="L200" s="269">
        <v>1</v>
      </c>
      <c r="M200" s="271" cm="1">
        <f t="array" ref="M200">IF(A200&lt;&gt;"",IFERROR(INDEX('ONESheet 2.8'!AV:AV, MATCH(A200, 'ONESheet 2.8'!B:B, 0)+2),0),0)</f>
        <v>0</v>
      </c>
      <c r="N200" s="271">
        <f>IFERROR(IF(OR(ISBLANK(C200),C200='ONESheet 2.8'!CustomerCountry,COUNTIF(C200,"*xDC*")),0,10%),0)</f>
        <v>0</v>
      </c>
      <c r="O200" s="271" cm="1">
        <f t="array" ref="O200">IFERROR(INDEX(WHT!$C$7:$W$18,MATCH(
_xlfn.SWITCH(C200,"xDC Medellin","Colombia","xDC Belo Horizonte","Brazil","xDC Guadalajara","Mexico","xDC Gurugram","India","xDC Leon","Spain","xDC San Jose","Costa Rica","xDC Warsaw","Poland",C200),
WHT!$B$7:$B$18,0),MATCH('ONESheet 2.8'!CustomerCountry,WHT!$C$5:$W$5,0)),0)</f>
        <v>0</v>
      </c>
      <c r="P200" s="270">
        <f t="shared" si="20"/>
        <v>0</v>
      </c>
      <c r="Q200" s="272">
        <f t="shared" si="21"/>
        <v>0</v>
      </c>
      <c r="R200" s="272">
        <f t="shared" si="19"/>
        <v>0</v>
      </c>
      <c r="S200" s="272">
        <f t="shared" si="22"/>
        <v>0</v>
      </c>
      <c r="T200" s="272">
        <f t="shared" si="23"/>
        <v>0</v>
      </c>
      <c r="U200" s="268"/>
      <c r="V200" s="267"/>
    </row>
    <row r="201" spans="1:22">
      <c r="A201" s="267"/>
      <c r="B201" s="267"/>
      <c r="C201" s="268"/>
      <c r="D201" s="268"/>
      <c r="E201" s="268"/>
      <c r="F201" s="268"/>
      <c r="G201" s="268">
        <v>0</v>
      </c>
      <c r="H201" s="269">
        <v>0</v>
      </c>
      <c r="I201" s="270">
        <f t="shared" si="18"/>
        <v>0</v>
      </c>
      <c r="J201" s="269" t="s">
        <v>200</v>
      </c>
      <c r="K201" s="403" t="str">
        <f>'ONESheet 2.8'!BillingCountryCurrency</f>
        <v>USD</v>
      </c>
      <c r="L201" s="269">
        <v>1</v>
      </c>
      <c r="M201" s="271" cm="1">
        <f t="array" ref="M201">IF(A201&lt;&gt;"",IFERROR(INDEX('ONESheet 2.8'!AV:AV, MATCH(A201, 'ONESheet 2.8'!B:B, 0)+2),0),0)</f>
        <v>0</v>
      </c>
      <c r="N201" s="271">
        <f>IFERROR(IF(OR(ISBLANK(C201),C201='ONESheet 2.8'!CustomerCountry,COUNTIF(C201,"*xDC*")),0,10%),0)</f>
        <v>0</v>
      </c>
      <c r="O201" s="271" cm="1">
        <f t="array" ref="O201">IFERROR(INDEX(WHT!$C$7:$W$18,MATCH(
_xlfn.SWITCH(C201,"xDC Medellin","Colombia","xDC Belo Horizonte","Brazil","xDC Guadalajara","Mexico","xDC Gurugram","India","xDC Leon","Spain","xDC San Jose","Costa Rica","xDC Warsaw","Poland",C201),
WHT!$B$7:$B$18,0),MATCH('ONESheet 2.8'!CustomerCountry,WHT!$C$5:$W$5,0)),0)</f>
        <v>0</v>
      </c>
      <c r="P201" s="270">
        <f t="shared" si="20"/>
        <v>0</v>
      </c>
      <c r="Q201" s="272">
        <f t="shared" si="21"/>
        <v>0</v>
      </c>
      <c r="R201" s="272">
        <f t="shared" si="19"/>
        <v>0</v>
      </c>
      <c r="S201" s="272">
        <f t="shared" si="22"/>
        <v>0</v>
      </c>
      <c r="T201" s="272">
        <f t="shared" si="23"/>
        <v>0</v>
      </c>
      <c r="U201" s="268"/>
      <c r="V201" s="267"/>
    </row>
  </sheetData>
  <sheetProtection formatCells="0" formatColumns="0" formatRows="0" insertRows="0" deleteRows="0" autoFilter="0"/>
  <autoFilter ref="A1:V201" xr:uid="{9561E6D1-67D0-4908-8AAE-D7663CEFD478}"/>
  <phoneticPr fontId="35" type="noConversion"/>
  <conditionalFormatting sqref="L2:L201">
    <cfRule type="cellIs" dxfId="18" priority="1" operator="lessThanOrEqual">
      <formula>0</formula>
    </cfRule>
    <cfRule type="cellIs" dxfId="17" priority="2" operator="lessThan">
      <formula>0</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5C71F5E1-41A7-6F43-AA2A-9BA323D25694}">
          <x14:formula1>
            <xm:f>Paramenters!$H$2:$H$5</xm:f>
          </x14:formula1>
          <xm:sqref>B2:B201</xm:sqref>
        </x14:dataValidation>
        <x14:dataValidation type="list" allowBlank="1" showInputMessage="1" showErrorMessage="1" xr:uid="{673F80D6-921E-5F4D-A75A-B87F031834E4}">
          <x14:formula1>
            <xm:f>Paramenters!$J$2:$J$5</xm:f>
          </x14:formula1>
          <xm:sqref>J2:J201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0346-ABD0-384B-AE64-58E59C1DF410}">
  <sheetPr codeName="Sheet5"/>
  <dimension ref="A1:P73"/>
  <sheetViews>
    <sheetView showGridLines="0" zoomScaleNormal="100" workbookViewId="0">
      <selection activeCell="C46" sqref="C46"/>
    </sheetView>
  </sheetViews>
  <sheetFormatPr defaultColWidth="11.42578125" defaultRowHeight="14.45"/>
  <cols>
    <col min="1" max="1" width="4" style="56" customWidth="1"/>
    <col min="2" max="2" width="31.7109375" style="56" customWidth="1"/>
    <col min="3" max="14" width="14.7109375" style="56" customWidth="1"/>
    <col min="15" max="15" width="16" style="56" customWidth="1"/>
    <col min="16" max="16" width="4" style="56" customWidth="1"/>
    <col min="17" max="16384" width="11.42578125" style="56"/>
  </cols>
  <sheetData>
    <row r="1" spans="1:16" ht="19.149999999999999" customHeight="1">
      <c r="A1" s="45"/>
      <c r="B1" s="523" t="s">
        <v>430</v>
      </c>
      <c r="C1" s="523"/>
      <c r="D1" s="523"/>
      <c r="E1" s="523"/>
      <c r="F1" s="523"/>
      <c r="G1" s="523"/>
      <c r="H1" s="523"/>
      <c r="I1" s="523"/>
      <c r="J1" s="523"/>
      <c r="K1" s="523"/>
      <c r="L1" s="523"/>
      <c r="M1" s="523"/>
      <c r="N1" s="523"/>
      <c r="O1" s="523"/>
      <c r="P1" s="523"/>
    </row>
    <row r="2" spans="1:16">
      <c r="A2" s="7"/>
      <c r="B2" s="465" t="s">
        <v>431</v>
      </c>
      <c r="C2" s="44"/>
      <c r="D2" s="44"/>
      <c r="E2" s="44"/>
      <c r="F2" s="44"/>
      <c r="G2" s="44"/>
      <c r="H2" s="44"/>
      <c r="I2" s="44"/>
      <c r="J2" s="44"/>
      <c r="K2" s="44"/>
      <c r="L2" s="44"/>
      <c r="M2" s="44"/>
      <c r="N2" s="44"/>
      <c r="O2" s="44"/>
      <c r="P2" s="44"/>
    </row>
    <row r="3" spans="1:16">
      <c r="A3" s="7"/>
      <c r="B3" s="2"/>
      <c r="C3" s="57"/>
      <c r="D3" s="44"/>
      <c r="E3" s="44"/>
      <c r="F3" s="44"/>
      <c r="G3" s="44"/>
      <c r="H3" s="44"/>
      <c r="I3" s="44"/>
      <c r="J3" s="44"/>
      <c r="K3" s="44"/>
      <c r="L3" s="44"/>
      <c r="M3" s="44"/>
      <c r="N3" s="44"/>
      <c r="O3" s="44"/>
      <c r="P3" s="44"/>
    </row>
    <row r="4" spans="1:16">
      <c r="A4" s="7"/>
      <c r="B4" s="58" t="s">
        <v>432</v>
      </c>
      <c r="C4" s="7"/>
      <c r="D4" s="7"/>
      <c r="E4" s="7"/>
      <c r="F4" s="7"/>
      <c r="G4" s="7"/>
      <c r="H4" s="7"/>
      <c r="I4" s="7"/>
      <c r="J4" s="7"/>
      <c r="K4" s="7"/>
      <c r="L4" s="7"/>
      <c r="M4" s="7"/>
      <c r="N4" s="7"/>
      <c r="O4" s="7"/>
      <c r="P4" s="7"/>
    </row>
    <row r="5" spans="1:16" ht="99" customHeight="1">
      <c r="A5" s="7"/>
      <c r="B5" s="524" t="s">
        <v>433</v>
      </c>
      <c r="C5" s="525"/>
      <c r="D5" s="525"/>
      <c r="E5" s="525"/>
      <c r="F5" s="525"/>
      <c r="G5" s="525"/>
      <c r="H5" s="525"/>
      <c r="I5" s="525"/>
      <c r="J5" s="525"/>
      <c r="K5" s="525"/>
      <c r="L5" s="525"/>
      <c r="M5" s="525"/>
      <c r="N5" s="525"/>
      <c r="O5" s="526"/>
      <c r="P5" s="7"/>
    </row>
    <row r="6" spans="1:16">
      <c r="A6" s="7"/>
      <c r="B6" s="2"/>
      <c r="C6" s="57"/>
      <c r="D6" s="44"/>
      <c r="E6" s="44"/>
      <c r="F6" s="44"/>
      <c r="G6" s="44"/>
      <c r="H6" s="44"/>
      <c r="I6" s="44"/>
      <c r="J6" s="44"/>
      <c r="K6" s="44"/>
      <c r="L6" s="44"/>
      <c r="M6" s="44"/>
      <c r="N6" s="44"/>
      <c r="O6" s="44"/>
      <c r="P6" s="44"/>
    </row>
    <row r="7" spans="1:16">
      <c r="A7" s="7"/>
      <c r="B7" s="58" t="s">
        <v>434</v>
      </c>
      <c r="C7" s="7"/>
      <c r="D7" s="7"/>
      <c r="E7" s="7"/>
      <c r="F7" s="7"/>
      <c r="G7" s="7"/>
      <c r="H7" s="7"/>
      <c r="I7" s="7"/>
      <c r="J7" s="7"/>
      <c r="K7" s="7"/>
      <c r="L7" s="7"/>
      <c r="M7" s="7"/>
      <c r="N7" s="7"/>
      <c r="O7" s="7"/>
      <c r="P7" s="7"/>
    </row>
    <row r="8" spans="1:16" ht="37.15" customHeight="1">
      <c r="A8" s="7"/>
      <c r="B8" s="524" t="s">
        <v>435</v>
      </c>
      <c r="C8" s="525" t="s">
        <v>436</v>
      </c>
      <c r="D8" s="525"/>
      <c r="E8" s="525"/>
      <c r="F8" s="525"/>
      <c r="G8" s="525"/>
      <c r="H8" s="525"/>
      <c r="I8" s="525"/>
      <c r="J8" s="525"/>
      <c r="K8" s="525"/>
      <c r="L8" s="525"/>
      <c r="M8" s="525"/>
      <c r="N8" s="525"/>
      <c r="O8" s="526"/>
      <c r="P8" s="7"/>
    </row>
    <row r="9" spans="1:16">
      <c r="A9" s="7"/>
      <c r="B9" s="2"/>
      <c r="C9" s="57"/>
      <c r="D9" s="44"/>
      <c r="E9" s="44"/>
      <c r="F9" s="44"/>
      <c r="G9" s="44"/>
      <c r="H9" s="44"/>
      <c r="I9" s="44"/>
      <c r="J9" s="44"/>
      <c r="K9" s="44"/>
      <c r="L9" s="44"/>
      <c r="M9" s="44"/>
      <c r="N9" s="44"/>
      <c r="O9" s="44"/>
      <c r="P9" s="44"/>
    </row>
    <row r="10" spans="1:16">
      <c r="A10" s="7"/>
      <c r="B10" s="58" t="s">
        <v>167</v>
      </c>
      <c r="C10" s="7"/>
      <c r="D10" s="7"/>
      <c r="E10" s="7"/>
      <c r="F10" s="7"/>
      <c r="G10" s="7"/>
      <c r="H10" s="7"/>
      <c r="I10" s="7"/>
      <c r="J10" s="7"/>
      <c r="K10" s="7"/>
      <c r="L10" s="7"/>
      <c r="M10" s="7"/>
      <c r="N10" s="7"/>
      <c r="O10" s="7"/>
      <c r="P10" s="7"/>
    </row>
    <row r="11" spans="1:16" ht="37.15" customHeight="1">
      <c r="A11" s="7"/>
      <c r="B11" s="524" t="s">
        <v>437</v>
      </c>
      <c r="C11" s="525" t="s">
        <v>436</v>
      </c>
      <c r="D11" s="525"/>
      <c r="E11" s="525"/>
      <c r="F11" s="525"/>
      <c r="G11" s="525"/>
      <c r="H11" s="525"/>
      <c r="I11" s="525"/>
      <c r="J11" s="525"/>
      <c r="K11" s="525"/>
      <c r="L11" s="525"/>
      <c r="M11" s="525"/>
      <c r="N11" s="525"/>
      <c r="O11" s="526"/>
      <c r="P11" s="7"/>
    </row>
    <row r="12" spans="1:16">
      <c r="A12" s="7"/>
      <c r="B12" s="2"/>
      <c r="C12" s="44"/>
      <c r="D12" s="44"/>
      <c r="E12" s="44"/>
      <c r="F12" s="44"/>
      <c r="G12" s="44"/>
      <c r="H12" s="44"/>
      <c r="I12" s="44"/>
      <c r="J12" s="44"/>
      <c r="K12" s="44"/>
      <c r="L12" s="44"/>
      <c r="M12" s="44"/>
      <c r="N12" s="44"/>
      <c r="O12" s="44"/>
      <c r="P12" s="44"/>
    </row>
    <row r="13" spans="1:16">
      <c r="A13"/>
      <c r="B13"/>
      <c r="C13"/>
      <c r="D13"/>
      <c r="E13"/>
      <c r="F13"/>
      <c r="G13"/>
      <c r="H13"/>
      <c r="I13"/>
      <c r="J13"/>
      <c r="K13"/>
      <c r="L13"/>
      <c r="M13"/>
      <c r="N13"/>
      <c r="O13"/>
      <c r="P13"/>
    </row>
    <row r="14" spans="1:16" ht="19.149999999999999" customHeight="1">
      <c r="A14" s="45"/>
      <c r="B14" s="523" t="s">
        <v>438</v>
      </c>
      <c r="C14" s="523"/>
      <c r="D14" s="523"/>
      <c r="E14" s="523"/>
      <c r="F14" s="523"/>
      <c r="G14" s="523"/>
      <c r="H14" s="523"/>
      <c r="I14" s="523"/>
      <c r="J14" s="523"/>
      <c r="K14" s="523"/>
      <c r="L14" s="523"/>
      <c r="M14" s="523"/>
      <c r="N14" s="523"/>
      <c r="O14" s="523"/>
      <c r="P14" s="523"/>
    </row>
    <row r="15" spans="1:16">
      <c r="A15" s="7"/>
      <c r="B15" s="7"/>
      <c r="C15" s="44"/>
      <c r="D15" s="44"/>
      <c r="E15" s="44"/>
      <c r="F15" s="44"/>
      <c r="G15" s="44"/>
      <c r="H15" s="44"/>
      <c r="I15" s="44"/>
      <c r="J15" s="44"/>
      <c r="K15" s="44"/>
      <c r="L15" s="44"/>
      <c r="M15" s="44"/>
      <c r="N15" s="44"/>
      <c r="O15" s="44"/>
      <c r="P15" s="44"/>
    </row>
    <row r="16" spans="1:16">
      <c r="A16" s="7"/>
      <c r="B16" s="7"/>
      <c r="C16" s="527" t="s">
        <v>439</v>
      </c>
      <c r="D16" s="528"/>
      <c r="E16" s="527" t="s">
        <v>440</v>
      </c>
      <c r="F16" s="528"/>
      <c r="G16" s="528"/>
      <c r="H16" s="528"/>
      <c r="I16" s="529"/>
      <c r="J16" s="551" t="s">
        <v>441</v>
      </c>
      <c r="K16" s="528"/>
      <c r="L16" s="528"/>
      <c r="M16" s="528"/>
      <c r="N16" s="542"/>
      <c r="O16" s="30" t="s">
        <v>442</v>
      </c>
      <c r="P16" s="44"/>
    </row>
    <row r="17" spans="1:16">
      <c r="A17" s="7"/>
      <c r="B17" s="552" t="s">
        <v>443</v>
      </c>
      <c r="C17" s="462" t="s">
        <v>444</v>
      </c>
      <c r="D17" s="463"/>
      <c r="E17" s="462" t="s">
        <v>445</v>
      </c>
      <c r="F17" s="464"/>
      <c r="G17" s="464"/>
      <c r="H17" s="464"/>
      <c r="I17" s="463"/>
      <c r="J17" s="455" t="s">
        <v>446</v>
      </c>
      <c r="K17" s="455"/>
      <c r="L17" s="455"/>
      <c r="M17" s="455"/>
      <c r="N17" s="456"/>
      <c r="O17" s="60">
        <f>SUM(C45,D45)</f>
        <v>18.369999999999997</v>
      </c>
      <c r="P17" s="44"/>
    </row>
    <row r="18" spans="1:16">
      <c r="A18" s="7"/>
      <c r="B18" s="547"/>
      <c r="C18" s="462" t="s">
        <v>447</v>
      </c>
      <c r="D18" s="463"/>
      <c r="E18" s="462" t="s">
        <v>448</v>
      </c>
      <c r="F18" s="464"/>
      <c r="G18" s="464"/>
      <c r="H18" s="464"/>
      <c r="I18" s="463"/>
      <c r="J18" s="455" t="s">
        <v>449</v>
      </c>
      <c r="K18" s="455"/>
      <c r="L18" s="455"/>
      <c r="M18" s="455"/>
      <c r="N18" s="456"/>
      <c r="O18" s="60">
        <f>SUM(C45,D45,E45)</f>
        <v>39.369999999999997</v>
      </c>
      <c r="P18" s="44"/>
    </row>
    <row r="19" spans="1:16">
      <c r="A19" s="7"/>
      <c r="B19" s="547"/>
      <c r="C19" s="462" t="s">
        <v>450</v>
      </c>
      <c r="D19" s="463"/>
      <c r="E19" s="462" t="s">
        <v>451</v>
      </c>
      <c r="F19" s="464"/>
      <c r="G19" s="464"/>
      <c r="H19" s="464"/>
      <c r="I19" s="463"/>
      <c r="J19" s="455" t="s">
        <v>452</v>
      </c>
      <c r="K19" s="455"/>
      <c r="L19" s="455"/>
      <c r="M19" s="455"/>
      <c r="N19" s="456"/>
      <c r="O19" s="60">
        <f>SUM(C45,D45,I45,F45)</f>
        <v>35.69</v>
      </c>
      <c r="P19" s="44"/>
    </row>
    <row r="20" spans="1:16">
      <c r="A20" s="7"/>
      <c r="B20" s="547"/>
      <c r="C20" s="462" t="s">
        <v>453</v>
      </c>
      <c r="D20" s="463"/>
      <c r="E20" s="462" t="s">
        <v>454</v>
      </c>
      <c r="F20" s="464"/>
      <c r="G20" s="464"/>
      <c r="H20" s="464"/>
      <c r="I20" s="463"/>
      <c r="J20" s="455" t="s">
        <v>455</v>
      </c>
      <c r="K20" s="455"/>
      <c r="L20" s="455"/>
      <c r="M20" s="455"/>
      <c r="N20" s="456"/>
      <c r="O20" s="60">
        <f>SUM(C45,D45,I45,F45,L45)</f>
        <v>59.69</v>
      </c>
      <c r="P20" s="44"/>
    </row>
    <row r="21" spans="1:16">
      <c r="A21" s="7"/>
      <c r="B21" s="547"/>
      <c r="C21" s="462" t="s">
        <v>456</v>
      </c>
      <c r="D21" s="463"/>
      <c r="E21" s="462" t="s">
        <v>454</v>
      </c>
      <c r="F21" s="464"/>
      <c r="G21" s="464"/>
      <c r="H21" s="464"/>
      <c r="I21" s="463"/>
      <c r="J21" s="455" t="s">
        <v>457</v>
      </c>
      <c r="K21" s="455"/>
      <c r="L21" s="455"/>
      <c r="M21" s="455"/>
      <c r="N21" s="456"/>
      <c r="O21" s="60">
        <f>SUM(C45,D45,I45,F45,L45)</f>
        <v>59.69</v>
      </c>
      <c r="P21" s="44"/>
    </row>
    <row r="22" spans="1:16">
      <c r="A22" s="7"/>
      <c r="B22" s="547"/>
      <c r="C22" s="462" t="s">
        <v>458</v>
      </c>
      <c r="D22" s="463"/>
      <c r="E22" s="462" t="s">
        <v>459</v>
      </c>
      <c r="F22" s="464"/>
      <c r="G22" s="464"/>
      <c r="H22" s="464"/>
      <c r="I22" s="463"/>
      <c r="J22" s="455" t="s">
        <v>460</v>
      </c>
      <c r="K22" s="455"/>
      <c r="L22" s="455"/>
      <c r="M22" s="455"/>
      <c r="N22" s="456"/>
      <c r="O22" s="60">
        <f>SUM(C45,D45,I45,L45,H45)</f>
        <v>111.69</v>
      </c>
      <c r="P22" s="44"/>
    </row>
    <row r="23" spans="1:16">
      <c r="A23" s="7"/>
      <c r="B23" s="547"/>
      <c r="C23" s="462" t="s">
        <v>461</v>
      </c>
      <c r="D23" s="463"/>
      <c r="E23" s="462" t="s">
        <v>462</v>
      </c>
      <c r="F23" s="464"/>
      <c r="G23" s="464"/>
      <c r="H23" s="464"/>
      <c r="I23" s="463"/>
      <c r="J23" s="455" t="s">
        <v>463</v>
      </c>
      <c r="K23" s="455"/>
      <c r="L23" s="455"/>
      <c r="M23" s="455"/>
      <c r="N23" s="456"/>
      <c r="O23" s="60">
        <f>SUM(C45,D45,M45)</f>
        <v>63.37</v>
      </c>
      <c r="P23" s="44"/>
    </row>
    <row r="24" spans="1:16">
      <c r="A24" s="7"/>
      <c r="B24" s="547"/>
      <c r="C24" s="462" t="s">
        <v>464</v>
      </c>
      <c r="D24" s="463"/>
      <c r="E24" s="462" t="s">
        <v>465</v>
      </c>
      <c r="F24" s="464"/>
      <c r="G24" s="464"/>
      <c r="H24" s="464"/>
      <c r="I24" s="463"/>
      <c r="J24" s="455" t="s">
        <v>466</v>
      </c>
      <c r="K24" s="455"/>
      <c r="L24" s="455"/>
      <c r="M24" s="455"/>
      <c r="N24" s="456"/>
      <c r="O24" s="60">
        <f>SUM(C45,D45,N45)</f>
        <v>91.859999999999985</v>
      </c>
      <c r="P24" s="44"/>
    </row>
    <row r="25" spans="1:16">
      <c r="A25" s="7"/>
      <c r="B25" s="547"/>
      <c r="C25" s="462" t="s">
        <v>444</v>
      </c>
      <c r="D25" s="463"/>
      <c r="E25" s="462" t="s">
        <v>467</v>
      </c>
      <c r="F25" s="464"/>
      <c r="G25" s="464"/>
      <c r="H25" s="464"/>
      <c r="I25" s="463"/>
      <c r="J25" s="455" t="s">
        <v>446</v>
      </c>
      <c r="K25" s="455"/>
      <c r="L25" s="455"/>
      <c r="M25" s="455"/>
      <c r="N25" s="456"/>
      <c r="O25" s="60">
        <v>0</v>
      </c>
      <c r="P25" s="44"/>
    </row>
    <row r="26" spans="1:16">
      <c r="A26" s="7"/>
      <c r="B26" s="547"/>
      <c r="C26" s="462" t="s">
        <v>447</v>
      </c>
      <c r="D26" s="463"/>
      <c r="E26" s="462" t="s">
        <v>468</v>
      </c>
      <c r="F26" s="464"/>
      <c r="G26" s="464"/>
      <c r="H26" s="464"/>
      <c r="I26" s="463"/>
      <c r="J26" s="455" t="s">
        <v>449</v>
      </c>
      <c r="K26" s="455"/>
      <c r="L26" s="455"/>
      <c r="M26" s="455"/>
      <c r="N26" s="456"/>
      <c r="O26" s="60">
        <f>SUM(E45)</f>
        <v>21</v>
      </c>
      <c r="P26" s="44"/>
    </row>
    <row r="27" spans="1:16">
      <c r="A27" s="7"/>
      <c r="B27" s="547"/>
      <c r="C27" s="462" t="s">
        <v>450</v>
      </c>
      <c r="D27" s="463"/>
      <c r="E27" s="462" t="s">
        <v>469</v>
      </c>
      <c r="F27" s="464"/>
      <c r="G27" s="464"/>
      <c r="H27" s="464"/>
      <c r="I27" s="463"/>
      <c r="J27" s="455" t="s">
        <v>452</v>
      </c>
      <c r="K27" s="455"/>
      <c r="L27" s="455"/>
      <c r="M27" s="455"/>
      <c r="N27" s="456"/>
      <c r="O27" s="60">
        <f>SUM(I45,F45)</f>
        <v>17.32</v>
      </c>
      <c r="P27" s="44"/>
    </row>
    <row r="28" spans="1:16">
      <c r="A28" s="7"/>
      <c r="B28" s="547"/>
      <c r="C28" s="462" t="s">
        <v>453</v>
      </c>
      <c r="D28" s="463"/>
      <c r="E28" s="462" t="s">
        <v>470</v>
      </c>
      <c r="F28" s="464"/>
      <c r="G28" s="464"/>
      <c r="H28" s="464"/>
      <c r="I28" s="463"/>
      <c r="J28" s="455" t="s">
        <v>455</v>
      </c>
      <c r="K28" s="455"/>
      <c r="L28" s="455"/>
      <c r="M28" s="455"/>
      <c r="N28" s="456"/>
      <c r="O28" s="60">
        <f>SUM(I45,F45,L45)</f>
        <v>41.32</v>
      </c>
      <c r="P28" s="44"/>
    </row>
    <row r="29" spans="1:16">
      <c r="A29" s="7"/>
      <c r="B29" s="547"/>
      <c r="C29" s="462" t="s">
        <v>456</v>
      </c>
      <c r="D29" s="463"/>
      <c r="E29" s="462" t="s">
        <v>470</v>
      </c>
      <c r="F29" s="464"/>
      <c r="G29" s="464"/>
      <c r="H29" s="464"/>
      <c r="I29" s="463"/>
      <c r="J29" s="455" t="s">
        <v>457</v>
      </c>
      <c r="K29" s="455"/>
      <c r="L29" s="455"/>
      <c r="M29" s="455"/>
      <c r="N29" s="456"/>
      <c r="O29" s="60">
        <f>SUM(I45,F45,L45)</f>
        <v>41.32</v>
      </c>
      <c r="P29" s="44"/>
    </row>
    <row r="30" spans="1:16">
      <c r="A30" s="7"/>
      <c r="B30" s="547"/>
      <c r="C30" s="462" t="s">
        <v>458</v>
      </c>
      <c r="D30" s="463"/>
      <c r="E30" s="462" t="s">
        <v>471</v>
      </c>
      <c r="F30" s="464"/>
      <c r="G30" s="464"/>
      <c r="H30" s="464"/>
      <c r="I30" s="463"/>
      <c r="J30" s="455" t="s">
        <v>460</v>
      </c>
      <c r="K30" s="455"/>
      <c r="L30" s="455"/>
      <c r="M30" s="455"/>
      <c r="N30" s="456"/>
      <c r="O30" s="60">
        <f>SUM(I45,F45,L45,H45)</f>
        <v>93.32</v>
      </c>
      <c r="P30" s="44"/>
    </row>
    <row r="31" spans="1:16">
      <c r="A31" s="7"/>
      <c r="B31" s="547"/>
      <c r="C31" s="462" t="s">
        <v>461</v>
      </c>
      <c r="D31" s="463"/>
      <c r="E31" s="462" t="s">
        <v>472</v>
      </c>
      <c r="F31" s="464"/>
      <c r="G31" s="464"/>
      <c r="H31" s="464"/>
      <c r="I31" s="463"/>
      <c r="J31" s="455" t="s">
        <v>463</v>
      </c>
      <c r="K31" s="455"/>
      <c r="L31" s="455"/>
      <c r="M31" s="455"/>
      <c r="N31" s="456"/>
      <c r="O31" s="60">
        <f>SUM(M45)</f>
        <v>45</v>
      </c>
      <c r="P31" s="44"/>
    </row>
    <row r="32" spans="1:16">
      <c r="A32" s="7"/>
      <c r="B32" s="553"/>
      <c r="C32" s="462" t="s">
        <v>464</v>
      </c>
      <c r="D32" s="463"/>
      <c r="E32" s="462" t="s">
        <v>473</v>
      </c>
      <c r="F32" s="464"/>
      <c r="G32" s="464"/>
      <c r="H32" s="464"/>
      <c r="I32" s="463"/>
      <c r="J32" s="455" t="s">
        <v>466</v>
      </c>
      <c r="K32" s="455"/>
      <c r="L32" s="455"/>
      <c r="M32" s="455"/>
      <c r="N32" s="456"/>
      <c r="O32" s="60">
        <f>SUM(N45)</f>
        <v>73.489999999999995</v>
      </c>
      <c r="P32" s="44"/>
    </row>
    <row r="33" spans="1:16">
      <c r="A33" s="7"/>
      <c r="B33" s="546" t="s">
        <v>474</v>
      </c>
      <c r="C33" s="462" t="s">
        <v>475</v>
      </c>
      <c r="D33" s="463"/>
      <c r="E33" s="462" t="s">
        <v>476</v>
      </c>
      <c r="F33" s="464"/>
      <c r="G33" s="464"/>
      <c r="H33" s="464"/>
      <c r="I33" s="463"/>
      <c r="J33" s="455" t="s">
        <v>455</v>
      </c>
      <c r="K33" s="455"/>
      <c r="L33" s="455"/>
      <c r="M33" s="455"/>
      <c r="N33" s="456"/>
      <c r="O33" s="60">
        <f>SUM(C45,D45,I45,F45,L45,J45,K45)</f>
        <v>120.88999999999999</v>
      </c>
      <c r="P33" s="44"/>
    </row>
    <row r="34" spans="1:16">
      <c r="A34" s="7"/>
      <c r="B34" s="547"/>
      <c r="C34" s="462" t="s">
        <v>477</v>
      </c>
      <c r="D34" s="463"/>
      <c r="E34" s="462" t="s">
        <v>476</v>
      </c>
      <c r="F34" s="464"/>
      <c r="G34" s="464"/>
      <c r="H34" s="464"/>
      <c r="I34" s="463"/>
      <c r="J34" s="455" t="s">
        <v>457</v>
      </c>
      <c r="K34" s="455"/>
      <c r="L34" s="455"/>
      <c r="M34" s="455"/>
      <c r="N34" s="456"/>
      <c r="O34" s="60">
        <f>SUM(C45,D45,I45,F45,L45,J45,K45)</f>
        <v>120.88999999999999</v>
      </c>
      <c r="P34" s="44"/>
    </row>
    <row r="35" spans="1:16">
      <c r="A35" s="7"/>
      <c r="B35" s="547"/>
      <c r="C35" s="462" t="s">
        <v>478</v>
      </c>
      <c r="D35" s="463"/>
      <c r="E35" s="462" t="s">
        <v>479</v>
      </c>
      <c r="F35" s="464"/>
      <c r="G35" s="464"/>
      <c r="H35" s="464"/>
      <c r="I35" s="463"/>
      <c r="J35" s="455" t="s">
        <v>460</v>
      </c>
      <c r="K35" s="455"/>
      <c r="L35" s="455"/>
      <c r="M35" s="455"/>
      <c r="N35" s="456"/>
      <c r="O35" s="60">
        <f>SUM(C45,D45,I45,L45,H45,J45,K45)</f>
        <v>172.89</v>
      </c>
      <c r="P35" s="44"/>
    </row>
    <row r="36" spans="1:16">
      <c r="A36" s="7"/>
      <c r="B36" s="547"/>
      <c r="C36" s="462" t="s">
        <v>475</v>
      </c>
      <c r="D36" s="463"/>
      <c r="E36" s="462" t="s">
        <v>480</v>
      </c>
      <c r="F36" s="464"/>
      <c r="G36" s="464"/>
      <c r="H36" s="464"/>
      <c r="I36" s="463"/>
      <c r="J36" s="455" t="s">
        <v>455</v>
      </c>
      <c r="K36" s="455"/>
      <c r="L36" s="455"/>
      <c r="M36" s="455"/>
      <c r="N36" s="456"/>
      <c r="O36" s="60">
        <f>SUM(I45,F45,L45,J45,K45)</f>
        <v>102.52000000000001</v>
      </c>
      <c r="P36" s="44"/>
    </row>
    <row r="37" spans="1:16">
      <c r="A37" s="7"/>
      <c r="B37" s="547"/>
      <c r="C37" s="462" t="s">
        <v>477</v>
      </c>
      <c r="D37" s="463"/>
      <c r="E37" s="462" t="s">
        <v>480</v>
      </c>
      <c r="F37" s="464"/>
      <c r="G37" s="464"/>
      <c r="H37" s="464"/>
      <c r="I37" s="463"/>
      <c r="J37" s="455" t="s">
        <v>457</v>
      </c>
      <c r="K37" s="455"/>
      <c r="L37" s="455"/>
      <c r="M37" s="455"/>
      <c r="N37" s="456"/>
      <c r="O37" s="60">
        <f>SUM(I45,F45,L45,J45,K45)</f>
        <v>102.52000000000001</v>
      </c>
      <c r="P37" s="44"/>
    </row>
    <row r="38" spans="1:16">
      <c r="A38" s="7"/>
      <c r="B38" s="548"/>
      <c r="C38" s="462" t="s">
        <v>478</v>
      </c>
      <c r="D38" s="463"/>
      <c r="E38" s="462" t="s">
        <v>481</v>
      </c>
      <c r="F38" s="464"/>
      <c r="G38" s="464"/>
      <c r="H38" s="464"/>
      <c r="I38" s="463"/>
      <c r="J38" s="455" t="s">
        <v>460</v>
      </c>
      <c r="K38" s="455"/>
      <c r="L38" s="455"/>
      <c r="M38" s="455"/>
      <c r="N38" s="456"/>
      <c r="O38" s="60">
        <f>SUM(I45,L45,H45,J45,K45)</f>
        <v>154.51999999999998</v>
      </c>
      <c r="P38" s="44"/>
    </row>
    <row r="39" spans="1:16">
      <c r="A39" s="7"/>
      <c r="B39" s="7"/>
      <c r="C39" s="44"/>
      <c r="D39" s="44"/>
      <c r="E39" s="44"/>
      <c r="F39" s="44"/>
      <c r="G39" s="44"/>
      <c r="H39" s="44"/>
      <c r="I39" s="44"/>
      <c r="J39" s="44"/>
      <c r="K39" s="44"/>
      <c r="L39" s="44"/>
      <c r="M39" s="44"/>
      <c r="N39" s="44"/>
      <c r="O39" s="44"/>
      <c r="P39" s="44"/>
    </row>
    <row r="40" spans="1:16">
      <c r="A40"/>
      <c r="B40"/>
      <c r="C40"/>
      <c r="D40"/>
      <c r="E40"/>
      <c r="F40"/>
      <c r="G40"/>
      <c r="H40"/>
      <c r="I40"/>
      <c r="J40"/>
      <c r="K40"/>
      <c r="L40"/>
      <c r="M40"/>
      <c r="N40"/>
      <c r="O40"/>
      <c r="P40"/>
    </row>
    <row r="41" spans="1:16" ht="19.149999999999999" customHeight="1">
      <c r="A41" s="45"/>
      <c r="B41" s="523" t="s">
        <v>482</v>
      </c>
      <c r="C41" s="523"/>
      <c r="D41" s="523"/>
      <c r="E41" s="523"/>
      <c r="F41" s="523"/>
      <c r="G41" s="523"/>
      <c r="H41" s="523"/>
      <c r="I41" s="523"/>
      <c r="J41" s="523"/>
      <c r="K41" s="523"/>
      <c r="L41" s="523"/>
      <c r="M41" s="523"/>
      <c r="N41" s="523"/>
      <c r="O41" s="523"/>
      <c r="P41" s="523"/>
    </row>
    <row r="42" spans="1:16">
      <c r="A42" s="7"/>
      <c r="B42" s="2" t="s">
        <v>483</v>
      </c>
      <c r="C42" s="44"/>
      <c r="D42" s="44"/>
      <c r="E42" s="44"/>
      <c r="F42" s="44"/>
      <c r="G42" s="44"/>
      <c r="H42" s="44"/>
      <c r="I42" s="44"/>
      <c r="J42" s="44"/>
      <c r="K42" s="44"/>
      <c r="L42" s="44"/>
      <c r="M42" s="44"/>
      <c r="N42" s="44"/>
      <c r="O42" s="44"/>
      <c r="P42" s="44"/>
    </row>
    <row r="43" spans="1:16">
      <c r="A43" s="7"/>
      <c r="B43" s="7"/>
      <c r="C43" s="44"/>
      <c r="D43" s="44"/>
      <c r="E43" s="44"/>
      <c r="F43" s="44"/>
      <c r="G43" s="44"/>
      <c r="H43" s="44"/>
      <c r="I43" s="44"/>
      <c r="J43" s="550" t="s">
        <v>484</v>
      </c>
      <c r="K43" s="550"/>
      <c r="L43" s="44"/>
      <c r="M43" s="44"/>
      <c r="N43" s="44"/>
      <c r="O43" s="44"/>
      <c r="P43" s="44"/>
    </row>
    <row r="44" spans="1:16">
      <c r="A44" s="7"/>
      <c r="B44" s="563" t="s">
        <v>485</v>
      </c>
      <c r="C44" s="29" t="s">
        <v>486</v>
      </c>
      <c r="D44" s="29" t="s">
        <v>487</v>
      </c>
      <c r="E44" s="29" t="s">
        <v>488</v>
      </c>
      <c r="F44" s="29" t="s">
        <v>489</v>
      </c>
      <c r="G44" s="29" t="s">
        <v>490</v>
      </c>
      <c r="H44" s="29" t="s">
        <v>491</v>
      </c>
      <c r="I44" s="29" t="s">
        <v>492</v>
      </c>
      <c r="J44" s="29" t="s">
        <v>493</v>
      </c>
      <c r="K44" s="29" t="s">
        <v>494</v>
      </c>
      <c r="L44" s="29" t="s">
        <v>495</v>
      </c>
      <c r="M44" s="29" t="s">
        <v>496</v>
      </c>
      <c r="N44" s="29" t="s">
        <v>497</v>
      </c>
      <c r="O44" s="561" t="s">
        <v>442</v>
      </c>
      <c r="P44" s="44"/>
    </row>
    <row r="45" spans="1:16">
      <c r="A45" s="7"/>
      <c r="B45" s="564"/>
      <c r="C45" s="61">
        <v>11.04</v>
      </c>
      <c r="D45" s="61">
        <v>7.33</v>
      </c>
      <c r="E45" s="61">
        <v>21</v>
      </c>
      <c r="F45" s="61">
        <v>0</v>
      </c>
      <c r="G45" s="61">
        <v>250</v>
      </c>
      <c r="H45" s="61">
        <v>52</v>
      </c>
      <c r="I45" s="61">
        <v>17.32</v>
      </c>
      <c r="J45" s="61">
        <v>17.100000000000001</v>
      </c>
      <c r="K45" s="61">
        <v>44.1</v>
      </c>
      <c r="L45" s="61">
        <v>24</v>
      </c>
      <c r="M45" s="61">
        <v>45</v>
      </c>
      <c r="N45" s="61">
        <v>73.489999999999995</v>
      </c>
      <c r="O45" s="562"/>
      <c r="P45" s="44"/>
    </row>
    <row r="46" spans="1:16">
      <c r="A46" s="7"/>
      <c r="B46" s="62" t="s">
        <v>498</v>
      </c>
      <c r="C46" s="458"/>
      <c r="D46" s="459"/>
      <c r="E46" s="459"/>
      <c r="F46" s="459"/>
      <c r="G46" s="459"/>
      <c r="H46" s="459"/>
      <c r="I46" s="459"/>
      <c r="J46" s="459"/>
      <c r="K46" s="459"/>
      <c r="L46" s="459"/>
      <c r="M46" s="459"/>
      <c r="N46" s="459"/>
      <c r="O46" s="63">
        <f>SUMPRODUCT(C46:N46, $C$45:$N$45)</f>
        <v>0</v>
      </c>
      <c r="P46" s="44"/>
    </row>
    <row r="47" spans="1:16">
      <c r="A47" s="7"/>
      <c r="B47" s="64" t="s">
        <v>499</v>
      </c>
      <c r="C47" s="458"/>
      <c r="D47" s="459"/>
      <c r="E47" s="459"/>
      <c r="F47" s="459"/>
      <c r="G47" s="459"/>
      <c r="H47" s="459"/>
      <c r="I47" s="459"/>
      <c r="J47" s="459"/>
      <c r="K47" s="459"/>
      <c r="L47" s="459"/>
      <c r="M47" s="459"/>
      <c r="N47" s="459"/>
      <c r="O47" s="63">
        <f t="shared" ref="O47:O52" si="0">SUMPRODUCT(C47:N47, $C$45:$N$45)</f>
        <v>0</v>
      </c>
      <c r="P47" s="44"/>
    </row>
    <row r="48" spans="1:16">
      <c r="A48" s="7"/>
      <c r="B48" s="64" t="s">
        <v>500</v>
      </c>
      <c r="C48" s="458"/>
      <c r="D48" s="459"/>
      <c r="E48" s="459"/>
      <c r="F48" s="459"/>
      <c r="G48" s="459"/>
      <c r="H48" s="459"/>
      <c r="I48" s="459"/>
      <c r="J48" s="459"/>
      <c r="K48" s="459"/>
      <c r="L48" s="459"/>
      <c r="M48" s="459"/>
      <c r="N48" s="459"/>
      <c r="O48" s="63">
        <f t="shared" si="0"/>
        <v>0</v>
      </c>
      <c r="P48" s="44"/>
    </row>
    <row r="49" spans="1:16">
      <c r="A49" s="7"/>
      <c r="B49" s="64" t="s">
        <v>501</v>
      </c>
      <c r="C49" s="458"/>
      <c r="D49" s="459"/>
      <c r="E49" s="459"/>
      <c r="F49" s="459"/>
      <c r="G49" s="459"/>
      <c r="H49" s="459"/>
      <c r="I49" s="459"/>
      <c r="J49" s="459"/>
      <c r="K49" s="459"/>
      <c r="L49" s="459"/>
      <c r="M49" s="459"/>
      <c r="N49" s="459"/>
      <c r="O49" s="63">
        <f t="shared" si="0"/>
        <v>0</v>
      </c>
      <c r="P49" s="44"/>
    </row>
    <row r="50" spans="1:16">
      <c r="A50" s="7"/>
      <c r="B50" s="64" t="s">
        <v>502</v>
      </c>
      <c r="C50" s="458"/>
      <c r="D50" s="459"/>
      <c r="E50" s="459"/>
      <c r="F50" s="459"/>
      <c r="G50" s="459"/>
      <c r="H50" s="459"/>
      <c r="I50" s="459"/>
      <c r="J50" s="459"/>
      <c r="K50" s="459"/>
      <c r="L50" s="459"/>
      <c r="M50" s="459"/>
      <c r="N50" s="459"/>
      <c r="O50" s="63">
        <f t="shared" si="0"/>
        <v>0</v>
      </c>
      <c r="P50" s="44"/>
    </row>
    <row r="51" spans="1:16">
      <c r="A51" s="7"/>
      <c r="B51" s="64" t="s">
        <v>503</v>
      </c>
      <c r="C51" s="458"/>
      <c r="D51" s="459"/>
      <c r="E51" s="459"/>
      <c r="F51" s="459"/>
      <c r="G51" s="459"/>
      <c r="H51" s="459"/>
      <c r="I51" s="459"/>
      <c r="J51" s="459"/>
      <c r="K51" s="459"/>
      <c r="L51" s="459"/>
      <c r="M51" s="459"/>
      <c r="N51" s="459"/>
      <c r="O51" s="63">
        <f t="shared" si="0"/>
        <v>0</v>
      </c>
      <c r="P51" s="44"/>
    </row>
    <row r="52" spans="1:16">
      <c r="A52" s="7"/>
      <c r="B52" s="64" t="s">
        <v>504</v>
      </c>
      <c r="C52" s="458"/>
      <c r="D52" s="459"/>
      <c r="E52" s="459"/>
      <c r="F52" s="459"/>
      <c r="G52" s="459"/>
      <c r="H52" s="459"/>
      <c r="I52" s="459"/>
      <c r="J52" s="459"/>
      <c r="K52" s="459"/>
      <c r="L52" s="459"/>
      <c r="M52" s="459"/>
      <c r="N52" s="459"/>
      <c r="O52" s="63">
        <f t="shared" si="0"/>
        <v>0</v>
      </c>
      <c r="P52" s="44"/>
    </row>
    <row r="53" spans="1:16" ht="18" customHeight="1">
      <c r="A53" s="7"/>
      <c r="B53" s="543" t="s">
        <v>91</v>
      </c>
      <c r="C53" s="544"/>
      <c r="D53" s="544"/>
      <c r="E53" s="544"/>
      <c r="F53" s="544"/>
      <c r="G53" s="544"/>
      <c r="H53" s="544"/>
      <c r="I53" s="544"/>
      <c r="J53" s="544"/>
      <c r="K53" s="544"/>
      <c r="L53" s="544"/>
      <c r="M53" s="544"/>
      <c r="N53" s="545"/>
      <c r="O53" s="65">
        <f>SUM(O46:O52)</f>
        <v>0</v>
      </c>
      <c r="P53" s="44"/>
    </row>
    <row r="54" spans="1:16">
      <c r="A54" s="7"/>
      <c r="B54" s="7"/>
      <c r="C54" s="457"/>
      <c r="D54" s="457"/>
      <c r="E54" s="457"/>
      <c r="F54" s="457"/>
      <c r="G54" s="457"/>
      <c r="H54" s="457"/>
      <c r="I54" s="457"/>
      <c r="J54" s="457"/>
      <c r="K54" s="457"/>
      <c r="L54" s="457"/>
      <c r="M54" s="457"/>
      <c r="N54" s="457"/>
      <c r="O54" s="44"/>
      <c r="P54" s="44"/>
    </row>
    <row r="55" spans="1:16">
      <c r="A55"/>
      <c r="B55"/>
      <c r="C55"/>
      <c r="D55"/>
      <c r="E55"/>
      <c r="F55"/>
      <c r="G55"/>
      <c r="H55"/>
      <c r="I55"/>
      <c r="J55"/>
      <c r="K55"/>
      <c r="L55"/>
      <c r="M55"/>
      <c r="N55"/>
      <c r="O55"/>
      <c r="P55"/>
    </row>
    <row r="56" spans="1:16" ht="19.149999999999999" customHeight="1">
      <c r="A56" s="45"/>
      <c r="B56" s="523" t="s">
        <v>505</v>
      </c>
      <c r="C56" s="523"/>
      <c r="D56" s="523"/>
      <c r="E56" s="523"/>
      <c r="F56" s="523"/>
      <c r="G56" s="523"/>
      <c r="H56" s="523"/>
      <c r="I56" s="523"/>
      <c r="J56" s="523"/>
      <c r="K56" s="523"/>
      <c r="L56" s="523"/>
      <c r="M56" s="523"/>
      <c r="N56" s="523"/>
      <c r="O56" s="523"/>
      <c r="P56" s="523"/>
    </row>
    <row r="57" spans="1:16">
      <c r="A57" s="7"/>
      <c r="B57" s="2" t="s">
        <v>506</v>
      </c>
      <c r="C57" s="44"/>
      <c r="D57" s="44"/>
      <c r="E57" s="44"/>
      <c r="F57" s="44"/>
      <c r="G57" s="44"/>
      <c r="H57" s="44"/>
      <c r="I57" s="44"/>
      <c r="J57" s="44"/>
      <c r="K57" s="44"/>
      <c r="L57" s="44"/>
      <c r="M57" s="44"/>
      <c r="N57" s="44"/>
      <c r="O57" s="44"/>
      <c r="P57" s="44"/>
    </row>
    <row r="58" spans="1:16">
      <c r="A58" s="7"/>
      <c r="B58" s="7"/>
      <c r="C58" s="44"/>
      <c r="D58" s="44"/>
      <c r="E58" s="44"/>
      <c r="F58" s="44"/>
      <c r="G58" s="44"/>
      <c r="H58" s="44"/>
      <c r="I58" s="44"/>
      <c r="J58" s="44"/>
      <c r="K58" s="44"/>
      <c r="L58" s="44"/>
      <c r="M58" s="44"/>
      <c r="N58" s="44"/>
      <c r="O58" s="44"/>
      <c r="P58" s="44"/>
    </row>
    <row r="59" spans="1:16">
      <c r="A59" s="7"/>
      <c r="B59" s="66" t="s">
        <v>507</v>
      </c>
      <c r="C59" s="54"/>
      <c r="D59" s="44"/>
      <c r="E59" s="558" t="s">
        <v>508</v>
      </c>
      <c r="F59" s="559"/>
      <c r="G59" s="560"/>
      <c r="H59" s="54"/>
      <c r="I59" s="44"/>
      <c r="J59" s="558" t="s">
        <v>509</v>
      </c>
      <c r="K59" s="559"/>
      <c r="L59" s="560"/>
      <c r="M59" s="54"/>
      <c r="N59" s="44"/>
      <c r="O59" s="44"/>
      <c r="P59" s="44"/>
    </row>
    <row r="60" spans="1:16">
      <c r="A60" s="7"/>
      <c r="B60" s="67" t="s">
        <v>510</v>
      </c>
      <c r="C60" s="54"/>
      <c r="D60" s="44"/>
      <c r="E60" s="558" t="s">
        <v>511</v>
      </c>
      <c r="F60" s="559"/>
      <c r="G60" s="560"/>
      <c r="H60" s="54"/>
      <c r="I60" s="44"/>
      <c r="J60" s="558" t="s">
        <v>512</v>
      </c>
      <c r="K60" s="559"/>
      <c r="L60" s="560"/>
      <c r="M60" s="460"/>
      <c r="N60" s="44"/>
      <c r="O60" s="44"/>
      <c r="P60" s="44"/>
    </row>
    <row r="61" spans="1:16">
      <c r="A61" s="7"/>
      <c r="B61" s="7"/>
      <c r="C61" s="44"/>
      <c r="D61" s="44"/>
      <c r="E61" s="44"/>
      <c r="F61" s="44"/>
      <c r="G61" s="44"/>
      <c r="H61" s="44"/>
      <c r="I61" s="44"/>
      <c r="J61" s="44"/>
      <c r="K61" s="44"/>
      <c r="L61" s="44"/>
      <c r="M61" s="44"/>
      <c r="N61" s="44"/>
      <c r="O61" s="44"/>
      <c r="P61" s="44"/>
    </row>
    <row r="62" spans="1:16">
      <c r="A62" s="7"/>
      <c r="B62" s="29" t="s">
        <v>485</v>
      </c>
      <c r="C62" s="59" t="s">
        <v>111</v>
      </c>
      <c r="D62" s="527" t="s">
        <v>513</v>
      </c>
      <c r="E62" s="542"/>
      <c r="F62" s="44"/>
      <c r="G62" s="554" t="s">
        <v>514</v>
      </c>
      <c r="H62" s="555"/>
      <c r="I62" s="536" t="s">
        <v>515</v>
      </c>
      <c r="J62" s="537"/>
      <c r="K62" s="44"/>
      <c r="L62" s="44"/>
      <c r="M62" s="44"/>
      <c r="N62" s="44"/>
      <c r="O62" s="44"/>
      <c r="P62" s="44"/>
    </row>
    <row r="63" spans="1:16">
      <c r="A63" s="7"/>
      <c r="B63" s="68" t="s">
        <v>516</v>
      </c>
      <c r="C63" s="55"/>
      <c r="D63" s="521" cm="1">
        <f t="array" ref="D63">IFERROR(($C63/$M$60)*INDEX($O$16:$O$38,MATCH(1,(ISNUMBER(SEARCH($M$59,$E$16:$E$38)))*(ISNUMBER(SEARCH("Scrum",$J$16:$J$38))),0)),0)</f>
        <v>0</v>
      </c>
      <c r="E63" s="522"/>
      <c r="F63" s="44"/>
      <c r="G63" s="556"/>
      <c r="H63" s="557"/>
      <c r="I63" s="538"/>
      <c r="J63" s="539"/>
      <c r="K63" s="44"/>
      <c r="L63" s="44"/>
      <c r="M63" s="44"/>
      <c r="N63" s="44"/>
      <c r="O63" s="44"/>
      <c r="P63" s="44"/>
    </row>
    <row r="64" spans="1:16">
      <c r="A64" s="7"/>
      <c r="B64" s="68" t="s">
        <v>498</v>
      </c>
      <c r="C64" s="55"/>
      <c r="D64" s="549" cm="1">
        <f t="array" ref="D64">IFERROR(($C64/$M$60)*INDEX($O$16:$O$38,MATCH(1,(ISNUMBER(SEARCH($M$59,$E$16:$E$38)))*(ISNUMBER(SEARCH($B64,$J$16:$J$38))),0)),0)</f>
        <v>0</v>
      </c>
      <c r="E64" s="522"/>
      <c r="F64" s="44"/>
      <c r="G64" s="530">
        <f>SUM(D63:E70)</f>
        <v>0</v>
      </c>
      <c r="H64" s="531"/>
      <c r="I64" s="538"/>
      <c r="J64" s="539"/>
      <c r="K64" s="44"/>
      <c r="L64" s="44"/>
      <c r="M64" s="461"/>
      <c r="N64" s="461"/>
      <c r="O64" s="44"/>
      <c r="P64" s="44"/>
    </row>
    <row r="65" spans="1:16" ht="15" customHeight="1">
      <c r="A65" s="7"/>
      <c r="B65" s="68" t="s">
        <v>499</v>
      </c>
      <c r="C65" s="55"/>
      <c r="D65" s="519" cm="1">
        <f t="array" ref="D65">IFERROR(($C65/$M$60)*INDEX($O$16:$O$38,MATCH(1,(ISNUMBER(SEARCH($M$59,$E$16:$E$38)))*(ISNUMBER(SEARCH($B65,$J$16:$J$38))),0)),0)</f>
        <v>0</v>
      </c>
      <c r="E65" s="520"/>
      <c r="F65" s="44"/>
      <c r="G65" s="532"/>
      <c r="H65" s="533"/>
      <c r="I65" s="538"/>
      <c r="J65" s="539"/>
      <c r="K65" s="44"/>
      <c r="L65" s="44"/>
      <c r="M65" s="44"/>
      <c r="N65" s="44"/>
      <c r="O65" s="44"/>
      <c r="P65" s="44"/>
    </row>
    <row r="66" spans="1:16" ht="15" customHeight="1">
      <c r="A66" s="7"/>
      <c r="B66" s="68" t="s">
        <v>500</v>
      </c>
      <c r="C66" s="55"/>
      <c r="D66" s="519" cm="1">
        <f t="array" ref="D66">IFERROR(($C66/$M$60)*INDEX($O$16:$O$38,MATCH(1,(ISNUMBER(SEARCH($M$59,$E$16:$E$38)))*(ISNUMBER(SEARCH($B66,$J$16:$J$38))),0)),0)</f>
        <v>0</v>
      </c>
      <c r="E66" s="520"/>
      <c r="F66" s="44"/>
      <c r="G66" s="532"/>
      <c r="H66" s="533"/>
      <c r="I66" s="538"/>
      <c r="J66" s="539"/>
      <c r="K66" s="44"/>
      <c r="L66" s="44"/>
      <c r="M66" s="44"/>
      <c r="N66" s="44"/>
      <c r="O66" s="44"/>
      <c r="P66" s="44"/>
    </row>
    <row r="67" spans="1:16" ht="15" customHeight="1">
      <c r="A67" s="7"/>
      <c r="B67" s="68" t="s">
        <v>501</v>
      </c>
      <c r="C67" s="55"/>
      <c r="D67" s="519" cm="1">
        <f t="array" ref="D67">IFERROR(($C67/$M$60)*INDEX($O$16:$O$38,MATCH(1,(ISNUMBER(SEARCH($M$59,$E$16:$E$38)))*(ISNUMBER(SEARCH(_xlfn.CONCAT($B67,_xlfn.SWITCH($C$59,"Yes"," Automation","No"," Manual"," XXX")),$J$16:$J$38))),0)),0)</f>
        <v>0</v>
      </c>
      <c r="E67" s="520"/>
      <c r="F67" s="44"/>
      <c r="G67" s="532"/>
      <c r="H67" s="533"/>
      <c r="I67" s="538"/>
      <c r="J67" s="539"/>
      <c r="K67" s="44"/>
      <c r="L67" s="44"/>
      <c r="M67" s="44"/>
      <c r="N67" s="44"/>
      <c r="O67" s="44"/>
      <c r="P67" s="44"/>
    </row>
    <row r="68" spans="1:16" ht="15" customHeight="1">
      <c r="A68" s="7"/>
      <c r="B68" s="68" t="s">
        <v>502</v>
      </c>
      <c r="C68" s="55"/>
      <c r="D68" s="519" cm="1">
        <f t="array" ref="D68">IFERROR(($C68/$M$60)*INDEX($O$16:$O$38,MATCH(1,(ISNUMBER(SEARCH($M$59,$E$16:$E$38)))*(ISNUMBER(SEARCH(_xlfn.CONCAT($H$60,IF($H$59="Yes","+AI","")),$C$16:$C$38))),0)),0)</f>
        <v>0</v>
      </c>
      <c r="E68" s="520"/>
      <c r="F68" s="44"/>
      <c r="G68" s="532"/>
      <c r="H68" s="533"/>
      <c r="I68" s="538"/>
      <c r="J68" s="539"/>
      <c r="K68" s="44"/>
      <c r="L68" s="44"/>
      <c r="M68" s="44"/>
      <c r="N68" s="44"/>
      <c r="O68" s="44"/>
      <c r="P68" s="44"/>
    </row>
    <row r="69" spans="1:16" ht="15" customHeight="1">
      <c r="A69" s="7"/>
      <c r="B69" s="68" t="s">
        <v>503</v>
      </c>
      <c r="C69" s="55"/>
      <c r="D69" s="519" cm="1">
        <f t="array" ref="D69">IFERROR(($C69/$M$60)*INDEX($O$16:$O$38,MATCH(1,(ISNUMBER(SEARCH($M$59,$E$16:$E$38)))*(ISNUMBER(SEARCH(_xlfn.CONCAT($H$60,IF($H$59="Yes","+AI","")),$C$16:$C$38))),0)),0)</f>
        <v>0</v>
      </c>
      <c r="E69" s="520"/>
      <c r="F69" s="44"/>
      <c r="G69" s="532"/>
      <c r="H69" s="533"/>
      <c r="I69" s="538"/>
      <c r="J69" s="539"/>
      <c r="K69" s="44"/>
      <c r="L69" s="44"/>
      <c r="M69" s="44"/>
      <c r="N69" s="44"/>
      <c r="O69" s="44"/>
      <c r="P69" s="44"/>
    </row>
    <row r="70" spans="1:16" ht="15" customHeight="1">
      <c r="A70" s="7"/>
      <c r="B70" s="68" t="s">
        <v>504</v>
      </c>
      <c r="C70" s="55"/>
      <c r="D70" s="519" cm="1">
        <f t="array" ref="D70">IFERROR(($C70/$M$60)*INDEX($O$16:$O$38,MATCH(1,(ISNUMBER(SEARCH($M$59,$E$16:$E$38)))*(ISNUMBER(SEARCH($C$60,$J$16:$J$38))),0)),0)</f>
        <v>0</v>
      </c>
      <c r="E70" s="520"/>
      <c r="F70" s="44"/>
      <c r="G70" s="534"/>
      <c r="H70" s="535"/>
      <c r="I70" s="540"/>
      <c r="J70" s="541"/>
      <c r="K70" s="44"/>
      <c r="L70" s="44"/>
      <c r="M70" s="44"/>
      <c r="N70" s="44"/>
      <c r="O70" s="44"/>
      <c r="P70" s="44"/>
    </row>
    <row r="71" spans="1:16">
      <c r="A71" s="7"/>
      <c r="B71" s="7"/>
      <c r="C71" s="44"/>
      <c r="D71" s="44"/>
      <c r="E71" s="44"/>
      <c r="F71" s="44"/>
      <c r="G71" s="44"/>
      <c r="H71" s="44"/>
      <c r="I71" s="44"/>
      <c r="J71" s="44"/>
      <c r="K71" s="44"/>
      <c r="L71" s="44"/>
      <c r="M71" s="44"/>
      <c r="N71" s="44"/>
      <c r="O71" s="44"/>
      <c r="P71" s="44"/>
    </row>
    <row r="72" spans="1:16">
      <c r="A72"/>
      <c r="B72"/>
      <c r="C72"/>
      <c r="D72"/>
      <c r="E72"/>
      <c r="F72"/>
      <c r="G72"/>
      <c r="H72"/>
      <c r="I72"/>
      <c r="J72"/>
      <c r="K72"/>
      <c r="L72"/>
      <c r="M72"/>
      <c r="N72"/>
      <c r="O72"/>
      <c r="P72"/>
    </row>
    <row r="73" spans="1:16" ht="19.149999999999999" customHeight="1">
      <c r="A73" s="45"/>
      <c r="B73" s="523" t="s">
        <v>517</v>
      </c>
      <c r="C73" s="523"/>
      <c r="D73" s="523"/>
      <c r="E73" s="523"/>
      <c r="F73" s="523"/>
      <c r="G73" s="523"/>
      <c r="H73" s="523"/>
      <c r="I73" s="523"/>
      <c r="J73" s="523"/>
      <c r="K73" s="523"/>
      <c r="L73" s="523"/>
      <c r="M73" s="523"/>
      <c r="N73" s="523"/>
      <c r="O73" s="523"/>
      <c r="P73" s="523"/>
    </row>
  </sheetData>
  <sheetProtection algorithmName="SHA-512" hashValue="biHKZ2ubKLYcqBH/JIDH11ZNhVPhe1nGzLaB1M7ESX1eFFWytqHKlfGRKZP4FZc0nJ6A4JTNdDIQkJRkgec93A==" saltValue="veWmENSyWipjziue8sAyHg==" spinCount="100000" sheet="1" objects="1" scenarios="1" formatCells="0" formatColumns="0" formatRows="0" selectLockedCells="1" autoFilter="0"/>
  <mergeCells count="33">
    <mergeCell ref="B1:P1"/>
    <mergeCell ref="J16:N16"/>
    <mergeCell ref="B17:B32"/>
    <mergeCell ref="G62:H63"/>
    <mergeCell ref="E59:G59"/>
    <mergeCell ref="J59:L59"/>
    <mergeCell ref="B41:P41"/>
    <mergeCell ref="O44:O45"/>
    <mergeCell ref="E60:G60"/>
    <mergeCell ref="J60:L60"/>
    <mergeCell ref="B56:P56"/>
    <mergeCell ref="B44:B45"/>
    <mergeCell ref="D65:E65"/>
    <mergeCell ref="B53:N53"/>
    <mergeCell ref="B33:B38"/>
    <mergeCell ref="D64:E64"/>
    <mergeCell ref="J43:K43"/>
    <mergeCell ref="D66:E66"/>
    <mergeCell ref="D63:E63"/>
    <mergeCell ref="B73:P73"/>
    <mergeCell ref="B11:O11"/>
    <mergeCell ref="B5:O5"/>
    <mergeCell ref="B8:O8"/>
    <mergeCell ref="E16:I16"/>
    <mergeCell ref="B14:P14"/>
    <mergeCell ref="C16:D16"/>
    <mergeCell ref="G64:H70"/>
    <mergeCell ref="I62:J70"/>
    <mergeCell ref="D67:E67"/>
    <mergeCell ref="D68:E68"/>
    <mergeCell ref="D69:E69"/>
    <mergeCell ref="D70:E70"/>
    <mergeCell ref="D62:E62"/>
  </mergeCells>
  <dataValidations count="3">
    <dataValidation type="list" allowBlank="1" showInputMessage="1" showErrorMessage="1" sqref="C60" xr:uid="{73536C0F-1FE6-BA4E-A064-F151D87FC823}">
      <formula1>"Figma,Adobe"</formula1>
    </dataValidation>
    <dataValidation type="list" allowBlank="1" showInputMessage="1" showErrorMessage="1" sqref="H59 C59" xr:uid="{321A71B6-0AFB-694A-85BB-DC8255E2190D}">
      <formula1>"Yes,No"</formula1>
    </dataValidation>
    <dataValidation type="list" allowBlank="1" showInputMessage="1" showErrorMessage="1" sqref="M59" xr:uid="{64399562-3F76-7745-9778-E0FFA8212FC3}">
      <formula1>"Azure DevOps,Jira + Confluence"</formula1>
    </dataValidation>
  </dataValidations>
  <hyperlinks>
    <hyperlink ref="B2" r:id="rId1" display="2024 Toolset for Delivery Projects" xr:uid="{03D3867A-ECAF-D14E-BA98-306C8CCC7AA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323D204-922A-C841-BBCE-11F0F8164DE8}">
          <x14:formula1>
            <xm:f>Paramenters!$I$2:$I$4</xm:f>
          </x14:formula1>
          <xm:sqref>H60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55CB9-5C0A-834C-B0A4-2431D668C135}">
  <sheetPr codeName="Sheet7"/>
  <dimension ref="A1:X39"/>
  <sheetViews>
    <sheetView showGridLines="0" zoomScale="120" zoomScaleNormal="120" workbookViewId="0">
      <pane xSplit="2" topLeftCell="C1" activePane="topRight" state="frozen"/>
      <selection pane="topRight" activeCell="B3" sqref="B3"/>
    </sheetView>
  </sheetViews>
  <sheetFormatPr defaultColWidth="11.42578125" defaultRowHeight="14.45"/>
  <cols>
    <col min="1" max="1" width="4.7109375" customWidth="1"/>
    <col min="2" max="2" width="23" customWidth="1"/>
    <col min="3" max="23" width="13.28515625" customWidth="1"/>
    <col min="24" max="24" width="4.7109375" customWidth="1"/>
  </cols>
  <sheetData>
    <row r="1" spans="1:24" ht="19.899999999999999" customHeight="1">
      <c r="A1" s="45"/>
      <c r="B1" s="46" t="s">
        <v>518</v>
      </c>
      <c r="C1" s="46"/>
      <c r="D1" s="46"/>
      <c r="E1" s="46"/>
      <c r="F1" s="46"/>
      <c r="G1" s="46"/>
      <c r="H1" s="46"/>
      <c r="I1" s="46"/>
      <c r="J1" s="46"/>
      <c r="K1" s="46"/>
      <c r="L1" s="46"/>
      <c r="M1" s="46"/>
      <c r="N1" s="46"/>
      <c r="O1" s="46"/>
      <c r="P1" s="46"/>
      <c r="Q1" s="46"/>
      <c r="R1" s="46"/>
      <c r="S1" s="46"/>
      <c r="T1" s="46"/>
      <c r="U1" s="46"/>
      <c r="V1" s="46"/>
      <c r="W1" s="46"/>
      <c r="X1" s="46"/>
    </row>
    <row r="2" spans="1:24">
      <c r="A2" s="7"/>
      <c r="B2" s="7" t="s">
        <v>519</v>
      </c>
      <c r="C2" s="44"/>
      <c r="D2" s="44"/>
      <c r="E2" s="44"/>
      <c r="F2" s="44"/>
      <c r="G2" s="44"/>
      <c r="H2" s="44"/>
      <c r="I2" s="44"/>
      <c r="J2" s="44"/>
      <c r="K2" s="44"/>
      <c r="L2" s="44"/>
      <c r="M2" s="44"/>
      <c r="N2" s="44"/>
      <c r="O2" s="44"/>
      <c r="P2" s="44"/>
      <c r="Q2" s="44"/>
      <c r="R2" s="44"/>
      <c r="S2" s="44"/>
      <c r="T2" s="44"/>
      <c r="U2" s="44"/>
      <c r="V2" s="44"/>
      <c r="W2" s="44"/>
      <c r="X2" s="44"/>
    </row>
    <row r="3" spans="1:24">
      <c r="A3" s="7"/>
      <c r="B3" s="466" t="s">
        <v>520</v>
      </c>
      <c r="C3" s="101" t="s">
        <v>521</v>
      </c>
      <c r="D3" s="44"/>
      <c r="E3" s="44"/>
      <c r="F3" s="44"/>
      <c r="G3" s="44"/>
      <c r="H3" s="44"/>
      <c r="I3" s="44"/>
      <c r="J3" s="44"/>
      <c r="K3" s="44"/>
      <c r="L3" s="44"/>
      <c r="M3" s="44"/>
      <c r="N3" s="44"/>
      <c r="O3" s="44"/>
      <c r="P3" s="44"/>
      <c r="Q3" s="44"/>
      <c r="R3" s="44"/>
      <c r="S3" s="44"/>
      <c r="T3" s="44"/>
      <c r="U3" s="44"/>
      <c r="V3" s="44"/>
      <c r="W3" s="44"/>
      <c r="X3" s="44"/>
    </row>
    <row r="4" spans="1:24">
      <c r="A4" s="7"/>
      <c r="B4" s="7"/>
      <c r="C4" s="44"/>
      <c r="D4" s="44"/>
      <c r="E4" s="44"/>
      <c r="F4" s="44"/>
      <c r="G4" s="44"/>
      <c r="H4" s="44"/>
      <c r="I4" s="44"/>
      <c r="J4" s="44"/>
      <c r="K4" s="44"/>
      <c r="L4" s="44"/>
      <c r="M4" s="44"/>
      <c r="N4" s="44"/>
      <c r="O4" s="44"/>
      <c r="P4" s="44"/>
      <c r="Q4" s="44"/>
      <c r="R4" s="44"/>
      <c r="S4" s="44"/>
      <c r="T4" s="44"/>
      <c r="U4" s="44"/>
      <c r="V4" s="44"/>
      <c r="W4" s="44"/>
      <c r="X4" s="44"/>
    </row>
    <row r="5" spans="1:24" s="34" customFormat="1" ht="16.149999999999999" customHeight="1">
      <c r="A5" s="7"/>
      <c r="B5" s="104" t="s">
        <v>522</v>
      </c>
      <c r="C5" s="565" t="s">
        <v>196</v>
      </c>
      <c r="D5" s="565" t="s">
        <v>201</v>
      </c>
      <c r="E5" s="565" t="s">
        <v>206</v>
      </c>
      <c r="F5" s="565" t="s">
        <v>212</v>
      </c>
      <c r="G5" s="565" t="s">
        <v>167</v>
      </c>
      <c r="H5" s="565" t="s">
        <v>219</v>
      </c>
      <c r="I5" s="568" t="s">
        <v>222</v>
      </c>
      <c r="J5" s="565" t="s">
        <v>225</v>
      </c>
      <c r="K5" s="565" t="s">
        <v>228</v>
      </c>
      <c r="L5" s="565" t="s">
        <v>231</v>
      </c>
      <c r="M5" s="565" t="s">
        <v>234</v>
      </c>
      <c r="N5" s="565" t="s">
        <v>237</v>
      </c>
      <c r="O5" s="565" t="s">
        <v>239</v>
      </c>
      <c r="P5" s="565" t="s">
        <v>10</v>
      </c>
      <c r="Q5" s="565" t="s">
        <v>240</v>
      </c>
      <c r="R5" s="565" t="s">
        <v>241</v>
      </c>
      <c r="S5" s="565" t="s">
        <v>242</v>
      </c>
      <c r="T5" s="565" t="s">
        <v>243</v>
      </c>
      <c r="U5" s="568" t="s">
        <v>244</v>
      </c>
      <c r="V5" s="565" t="s">
        <v>245</v>
      </c>
      <c r="W5" s="565" t="s">
        <v>246</v>
      </c>
      <c r="X5" s="44"/>
    </row>
    <row r="6" spans="1:24" s="34" customFormat="1">
      <c r="A6" s="7"/>
      <c r="B6" s="105" t="s">
        <v>523</v>
      </c>
      <c r="C6" s="567"/>
      <c r="D6" s="567"/>
      <c r="E6" s="567"/>
      <c r="F6" s="567"/>
      <c r="G6" s="567"/>
      <c r="H6" s="567"/>
      <c r="I6" s="569"/>
      <c r="J6" s="567"/>
      <c r="K6" s="567"/>
      <c r="L6" s="567"/>
      <c r="M6" s="567"/>
      <c r="N6" s="567"/>
      <c r="O6" s="567"/>
      <c r="P6" s="567"/>
      <c r="Q6" s="567"/>
      <c r="R6" s="567"/>
      <c r="S6" s="567"/>
      <c r="T6" s="567"/>
      <c r="U6" s="569"/>
      <c r="V6" s="567"/>
      <c r="W6" s="566"/>
      <c r="X6" s="44"/>
    </row>
    <row r="7" spans="1:24">
      <c r="A7" s="7"/>
      <c r="B7" s="52" t="s">
        <v>206</v>
      </c>
      <c r="C7" s="49">
        <v>0.15</v>
      </c>
      <c r="D7" s="49">
        <v>0.125</v>
      </c>
      <c r="E7" s="108">
        <v>0</v>
      </c>
      <c r="F7" s="49">
        <v>0.15</v>
      </c>
      <c r="G7" s="49">
        <v>0.2</v>
      </c>
      <c r="H7" s="49" t="s">
        <v>524</v>
      </c>
      <c r="I7" s="49">
        <v>0.27</v>
      </c>
      <c r="J7" s="49" t="s">
        <v>524</v>
      </c>
      <c r="K7" s="49">
        <v>0.2</v>
      </c>
      <c r="L7" s="49">
        <v>0.25</v>
      </c>
      <c r="M7" s="49">
        <v>0.25</v>
      </c>
      <c r="N7" s="49">
        <v>0.33329999999999999</v>
      </c>
      <c r="O7" s="49">
        <v>0.15</v>
      </c>
      <c r="P7" s="49">
        <v>0</v>
      </c>
      <c r="Q7" s="49">
        <v>0.125</v>
      </c>
      <c r="R7" s="49">
        <v>0.15</v>
      </c>
      <c r="S7" s="49" t="s">
        <v>524</v>
      </c>
      <c r="T7" s="51">
        <v>0.15</v>
      </c>
      <c r="U7" s="49">
        <v>0.15</v>
      </c>
      <c r="V7" s="49">
        <v>0.1</v>
      </c>
      <c r="W7" s="51">
        <v>0.15</v>
      </c>
      <c r="X7" s="44"/>
    </row>
    <row r="8" spans="1:24">
      <c r="A8" s="7"/>
      <c r="B8" s="52" t="s">
        <v>212</v>
      </c>
      <c r="C8" s="49">
        <v>0.15</v>
      </c>
      <c r="D8" s="49">
        <v>0.125</v>
      </c>
      <c r="E8" s="49">
        <v>0.15</v>
      </c>
      <c r="F8" s="108">
        <v>0</v>
      </c>
      <c r="G8" s="49">
        <v>0.1</v>
      </c>
      <c r="H8" s="49" t="s">
        <v>524</v>
      </c>
      <c r="I8" s="49">
        <v>0.27</v>
      </c>
      <c r="J8" s="49" t="s">
        <v>524</v>
      </c>
      <c r="K8" s="49">
        <v>0.2</v>
      </c>
      <c r="L8" s="49">
        <v>0.25</v>
      </c>
      <c r="M8" s="49">
        <v>0.25</v>
      </c>
      <c r="N8" s="49">
        <v>0.33329999999999999</v>
      </c>
      <c r="O8" s="50">
        <v>0.15</v>
      </c>
      <c r="P8" s="49">
        <v>0</v>
      </c>
      <c r="Q8" s="49">
        <v>0.125</v>
      </c>
      <c r="R8" s="49">
        <v>0</v>
      </c>
      <c r="S8" s="49" t="s">
        <v>524</v>
      </c>
      <c r="T8" s="51">
        <v>0</v>
      </c>
      <c r="U8" s="49">
        <v>0.15</v>
      </c>
      <c r="V8" s="49">
        <v>0.1</v>
      </c>
      <c r="W8" s="51">
        <v>0.10199999999999999</v>
      </c>
      <c r="X8" s="44"/>
    </row>
    <row r="9" spans="1:24">
      <c r="A9" s="7"/>
      <c r="B9" s="52" t="s">
        <v>167</v>
      </c>
      <c r="C9" s="49">
        <v>0.315</v>
      </c>
      <c r="D9" s="49">
        <v>0.125</v>
      </c>
      <c r="E9" s="49">
        <v>0.15</v>
      </c>
      <c r="F9" s="49">
        <v>0.1</v>
      </c>
      <c r="G9" s="108">
        <v>0</v>
      </c>
      <c r="H9" s="49" t="s">
        <v>524</v>
      </c>
      <c r="I9" s="49">
        <v>0.27</v>
      </c>
      <c r="J9" s="49">
        <v>0.25</v>
      </c>
      <c r="K9" s="49">
        <v>0.2</v>
      </c>
      <c r="L9" s="49">
        <v>0.25</v>
      </c>
      <c r="M9" s="49">
        <v>0.25</v>
      </c>
      <c r="N9" s="49">
        <v>0.33329999999999999</v>
      </c>
      <c r="O9" s="49">
        <v>0.1</v>
      </c>
      <c r="P9" s="49">
        <v>0</v>
      </c>
      <c r="Q9" s="49">
        <v>0.125</v>
      </c>
      <c r="R9" s="49">
        <v>0.3</v>
      </c>
      <c r="S9" s="49" t="s">
        <v>524</v>
      </c>
      <c r="T9" s="51">
        <v>0</v>
      </c>
      <c r="U9" s="49">
        <v>0.15</v>
      </c>
      <c r="V9" s="49">
        <v>0.12</v>
      </c>
      <c r="W9" s="51">
        <v>0.10199999999999999</v>
      </c>
      <c r="X9" s="44"/>
    </row>
    <row r="10" spans="1:24">
      <c r="A10" s="7"/>
      <c r="B10" s="52" t="s">
        <v>219</v>
      </c>
      <c r="C10" s="49">
        <v>0.315</v>
      </c>
      <c r="D10" s="49">
        <v>0.125</v>
      </c>
      <c r="E10" s="49">
        <v>0.15</v>
      </c>
      <c r="F10" s="49">
        <v>0.15</v>
      </c>
      <c r="G10" s="49">
        <v>0.2</v>
      </c>
      <c r="H10" s="108">
        <v>0</v>
      </c>
      <c r="I10" s="49">
        <v>0.27</v>
      </c>
      <c r="J10" s="49">
        <v>0.25</v>
      </c>
      <c r="K10" s="49">
        <v>0.2</v>
      </c>
      <c r="L10" s="49">
        <v>0.25</v>
      </c>
      <c r="M10" s="49">
        <v>0.25</v>
      </c>
      <c r="N10" s="49">
        <v>0.33329999999999999</v>
      </c>
      <c r="O10" s="49">
        <v>0.1</v>
      </c>
      <c r="P10" s="49">
        <v>0</v>
      </c>
      <c r="Q10" s="49">
        <v>0.125</v>
      </c>
      <c r="R10" s="49" t="s">
        <v>524</v>
      </c>
      <c r="S10" s="49" t="s">
        <v>524</v>
      </c>
      <c r="T10" s="51">
        <v>0</v>
      </c>
      <c r="U10" s="49">
        <v>0.15</v>
      </c>
      <c r="V10" s="49">
        <v>0.12</v>
      </c>
      <c r="W10" s="51">
        <v>0.10199999999999999</v>
      </c>
      <c r="X10" s="44"/>
    </row>
    <row r="11" spans="1:24">
      <c r="A11" s="7"/>
      <c r="B11" s="53" t="s">
        <v>222</v>
      </c>
      <c r="C11" s="49">
        <v>0.315</v>
      </c>
      <c r="D11" s="49">
        <v>0.125</v>
      </c>
      <c r="E11" s="49">
        <v>0.15</v>
      </c>
      <c r="F11" s="49">
        <v>0.15</v>
      </c>
      <c r="G11" s="49">
        <v>0.2</v>
      </c>
      <c r="H11" s="49" t="s">
        <v>524</v>
      </c>
      <c r="I11" s="108">
        <v>0</v>
      </c>
      <c r="J11" s="49">
        <v>0.25</v>
      </c>
      <c r="K11" s="49">
        <v>0.2</v>
      </c>
      <c r="L11" s="49">
        <v>0.25</v>
      </c>
      <c r="M11" s="49">
        <v>0.25</v>
      </c>
      <c r="N11" s="49">
        <v>0.33329999999999999</v>
      </c>
      <c r="O11" s="49">
        <v>0.25</v>
      </c>
      <c r="P11" s="49">
        <v>0</v>
      </c>
      <c r="Q11" s="49">
        <v>0.125</v>
      </c>
      <c r="R11" s="49" t="s">
        <v>524</v>
      </c>
      <c r="S11" s="49" t="s">
        <v>524</v>
      </c>
      <c r="T11" s="51">
        <v>0</v>
      </c>
      <c r="U11" s="49">
        <v>0.15</v>
      </c>
      <c r="V11" s="49">
        <v>0.12</v>
      </c>
      <c r="W11" s="51">
        <v>0.10199999999999999</v>
      </c>
      <c r="X11" s="44"/>
    </row>
    <row r="12" spans="1:24">
      <c r="A12" s="7"/>
      <c r="B12" s="52" t="s">
        <v>225</v>
      </c>
      <c r="C12" s="49">
        <v>0.315</v>
      </c>
      <c r="D12" s="49">
        <v>0.125</v>
      </c>
      <c r="E12" s="49">
        <v>0.15</v>
      </c>
      <c r="F12" s="49">
        <v>0</v>
      </c>
      <c r="G12" s="49">
        <v>0.2</v>
      </c>
      <c r="H12" s="49" t="s">
        <v>524</v>
      </c>
      <c r="I12" s="49">
        <v>0.27</v>
      </c>
      <c r="J12" s="108">
        <v>0</v>
      </c>
      <c r="K12" s="49">
        <v>0.2</v>
      </c>
      <c r="L12" s="49">
        <v>0.25</v>
      </c>
      <c r="M12" s="49">
        <v>0.25</v>
      </c>
      <c r="N12" s="49">
        <v>0.33329999999999999</v>
      </c>
      <c r="O12" s="49">
        <v>0.1</v>
      </c>
      <c r="P12" s="49">
        <v>0</v>
      </c>
      <c r="Q12" s="49">
        <v>0.125</v>
      </c>
      <c r="R12" s="49">
        <v>0.3</v>
      </c>
      <c r="S12" s="49" t="s">
        <v>524</v>
      </c>
      <c r="T12" s="51">
        <v>0</v>
      </c>
      <c r="U12" s="49">
        <v>0.15</v>
      </c>
      <c r="V12" s="49">
        <v>0</v>
      </c>
      <c r="W12" s="51">
        <v>0.10199999999999999</v>
      </c>
      <c r="X12" s="44"/>
    </row>
    <row r="13" spans="1:24">
      <c r="A13" s="7"/>
      <c r="B13" s="476" t="s">
        <v>288</v>
      </c>
      <c r="C13" s="49">
        <v>0.315</v>
      </c>
      <c r="D13" s="49">
        <v>0.125</v>
      </c>
      <c r="E13" s="49">
        <v>0.15</v>
      </c>
      <c r="F13" s="49">
        <v>0.1</v>
      </c>
      <c r="G13" s="49">
        <v>0.1</v>
      </c>
      <c r="H13" s="49" t="s">
        <v>524</v>
      </c>
      <c r="I13" s="49">
        <v>0.27</v>
      </c>
      <c r="J13" s="49">
        <v>0.25</v>
      </c>
      <c r="K13" s="49">
        <v>0.2</v>
      </c>
      <c r="L13" s="49">
        <v>0.25</v>
      </c>
      <c r="M13" s="49">
        <v>0.25</v>
      </c>
      <c r="N13" s="49">
        <v>0.33329999999999999</v>
      </c>
      <c r="O13" s="49">
        <v>0.1</v>
      </c>
      <c r="P13" s="49">
        <v>0</v>
      </c>
      <c r="Q13" s="49">
        <v>0.125</v>
      </c>
      <c r="R13" s="49" t="s">
        <v>524</v>
      </c>
      <c r="S13" s="49" t="s">
        <v>524</v>
      </c>
      <c r="T13" s="51">
        <v>0.1</v>
      </c>
      <c r="U13" s="49">
        <v>0.1</v>
      </c>
      <c r="V13" s="49">
        <v>0.1</v>
      </c>
      <c r="W13" s="51">
        <v>0.10199999999999999</v>
      </c>
      <c r="X13" s="44"/>
    </row>
    <row r="14" spans="1:24">
      <c r="A14" s="7"/>
      <c r="B14" s="53" t="s">
        <v>239</v>
      </c>
      <c r="C14" s="49">
        <v>0.15</v>
      </c>
      <c r="D14" s="49">
        <v>0.125</v>
      </c>
      <c r="E14" s="49">
        <v>0.1</v>
      </c>
      <c r="F14" s="49">
        <v>0</v>
      </c>
      <c r="G14" s="49">
        <v>0</v>
      </c>
      <c r="H14" s="49">
        <v>0.1</v>
      </c>
      <c r="I14" s="49">
        <v>0.27</v>
      </c>
      <c r="J14" s="49" t="s">
        <v>524</v>
      </c>
      <c r="K14" s="49">
        <v>0.2</v>
      </c>
      <c r="L14" s="49">
        <v>0.25</v>
      </c>
      <c r="M14" s="49">
        <v>0.25</v>
      </c>
      <c r="N14" s="49" t="s">
        <v>524</v>
      </c>
      <c r="O14" s="108">
        <v>0</v>
      </c>
      <c r="P14" s="49">
        <v>0</v>
      </c>
      <c r="Q14" s="49" t="s">
        <v>524</v>
      </c>
      <c r="R14" s="49">
        <v>0.3</v>
      </c>
      <c r="S14" s="49" t="s">
        <v>524</v>
      </c>
      <c r="T14" s="51">
        <v>0</v>
      </c>
      <c r="U14" s="49">
        <v>0.15</v>
      </c>
      <c r="V14" s="49">
        <v>0</v>
      </c>
      <c r="W14" s="51">
        <v>0.10199999999999999</v>
      </c>
      <c r="X14" s="44"/>
    </row>
    <row r="15" spans="1:24">
      <c r="A15" s="7"/>
      <c r="B15" s="53" t="s">
        <v>240</v>
      </c>
      <c r="C15" s="49">
        <v>0.315</v>
      </c>
      <c r="D15" s="49">
        <v>0.125</v>
      </c>
      <c r="E15" s="49" t="s">
        <v>524</v>
      </c>
      <c r="F15" s="49">
        <v>0.15</v>
      </c>
      <c r="G15" s="49">
        <v>0.2</v>
      </c>
      <c r="H15" s="49" t="s">
        <v>524</v>
      </c>
      <c r="I15" s="49">
        <v>0.27</v>
      </c>
      <c r="J15" s="49" t="s">
        <v>524</v>
      </c>
      <c r="K15" s="49">
        <v>0.2</v>
      </c>
      <c r="L15" s="49">
        <v>0.25</v>
      </c>
      <c r="M15" s="49">
        <v>0.25</v>
      </c>
      <c r="N15" s="49">
        <v>0.33329999999999999</v>
      </c>
      <c r="O15" s="49">
        <v>0.1</v>
      </c>
      <c r="P15" s="49">
        <v>0</v>
      </c>
      <c r="Q15" s="108">
        <v>0</v>
      </c>
      <c r="R15" s="49" t="s">
        <v>524</v>
      </c>
      <c r="S15" s="49" t="s">
        <v>524</v>
      </c>
      <c r="T15" s="51">
        <v>0</v>
      </c>
      <c r="U15" s="49">
        <v>0.15</v>
      </c>
      <c r="V15" s="49">
        <v>0.12</v>
      </c>
      <c r="W15" s="51">
        <v>0.10199999999999999</v>
      </c>
      <c r="X15" s="44"/>
    </row>
    <row r="16" spans="1:24">
      <c r="A16" s="7"/>
      <c r="B16" s="53" t="s">
        <v>241</v>
      </c>
      <c r="C16" s="49">
        <v>0.315</v>
      </c>
      <c r="D16" s="49">
        <v>0.125</v>
      </c>
      <c r="E16" s="49">
        <v>0.15</v>
      </c>
      <c r="F16" s="49">
        <v>0</v>
      </c>
      <c r="G16" s="49">
        <v>0.2</v>
      </c>
      <c r="H16" s="49" t="s">
        <v>524</v>
      </c>
      <c r="I16" s="49">
        <v>0.27</v>
      </c>
      <c r="J16" s="49">
        <v>0.25</v>
      </c>
      <c r="K16" s="49">
        <v>0.2</v>
      </c>
      <c r="L16" s="49">
        <v>0.25</v>
      </c>
      <c r="M16" s="49">
        <v>0.25</v>
      </c>
      <c r="N16" s="49">
        <v>0.33329999999999999</v>
      </c>
      <c r="O16" s="49">
        <v>0.15</v>
      </c>
      <c r="P16" s="49">
        <v>0</v>
      </c>
      <c r="Q16" s="49">
        <v>0.125</v>
      </c>
      <c r="R16" s="108">
        <v>0</v>
      </c>
      <c r="S16" s="49" t="s">
        <v>524</v>
      </c>
      <c r="T16" s="51">
        <v>0.24</v>
      </c>
      <c r="U16" s="49">
        <v>0.15</v>
      </c>
      <c r="V16" s="49">
        <v>0.12</v>
      </c>
      <c r="W16" s="51">
        <v>0.10199999999999999</v>
      </c>
      <c r="X16" s="44"/>
    </row>
    <row r="17" spans="1:24">
      <c r="A17" s="7"/>
      <c r="B17" s="53" t="s">
        <v>310</v>
      </c>
      <c r="C17" s="49">
        <v>0.315</v>
      </c>
      <c r="D17" s="49">
        <v>0.125</v>
      </c>
      <c r="E17" s="49">
        <v>0.15</v>
      </c>
      <c r="F17" s="49">
        <v>0</v>
      </c>
      <c r="G17" s="49">
        <v>0.2</v>
      </c>
      <c r="H17" s="49" t="s">
        <v>524</v>
      </c>
      <c r="I17" s="49">
        <v>0.27</v>
      </c>
      <c r="J17" s="49">
        <v>0.25</v>
      </c>
      <c r="K17" s="49" t="s">
        <v>524</v>
      </c>
      <c r="L17" s="49">
        <v>0.25</v>
      </c>
      <c r="M17" s="49">
        <v>0.25</v>
      </c>
      <c r="N17" s="49">
        <v>0.33329999999999999</v>
      </c>
      <c r="O17" s="49">
        <v>0</v>
      </c>
      <c r="P17" s="49">
        <v>0</v>
      </c>
      <c r="Q17" s="49">
        <v>0.125</v>
      </c>
      <c r="R17" s="49" t="s">
        <v>524</v>
      </c>
      <c r="S17" s="49" t="s">
        <v>524</v>
      </c>
      <c r="T17" s="51">
        <v>0</v>
      </c>
      <c r="U17" s="49">
        <v>0.15</v>
      </c>
      <c r="V17" s="49">
        <v>0.12</v>
      </c>
      <c r="W17" s="51">
        <v>0.10199999999999999</v>
      </c>
      <c r="X17" s="44"/>
    </row>
    <row r="18" spans="1:24">
      <c r="A18" s="7"/>
      <c r="B18" s="53" t="s">
        <v>243</v>
      </c>
      <c r="C18" s="49">
        <v>0.315</v>
      </c>
      <c r="D18" s="49">
        <v>0</v>
      </c>
      <c r="E18" s="49" t="s">
        <v>524</v>
      </c>
      <c r="F18" s="49">
        <v>0</v>
      </c>
      <c r="G18" s="49">
        <v>0.1</v>
      </c>
      <c r="H18" s="49">
        <v>0</v>
      </c>
      <c r="I18" s="49">
        <v>0</v>
      </c>
      <c r="J18" s="49">
        <v>0.25</v>
      </c>
      <c r="K18" s="49">
        <v>0</v>
      </c>
      <c r="L18" s="49">
        <v>0.25</v>
      </c>
      <c r="M18" s="49">
        <v>0.25</v>
      </c>
      <c r="N18" s="49">
        <v>0.1</v>
      </c>
      <c r="O18" s="49">
        <v>0</v>
      </c>
      <c r="P18" s="49">
        <v>0</v>
      </c>
      <c r="Q18" s="49">
        <v>0</v>
      </c>
      <c r="R18" s="49" t="s">
        <v>524</v>
      </c>
      <c r="S18" s="49" t="s">
        <v>524</v>
      </c>
      <c r="T18" s="108">
        <v>0</v>
      </c>
      <c r="U18" s="49">
        <v>0.05</v>
      </c>
      <c r="V18" s="49">
        <v>0</v>
      </c>
      <c r="W18" s="51">
        <v>0</v>
      </c>
      <c r="X18" s="44"/>
    </row>
    <row r="19" spans="1:24">
      <c r="A19" s="7"/>
      <c r="B19" s="7"/>
      <c r="C19" s="7"/>
      <c r="D19" s="7"/>
      <c r="E19" s="7"/>
      <c r="F19" s="7"/>
      <c r="G19" s="7"/>
      <c r="H19" s="7"/>
      <c r="I19" s="7"/>
      <c r="J19" s="7"/>
      <c r="K19" s="7"/>
      <c r="L19" s="7"/>
      <c r="M19" s="7"/>
      <c r="N19" s="7"/>
      <c r="O19" s="7"/>
      <c r="P19" s="7"/>
      <c r="Q19" s="7"/>
      <c r="R19" s="7"/>
      <c r="S19" s="7"/>
      <c r="T19" s="7"/>
      <c r="U19" s="7"/>
      <c r="V19" s="7"/>
      <c r="W19" s="7"/>
      <c r="X19" s="7"/>
    </row>
    <row r="21" spans="1:24" ht="19.899999999999999" customHeight="1">
      <c r="A21" s="45"/>
      <c r="B21" s="46" t="s">
        <v>525</v>
      </c>
      <c r="C21" s="46"/>
      <c r="D21" s="46"/>
      <c r="E21" s="46"/>
      <c r="F21" s="46"/>
      <c r="G21" s="46"/>
      <c r="H21" s="46"/>
      <c r="I21" s="46"/>
      <c r="J21" s="46"/>
      <c r="K21" s="46"/>
      <c r="L21" s="46"/>
      <c r="M21" s="46"/>
      <c r="N21" s="46"/>
      <c r="O21" s="46"/>
      <c r="P21" s="46"/>
      <c r="Q21" s="46"/>
      <c r="R21" s="46"/>
      <c r="S21" s="46"/>
      <c r="T21" s="46"/>
      <c r="U21" s="46"/>
      <c r="V21" s="46"/>
      <c r="W21" s="46"/>
      <c r="X21" s="46"/>
    </row>
    <row r="22" spans="1:24">
      <c r="A22" s="7"/>
      <c r="B22" s="7" t="s">
        <v>519</v>
      </c>
      <c r="C22" s="44"/>
      <c r="D22" s="44"/>
      <c r="E22" s="44"/>
      <c r="F22" s="44"/>
      <c r="G22" s="44"/>
      <c r="H22" s="44"/>
      <c r="I22" s="44"/>
      <c r="J22" s="44"/>
      <c r="K22" s="44"/>
      <c r="L22" s="44"/>
      <c r="M22" s="44"/>
      <c r="N22" s="44"/>
      <c r="O22" s="44"/>
      <c r="P22" s="44"/>
      <c r="Q22" s="44"/>
      <c r="R22" s="44"/>
      <c r="S22" s="44"/>
      <c r="T22" s="44"/>
      <c r="U22" s="44"/>
      <c r="V22" s="44"/>
      <c r="W22" s="44"/>
      <c r="X22" s="44"/>
    </row>
    <row r="23" spans="1:24">
      <c r="A23" s="7"/>
      <c r="B23" s="466" t="s">
        <v>520</v>
      </c>
      <c r="C23" s="101" t="s">
        <v>526</v>
      </c>
      <c r="D23" s="44"/>
      <c r="E23" s="44"/>
      <c r="F23" s="44"/>
      <c r="G23" s="44"/>
      <c r="H23" s="44"/>
      <c r="I23" s="44"/>
      <c r="J23" s="44"/>
      <c r="K23" s="44"/>
      <c r="L23" s="44"/>
      <c r="M23" s="44"/>
      <c r="N23" s="44"/>
      <c r="O23" s="44"/>
      <c r="P23" s="44"/>
      <c r="Q23" s="44"/>
      <c r="R23" s="44"/>
      <c r="S23" s="44"/>
      <c r="T23" s="44"/>
      <c r="U23" s="44"/>
      <c r="V23" s="44"/>
      <c r="W23" s="44"/>
      <c r="X23" s="44"/>
    </row>
    <row r="24" spans="1:24">
      <c r="A24" s="7"/>
      <c r="B24" s="7"/>
      <c r="C24" s="44"/>
      <c r="D24" s="44"/>
      <c r="E24" s="44"/>
      <c r="F24" s="44"/>
      <c r="G24" s="44"/>
      <c r="H24" s="44"/>
      <c r="I24" s="44"/>
      <c r="J24" s="44"/>
      <c r="K24" s="44"/>
      <c r="L24" s="44"/>
      <c r="M24" s="44"/>
      <c r="N24" s="44"/>
      <c r="O24" s="44"/>
      <c r="P24" s="44"/>
      <c r="Q24" s="44"/>
      <c r="R24" s="44"/>
      <c r="S24" s="44"/>
      <c r="T24" s="44"/>
      <c r="U24" s="44"/>
      <c r="V24" s="44"/>
      <c r="W24" s="44"/>
      <c r="X24" s="44"/>
    </row>
    <row r="25" spans="1:24" s="34" customFormat="1" ht="16.149999999999999" customHeight="1">
      <c r="A25" s="7"/>
      <c r="B25" s="104" t="s">
        <v>522</v>
      </c>
      <c r="C25" s="565" t="s">
        <v>196</v>
      </c>
      <c r="D25" s="565" t="s">
        <v>201</v>
      </c>
      <c r="E25" s="565" t="s">
        <v>206</v>
      </c>
      <c r="F25" s="565" t="s">
        <v>212</v>
      </c>
      <c r="G25" s="565" t="s">
        <v>167</v>
      </c>
      <c r="H25" s="565" t="s">
        <v>219</v>
      </c>
      <c r="I25" s="568" t="s">
        <v>222</v>
      </c>
      <c r="J25" s="565" t="s">
        <v>225</v>
      </c>
      <c r="K25" s="565" t="s">
        <v>228</v>
      </c>
      <c r="L25" s="565" t="s">
        <v>231</v>
      </c>
      <c r="M25" s="565" t="s">
        <v>234</v>
      </c>
      <c r="N25" s="565" t="s">
        <v>237</v>
      </c>
      <c r="O25" s="565" t="s">
        <v>239</v>
      </c>
      <c r="P25" s="565" t="s">
        <v>10</v>
      </c>
      <c r="Q25" s="565" t="s">
        <v>240</v>
      </c>
      <c r="R25" s="565" t="s">
        <v>241</v>
      </c>
      <c r="S25" s="565" t="s">
        <v>242</v>
      </c>
      <c r="T25" s="565" t="s">
        <v>243</v>
      </c>
      <c r="U25" s="568" t="s">
        <v>244</v>
      </c>
      <c r="V25" s="565" t="s">
        <v>245</v>
      </c>
      <c r="W25" s="565" t="s">
        <v>246</v>
      </c>
      <c r="X25" s="44"/>
    </row>
    <row r="26" spans="1:24" s="34" customFormat="1">
      <c r="A26" s="7"/>
      <c r="B26" s="105" t="s">
        <v>523</v>
      </c>
      <c r="C26" s="567"/>
      <c r="D26" s="567"/>
      <c r="E26" s="567"/>
      <c r="F26" s="567"/>
      <c r="G26" s="567"/>
      <c r="H26" s="567"/>
      <c r="I26" s="569"/>
      <c r="J26" s="567"/>
      <c r="K26" s="567"/>
      <c r="L26" s="567"/>
      <c r="M26" s="567"/>
      <c r="N26" s="567"/>
      <c r="O26" s="567"/>
      <c r="P26" s="567"/>
      <c r="Q26" s="567"/>
      <c r="R26" s="567"/>
      <c r="S26" s="567"/>
      <c r="T26" s="567"/>
      <c r="U26" s="569"/>
      <c r="V26" s="567"/>
      <c r="W26" s="566"/>
      <c r="X26" s="44"/>
    </row>
    <row r="27" spans="1:24">
      <c r="A27" s="7"/>
      <c r="B27" s="52" t="s">
        <v>206</v>
      </c>
      <c r="C27" s="49">
        <v>0.315</v>
      </c>
      <c r="D27" s="49">
        <v>0.125</v>
      </c>
      <c r="E27" s="108">
        <v>0</v>
      </c>
      <c r="F27" s="49">
        <v>0.15</v>
      </c>
      <c r="G27" s="49">
        <v>0.2</v>
      </c>
      <c r="H27" s="49">
        <v>0.25</v>
      </c>
      <c r="I27" s="49">
        <v>0.27</v>
      </c>
      <c r="J27" s="49">
        <v>0.15</v>
      </c>
      <c r="K27" s="49">
        <v>0.2</v>
      </c>
      <c r="L27" s="49">
        <v>0.25</v>
      </c>
      <c r="M27" s="49">
        <v>0.25</v>
      </c>
      <c r="N27" s="49">
        <v>0.33329999999999999</v>
      </c>
      <c r="O27" s="49">
        <v>0.1</v>
      </c>
      <c r="P27" s="49">
        <v>0</v>
      </c>
      <c r="Q27" s="49">
        <v>0.125</v>
      </c>
      <c r="R27" s="49">
        <v>0.15</v>
      </c>
      <c r="S27" s="49">
        <v>0.28999999999999998</v>
      </c>
      <c r="T27" s="51">
        <v>0</v>
      </c>
      <c r="U27" s="49">
        <v>0.15</v>
      </c>
      <c r="V27" s="49">
        <v>0.12</v>
      </c>
      <c r="W27" s="51">
        <v>0.15</v>
      </c>
      <c r="X27" s="44"/>
    </row>
    <row r="28" spans="1:24">
      <c r="A28" s="7"/>
      <c r="B28" s="52" t="s">
        <v>212</v>
      </c>
      <c r="C28" s="49">
        <v>0.315</v>
      </c>
      <c r="D28" s="49">
        <v>0.125</v>
      </c>
      <c r="E28" s="49">
        <v>0.15</v>
      </c>
      <c r="F28" s="108">
        <v>0</v>
      </c>
      <c r="G28" s="49">
        <v>0.1</v>
      </c>
      <c r="H28" s="49">
        <v>0.25</v>
      </c>
      <c r="I28" s="49">
        <v>0.27</v>
      </c>
      <c r="J28" s="49">
        <v>0.1</v>
      </c>
      <c r="K28" s="49">
        <v>0.2</v>
      </c>
      <c r="L28" s="49">
        <v>0.25</v>
      </c>
      <c r="M28" s="49">
        <v>0.25</v>
      </c>
      <c r="N28" s="49">
        <v>0.33329999999999999</v>
      </c>
      <c r="O28" s="50">
        <v>0.1</v>
      </c>
      <c r="P28" s="49">
        <v>0.1</v>
      </c>
      <c r="Q28" s="49">
        <v>0.125</v>
      </c>
      <c r="R28" s="49">
        <v>0.1</v>
      </c>
      <c r="S28" s="49">
        <v>0.28999999999999998</v>
      </c>
      <c r="T28" s="51">
        <v>0</v>
      </c>
      <c r="U28" s="49">
        <v>0.15</v>
      </c>
      <c r="V28" s="49">
        <v>0.1</v>
      </c>
      <c r="W28" s="260">
        <v>0.30599999999999999</v>
      </c>
      <c r="X28" s="44"/>
    </row>
    <row r="29" spans="1:24">
      <c r="A29" s="7"/>
      <c r="B29" s="52" t="s">
        <v>167</v>
      </c>
      <c r="C29" s="49">
        <v>0.315</v>
      </c>
      <c r="D29" s="49">
        <v>0.125</v>
      </c>
      <c r="E29" s="49">
        <v>0.15</v>
      </c>
      <c r="F29" s="49">
        <v>0.1</v>
      </c>
      <c r="G29" s="108">
        <v>0</v>
      </c>
      <c r="H29" s="49">
        <v>0.25</v>
      </c>
      <c r="I29" s="49">
        <v>0.27</v>
      </c>
      <c r="J29" s="49">
        <v>0.25</v>
      </c>
      <c r="K29" s="49">
        <v>0.2</v>
      </c>
      <c r="L29" s="49">
        <v>0.25</v>
      </c>
      <c r="M29" s="49">
        <v>0.25</v>
      </c>
      <c r="N29" s="49">
        <v>0.33329999999999999</v>
      </c>
      <c r="O29" s="49">
        <v>0.1</v>
      </c>
      <c r="P29" s="49">
        <v>0</v>
      </c>
      <c r="Q29" s="49">
        <v>0.125</v>
      </c>
      <c r="R29" s="49">
        <v>0.3</v>
      </c>
      <c r="S29" s="49">
        <v>0.28999999999999998</v>
      </c>
      <c r="T29" s="51">
        <v>0</v>
      </c>
      <c r="U29" s="49">
        <v>0.15</v>
      </c>
      <c r="V29" s="49">
        <v>0.12</v>
      </c>
      <c r="W29" s="260">
        <v>0.30599999999999999</v>
      </c>
      <c r="X29" s="44"/>
    </row>
    <row r="30" spans="1:24">
      <c r="A30" s="7"/>
      <c r="B30" s="52" t="s">
        <v>219</v>
      </c>
      <c r="C30" s="49">
        <v>0.315</v>
      </c>
      <c r="D30" s="49">
        <v>0.125</v>
      </c>
      <c r="E30" s="49">
        <v>0.15</v>
      </c>
      <c r="F30" s="49" t="s">
        <v>524</v>
      </c>
      <c r="G30" s="49">
        <v>0.2</v>
      </c>
      <c r="H30" s="108">
        <v>0</v>
      </c>
      <c r="I30" s="49">
        <v>0.27</v>
      </c>
      <c r="J30" s="49" t="s">
        <v>524</v>
      </c>
      <c r="K30" s="49">
        <v>0.2</v>
      </c>
      <c r="L30" s="49">
        <v>0.25</v>
      </c>
      <c r="M30" s="49">
        <v>0.25</v>
      </c>
      <c r="N30" s="49">
        <v>0.33329999999999999</v>
      </c>
      <c r="O30" s="49">
        <v>0.1</v>
      </c>
      <c r="P30" s="49">
        <v>0</v>
      </c>
      <c r="Q30" s="49">
        <v>0.125</v>
      </c>
      <c r="R30" s="49" t="s">
        <v>524</v>
      </c>
      <c r="S30" s="49">
        <v>0.28999999999999998</v>
      </c>
      <c r="T30" s="51">
        <v>0</v>
      </c>
      <c r="U30" s="49">
        <v>0.15</v>
      </c>
      <c r="V30" s="49">
        <v>0.12</v>
      </c>
      <c r="W30" s="260">
        <v>0.30599999999999999</v>
      </c>
      <c r="X30" s="44"/>
    </row>
    <row r="31" spans="1:24">
      <c r="A31" s="7"/>
      <c r="B31" s="53" t="s">
        <v>222</v>
      </c>
      <c r="C31" s="49">
        <v>0.315</v>
      </c>
      <c r="D31" s="49">
        <v>0.125</v>
      </c>
      <c r="E31" s="49">
        <v>0.15</v>
      </c>
      <c r="F31" s="49" t="s">
        <v>524</v>
      </c>
      <c r="G31" s="49">
        <v>0.2</v>
      </c>
      <c r="H31" s="49">
        <v>0.25</v>
      </c>
      <c r="I31" s="108">
        <v>0</v>
      </c>
      <c r="J31" s="49" t="s">
        <v>524</v>
      </c>
      <c r="K31" s="49">
        <v>0.2</v>
      </c>
      <c r="L31" s="49">
        <v>0.25</v>
      </c>
      <c r="M31" s="49">
        <v>0.25</v>
      </c>
      <c r="N31" s="49">
        <v>0.33329999999999999</v>
      </c>
      <c r="O31" s="49">
        <v>0.25</v>
      </c>
      <c r="P31" s="49">
        <v>0</v>
      </c>
      <c r="Q31" s="49">
        <v>0.125</v>
      </c>
      <c r="R31" s="49" t="s">
        <v>524</v>
      </c>
      <c r="S31" s="49">
        <v>0.28999999999999998</v>
      </c>
      <c r="T31" s="51">
        <v>0</v>
      </c>
      <c r="U31" s="49">
        <v>0.15</v>
      </c>
      <c r="V31" s="49">
        <v>0.12</v>
      </c>
      <c r="W31" s="260">
        <v>0.30599999999999999</v>
      </c>
      <c r="X31" s="44"/>
    </row>
    <row r="32" spans="1:24">
      <c r="A32" s="7"/>
      <c r="B32" s="52" t="s">
        <v>225</v>
      </c>
      <c r="C32" s="49">
        <v>0.315</v>
      </c>
      <c r="D32" s="49">
        <v>0.125</v>
      </c>
      <c r="E32" s="49">
        <v>0.15</v>
      </c>
      <c r="F32" s="49">
        <v>0.1</v>
      </c>
      <c r="G32" s="49">
        <v>0.2</v>
      </c>
      <c r="H32" s="49">
        <v>0.25</v>
      </c>
      <c r="I32" s="49">
        <v>0.27</v>
      </c>
      <c r="J32" s="108">
        <v>0</v>
      </c>
      <c r="K32" s="49">
        <v>0.2</v>
      </c>
      <c r="L32" s="49">
        <v>0.25</v>
      </c>
      <c r="M32" s="49">
        <v>0.25</v>
      </c>
      <c r="N32" s="49">
        <v>0.33329999999999999</v>
      </c>
      <c r="O32" s="49">
        <v>0.1</v>
      </c>
      <c r="P32" s="49">
        <v>0</v>
      </c>
      <c r="Q32" s="49">
        <v>0.125</v>
      </c>
      <c r="R32" s="49">
        <v>0.3</v>
      </c>
      <c r="S32" s="49">
        <v>0.28999999999999998</v>
      </c>
      <c r="T32" s="51">
        <v>0</v>
      </c>
      <c r="U32" s="49">
        <v>0.15</v>
      </c>
      <c r="V32" s="49">
        <v>0.15</v>
      </c>
      <c r="W32" s="260">
        <v>0.30599999999999999</v>
      </c>
      <c r="X32" s="44"/>
    </row>
    <row r="33" spans="1:24">
      <c r="A33" s="7"/>
      <c r="B33" s="476" t="s">
        <v>288</v>
      </c>
      <c r="C33" s="49">
        <v>0.315</v>
      </c>
      <c r="D33" s="49">
        <v>0.125</v>
      </c>
      <c r="E33" s="49">
        <v>0.15</v>
      </c>
      <c r="F33" s="49">
        <v>0.1</v>
      </c>
      <c r="G33" s="49">
        <v>0.1</v>
      </c>
      <c r="H33" s="49">
        <v>0.25</v>
      </c>
      <c r="I33" s="49">
        <v>0.27</v>
      </c>
      <c r="J33" s="49" t="s">
        <v>524</v>
      </c>
      <c r="K33" s="49">
        <v>0.2</v>
      </c>
      <c r="L33" s="49">
        <v>0.25</v>
      </c>
      <c r="M33" s="49">
        <v>0.25</v>
      </c>
      <c r="N33" s="49">
        <v>0.33329999999999999</v>
      </c>
      <c r="O33" s="49">
        <v>0.1</v>
      </c>
      <c r="P33" s="49">
        <v>0.15</v>
      </c>
      <c r="Q33" s="49">
        <v>0.125</v>
      </c>
      <c r="R33" s="49" t="s">
        <v>524</v>
      </c>
      <c r="S33" s="49">
        <v>0.28999999999999998</v>
      </c>
      <c r="T33" s="51">
        <v>0</v>
      </c>
      <c r="U33" s="49">
        <v>0.1</v>
      </c>
      <c r="V33" s="49">
        <v>0.1</v>
      </c>
      <c r="W33" s="260">
        <v>0.30599999999999999</v>
      </c>
      <c r="X33" s="44"/>
    </row>
    <row r="34" spans="1:24">
      <c r="A34" s="7"/>
      <c r="B34" s="53" t="s">
        <v>239</v>
      </c>
      <c r="C34" s="49">
        <v>0.315</v>
      </c>
      <c r="D34" s="49">
        <v>0.125</v>
      </c>
      <c r="E34" s="49">
        <v>0.1</v>
      </c>
      <c r="F34" s="49">
        <v>0.1</v>
      </c>
      <c r="G34" s="49">
        <v>0.1</v>
      </c>
      <c r="H34" s="49">
        <v>0.1</v>
      </c>
      <c r="I34" s="49">
        <v>0.27</v>
      </c>
      <c r="J34" s="49">
        <v>0.1</v>
      </c>
      <c r="K34" s="49">
        <v>0.2</v>
      </c>
      <c r="L34" s="49">
        <v>0.25</v>
      </c>
      <c r="M34" s="49">
        <v>0.25</v>
      </c>
      <c r="N34" s="49">
        <v>0.1</v>
      </c>
      <c r="O34" s="108">
        <v>0</v>
      </c>
      <c r="P34" s="49">
        <v>0.1</v>
      </c>
      <c r="Q34" s="49">
        <v>0.1</v>
      </c>
      <c r="R34" s="49">
        <v>0.15</v>
      </c>
      <c r="S34" s="49">
        <v>0.28999999999999998</v>
      </c>
      <c r="T34" s="51">
        <v>0</v>
      </c>
      <c r="U34" s="49">
        <v>0.15</v>
      </c>
      <c r="V34" s="49">
        <v>0.1</v>
      </c>
      <c r="W34" s="260">
        <v>0.30599999999999999</v>
      </c>
      <c r="X34" s="44"/>
    </row>
    <row r="35" spans="1:24">
      <c r="A35" s="7"/>
      <c r="B35" s="53" t="s">
        <v>240</v>
      </c>
      <c r="C35" s="49">
        <v>0.315</v>
      </c>
      <c r="D35" s="49">
        <v>0.125</v>
      </c>
      <c r="E35" s="49" t="s">
        <v>524</v>
      </c>
      <c r="F35" s="49" t="s">
        <v>524</v>
      </c>
      <c r="G35" s="49">
        <v>0.2</v>
      </c>
      <c r="H35" s="49">
        <v>0.25</v>
      </c>
      <c r="I35" s="49">
        <v>0.27</v>
      </c>
      <c r="J35" s="49" t="s">
        <v>524</v>
      </c>
      <c r="K35" s="49">
        <v>0.2</v>
      </c>
      <c r="L35" s="49">
        <v>0.25</v>
      </c>
      <c r="M35" s="49">
        <v>0.25</v>
      </c>
      <c r="N35" s="49">
        <v>0.33329999999999999</v>
      </c>
      <c r="O35" s="49">
        <v>0.1</v>
      </c>
      <c r="P35" s="49">
        <v>0</v>
      </c>
      <c r="Q35" s="108">
        <v>0</v>
      </c>
      <c r="R35" s="49" t="s">
        <v>524</v>
      </c>
      <c r="S35" s="49">
        <v>0.28999999999999998</v>
      </c>
      <c r="T35" s="51">
        <v>0</v>
      </c>
      <c r="U35" s="49">
        <v>0.15</v>
      </c>
      <c r="V35" s="49">
        <v>0.12</v>
      </c>
      <c r="W35" s="260">
        <v>0.30599999999999999</v>
      </c>
      <c r="X35" s="44"/>
    </row>
    <row r="36" spans="1:24">
      <c r="A36" s="7"/>
      <c r="B36" s="53" t="s">
        <v>241</v>
      </c>
      <c r="C36" s="49">
        <v>0.315</v>
      </c>
      <c r="D36" s="49">
        <v>0.125</v>
      </c>
      <c r="E36" s="49">
        <v>0.15</v>
      </c>
      <c r="F36" s="49">
        <v>0.1</v>
      </c>
      <c r="G36" s="49">
        <v>0.2</v>
      </c>
      <c r="H36" s="49">
        <v>0.25</v>
      </c>
      <c r="I36" s="49">
        <v>0.27</v>
      </c>
      <c r="J36" s="49">
        <v>0.25</v>
      </c>
      <c r="K36" s="49">
        <v>0.2</v>
      </c>
      <c r="L36" s="49">
        <v>0.25</v>
      </c>
      <c r="M36" s="49">
        <v>0.25</v>
      </c>
      <c r="N36" s="49">
        <v>0.33329999999999999</v>
      </c>
      <c r="O36" s="49">
        <v>0.15</v>
      </c>
      <c r="P36" s="49">
        <v>0</v>
      </c>
      <c r="Q36" s="49">
        <v>0.125</v>
      </c>
      <c r="R36" s="108">
        <v>0</v>
      </c>
      <c r="S36" s="49">
        <v>0.28999999999999998</v>
      </c>
      <c r="T36" s="51">
        <v>0.24</v>
      </c>
      <c r="U36" s="49">
        <v>0.15</v>
      </c>
      <c r="V36" s="49">
        <v>0.12</v>
      </c>
      <c r="W36" s="260">
        <v>0.30599999999999999</v>
      </c>
      <c r="X36" s="44"/>
    </row>
    <row r="37" spans="1:24">
      <c r="A37" s="7"/>
      <c r="B37" s="53" t="s">
        <v>310</v>
      </c>
      <c r="C37" s="49">
        <v>0.315</v>
      </c>
      <c r="D37" s="49">
        <v>0.125</v>
      </c>
      <c r="E37" s="49">
        <v>0.25</v>
      </c>
      <c r="F37" s="49">
        <v>0.1</v>
      </c>
      <c r="G37" s="49">
        <v>0.2</v>
      </c>
      <c r="H37" s="49">
        <v>0.25</v>
      </c>
      <c r="I37" s="49">
        <v>0.27</v>
      </c>
      <c r="J37" s="49" t="s">
        <v>524</v>
      </c>
      <c r="K37" s="49" t="s">
        <v>524</v>
      </c>
      <c r="L37" s="49">
        <v>0.25</v>
      </c>
      <c r="M37" s="49">
        <v>0.25</v>
      </c>
      <c r="N37" s="49">
        <v>0.33329999999999999</v>
      </c>
      <c r="O37" s="49">
        <v>0.1</v>
      </c>
      <c r="P37" s="49">
        <v>0.1</v>
      </c>
      <c r="Q37" s="49">
        <v>0.125</v>
      </c>
      <c r="R37" s="49" t="s">
        <v>524</v>
      </c>
      <c r="S37" s="49">
        <v>0.28999999999999998</v>
      </c>
      <c r="T37" s="49">
        <v>0</v>
      </c>
      <c r="U37" s="49">
        <v>0.15</v>
      </c>
      <c r="V37" s="49">
        <v>0.12</v>
      </c>
      <c r="W37" s="260">
        <v>0.30599999999999999</v>
      </c>
      <c r="X37" s="44"/>
    </row>
    <row r="38" spans="1:24">
      <c r="A38" s="7"/>
      <c r="B38" s="53" t="s">
        <v>243</v>
      </c>
      <c r="C38" s="49">
        <v>0.315</v>
      </c>
      <c r="D38" s="49">
        <v>0.15</v>
      </c>
      <c r="E38" s="49">
        <v>0.1</v>
      </c>
      <c r="F38" s="49">
        <v>0.1</v>
      </c>
      <c r="G38" s="49">
        <v>0.1</v>
      </c>
      <c r="H38" s="49">
        <v>0.1</v>
      </c>
      <c r="I38" s="49">
        <v>0.1</v>
      </c>
      <c r="J38" s="49">
        <v>0.1</v>
      </c>
      <c r="K38" s="49">
        <v>0.1</v>
      </c>
      <c r="L38" s="49">
        <v>0.25</v>
      </c>
      <c r="M38" s="49">
        <v>0.25</v>
      </c>
      <c r="N38" s="49">
        <v>0.1</v>
      </c>
      <c r="O38" s="49">
        <v>0.1</v>
      </c>
      <c r="P38" s="49">
        <v>0</v>
      </c>
      <c r="Q38" s="49">
        <v>0.05</v>
      </c>
      <c r="R38" s="49" t="s">
        <v>524</v>
      </c>
      <c r="S38" s="49">
        <v>0.28999999999999998</v>
      </c>
      <c r="T38" s="108">
        <v>0</v>
      </c>
      <c r="U38" s="49">
        <v>0.05</v>
      </c>
      <c r="V38" s="49">
        <v>0.05</v>
      </c>
      <c r="W38" s="51">
        <v>0.05</v>
      </c>
      <c r="X38" s="44"/>
    </row>
    <row r="39" spans="1:24">
      <c r="A39" s="7"/>
      <c r="B39" s="7"/>
      <c r="C39" s="7"/>
      <c r="D39" s="7"/>
      <c r="E39" s="7"/>
      <c r="F39" s="7"/>
      <c r="G39" s="7"/>
      <c r="H39" s="7"/>
      <c r="I39" s="7"/>
      <c r="J39" s="7"/>
      <c r="K39" s="7"/>
      <c r="L39" s="7"/>
      <c r="M39" s="7"/>
      <c r="N39" s="7"/>
      <c r="O39" s="7"/>
      <c r="P39" s="7"/>
      <c r="Q39" s="7"/>
      <c r="R39" s="7"/>
      <c r="S39" s="7"/>
      <c r="T39" s="7"/>
      <c r="U39" s="7"/>
      <c r="V39" s="7"/>
      <c r="W39" s="7"/>
      <c r="X39" s="7"/>
    </row>
  </sheetData>
  <sheetProtection algorithmName="SHA-512" hashValue="gjs+Jg37O1/OiF1F12tMdbT/4TKeV7+zLClLh6xyX101n73g1xLT51q5DprmtQPdvQ9AwSNWiKL6wfuxNrMb6Q==" saltValue="oxBPndggUpad3+IK+uQM5A==" spinCount="100000" sheet="1" objects="1" scenarios="1" selectLockedCells="1"/>
  <mergeCells count="42">
    <mergeCell ref="W5:W6"/>
    <mergeCell ref="N5:N6"/>
    <mergeCell ref="C5:C6"/>
    <mergeCell ref="D5:D6"/>
    <mergeCell ref="E5:E6"/>
    <mergeCell ref="F5:F6"/>
    <mergeCell ref="G5:G6"/>
    <mergeCell ref="H5:H6"/>
    <mergeCell ref="J5:J6"/>
    <mergeCell ref="K5:K6"/>
    <mergeCell ref="T5:T6"/>
    <mergeCell ref="L5:L6"/>
    <mergeCell ref="M5:M6"/>
    <mergeCell ref="I5:I6"/>
    <mergeCell ref="U5:U6"/>
    <mergeCell ref="V5:V6"/>
    <mergeCell ref="O5:O6"/>
    <mergeCell ref="P5:P6"/>
    <mergeCell ref="Q5:Q6"/>
    <mergeCell ref="R5:R6"/>
    <mergeCell ref="S5:S6"/>
    <mergeCell ref="R25:R26"/>
    <mergeCell ref="S25:S26"/>
    <mergeCell ref="I25:I26"/>
    <mergeCell ref="U25:U26"/>
    <mergeCell ref="V25:V26"/>
    <mergeCell ref="W25:W26"/>
    <mergeCell ref="C25:C26"/>
    <mergeCell ref="D25:D26"/>
    <mergeCell ref="E25:E26"/>
    <mergeCell ref="F25:F26"/>
    <mergeCell ref="G25:G26"/>
    <mergeCell ref="H25:H26"/>
    <mergeCell ref="J25:J26"/>
    <mergeCell ref="K25:K26"/>
    <mergeCell ref="T25:T26"/>
    <mergeCell ref="L25:L26"/>
    <mergeCell ref="M25:M26"/>
    <mergeCell ref="N25:N26"/>
    <mergeCell ref="O25:O26"/>
    <mergeCell ref="P25:P26"/>
    <mergeCell ref="Q25:Q26"/>
  </mergeCells>
  <hyperlinks>
    <hyperlink ref="C3" r:id="rId1" xr:uid="{EE5C35BF-1294-3841-9974-30B0BF9B84C4}"/>
    <hyperlink ref="C23" r:id="rId2" xr:uid="{2FA2C324-4E07-5B40-9E83-F0566CFDDEA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E95B-EB4D-4CC6-82A6-AACCAFF04FAD}">
  <sheetPr codeName="Sheet8"/>
  <dimension ref="A1:D134"/>
  <sheetViews>
    <sheetView zoomScale="110" zoomScaleNormal="110" workbookViewId="0">
      <selection activeCell="G122" sqref="G122"/>
    </sheetView>
  </sheetViews>
  <sheetFormatPr defaultColWidth="8.7109375" defaultRowHeight="14.45"/>
  <cols>
    <col min="1" max="1" width="27.28515625" style="18" customWidth="1"/>
    <col min="2" max="2" width="39.28515625" style="18" customWidth="1"/>
    <col min="3" max="3" width="19.140625" customWidth="1"/>
    <col min="4" max="4" width="9.42578125" style="18" customWidth="1"/>
    <col min="5" max="16384" width="8.7109375" style="18"/>
  </cols>
  <sheetData>
    <row r="1" spans="1:4">
      <c r="A1" s="18" t="s">
        <v>527</v>
      </c>
      <c r="B1" s="18" t="s">
        <v>528</v>
      </c>
      <c r="C1" s="18" t="s">
        <v>529</v>
      </c>
      <c r="D1" s="18" t="s">
        <v>530</v>
      </c>
    </row>
    <row r="2" spans="1:4">
      <c r="A2" s="98" t="s">
        <v>531</v>
      </c>
      <c r="B2" s="98" t="s">
        <v>532</v>
      </c>
      <c r="C2" s="98" t="s">
        <v>533</v>
      </c>
      <c r="D2" s="98" t="s">
        <v>534</v>
      </c>
    </row>
    <row r="3" spans="1:4">
      <c r="A3" s="98" t="s">
        <v>535</v>
      </c>
      <c r="B3" s="98" t="s">
        <v>536</v>
      </c>
      <c r="C3" s="98" t="s">
        <v>533</v>
      </c>
      <c r="D3" s="98" t="s">
        <v>534</v>
      </c>
    </row>
    <row r="4" spans="1:4">
      <c r="A4" s="98" t="s">
        <v>537</v>
      </c>
      <c r="B4" s="98" t="s">
        <v>538</v>
      </c>
      <c r="C4" s="98" t="s">
        <v>533</v>
      </c>
      <c r="D4" s="98" t="s">
        <v>534</v>
      </c>
    </row>
    <row r="5" spans="1:4">
      <c r="A5" s="98" t="s">
        <v>539</v>
      </c>
      <c r="B5" s="98" t="s">
        <v>540</v>
      </c>
      <c r="C5" s="98" t="s">
        <v>533</v>
      </c>
      <c r="D5" s="98" t="s">
        <v>534</v>
      </c>
    </row>
    <row r="6" spans="1:4">
      <c r="A6" s="98" t="s">
        <v>541</v>
      </c>
      <c r="B6" s="98" t="s">
        <v>542</v>
      </c>
      <c r="C6" s="98" t="s">
        <v>533</v>
      </c>
      <c r="D6" s="98" t="s">
        <v>534</v>
      </c>
    </row>
    <row r="7" spans="1:4">
      <c r="A7" s="98" t="s">
        <v>543</v>
      </c>
      <c r="B7" s="98" t="s">
        <v>544</v>
      </c>
      <c r="C7" s="98" t="s">
        <v>533</v>
      </c>
      <c r="D7" s="98" t="s">
        <v>534</v>
      </c>
    </row>
    <row r="8" spans="1:4">
      <c r="A8" s="98" t="s">
        <v>545</v>
      </c>
      <c r="B8" s="98" t="s">
        <v>546</v>
      </c>
      <c r="C8" s="98" t="s">
        <v>533</v>
      </c>
      <c r="D8" s="98" t="s">
        <v>534</v>
      </c>
    </row>
    <row r="9" spans="1:4">
      <c r="A9" s="98" t="s">
        <v>547</v>
      </c>
      <c r="B9" s="98" t="s">
        <v>548</v>
      </c>
      <c r="C9" s="98" t="s">
        <v>533</v>
      </c>
      <c r="D9" s="98" t="s">
        <v>534</v>
      </c>
    </row>
    <row r="10" spans="1:4">
      <c r="A10" s="98" t="s">
        <v>549</v>
      </c>
      <c r="B10" s="98" t="s">
        <v>550</v>
      </c>
      <c r="C10" s="98" t="s">
        <v>533</v>
      </c>
      <c r="D10" s="98" t="s">
        <v>534</v>
      </c>
    </row>
    <row r="11" spans="1:4">
      <c r="A11" s="98" t="s">
        <v>551</v>
      </c>
      <c r="B11" s="98" t="s">
        <v>552</v>
      </c>
      <c r="C11" s="98" t="s">
        <v>533</v>
      </c>
      <c r="D11" s="98" t="s">
        <v>534</v>
      </c>
    </row>
    <row r="12" spans="1:4">
      <c r="A12" s="98" t="s">
        <v>553</v>
      </c>
      <c r="B12" s="98" t="s">
        <v>554</v>
      </c>
      <c r="C12" s="98" t="s">
        <v>533</v>
      </c>
      <c r="D12" s="98" t="s">
        <v>555</v>
      </c>
    </row>
    <row r="13" spans="1:4">
      <c r="A13" s="98" t="s">
        <v>556</v>
      </c>
      <c r="B13" s="98" t="s">
        <v>557</v>
      </c>
      <c r="C13" s="98" t="s">
        <v>533</v>
      </c>
      <c r="D13" s="98" t="s">
        <v>555</v>
      </c>
    </row>
    <row r="14" spans="1:4">
      <c r="A14" s="98" t="s">
        <v>558</v>
      </c>
      <c r="B14" s="98" t="s">
        <v>29</v>
      </c>
      <c r="C14" s="98" t="s">
        <v>533</v>
      </c>
      <c r="D14" s="98" t="s">
        <v>555</v>
      </c>
    </row>
    <row r="15" spans="1:4">
      <c r="A15" s="98" t="s">
        <v>559</v>
      </c>
      <c r="B15" s="98" t="s">
        <v>560</v>
      </c>
      <c r="C15" s="98" t="s">
        <v>533</v>
      </c>
      <c r="D15" s="98" t="s">
        <v>561</v>
      </c>
    </row>
    <row r="16" spans="1:4">
      <c r="A16" s="98" t="s">
        <v>562</v>
      </c>
      <c r="B16" s="98" t="s">
        <v>563</v>
      </c>
      <c r="C16" s="98" t="s">
        <v>533</v>
      </c>
      <c r="D16" s="98" t="s">
        <v>561</v>
      </c>
    </row>
    <row r="17" spans="1:4">
      <c r="A17" s="98" t="s">
        <v>564</v>
      </c>
      <c r="B17" s="98" t="s">
        <v>565</v>
      </c>
      <c r="C17" s="98" t="s">
        <v>533</v>
      </c>
      <c r="D17" s="98" t="s">
        <v>561</v>
      </c>
    </row>
    <row r="18" spans="1:4">
      <c r="A18" s="98" t="s">
        <v>566</v>
      </c>
      <c r="B18" s="98" t="s">
        <v>567</v>
      </c>
      <c r="C18" s="98" t="s">
        <v>533</v>
      </c>
      <c r="D18" s="98" t="s">
        <v>568</v>
      </c>
    </row>
    <row r="19" spans="1:4">
      <c r="A19" s="98" t="s">
        <v>569</v>
      </c>
      <c r="B19" s="98" t="s">
        <v>570</v>
      </c>
      <c r="C19" s="98" t="s">
        <v>533</v>
      </c>
      <c r="D19" s="98" t="s">
        <v>568</v>
      </c>
    </row>
    <row r="20" spans="1:4">
      <c r="A20" s="98" t="s">
        <v>571</v>
      </c>
      <c r="B20" s="264" t="s">
        <v>572</v>
      </c>
      <c r="C20" s="98" t="s">
        <v>533</v>
      </c>
      <c r="D20" s="98" t="s">
        <v>568</v>
      </c>
    </row>
    <row r="21" spans="1:4">
      <c r="A21" s="98" t="s">
        <v>573</v>
      </c>
      <c r="B21" s="98" t="s">
        <v>574</v>
      </c>
      <c r="C21" s="98" t="s">
        <v>533</v>
      </c>
      <c r="D21" s="98" t="s">
        <v>575</v>
      </c>
    </row>
    <row r="22" spans="1:4">
      <c r="A22" s="98" t="s">
        <v>576</v>
      </c>
      <c r="B22" s="98" t="s">
        <v>577</v>
      </c>
      <c r="C22" s="98" t="s">
        <v>533</v>
      </c>
      <c r="D22" s="98" t="s">
        <v>575</v>
      </c>
    </row>
    <row r="23" spans="1:4">
      <c r="A23" s="98" t="s">
        <v>578</v>
      </c>
      <c r="B23" s="98" t="s">
        <v>579</v>
      </c>
      <c r="C23" s="98" t="s">
        <v>533</v>
      </c>
      <c r="D23" s="98" t="s">
        <v>575</v>
      </c>
    </row>
    <row r="24" spans="1:4">
      <c r="A24" s="98" t="s">
        <v>580</v>
      </c>
      <c r="B24" s="264" t="s">
        <v>581</v>
      </c>
      <c r="C24" s="98" t="s">
        <v>533</v>
      </c>
      <c r="D24" s="98" t="s">
        <v>575</v>
      </c>
    </row>
    <row r="25" spans="1:4">
      <c r="A25" s="98" t="s">
        <v>582</v>
      </c>
      <c r="B25" s="98" t="s">
        <v>583</v>
      </c>
      <c r="C25" s="98" t="s">
        <v>533</v>
      </c>
      <c r="D25" s="98" t="s">
        <v>575</v>
      </c>
    </row>
    <row r="26" spans="1:4">
      <c r="A26" s="98" t="s">
        <v>584</v>
      </c>
      <c r="B26" s="98" t="s">
        <v>585</v>
      </c>
      <c r="C26" s="98" t="s">
        <v>533</v>
      </c>
      <c r="D26" s="98" t="s">
        <v>575</v>
      </c>
    </row>
    <row r="27" spans="1:4">
      <c r="A27" s="98" t="s">
        <v>586</v>
      </c>
      <c r="B27" s="98" t="s">
        <v>587</v>
      </c>
      <c r="C27" s="98" t="s">
        <v>533</v>
      </c>
      <c r="D27" s="98" t="s">
        <v>575</v>
      </c>
    </row>
    <row r="28" spans="1:4">
      <c r="A28" s="98" t="s">
        <v>588</v>
      </c>
      <c r="B28" s="98" t="s">
        <v>589</v>
      </c>
      <c r="C28" s="98" t="s">
        <v>533</v>
      </c>
      <c r="D28" s="98" t="s">
        <v>575</v>
      </c>
    </row>
    <row r="29" spans="1:4">
      <c r="A29" s="98" t="s">
        <v>590</v>
      </c>
      <c r="B29" s="264" t="s">
        <v>591</v>
      </c>
      <c r="C29" s="98" t="s">
        <v>533</v>
      </c>
      <c r="D29" s="98" t="s">
        <v>592</v>
      </c>
    </row>
    <row r="30" spans="1:4">
      <c r="A30" s="98" t="s">
        <v>593</v>
      </c>
      <c r="B30" s="98" t="s">
        <v>594</v>
      </c>
      <c r="C30" s="98" t="s">
        <v>533</v>
      </c>
      <c r="D30" s="98" t="s">
        <v>592</v>
      </c>
    </row>
    <row r="31" spans="1:4">
      <c r="A31" s="98" t="s">
        <v>595</v>
      </c>
      <c r="B31" s="98" t="s">
        <v>596</v>
      </c>
      <c r="C31" s="98" t="s">
        <v>533</v>
      </c>
      <c r="D31" s="98" t="s">
        <v>592</v>
      </c>
    </row>
    <row r="32" spans="1:4">
      <c r="A32" s="98" t="s">
        <v>597</v>
      </c>
      <c r="B32" s="264" t="s">
        <v>598</v>
      </c>
      <c r="C32" s="98" t="s">
        <v>533</v>
      </c>
      <c r="D32" s="98" t="s">
        <v>592</v>
      </c>
    </row>
    <row r="33" spans="1:4">
      <c r="A33" s="98" t="s">
        <v>599</v>
      </c>
      <c r="B33" s="98" t="s">
        <v>600</v>
      </c>
      <c r="C33" s="98" t="s">
        <v>533</v>
      </c>
      <c r="D33" s="98" t="s">
        <v>592</v>
      </c>
    </row>
    <row r="34" spans="1:4">
      <c r="A34" s="98" t="s">
        <v>551</v>
      </c>
      <c r="B34" s="264" t="s">
        <v>552</v>
      </c>
      <c r="C34" s="98" t="s">
        <v>533</v>
      </c>
      <c r="D34" s="98" t="s">
        <v>592</v>
      </c>
    </row>
    <row r="35" spans="1:4">
      <c r="A35" s="98" t="s">
        <v>601</v>
      </c>
      <c r="B35" s="264" t="s">
        <v>602</v>
      </c>
      <c r="C35" s="98" t="s">
        <v>533</v>
      </c>
      <c r="D35" s="98" t="s">
        <v>592</v>
      </c>
    </row>
    <row r="36" spans="1:4">
      <c r="A36" s="98" t="s">
        <v>603</v>
      </c>
      <c r="B36" s="98" t="s">
        <v>604</v>
      </c>
      <c r="C36" s="98" t="s">
        <v>533</v>
      </c>
      <c r="D36" s="98" t="s">
        <v>592</v>
      </c>
    </row>
    <row r="37" spans="1:4">
      <c r="A37" s="98" t="s">
        <v>605</v>
      </c>
      <c r="B37" s="98" t="s">
        <v>606</v>
      </c>
      <c r="C37" s="98" t="s">
        <v>533</v>
      </c>
      <c r="D37" s="98" t="s">
        <v>592</v>
      </c>
    </row>
    <row r="38" spans="1:4">
      <c r="A38" s="98" t="s">
        <v>607</v>
      </c>
      <c r="B38" s="264" t="s">
        <v>608</v>
      </c>
      <c r="C38" s="98" t="s">
        <v>533</v>
      </c>
      <c r="D38" s="98" t="s">
        <v>592</v>
      </c>
    </row>
    <row r="39" spans="1:4">
      <c r="A39" s="98" t="s">
        <v>609</v>
      </c>
      <c r="B39" s="264" t="s">
        <v>610</v>
      </c>
      <c r="C39" s="98" t="s">
        <v>533</v>
      </c>
      <c r="D39" s="98" t="s">
        <v>592</v>
      </c>
    </row>
    <row r="40" spans="1:4">
      <c r="A40" s="98" t="s">
        <v>611</v>
      </c>
      <c r="B40" s="264" t="s">
        <v>612</v>
      </c>
      <c r="C40" s="98" t="s">
        <v>533</v>
      </c>
      <c r="D40" s="98" t="s">
        <v>592</v>
      </c>
    </row>
    <row r="41" spans="1:4">
      <c r="A41" s="98" t="s">
        <v>613</v>
      </c>
      <c r="B41" s="264" t="s">
        <v>614</v>
      </c>
      <c r="C41" s="98" t="s">
        <v>533</v>
      </c>
      <c r="D41" s="98" t="s">
        <v>592</v>
      </c>
    </row>
    <row r="42" spans="1:4">
      <c r="A42" s="98" t="s">
        <v>615</v>
      </c>
      <c r="B42" s="264" t="s">
        <v>616</v>
      </c>
      <c r="C42" s="98" t="s">
        <v>533</v>
      </c>
      <c r="D42" s="98" t="s">
        <v>592</v>
      </c>
    </row>
    <row r="43" spans="1:4">
      <c r="A43" s="98" t="s">
        <v>617</v>
      </c>
      <c r="B43" s="98" t="s">
        <v>618</v>
      </c>
      <c r="C43" s="98" t="s">
        <v>533</v>
      </c>
      <c r="D43" s="98" t="s">
        <v>592</v>
      </c>
    </row>
    <row r="44" spans="1:4">
      <c r="A44" s="98" t="s">
        <v>619</v>
      </c>
      <c r="B44" s="98" t="s">
        <v>620</v>
      </c>
      <c r="C44" s="98" t="s">
        <v>533</v>
      </c>
      <c r="D44" s="98" t="s">
        <v>592</v>
      </c>
    </row>
    <row r="45" spans="1:4">
      <c r="A45" s="98" t="s">
        <v>621</v>
      </c>
      <c r="B45" s="264" t="s">
        <v>622</v>
      </c>
      <c r="C45" s="98" t="s">
        <v>533</v>
      </c>
      <c r="D45" s="98" t="s">
        <v>592</v>
      </c>
    </row>
    <row r="46" spans="1:4">
      <c r="A46" s="98" t="s">
        <v>623</v>
      </c>
      <c r="B46" s="98" t="s">
        <v>624</v>
      </c>
      <c r="C46" s="98" t="s">
        <v>533</v>
      </c>
      <c r="D46" s="98" t="s">
        <v>625</v>
      </c>
    </row>
    <row r="47" spans="1:4">
      <c r="A47" s="98" t="s">
        <v>626</v>
      </c>
      <c r="B47" s="98" t="s">
        <v>627</v>
      </c>
      <c r="C47" s="98" t="s">
        <v>533</v>
      </c>
      <c r="D47" s="98" t="s">
        <v>625</v>
      </c>
    </row>
    <row r="48" spans="1:4">
      <c r="A48" s="98" t="s">
        <v>628</v>
      </c>
      <c r="B48" s="98" t="s">
        <v>629</v>
      </c>
      <c r="C48" s="98" t="s">
        <v>533</v>
      </c>
      <c r="D48" s="98" t="s">
        <v>630</v>
      </c>
    </row>
    <row r="49" spans="1:4">
      <c r="A49" s="98" t="s">
        <v>631</v>
      </c>
      <c r="B49" s="98" t="s">
        <v>632</v>
      </c>
      <c r="C49" s="98" t="s">
        <v>533</v>
      </c>
      <c r="D49" s="98" t="s">
        <v>630</v>
      </c>
    </row>
    <row r="50" spans="1:4">
      <c r="A50" s="98" t="s">
        <v>633</v>
      </c>
      <c r="B50" s="98" t="s">
        <v>634</v>
      </c>
      <c r="C50" s="98" t="s">
        <v>533</v>
      </c>
      <c r="D50" s="98" t="s">
        <v>635</v>
      </c>
    </row>
    <row r="51" spans="1:4">
      <c r="A51" s="98" t="s">
        <v>636</v>
      </c>
      <c r="B51" s="98" t="s">
        <v>637</v>
      </c>
      <c r="C51" s="98" t="s">
        <v>533</v>
      </c>
      <c r="D51" s="98" t="s">
        <v>635</v>
      </c>
    </row>
    <row r="52" spans="1:4">
      <c r="A52" s="98" t="s">
        <v>638</v>
      </c>
      <c r="B52" s="98" t="s">
        <v>639</v>
      </c>
      <c r="C52" s="98" t="s">
        <v>533</v>
      </c>
      <c r="D52" s="98" t="s">
        <v>635</v>
      </c>
    </row>
    <row r="53" spans="1:4">
      <c r="A53" s="98" t="s">
        <v>640</v>
      </c>
      <c r="B53" s="98" t="s">
        <v>641</v>
      </c>
      <c r="C53" s="98" t="s">
        <v>533</v>
      </c>
      <c r="D53" s="98" t="s">
        <v>635</v>
      </c>
    </row>
    <row r="54" spans="1:4">
      <c r="A54" s="98" t="s">
        <v>642</v>
      </c>
      <c r="B54" s="98" t="s">
        <v>643</v>
      </c>
      <c r="C54" s="98" t="s">
        <v>533</v>
      </c>
      <c r="D54" s="98" t="s">
        <v>635</v>
      </c>
    </row>
    <row r="55" spans="1:4">
      <c r="A55" s="98" t="s">
        <v>644</v>
      </c>
      <c r="B55" s="98" t="s">
        <v>645</v>
      </c>
      <c r="C55" s="98" t="s">
        <v>533</v>
      </c>
      <c r="D55" s="98" t="s">
        <v>635</v>
      </c>
    </row>
    <row r="56" spans="1:4">
      <c r="A56" s="98" t="s">
        <v>646</v>
      </c>
      <c r="B56" s="98" t="s">
        <v>647</v>
      </c>
      <c r="C56" s="98" t="s">
        <v>533</v>
      </c>
      <c r="D56" s="98" t="s">
        <v>635</v>
      </c>
    </row>
    <row r="57" spans="1:4">
      <c r="A57" s="98" t="s">
        <v>648</v>
      </c>
      <c r="B57" s="98" t="s">
        <v>649</v>
      </c>
      <c r="C57" s="98" t="s">
        <v>533</v>
      </c>
      <c r="D57" s="98" t="s">
        <v>635</v>
      </c>
    </row>
    <row r="58" spans="1:4">
      <c r="A58" s="98" t="s">
        <v>650</v>
      </c>
      <c r="B58" s="98" t="s">
        <v>651</v>
      </c>
      <c r="C58" s="98" t="s">
        <v>533</v>
      </c>
      <c r="D58" s="98" t="s">
        <v>635</v>
      </c>
    </row>
    <row r="59" spans="1:4">
      <c r="A59" s="98" t="s">
        <v>652</v>
      </c>
      <c r="B59" s="98" t="s">
        <v>653</v>
      </c>
      <c r="C59" s="98" t="s">
        <v>533</v>
      </c>
      <c r="D59" s="98" t="s">
        <v>635</v>
      </c>
    </row>
    <row r="60" spans="1:4">
      <c r="A60" s="98" t="s">
        <v>654</v>
      </c>
      <c r="B60" s="98" t="s">
        <v>655</v>
      </c>
      <c r="C60" s="98" t="s">
        <v>533</v>
      </c>
      <c r="D60" s="98" t="s">
        <v>635</v>
      </c>
    </row>
    <row r="61" spans="1:4">
      <c r="A61" s="262" t="s">
        <v>656</v>
      </c>
      <c r="B61" s="262" t="s">
        <v>657</v>
      </c>
      <c r="C61" s="262" t="s">
        <v>658</v>
      </c>
      <c r="D61" s="262" t="s">
        <v>534</v>
      </c>
    </row>
    <row r="62" spans="1:4">
      <c r="A62" s="262" t="s">
        <v>659</v>
      </c>
      <c r="B62" s="262" t="s">
        <v>660</v>
      </c>
      <c r="C62" s="262" t="s">
        <v>658</v>
      </c>
      <c r="D62" s="262" t="s">
        <v>534</v>
      </c>
    </row>
    <row r="63" spans="1:4">
      <c r="A63" s="262" t="s">
        <v>661</v>
      </c>
      <c r="B63" s="262" t="s">
        <v>662</v>
      </c>
      <c r="C63" s="262" t="s">
        <v>658</v>
      </c>
      <c r="D63" s="262" t="s">
        <v>534</v>
      </c>
    </row>
    <row r="64" spans="1:4">
      <c r="A64" s="262" t="s">
        <v>663</v>
      </c>
      <c r="B64" s="262" t="s">
        <v>664</v>
      </c>
      <c r="C64" s="262" t="s">
        <v>658</v>
      </c>
      <c r="D64" s="262" t="s">
        <v>534</v>
      </c>
    </row>
    <row r="65" spans="1:4">
      <c r="A65" s="262" t="s">
        <v>665</v>
      </c>
      <c r="B65" s="262" t="s">
        <v>666</v>
      </c>
      <c r="C65" s="262" t="s">
        <v>658</v>
      </c>
      <c r="D65" s="262" t="s">
        <v>534</v>
      </c>
    </row>
    <row r="66" spans="1:4">
      <c r="A66" s="262" t="s">
        <v>667</v>
      </c>
      <c r="B66" s="262" t="s">
        <v>668</v>
      </c>
      <c r="C66" s="262" t="s">
        <v>658</v>
      </c>
      <c r="D66" s="262" t="s">
        <v>534</v>
      </c>
    </row>
    <row r="67" spans="1:4">
      <c r="A67" s="262" t="s">
        <v>669</v>
      </c>
      <c r="B67" s="262" t="s">
        <v>670</v>
      </c>
      <c r="C67" s="262" t="s">
        <v>658</v>
      </c>
      <c r="D67" s="262" t="s">
        <v>534</v>
      </c>
    </row>
    <row r="68" spans="1:4">
      <c r="A68" s="262" t="s">
        <v>671</v>
      </c>
      <c r="B68" s="262" t="s">
        <v>672</v>
      </c>
      <c r="C68" s="262" t="s">
        <v>658</v>
      </c>
      <c r="D68" s="262" t="s">
        <v>534</v>
      </c>
    </row>
    <row r="69" spans="1:4">
      <c r="A69" s="262" t="s">
        <v>673</v>
      </c>
      <c r="B69" s="262" t="s">
        <v>674</v>
      </c>
      <c r="C69" s="262" t="s">
        <v>658</v>
      </c>
      <c r="D69" s="262" t="s">
        <v>534</v>
      </c>
    </row>
    <row r="70" spans="1:4">
      <c r="A70" s="262" t="s">
        <v>675</v>
      </c>
      <c r="B70" s="262" t="s">
        <v>676</v>
      </c>
      <c r="C70" s="262" t="s">
        <v>658</v>
      </c>
      <c r="D70" s="262" t="s">
        <v>534</v>
      </c>
    </row>
    <row r="71" spans="1:4">
      <c r="A71" s="262" t="s">
        <v>677</v>
      </c>
      <c r="B71" s="262" t="s">
        <v>678</v>
      </c>
      <c r="C71" s="262" t="s">
        <v>658</v>
      </c>
      <c r="D71" s="262" t="s">
        <v>534</v>
      </c>
    </row>
    <row r="72" spans="1:4">
      <c r="A72" s="262" t="s">
        <v>679</v>
      </c>
      <c r="B72" s="262" t="s">
        <v>680</v>
      </c>
      <c r="C72" s="262" t="s">
        <v>658</v>
      </c>
      <c r="D72" s="262" t="s">
        <v>534</v>
      </c>
    </row>
    <row r="73" spans="1:4">
      <c r="A73" s="262" t="s">
        <v>681</v>
      </c>
      <c r="B73" s="262" t="s">
        <v>682</v>
      </c>
      <c r="C73" s="262" t="s">
        <v>658</v>
      </c>
      <c r="D73" s="262" t="s">
        <v>534</v>
      </c>
    </row>
    <row r="74" spans="1:4">
      <c r="A74" s="262" t="s">
        <v>683</v>
      </c>
      <c r="B74" s="262" t="s">
        <v>684</v>
      </c>
      <c r="C74" s="262" t="s">
        <v>658</v>
      </c>
      <c r="D74" s="262" t="s">
        <v>534</v>
      </c>
    </row>
    <row r="75" spans="1:4">
      <c r="A75" s="262" t="s">
        <v>685</v>
      </c>
      <c r="B75" s="262" t="s">
        <v>686</v>
      </c>
      <c r="C75" s="262" t="s">
        <v>658</v>
      </c>
      <c r="D75" s="262" t="s">
        <v>534</v>
      </c>
    </row>
    <row r="76" spans="1:4">
      <c r="A76" s="262" t="s">
        <v>679</v>
      </c>
      <c r="B76" s="262" t="s">
        <v>680</v>
      </c>
      <c r="C76" s="262" t="s">
        <v>658</v>
      </c>
      <c r="D76" s="262" t="s">
        <v>534</v>
      </c>
    </row>
    <row r="77" spans="1:4">
      <c r="A77" s="262" t="s">
        <v>687</v>
      </c>
      <c r="B77" s="262" t="s">
        <v>688</v>
      </c>
      <c r="C77" s="262" t="s">
        <v>658</v>
      </c>
      <c r="D77" s="262" t="s">
        <v>534</v>
      </c>
    </row>
    <row r="78" spans="1:4">
      <c r="A78" s="262" t="s">
        <v>689</v>
      </c>
      <c r="B78" s="262" t="s">
        <v>690</v>
      </c>
      <c r="C78" s="262" t="s">
        <v>658</v>
      </c>
      <c r="D78" s="262" t="s">
        <v>534</v>
      </c>
    </row>
    <row r="79" spans="1:4">
      <c r="A79" s="262" t="s">
        <v>691</v>
      </c>
      <c r="B79" s="262" t="s">
        <v>692</v>
      </c>
      <c r="C79" s="262" t="s">
        <v>658</v>
      </c>
      <c r="D79" s="262" t="s">
        <v>534</v>
      </c>
    </row>
    <row r="80" spans="1:4">
      <c r="A80" s="262" t="s">
        <v>693</v>
      </c>
      <c r="B80" s="262" t="s">
        <v>694</v>
      </c>
      <c r="C80" s="262" t="s">
        <v>658</v>
      </c>
      <c r="D80" s="262" t="s">
        <v>534</v>
      </c>
    </row>
    <row r="81" spans="1:4">
      <c r="A81" s="262" t="s">
        <v>695</v>
      </c>
      <c r="B81" s="262" t="s">
        <v>696</v>
      </c>
      <c r="C81" s="262" t="s">
        <v>658</v>
      </c>
      <c r="D81" s="262" t="s">
        <v>575</v>
      </c>
    </row>
    <row r="82" spans="1:4">
      <c r="A82" s="262" t="s">
        <v>697</v>
      </c>
      <c r="B82" s="262" t="s">
        <v>698</v>
      </c>
      <c r="C82" s="262" t="s">
        <v>658</v>
      </c>
      <c r="D82" s="262" t="s">
        <v>699</v>
      </c>
    </row>
    <row r="83" spans="1:4">
      <c r="A83" s="262" t="s">
        <v>700</v>
      </c>
      <c r="B83" s="262" t="s">
        <v>34</v>
      </c>
      <c r="C83" s="262" t="s">
        <v>658</v>
      </c>
      <c r="D83" s="262" t="s">
        <v>699</v>
      </c>
    </row>
    <row r="84" spans="1:4">
      <c r="A84" s="262" t="s">
        <v>701</v>
      </c>
      <c r="B84" s="262" t="s">
        <v>702</v>
      </c>
      <c r="C84" s="262" t="s">
        <v>658</v>
      </c>
      <c r="D84" s="262" t="s">
        <v>699</v>
      </c>
    </row>
    <row r="85" spans="1:4">
      <c r="A85" s="262" t="s">
        <v>703</v>
      </c>
      <c r="B85" s="262" t="s">
        <v>704</v>
      </c>
      <c r="C85" s="262" t="s">
        <v>658</v>
      </c>
      <c r="D85" s="262" t="s">
        <v>699</v>
      </c>
    </row>
    <row r="86" spans="1:4">
      <c r="A86" s="262" t="s">
        <v>705</v>
      </c>
      <c r="B86" s="262" t="s">
        <v>706</v>
      </c>
      <c r="C86" s="262" t="s">
        <v>658</v>
      </c>
      <c r="D86" s="262" t="s">
        <v>699</v>
      </c>
    </row>
    <row r="87" spans="1:4">
      <c r="A87" s="262" t="s">
        <v>707</v>
      </c>
      <c r="B87" s="262" t="s">
        <v>708</v>
      </c>
      <c r="C87" s="262" t="s">
        <v>658</v>
      </c>
      <c r="D87" s="262" t="s">
        <v>699</v>
      </c>
    </row>
    <row r="88" spans="1:4">
      <c r="A88" s="262" t="s">
        <v>709</v>
      </c>
      <c r="B88" s="262" t="s">
        <v>710</v>
      </c>
      <c r="C88" s="262" t="s">
        <v>658</v>
      </c>
      <c r="D88" s="262" t="s">
        <v>699</v>
      </c>
    </row>
    <row r="89" spans="1:4">
      <c r="A89" s="262" t="s">
        <v>711</v>
      </c>
      <c r="B89" s="262" t="s">
        <v>712</v>
      </c>
      <c r="C89" s="262" t="s">
        <v>658</v>
      </c>
      <c r="D89" s="262" t="s">
        <v>699</v>
      </c>
    </row>
    <row r="90" spans="1:4">
      <c r="A90" s="262" t="s">
        <v>713</v>
      </c>
      <c r="B90" s="262" t="s">
        <v>714</v>
      </c>
      <c r="C90" s="262" t="s">
        <v>658</v>
      </c>
      <c r="D90" s="262" t="s">
        <v>699</v>
      </c>
    </row>
    <row r="91" spans="1:4">
      <c r="A91" s="262" t="s">
        <v>715</v>
      </c>
      <c r="B91" s="262" t="s">
        <v>716</v>
      </c>
      <c r="C91" s="262" t="s">
        <v>658</v>
      </c>
      <c r="D91" s="262" t="s">
        <v>699</v>
      </c>
    </row>
    <row r="92" spans="1:4">
      <c r="A92" s="262" t="s">
        <v>717</v>
      </c>
      <c r="B92" s="262" t="s">
        <v>718</v>
      </c>
      <c r="C92" s="262" t="s">
        <v>658</v>
      </c>
      <c r="D92" s="262" t="s">
        <v>699</v>
      </c>
    </row>
    <row r="93" spans="1:4">
      <c r="A93" s="262" t="s">
        <v>719</v>
      </c>
      <c r="B93" s="262" t="s">
        <v>720</v>
      </c>
      <c r="C93" s="262" t="s">
        <v>658</v>
      </c>
      <c r="D93" s="262" t="s">
        <v>699</v>
      </c>
    </row>
    <row r="94" spans="1:4">
      <c r="A94" s="262" t="s">
        <v>721</v>
      </c>
      <c r="B94" s="262" t="s">
        <v>722</v>
      </c>
      <c r="C94" s="262" t="s">
        <v>658</v>
      </c>
      <c r="D94" s="262" t="s">
        <v>699</v>
      </c>
    </row>
    <row r="95" spans="1:4">
      <c r="A95" s="262" t="s">
        <v>723</v>
      </c>
      <c r="B95" s="262" t="s">
        <v>724</v>
      </c>
      <c r="C95" s="262" t="s">
        <v>658</v>
      </c>
      <c r="D95" s="262" t="s">
        <v>699</v>
      </c>
    </row>
    <row r="96" spans="1:4">
      <c r="A96" s="262" t="s">
        <v>725</v>
      </c>
      <c r="B96" s="262" t="s">
        <v>726</v>
      </c>
      <c r="C96" s="262" t="s">
        <v>658</v>
      </c>
      <c r="D96" s="262" t="s">
        <v>727</v>
      </c>
    </row>
    <row r="97" spans="1:4">
      <c r="A97" s="262" t="s">
        <v>728</v>
      </c>
      <c r="B97" s="262" t="s">
        <v>729</v>
      </c>
      <c r="C97" s="262" t="s">
        <v>658</v>
      </c>
      <c r="D97" s="262" t="s">
        <v>727</v>
      </c>
    </row>
    <row r="98" spans="1:4">
      <c r="A98" s="262" t="s">
        <v>730</v>
      </c>
      <c r="B98" s="262" t="s">
        <v>731</v>
      </c>
      <c r="C98" s="262" t="s">
        <v>658</v>
      </c>
      <c r="D98" s="262" t="s">
        <v>727</v>
      </c>
    </row>
    <row r="99" spans="1:4">
      <c r="A99" s="262" t="s">
        <v>732</v>
      </c>
      <c r="B99" s="262" t="s">
        <v>733</v>
      </c>
      <c r="C99" s="262" t="s">
        <v>658</v>
      </c>
      <c r="D99" s="262" t="s">
        <v>727</v>
      </c>
    </row>
    <row r="100" spans="1:4">
      <c r="A100" s="262" t="s">
        <v>734</v>
      </c>
      <c r="B100" s="262" t="s">
        <v>735</v>
      </c>
      <c r="C100" s="262" t="s">
        <v>658</v>
      </c>
      <c r="D100" s="262" t="s">
        <v>727</v>
      </c>
    </row>
    <row r="101" spans="1:4">
      <c r="A101" s="262" t="s">
        <v>736</v>
      </c>
      <c r="B101" s="262" t="s">
        <v>737</v>
      </c>
      <c r="C101" s="262" t="s">
        <v>658</v>
      </c>
      <c r="D101" s="262" t="s">
        <v>727</v>
      </c>
    </row>
    <row r="102" spans="1:4">
      <c r="A102" s="262" t="s">
        <v>738</v>
      </c>
      <c r="B102" s="262" t="s">
        <v>739</v>
      </c>
      <c r="C102" s="262" t="s">
        <v>658</v>
      </c>
      <c r="D102" s="262" t="s">
        <v>727</v>
      </c>
    </row>
    <row r="103" spans="1:4">
      <c r="A103" s="262" t="s">
        <v>740</v>
      </c>
      <c r="B103" s="262" t="s">
        <v>741</v>
      </c>
      <c r="C103" s="262" t="s">
        <v>658</v>
      </c>
      <c r="D103" s="262" t="s">
        <v>727</v>
      </c>
    </row>
    <row r="104" spans="1:4">
      <c r="A104" s="262" t="s">
        <v>742</v>
      </c>
      <c r="B104" s="262" t="s">
        <v>743</v>
      </c>
      <c r="C104" s="262" t="s">
        <v>658</v>
      </c>
      <c r="D104" s="262" t="s">
        <v>727</v>
      </c>
    </row>
    <row r="105" spans="1:4">
      <c r="A105" s="262" t="s">
        <v>744</v>
      </c>
      <c r="B105" s="262" t="s">
        <v>745</v>
      </c>
      <c r="C105" s="262" t="s">
        <v>658</v>
      </c>
      <c r="D105" s="262" t="s">
        <v>727</v>
      </c>
    </row>
    <row r="106" spans="1:4">
      <c r="A106" s="262" t="s">
        <v>746</v>
      </c>
      <c r="B106" s="262" t="s">
        <v>747</v>
      </c>
      <c r="C106" s="262" t="s">
        <v>658</v>
      </c>
      <c r="D106" s="262" t="s">
        <v>727</v>
      </c>
    </row>
    <row r="107" spans="1:4">
      <c r="A107" s="262" t="s">
        <v>748</v>
      </c>
      <c r="B107" s="262" t="s">
        <v>749</v>
      </c>
      <c r="C107" s="262" t="s">
        <v>658</v>
      </c>
      <c r="D107" s="262" t="s">
        <v>727</v>
      </c>
    </row>
    <row r="108" spans="1:4">
      <c r="A108" s="262" t="s">
        <v>750</v>
      </c>
      <c r="B108" s="262" t="s">
        <v>751</v>
      </c>
      <c r="C108" s="262" t="s">
        <v>658</v>
      </c>
      <c r="D108" s="262" t="s">
        <v>575</v>
      </c>
    </row>
    <row r="109" spans="1:4">
      <c r="A109" s="262" t="s">
        <v>752</v>
      </c>
      <c r="B109" s="262" t="s">
        <v>753</v>
      </c>
      <c r="C109" s="262" t="s">
        <v>658</v>
      </c>
      <c r="D109" s="262" t="s">
        <v>575</v>
      </c>
    </row>
    <row r="110" spans="1:4">
      <c r="A110" s="262" t="s">
        <v>754</v>
      </c>
      <c r="B110" s="262" t="s">
        <v>755</v>
      </c>
      <c r="C110" s="262" t="s">
        <v>658</v>
      </c>
      <c r="D110" s="262" t="s">
        <v>575</v>
      </c>
    </row>
    <row r="111" spans="1:4">
      <c r="A111" s="262" t="s">
        <v>756</v>
      </c>
      <c r="B111" s="262" t="s">
        <v>757</v>
      </c>
      <c r="C111" s="262" t="s">
        <v>658</v>
      </c>
      <c r="D111" s="262" t="s">
        <v>575</v>
      </c>
    </row>
    <row r="112" spans="1:4">
      <c r="A112" s="262" t="s">
        <v>758</v>
      </c>
      <c r="B112" s="262" t="s">
        <v>759</v>
      </c>
      <c r="C112" s="262" t="s">
        <v>658</v>
      </c>
      <c r="D112" s="262" t="s">
        <v>575</v>
      </c>
    </row>
    <row r="113" spans="1:4">
      <c r="A113" s="262" t="s">
        <v>760</v>
      </c>
      <c r="B113" s="262" t="s">
        <v>761</v>
      </c>
      <c r="C113" s="262" t="s">
        <v>658</v>
      </c>
      <c r="D113" s="262" t="s">
        <v>575</v>
      </c>
    </row>
    <row r="114" spans="1:4">
      <c r="A114" s="262" t="s">
        <v>762</v>
      </c>
      <c r="B114" s="262" t="s">
        <v>763</v>
      </c>
      <c r="C114" s="262" t="s">
        <v>658</v>
      </c>
      <c r="D114" s="262" t="s">
        <v>575</v>
      </c>
    </row>
    <row r="115" spans="1:4">
      <c r="A115" s="262" t="s">
        <v>764</v>
      </c>
      <c r="B115" s="262" t="s">
        <v>765</v>
      </c>
      <c r="C115" s="262" t="s">
        <v>658</v>
      </c>
      <c r="D115" s="262" t="s">
        <v>635</v>
      </c>
    </row>
    <row r="116" spans="1:4">
      <c r="A116" s="262" t="s">
        <v>766</v>
      </c>
      <c r="B116" s="262" t="s">
        <v>767</v>
      </c>
      <c r="C116" s="262" t="s">
        <v>658</v>
      </c>
      <c r="D116" s="262" t="s">
        <v>635</v>
      </c>
    </row>
    <row r="117" spans="1:4">
      <c r="A117" s="262" t="s">
        <v>768</v>
      </c>
      <c r="B117" s="262" t="s">
        <v>769</v>
      </c>
      <c r="C117" s="262" t="s">
        <v>658</v>
      </c>
      <c r="D117" s="262" t="s">
        <v>635</v>
      </c>
    </row>
    <row r="118" spans="1:4">
      <c r="A118" s="262" t="s">
        <v>770</v>
      </c>
      <c r="B118" s="263" t="s">
        <v>771</v>
      </c>
      <c r="C118" s="262" t="s">
        <v>658</v>
      </c>
      <c r="D118" s="262" t="s">
        <v>635</v>
      </c>
    </row>
    <row r="119" spans="1:4">
      <c r="A119" s="262" t="s">
        <v>685</v>
      </c>
      <c r="B119" s="262" t="s">
        <v>772</v>
      </c>
      <c r="C119" s="262" t="s">
        <v>658</v>
      </c>
      <c r="D119" s="262" t="s">
        <v>635</v>
      </c>
    </row>
    <row r="120" spans="1:4">
      <c r="A120" s="262" t="s">
        <v>773</v>
      </c>
      <c r="B120" s="262" t="s">
        <v>774</v>
      </c>
      <c r="C120" s="262" t="s">
        <v>658</v>
      </c>
      <c r="D120" s="262" t="s">
        <v>635</v>
      </c>
    </row>
    <row r="121" spans="1:4">
      <c r="A121" s="262" t="s">
        <v>775</v>
      </c>
      <c r="B121" s="262" t="s">
        <v>776</v>
      </c>
      <c r="C121" s="262" t="s">
        <v>658</v>
      </c>
      <c r="D121" s="262" t="s">
        <v>635</v>
      </c>
    </row>
    <row r="122" spans="1:4">
      <c r="A122" s="262" t="s">
        <v>777</v>
      </c>
      <c r="B122" s="262" t="s">
        <v>778</v>
      </c>
      <c r="C122" s="262" t="s">
        <v>658</v>
      </c>
      <c r="D122" s="262" t="s">
        <v>635</v>
      </c>
    </row>
    <row r="123" spans="1:4">
      <c r="A123" s="99" t="s">
        <v>779</v>
      </c>
      <c r="B123" s="99" t="s">
        <v>780</v>
      </c>
      <c r="C123" s="99" t="s">
        <v>781</v>
      </c>
      <c r="D123" s="99" t="s">
        <v>534</v>
      </c>
    </row>
    <row r="124" spans="1:4">
      <c r="A124" s="99" t="s">
        <v>782</v>
      </c>
      <c r="B124" s="99" t="s">
        <v>783</v>
      </c>
      <c r="C124" s="99" t="s">
        <v>781</v>
      </c>
      <c r="D124" s="99" t="s">
        <v>534</v>
      </c>
    </row>
    <row r="125" spans="1:4">
      <c r="A125" s="99" t="s">
        <v>784</v>
      </c>
      <c r="B125" s="99" t="s">
        <v>785</v>
      </c>
      <c r="C125" s="99" t="s">
        <v>781</v>
      </c>
      <c r="D125" s="99" t="s">
        <v>534</v>
      </c>
    </row>
    <row r="126" spans="1:4">
      <c r="A126" s="99" t="s">
        <v>786</v>
      </c>
      <c r="B126" s="99" t="s">
        <v>787</v>
      </c>
      <c r="C126" s="99" t="s">
        <v>781</v>
      </c>
      <c r="D126" s="99" t="s">
        <v>534</v>
      </c>
    </row>
    <row r="127" spans="1:4">
      <c r="A127" s="99" t="s">
        <v>788</v>
      </c>
      <c r="B127" s="99" t="s">
        <v>789</v>
      </c>
      <c r="C127" s="99" t="s">
        <v>781</v>
      </c>
      <c r="D127" s="99" t="s">
        <v>534</v>
      </c>
    </row>
    <row r="128" spans="1:4">
      <c r="A128" s="99" t="s">
        <v>790</v>
      </c>
      <c r="B128" s="99" t="s">
        <v>791</v>
      </c>
      <c r="C128" s="99" t="s">
        <v>781</v>
      </c>
      <c r="D128" s="99" t="s">
        <v>534</v>
      </c>
    </row>
    <row r="129" spans="1:4">
      <c r="A129" s="99" t="s">
        <v>792</v>
      </c>
      <c r="B129" s="99" t="s">
        <v>793</v>
      </c>
      <c r="C129" s="99" t="s">
        <v>781</v>
      </c>
      <c r="D129" s="99" t="s">
        <v>534</v>
      </c>
    </row>
    <row r="130" spans="1:4">
      <c r="A130" s="99" t="s">
        <v>794</v>
      </c>
      <c r="B130" s="99" t="s">
        <v>795</v>
      </c>
      <c r="C130" s="99" t="s">
        <v>781</v>
      </c>
      <c r="D130" s="99" t="s">
        <v>575</v>
      </c>
    </row>
    <row r="131" spans="1:4">
      <c r="A131" s="99" t="s">
        <v>796</v>
      </c>
      <c r="B131" s="99" t="s">
        <v>797</v>
      </c>
      <c r="C131" s="99" t="s">
        <v>781</v>
      </c>
      <c r="D131" s="99" t="s">
        <v>575</v>
      </c>
    </row>
    <row r="132" spans="1:4">
      <c r="A132" s="99" t="s">
        <v>798</v>
      </c>
      <c r="B132" s="99" t="s">
        <v>799</v>
      </c>
      <c r="C132" s="99" t="s">
        <v>781</v>
      </c>
      <c r="D132" s="99" t="s">
        <v>575</v>
      </c>
    </row>
    <row r="133" spans="1:4">
      <c r="A133" s="99" t="s">
        <v>800</v>
      </c>
      <c r="B133" s="99" t="s">
        <v>801</v>
      </c>
      <c r="C133" s="99" t="s">
        <v>781</v>
      </c>
      <c r="D133" s="99" t="s">
        <v>575</v>
      </c>
    </row>
    <row r="134" spans="1:4">
      <c r="A134" s="99" t="s">
        <v>802</v>
      </c>
      <c r="B134" s="99" t="s">
        <v>803</v>
      </c>
      <c r="C134" s="99" t="s">
        <v>781</v>
      </c>
      <c r="D134" s="99" t="s">
        <v>575</v>
      </c>
    </row>
  </sheetData>
  <phoneticPr fontId="35" type="noConversion"/>
  <hyperlinks>
    <hyperlink ref="B121" r:id="rId1" xr:uid="{3951C6A7-0CA5-6447-AC7A-1D3D80435974}"/>
    <hyperlink ref="B94" r:id="rId2" xr:uid="{41D8263D-E801-704B-8C43-D13A1EEC0B45}"/>
  </hyperlinks>
  <pageMargins left="0.7" right="0.7" top="0.75" bottom="0.75" header="0.3" footer="0.3"/>
  <tableParts count="1">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EC01B-C003-491A-BC93-D271943C2F07}">
  <sheetPr codeName="Sheet22"/>
  <dimension ref="A1:R53"/>
  <sheetViews>
    <sheetView showGridLines="0" zoomScaleNormal="100" workbookViewId="0">
      <selection activeCell="D15" sqref="D15"/>
    </sheetView>
  </sheetViews>
  <sheetFormatPr defaultColWidth="8.7109375" defaultRowHeight="14.45"/>
  <cols>
    <col min="1" max="1" width="1.7109375" style="69" customWidth="1"/>
    <col min="2" max="3" width="21.7109375" style="69" customWidth="1"/>
    <col min="4" max="4" width="52.28515625" style="136" customWidth="1"/>
    <col min="5" max="5" width="12" style="69" bestFit="1" customWidth="1"/>
    <col min="6" max="6" width="15.7109375" style="69" customWidth="1"/>
    <col min="7" max="7" width="12" style="69" customWidth="1"/>
    <col min="8" max="8" width="1.42578125" style="69" customWidth="1"/>
    <col min="9" max="9" width="1.7109375" style="69" customWidth="1"/>
    <col min="10" max="10" width="2" style="69" customWidth="1"/>
    <col min="11" max="14" width="8.7109375" style="69"/>
    <col min="15" max="15" width="9.42578125" style="69" bestFit="1" customWidth="1"/>
    <col min="16" max="17" width="8.7109375" style="69"/>
    <col min="18" max="18" width="1.42578125" style="69" customWidth="1"/>
    <col min="19" max="16384" width="8.7109375" style="69"/>
  </cols>
  <sheetData>
    <row r="1" spans="1:18" ht="8.25" customHeight="1">
      <c r="A1" s="7"/>
      <c r="B1" s="7"/>
      <c r="C1" s="7"/>
      <c r="D1" s="131"/>
      <c r="E1" s="7"/>
      <c r="F1" s="7"/>
      <c r="G1" s="7"/>
      <c r="H1" s="7"/>
      <c r="I1" s="18"/>
      <c r="J1" s="7"/>
      <c r="K1" s="7"/>
      <c r="L1" s="7"/>
      <c r="M1" s="7"/>
      <c r="N1" s="7"/>
      <c r="O1" s="7"/>
      <c r="P1" s="7"/>
      <c r="Q1" s="7"/>
      <c r="R1" s="7"/>
    </row>
    <row r="2" spans="1:18" ht="23.45">
      <c r="A2" s="7"/>
      <c r="B2" s="122" t="s">
        <v>804</v>
      </c>
      <c r="C2" s="123"/>
      <c r="D2" s="124"/>
      <c r="E2" s="3" t="s">
        <v>805</v>
      </c>
      <c r="F2" s="572">
        <v>100</v>
      </c>
      <c r="G2" s="572"/>
      <c r="H2" s="7"/>
      <c r="I2" s="18"/>
      <c r="J2" s="7"/>
      <c r="K2" s="573" t="s">
        <v>806</v>
      </c>
      <c r="L2" s="575"/>
      <c r="M2" s="575"/>
      <c r="N2" s="575"/>
      <c r="O2" s="575"/>
      <c r="P2" s="575"/>
      <c r="Q2" s="575"/>
      <c r="R2" s="7"/>
    </row>
    <row r="3" spans="1:18" ht="12" customHeight="1">
      <c r="A3" s="7"/>
      <c r="B3" s="123"/>
      <c r="C3" s="123"/>
      <c r="D3" s="124"/>
      <c r="E3" s="13"/>
      <c r="F3" s="126"/>
      <c r="G3" s="126"/>
      <c r="H3" s="7"/>
      <c r="I3" s="18"/>
      <c r="J3" s="7"/>
      <c r="K3" s="575"/>
      <c r="L3" s="575"/>
      <c r="M3" s="575"/>
      <c r="N3" s="575"/>
      <c r="O3" s="575"/>
      <c r="P3" s="575"/>
      <c r="Q3" s="575"/>
      <c r="R3" s="7"/>
    </row>
    <row r="4" spans="1:18" ht="78" customHeight="1">
      <c r="A4" s="7"/>
      <c r="B4" s="574" t="s">
        <v>807</v>
      </c>
      <c r="C4" s="574"/>
      <c r="D4" s="574"/>
      <c r="E4" s="574"/>
      <c r="F4" s="574"/>
      <c r="G4" s="574"/>
      <c r="H4" s="7"/>
      <c r="I4" s="18"/>
      <c r="J4" s="7"/>
      <c r="K4" s="575"/>
      <c r="L4" s="575"/>
      <c r="M4" s="575"/>
      <c r="N4" s="575"/>
      <c r="O4" s="575"/>
      <c r="P4" s="575"/>
      <c r="Q4" s="575"/>
      <c r="R4" s="7"/>
    </row>
    <row r="5" spans="1:18" ht="12" customHeight="1">
      <c r="A5" s="7"/>
      <c r="B5" s="7"/>
      <c r="C5" s="7"/>
      <c r="D5" s="131"/>
      <c r="E5" s="7"/>
      <c r="F5" s="7"/>
      <c r="G5" s="7"/>
      <c r="H5" s="7"/>
      <c r="I5" s="18"/>
      <c r="J5" s="7"/>
      <c r="K5" s="575"/>
      <c r="L5" s="575"/>
      <c r="M5" s="575"/>
      <c r="N5" s="575"/>
      <c r="O5" s="575"/>
      <c r="P5" s="575"/>
      <c r="Q5" s="575"/>
      <c r="R5" s="7"/>
    </row>
    <row r="6" spans="1:18">
      <c r="A6" s="7"/>
      <c r="B6" s="16" t="s">
        <v>105</v>
      </c>
      <c r="C6" s="16" t="s">
        <v>106</v>
      </c>
      <c r="D6" s="16" t="s">
        <v>107</v>
      </c>
      <c r="E6" s="16" t="s">
        <v>108</v>
      </c>
      <c r="F6" s="16" t="s">
        <v>109</v>
      </c>
      <c r="G6" s="16" t="s">
        <v>110</v>
      </c>
      <c r="H6" s="7"/>
      <c r="I6" s="18"/>
      <c r="J6" s="7"/>
      <c r="K6" s="575"/>
      <c r="L6" s="575"/>
      <c r="M6" s="575"/>
      <c r="N6" s="575"/>
      <c r="O6" s="575"/>
      <c r="P6" s="575"/>
      <c r="Q6" s="575"/>
      <c r="R6" s="7"/>
    </row>
    <row r="7" spans="1:18">
      <c r="A7" s="7"/>
      <c r="B7" s="12" t="s">
        <v>130</v>
      </c>
      <c r="C7" s="12" t="s">
        <v>808</v>
      </c>
      <c r="D7" s="12" t="s">
        <v>809</v>
      </c>
      <c r="E7" s="127">
        <v>1</v>
      </c>
      <c r="F7" s="128">
        <f>$F$2*(18/G7/9)/100</f>
        <v>0.1</v>
      </c>
      <c r="G7" s="129">
        <v>20</v>
      </c>
      <c r="H7" s="7"/>
      <c r="I7" s="18"/>
      <c r="J7" s="7"/>
      <c r="K7" s="575"/>
      <c r="L7" s="575"/>
      <c r="M7" s="575"/>
      <c r="N7" s="575"/>
      <c r="O7" s="575"/>
      <c r="P7" s="575"/>
      <c r="Q7" s="575"/>
      <c r="R7" s="7"/>
    </row>
    <row r="8" spans="1:18">
      <c r="A8" s="7"/>
      <c r="B8" s="12" t="s">
        <v>130</v>
      </c>
      <c r="C8" s="12" t="s">
        <v>808</v>
      </c>
      <c r="D8" s="12" t="s">
        <v>810</v>
      </c>
      <c r="E8" s="127">
        <v>1.05</v>
      </c>
      <c r="F8" s="128">
        <f>$F$2*(100/G8/9)/100</f>
        <v>0.55555555555555558</v>
      </c>
      <c r="G8" s="129">
        <v>20</v>
      </c>
      <c r="H8" s="7"/>
      <c r="I8" s="18"/>
      <c r="J8" s="7"/>
      <c r="K8" s="575"/>
      <c r="L8" s="575"/>
      <c r="M8" s="575"/>
      <c r="N8" s="575"/>
      <c r="O8" s="575"/>
      <c r="P8" s="575"/>
      <c r="Q8" s="575"/>
      <c r="R8" s="7"/>
    </row>
    <row r="9" spans="1:18">
      <c r="A9" s="7"/>
      <c r="B9" s="7"/>
      <c r="C9" s="7"/>
      <c r="D9" s="131"/>
      <c r="E9" s="7"/>
      <c r="F9" s="7"/>
      <c r="G9" s="7"/>
      <c r="H9" s="7"/>
      <c r="I9" s="132"/>
      <c r="J9" s="7"/>
      <c r="K9" s="125"/>
      <c r="L9" s="125"/>
      <c r="M9" s="125"/>
      <c r="N9" s="125"/>
      <c r="O9" s="125"/>
      <c r="P9" s="125"/>
      <c r="Q9" s="125"/>
      <c r="R9" s="7"/>
    </row>
    <row r="10" spans="1:18" ht="48" customHeight="1">
      <c r="A10" s="7"/>
      <c r="B10" s="574" t="s">
        <v>811</v>
      </c>
      <c r="C10" s="574"/>
      <c r="D10" s="574"/>
      <c r="E10" s="574"/>
      <c r="F10" s="574"/>
      <c r="G10" s="574"/>
      <c r="H10" s="7"/>
      <c r="I10" s="132"/>
      <c r="J10" s="7"/>
      <c r="K10" s="125"/>
      <c r="L10" s="125"/>
      <c r="M10" s="125"/>
      <c r="N10" s="125"/>
      <c r="O10" s="125"/>
      <c r="P10" s="125"/>
      <c r="Q10" s="125"/>
      <c r="R10" s="7"/>
    </row>
    <row r="11" spans="1:18" ht="10.9" customHeight="1">
      <c r="A11" s="7"/>
      <c r="B11" s="7"/>
      <c r="C11" s="7"/>
      <c r="D11" s="131"/>
      <c r="E11" s="7"/>
      <c r="F11" s="7"/>
      <c r="G11" s="7"/>
      <c r="H11" s="7"/>
      <c r="I11" s="132"/>
      <c r="J11" s="7"/>
      <c r="K11" s="125"/>
      <c r="L11" s="125"/>
      <c r="M11" s="125"/>
      <c r="N11" s="125"/>
      <c r="O11" s="125"/>
      <c r="P11" s="125"/>
      <c r="Q11" s="125"/>
      <c r="R11" s="7"/>
    </row>
    <row r="12" spans="1:18">
      <c r="A12" s="7"/>
      <c r="B12" s="133" t="s">
        <v>419</v>
      </c>
      <c r="C12" s="133" t="s">
        <v>421</v>
      </c>
      <c r="D12" s="133" t="s">
        <v>408</v>
      </c>
      <c r="E12" s="133" t="s">
        <v>423</v>
      </c>
      <c r="F12" s="133" t="s">
        <v>424</v>
      </c>
      <c r="G12" s="7"/>
      <c r="H12" s="7"/>
      <c r="I12" s="18"/>
      <c r="J12" s="7"/>
      <c r="K12" s="125"/>
      <c r="L12" s="125"/>
      <c r="M12" s="125"/>
      <c r="N12" s="125"/>
      <c r="O12" s="125"/>
      <c r="P12" s="125"/>
      <c r="Q12" s="125"/>
      <c r="R12" s="7"/>
    </row>
    <row r="13" spans="1:18">
      <c r="A13" s="7"/>
      <c r="B13" s="134" t="s">
        <v>64</v>
      </c>
      <c r="C13" s="134" t="s">
        <v>812</v>
      </c>
      <c r="D13" s="134" t="s">
        <v>813</v>
      </c>
      <c r="E13" s="127">
        <f>$F$2*(180/20/9)/100</f>
        <v>1</v>
      </c>
      <c r="F13" s="135" t="s">
        <v>814</v>
      </c>
      <c r="G13" s="7"/>
      <c r="H13" s="7"/>
      <c r="I13" s="18"/>
      <c r="J13" s="7"/>
      <c r="K13" s="125"/>
      <c r="L13" s="125"/>
      <c r="M13" s="125"/>
      <c r="N13" s="125"/>
      <c r="O13" s="125"/>
      <c r="P13" s="125"/>
      <c r="Q13" s="125"/>
      <c r="R13" s="7"/>
    </row>
    <row r="14" spans="1:18" ht="8.25" customHeight="1">
      <c r="A14" s="7"/>
      <c r="B14" s="7"/>
      <c r="C14" s="7"/>
      <c r="D14" s="131"/>
      <c r="E14" s="7"/>
      <c r="F14" s="7"/>
      <c r="G14" s="7"/>
      <c r="H14" s="7"/>
      <c r="I14" s="18"/>
      <c r="J14" s="7"/>
      <c r="K14" s="7"/>
      <c r="L14" s="7"/>
      <c r="M14" s="7"/>
      <c r="N14" s="7"/>
      <c r="O14" s="7"/>
      <c r="P14" s="7"/>
      <c r="Q14" s="7"/>
      <c r="R14" s="7"/>
    </row>
    <row r="15" spans="1:18" ht="9" customHeight="1"/>
    <row r="16" spans="1:18" ht="8.25" customHeight="1">
      <c r="A16" s="7"/>
      <c r="B16" s="7"/>
      <c r="C16" s="7"/>
      <c r="D16" s="131"/>
      <c r="E16" s="7"/>
      <c r="F16" s="7"/>
      <c r="G16" s="7"/>
      <c r="H16" s="7"/>
      <c r="I16" s="18"/>
      <c r="J16" s="7"/>
      <c r="K16" s="7"/>
      <c r="L16" s="7"/>
      <c r="M16" s="7"/>
      <c r="N16" s="7"/>
      <c r="O16" s="7"/>
      <c r="P16" s="7"/>
      <c r="Q16" s="7"/>
      <c r="R16" s="7"/>
    </row>
    <row r="17" spans="1:18" ht="23.25" customHeight="1">
      <c r="A17" s="7"/>
      <c r="B17" s="122" t="s">
        <v>815</v>
      </c>
      <c r="C17" s="123"/>
      <c r="D17" s="122"/>
      <c r="E17" s="3" t="s">
        <v>805</v>
      </c>
      <c r="F17" s="572">
        <v>100</v>
      </c>
      <c r="G17" s="572"/>
      <c r="H17" s="7"/>
      <c r="I17" s="18"/>
      <c r="J17" s="7"/>
      <c r="K17" s="573" t="s">
        <v>816</v>
      </c>
      <c r="L17" s="573"/>
      <c r="M17" s="573"/>
      <c r="N17" s="573"/>
      <c r="O17" s="573"/>
      <c r="P17" s="573"/>
      <c r="Q17" s="573"/>
      <c r="R17" s="7"/>
    </row>
    <row r="18" spans="1:18" ht="13.9" customHeight="1">
      <c r="A18" s="7"/>
      <c r="B18" s="123"/>
      <c r="C18" s="123"/>
      <c r="D18" s="124"/>
      <c r="E18" s="13"/>
      <c r="F18" s="126"/>
      <c r="G18" s="126"/>
      <c r="H18" s="7"/>
      <c r="I18" s="18"/>
      <c r="J18" s="7"/>
      <c r="K18" s="573"/>
      <c r="L18" s="573"/>
      <c r="M18" s="573"/>
      <c r="N18" s="573"/>
      <c r="O18" s="573"/>
      <c r="P18" s="573"/>
      <c r="Q18" s="573"/>
      <c r="R18" s="7"/>
    </row>
    <row r="19" spans="1:18" ht="63" customHeight="1">
      <c r="A19" s="7"/>
      <c r="B19" s="574" t="s">
        <v>817</v>
      </c>
      <c r="C19" s="574"/>
      <c r="D19" s="574"/>
      <c r="E19" s="574"/>
      <c r="F19" s="574"/>
      <c r="G19" s="574"/>
      <c r="H19" s="7"/>
      <c r="I19" s="18"/>
      <c r="J19" s="7"/>
      <c r="K19" s="573"/>
      <c r="L19" s="573"/>
      <c r="M19" s="573"/>
      <c r="N19" s="573"/>
      <c r="O19" s="573"/>
      <c r="P19" s="573"/>
      <c r="Q19" s="573"/>
      <c r="R19" s="7"/>
    </row>
    <row r="20" spans="1:18" ht="12" customHeight="1">
      <c r="A20" s="7"/>
      <c r="B20" s="7"/>
      <c r="C20" s="7"/>
      <c r="D20" s="131"/>
      <c r="E20" s="7"/>
      <c r="F20" s="7"/>
      <c r="G20" s="7"/>
      <c r="H20" s="7"/>
      <c r="I20" s="18"/>
      <c r="J20" s="7"/>
      <c r="K20" s="573"/>
      <c r="L20" s="573"/>
      <c r="M20" s="573"/>
      <c r="N20" s="573"/>
      <c r="O20" s="573"/>
      <c r="P20" s="573"/>
      <c r="Q20" s="573"/>
      <c r="R20" s="7"/>
    </row>
    <row r="21" spans="1:18">
      <c r="A21" s="7"/>
      <c r="B21" s="16" t="s">
        <v>105</v>
      </c>
      <c r="C21" s="16" t="s">
        <v>106</v>
      </c>
      <c r="D21" s="16" t="s">
        <v>107</v>
      </c>
      <c r="E21" s="16" t="s">
        <v>108</v>
      </c>
      <c r="F21" s="16" t="s">
        <v>109</v>
      </c>
      <c r="G21" s="16" t="s">
        <v>110</v>
      </c>
      <c r="H21" s="7"/>
      <c r="I21" s="18"/>
      <c r="J21" s="7"/>
      <c r="K21" s="573"/>
      <c r="L21" s="573"/>
      <c r="M21" s="573"/>
      <c r="N21" s="573"/>
      <c r="O21" s="573"/>
      <c r="P21" s="573"/>
      <c r="Q21" s="573"/>
      <c r="R21" s="7"/>
    </row>
    <row r="22" spans="1:18">
      <c r="A22" s="7"/>
      <c r="B22" s="12" t="s">
        <v>130</v>
      </c>
      <c r="C22" s="12" t="s">
        <v>131</v>
      </c>
      <c r="D22" s="12" t="s">
        <v>372</v>
      </c>
      <c r="E22" s="127">
        <v>1</v>
      </c>
      <c r="F22" s="128">
        <f>$F$17*(38/G22/9)/100</f>
        <v>0.21111111111111111</v>
      </c>
      <c r="G22" s="129">
        <v>20</v>
      </c>
      <c r="H22" s="137"/>
      <c r="I22" s="132"/>
      <c r="J22" s="7"/>
      <c r="K22" s="573"/>
      <c r="L22" s="573"/>
      <c r="M22" s="573"/>
      <c r="N22" s="573"/>
      <c r="O22" s="573"/>
      <c r="P22" s="573"/>
      <c r="Q22" s="573"/>
      <c r="R22" s="7"/>
    </row>
    <row r="23" spans="1:18">
      <c r="A23" s="7"/>
      <c r="B23" s="12" t="s">
        <v>130</v>
      </c>
      <c r="C23" s="12" t="s">
        <v>131</v>
      </c>
      <c r="D23" s="12" t="s">
        <v>180</v>
      </c>
      <c r="E23" s="127">
        <v>1</v>
      </c>
      <c r="F23" s="128">
        <f>$F$17*(80/G23/9)/100</f>
        <v>0.44444444444444442</v>
      </c>
      <c r="G23" s="129">
        <v>20</v>
      </c>
      <c r="H23" s="137"/>
      <c r="I23" s="132"/>
      <c r="J23" s="7"/>
      <c r="K23" s="130"/>
      <c r="L23" s="130"/>
      <c r="M23" s="130"/>
      <c r="N23" s="130"/>
      <c r="O23" s="130"/>
      <c r="P23" s="130"/>
      <c r="Q23" s="130"/>
      <c r="R23" s="7"/>
    </row>
    <row r="24" spans="1:18">
      <c r="A24" s="7"/>
      <c r="B24" s="12" t="s">
        <v>130</v>
      </c>
      <c r="C24" s="12" t="s">
        <v>131</v>
      </c>
      <c r="D24" s="12" t="s">
        <v>184</v>
      </c>
      <c r="E24" s="127">
        <v>1</v>
      </c>
      <c r="F24" s="128">
        <f>$F$17*(22/G24/9)/100</f>
        <v>0.12222222222222223</v>
      </c>
      <c r="G24" s="129">
        <v>20</v>
      </c>
      <c r="H24" s="137"/>
      <c r="I24" s="132"/>
      <c r="J24" s="7"/>
      <c r="K24" s="570" t="s">
        <v>818</v>
      </c>
      <c r="L24" s="570"/>
      <c r="M24" s="570"/>
      <c r="N24" s="570"/>
      <c r="O24" s="570"/>
      <c r="P24" s="570"/>
      <c r="Q24" s="570"/>
      <c r="R24" s="7"/>
    </row>
    <row r="25" spans="1:18">
      <c r="A25" s="7"/>
      <c r="B25" s="12"/>
      <c r="C25" s="12"/>
      <c r="D25" s="12"/>
      <c r="E25" s="127"/>
      <c r="F25" s="128"/>
      <c r="G25" s="129"/>
      <c r="H25" s="137"/>
      <c r="I25" s="132"/>
      <c r="J25" s="7"/>
      <c r="K25" s="571" t="s">
        <v>819</v>
      </c>
      <c r="L25" s="571"/>
      <c r="M25" s="571"/>
      <c r="N25" s="571"/>
      <c r="O25" s="571"/>
      <c r="P25" s="571"/>
      <c r="Q25" s="571"/>
      <c r="R25" s="7"/>
    </row>
    <row r="26" spans="1:18" ht="8.25" customHeight="1">
      <c r="A26" s="7"/>
      <c r="B26" s="7"/>
      <c r="C26" s="7"/>
      <c r="D26" s="131"/>
      <c r="E26" s="7"/>
      <c r="F26" s="7"/>
      <c r="G26" s="7"/>
      <c r="H26" s="7"/>
      <c r="I26" s="18"/>
      <c r="J26" s="7"/>
      <c r="K26" s="7"/>
      <c r="L26" s="7"/>
      <c r="M26" s="7"/>
      <c r="N26" s="7"/>
      <c r="O26" s="7"/>
      <c r="P26" s="7"/>
      <c r="Q26" s="7"/>
      <c r="R26" s="7"/>
    </row>
    <row r="27" spans="1:18" ht="9" customHeight="1"/>
    <row r="28" spans="1:18" ht="8.25" customHeight="1">
      <c r="A28" s="7"/>
      <c r="B28" s="7"/>
      <c r="C28" s="7"/>
      <c r="D28" s="131"/>
      <c r="E28" s="7"/>
      <c r="F28" s="7"/>
      <c r="G28" s="7"/>
      <c r="H28" s="7"/>
      <c r="I28" s="18"/>
      <c r="J28" s="7"/>
      <c r="K28" s="7"/>
      <c r="L28" s="7"/>
      <c r="M28" s="7"/>
      <c r="N28" s="7"/>
      <c r="O28" s="7"/>
      <c r="P28" s="7"/>
      <c r="Q28" s="7"/>
      <c r="R28" s="7"/>
    </row>
    <row r="29" spans="1:18" ht="23.25" customHeight="1">
      <c r="A29" s="7"/>
      <c r="B29" s="122" t="s">
        <v>820</v>
      </c>
      <c r="C29" s="123"/>
      <c r="D29" s="124"/>
      <c r="E29" s="3" t="s">
        <v>805</v>
      </c>
      <c r="F29" s="572">
        <v>100</v>
      </c>
      <c r="G29" s="572"/>
      <c r="H29" s="7"/>
      <c r="I29" s="18"/>
      <c r="J29" s="7"/>
      <c r="K29" s="573" t="s">
        <v>816</v>
      </c>
      <c r="L29" s="573"/>
      <c r="M29" s="573"/>
      <c r="N29" s="573"/>
      <c r="O29" s="573"/>
      <c r="P29" s="573"/>
      <c r="Q29" s="573"/>
      <c r="R29" s="7"/>
    </row>
    <row r="30" spans="1:18" ht="12" customHeight="1">
      <c r="A30" s="7"/>
      <c r="B30" s="123"/>
      <c r="C30" s="123"/>
      <c r="D30" s="124"/>
      <c r="E30" s="13"/>
      <c r="F30" s="126"/>
      <c r="G30" s="126"/>
      <c r="H30" s="7"/>
      <c r="I30" s="18"/>
      <c r="J30" s="7"/>
      <c r="K30" s="573"/>
      <c r="L30" s="573"/>
      <c r="M30" s="573"/>
      <c r="N30" s="573"/>
      <c r="O30" s="573"/>
      <c r="P30" s="573"/>
      <c r="Q30" s="573"/>
      <c r="R30" s="7"/>
    </row>
    <row r="31" spans="1:18" ht="15" customHeight="1">
      <c r="A31" s="7"/>
      <c r="B31" s="574" t="s">
        <v>821</v>
      </c>
      <c r="C31" s="574"/>
      <c r="D31" s="574"/>
      <c r="E31" s="574"/>
      <c r="F31" s="574"/>
      <c r="G31" s="574"/>
      <c r="H31" s="7"/>
      <c r="I31" s="18"/>
      <c r="J31" s="7"/>
      <c r="K31" s="573"/>
      <c r="L31" s="573"/>
      <c r="M31" s="573"/>
      <c r="N31" s="573"/>
      <c r="O31" s="573"/>
      <c r="P31" s="573"/>
      <c r="Q31" s="573"/>
      <c r="R31" s="7"/>
    </row>
    <row r="32" spans="1:18" ht="49.9" customHeight="1">
      <c r="A32" s="7"/>
      <c r="B32" s="574"/>
      <c r="C32" s="574"/>
      <c r="D32" s="574"/>
      <c r="E32" s="574"/>
      <c r="F32" s="574"/>
      <c r="G32" s="574"/>
      <c r="H32" s="7"/>
      <c r="I32" s="18"/>
      <c r="J32" s="7"/>
      <c r="K32" s="573"/>
      <c r="L32" s="573"/>
      <c r="M32" s="573"/>
      <c r="N32" s="573"/>
      <c r="O32" s="573"/>
      <c r="P32" s="573"/>
      <c r="Q32" s="573"/>
      <c r="R32" s="7"/>
    </row>
    <row r="33" spans="1:18" ht="12" customHeight="1">
      <c r="A33" s="7"/>
      <c r="B33" s="7"/>
      <c r="C33" s="7"/>
      <c r="D33" s="131"/>
      <c r="E33" s="7"/>
      <c r="F33" s="7"/>
      <c r="G33" s="7"/>
      <c r="H33" s="7"/>
      <c r="I33" s="18"/>
      <c r="J33" s="7"/>
      <c r="K33" s="573"/>
      <c r="L33" s="573"/>
      <c r="M33" s="573"/>
      <c r="N33" s="573"/>
      <c r="O33" s="573"/>
      <c r="P33" s="573"/>
      <c r="Q33" s="573"/>
      <c r="R33" s="7"/>
    </row>
    <row r="34" spans="1:18">
      <c r="A34" s="7"/>
      <c r="B34" s="16" t="s">
        <v>105</v>
      </c>
      <c r="C34" s="16" t="s">
        <v>106</v>
      </c>
      <c r="D34" s="16" t="s">
        <v>107</v>
      </c>
      <c r="E34" s="16" t="s">
        <v>108</v>
      </c>
      <c r="F34" s="16" t="s">
        <v>109</v>
      </c>
      <c r="G34" s="16" t="s">
        <v>110</v>
      </c>
      <c r="H34" s="7"/>
      <c r="I34" s="18"/>
      <c r="J34" s="7"/>
      <c r="K34" s="573"/>
      <c r="L34" s="573"/>
      <c r="M34" s="573"/>
      <c r="N34" s="573"/>
      <c r="O34" s="573"/>
      <c r="P34" s="573"/>
      <c r="Q34" s="573"/>
      <c r="R34" s="7"/>
    </row>
    <row r="35" spans="1:18">
      <c r="A35" s="7"/>
      <c r="B35" s="12" t="s">
        <v>130</v>
      </c>
      <c r="C35" s="12" t="s">
        <v>822</v>
      </c>
      <c r="D35" s="12" t="s">
        <v>364</v>
      </c>
      <c r="E35" s="127">
        <v>1</v>
      </c>
      <c r="F35" s="128">
        <f>$F$29*(40/G35/9)/100</f>
        <v>0.22222222222222221</v>
      </c>
      <c r="G35" s="129">
        <v>20</v>
      </c>
      <c r="H35" s="137"/>
      <c r="I35" s="132"/>
      <c r="J35" s="7"/>
      <c r="K35" s="573"/>
      <c r="L35" s="573"/>
      <c r="M35" s="573"/>
      <c r="N35" s="573"/>
      <c r="O35" s="573"/>
      <c r="P35" s="573"/>
      <c r="Q35" s="573"/>
      <c r="R35" s="7"/>
    </row>
    <row r="36" spans="1:18">
      <c r="A36" s="7"/>
      <c r="B36" s="12" t="s">
        <v>130</v>
      </c>
      <c r="C36" s="12" t="s">
        <v>822</v>
      </c>
      <c r="D36" s="12" t="s">
        <v>132</v>
      </c>
      <c r="E36" s="127">
        <v>1</v>
      </c>
      <c r="F36" s="128">
        <f>$F$29*(45/G36/9)/100</f>
        <v>0.25</v>
      </c>
      <c r="G36" s="129">
        <v>20</v>
      </c>
      <c r="H36" s="137"/>
      <c r="I36" s="132"/>
      <c r="J36" s="7"/>
      <c r="K36" s="130"/>
      <c r="L36" s="130"/>
      <c r="M36" s="130"/>
      <c r="N36" s="130"/>
      <c r="O36" s="130"/>
      <c r="P36" s="130"/>
      <c r="Q36" s="130"/>
      <c r="R36" s="7"/>
    </row>
    <row r="37" spans="1:18">
      <c r="A37" s="7"/>
      <c r="B37" s="12" t="s">
        <v>130</v>
      </c>
      <c r="C37" s="12" t="s">
        <v>131</v>
      </c>
      <c r="D37" s="12" t="s">
        <v>132</v>
      </c>
      <c r="E37" s="127">
        <v>1</v>
      </c>
      <c r="F37" s="128">
        <f>$F$29*(47/G37/9)/100</f>
        <v>0.26111111111111113</v>
      </c>
      <c r="G37" s="129">
        <v>20</v>
      </c>
      <c r="H37" s="137"/>
      <c r="I37" s="132"/>
      <c r="J37" s="7"/>
      <c r="K37" s="570" t="s">
        <v>818</v>
      </c>
      <c r="L37" s="570"/>
      <c r="M37" s="570"/>
      <c r="N37" s="570"/>
      <c r="O37" s="570"/>
      <c r="P37" s="570"/>
      <c r="Q37" s="570"/>
      <c r="R37" s="7"/>
    </row>
    <row r="38" spans="1:18">
      <c r="A38" s="7"/>
      <c r="B38" s="12" t="s">
        <v>130</v>
      </c>
      <c r="C38" s="12" t="s">
        <v>131</v>
      </c>
      <c r="D38" s="12" t="s">
        <v>184</v>
      </c>
      <c r="E38" s="127">
        <v>1</v>
      </c>
      <c r="F38" s="128">
        <f>$F$29*(25/G38/9)/100</f>
        <v>0.1388888888888889</v>
      </c>
      <c r="G38" s="129">
        <v>20</v>
      </c>
      <c r="H38" s="137"/>
      <c r="I38" s="132"/>
      <c r="J38" s="7"/>
      <c r="K38" s="571" t="s">
        <v>823</v>
      </c>
      <c r="L38" s="571"/>
      <c r="M38" s="571"/>
      <c r="N38" s="571"/>
      <c r="O38" s="571"/>
      <c r="P38" s="571"/>
      <c r="Q38" s="571"/>
      <c r="R38" s="7"/>
    </row>
    <row r="39" spans="1:18" ht="8.25" customHeight="1">
      <c r="A39" s="7"/>
      <c r="B39" s="7"/>
      <c r="C39" s="7"/>
      <c r="D39" s="131"/>
      <c r="E39" s="7"/>
      <c r="F39" s="7"/>
      <c r="G39" s="7"/>
      <c r="H39" s="7"/>
      <c r="I39" s="18"/>
      <c r="J39" s="7"/>
      <c r="K39" s="7"/>
      <c r="L39" s="7"/>
      <c r="M39" s="7"/>
      <c r="N39" s="7"/>
      <c r="O39" s="7"/>
      <c r="P39" s="7"/>
      <c r="Q39" s="7"/>
      <c r="R39" s="7"/>
    </row>
    <row r="40" spans="1:18" ht="9" customHeight="1"/>
    <row r="41" spans="1:18">
      <c r="A41" s="7"/>
      <c r="B41" s="7"/>
      <c r="C41" s="7"/>
      <c r="D41" s="131"/>
      <c r="E41" s="7"/>
      <c r="F41" s="7"/>
      <c r="G41" s="7"/>
      <c r="H41" s="7"/>
      <c r="I41" s="18"/>
      <c r="J41" s="7"/>
      <c r="K41" s="7"/>
      <c r="L41" s="7"/>
      <c r="M41" s="7"/>
      <c r="N41" s="7"/>
      <c r="O41" s="7"/>
      <c r="P41" s="7"/>
      <c r="Q41" s="7"/>
      <c r="R41" s="7"/>
    </row>
    <row r="42" spans="1:18" ht="23.25" customHeight="1">
      <c r="A42" s="7"/>
      <c r="B42" s="122" t="s">
        <v>824</v>
      </c>
      <c r="C42" s="123"/>
      <c r="D42" s="124"/>
      <c r="E42" s="3" t="s">
        <v>825</v>
      </c>
      <c r="F42" s="572">
        <v>50</v>
      </c>
      <c r="G42" s="572"/>
      <c r="H42" s="7"/>
      <c r="I42" s="18"/>
      <c r="J42" s="7"/>
      <c r="K42" s="573" t="s">
        <v>826</v>
      </c>
      <c r="L42" s="573"/>
      <c r="M42" s="573"/>
      <c r="N42" s="573"/>
      <c r="O42" s="573"/>
      <c r="P42" s="573"/>
      <c r="Q42" s="573"/>
      <c r="R42" s="7"/>
    </row>
    <row r="43" spans="1:18" ht="23.45">
      <c r="A43" s="7"/>
      <c r="B43" s="123"/>
      <c r="C43" s="123"/>
      <c r="D43" s="124"/>
      <c r="E43" s="13"/>
      <c r="F43" s="126"/>
      <c r="G43" s="126"/>
      <c r="H43" s="7"/>
      <c r="I43" s="18"/>
      <c r="J43" s="7"/>
      <c r="K43" s="573"/>
      <c r="L43" s="573"/>
      <c r="M43" s="573"/>
      <c r="N43" s="573"/>
      <c r="O43" s="573"/>
      <c r="P43" s="573"/>
      <c r="Q43" s="573"/>
      <c r="R43" s="7"/>
    </row>
    <row r="44" spans="1:18" ht="46.9" customHeight="1">
      <c r="A44" s="7"/>
      <c r="B44" s="574" t="s">
        <v>827</v>
      </c>
      <c r="C44" s="574"/>
      <c r="D44" s="574"/>
      <c r="E44" s="574"/>
      <c r="F44" s="574"/>
      <c r="G44" s="574"/>
      <c r="H44" s="7"/>
      <c r="I44" s="18"/>
      <c r="J44" s="7"/>
      <c r="K44" s="573"/>
      <c r="L44" s="573"/>
      <c r="M44" s="573"/>
      <c r="N44" s="573"/>
      <c r="O44" s="573"/>
      <c r="P44" s="573"/>
      <c r="Q44" s="573"/>
      <c r="R44" s="7"/>
    </row>
    <row r="45" spans="1:18">
      <c r="A45" s="7"/>
      <c r="B45" s="7"/>
      <c r="C45" s="7"/>
      <c r="D45" s="131"/>
      <c r="E45" s="7"/>
      <c r="F45" s="7"/>
      <c r="G45" s="7"/>
      <c r="H45" s="7"/>
      <c r="I45" s="18"/>
      <c r="J45" s="7"/>
      <c r="K45" s="573"/>
      <c r="L45" s="573"/>
      <c r="M45" s="573"/>
      <c r="N45" s="573"/>
      <c r="O45" s="573"/>
      <c r="P45" s="573"/>
      <c r="Q45" s="573"/>
      <c r="R45" s="7"/>
    </row>
    <row r="46" spans="1:18">
      <c r="A46" s="7"/>
      <c r="B46" s="16" t="s">
        <v>105</v>
      </c>
      <c r="C46" s="16" t="s">
        <v>106</v>
      </c>
      <c r="D46" s="16" t="s">
        <v>107</v>
      </c>
      <c r="E46" s="16" t="s">
        <v>111</v>
      </c>
      <c r="F46" s="7"/>
      <c r="G46" s="7"/>
      <c r="H46" s="7"/>
      <c r="I46" s="18"/>
      <c r="J46" s="7"/>
      <c r="K46" s="573"/>
      <c r="L46" s="573"/>
      <c r="M46" s="573"/>
      <c r="N46" s="573"/>
      <c r="O46" s="573"/>
      <c r="P46" s="573"/>
      <c r="Q46" s="573"/>
      <c r="R46" s="7"/>
    </row>
    <row r="47" spans="1:18">
      <c r="A47" s="7"/>
      <c r="B47" s="12" t="s">
        <v>130</v>
      </c>
      <c r="C47" s="12" t="s">
        <v>223</v>
      </c>
      <c r="D47" s="12" t="s">
        <v>132</v>
      </c>
      <c r="E47" s="127">
        <v>11</v>
      </c>
      <c r="F47" s="7"/>
      <c r="G47" s="7"/>
      <c r="H47" s="7"/>
      <c r="I47" s="18"/>
      <c r="J47" s="7"/>
      <c r="K47" s="573"/>
      <c r="L47" s="573"/>
      <c r="M47" s="573"/>
      <c r="N47" s="573"/>
      <c r="O47" s="573"/>
      <c r="P47" s="573"/>
      <c r="Q47" s="573"/>
      <c r="R47" s="7"/>
    </row>
    <row r="48" spans="1:18">
      <c r="A48" s="7"/>
      <c r="B48" s="7"/>
      <c r="C48" s="7"/>
      <c r="D48" s="131"/>
      <c r="E48" s="7"/>
      <c r="F48" s="7"/>
      <c r="G48" s="7"/>
      <c r="H48" s="137"/>
      <c r="I48" s="132"/>
      <c r="J48" s="7"/>
      <c r="K48" s="573"/>
      <c r="L48" s="573"/>
      <c r="M48" s="573"/>
      <c r="N48" s="573"/>
      <c r="O48" s="573"/>
      <c r="P48" s="573"/>
      <c r="Q48" s="573"/>
      <c r="R48" s="7"/>
    </row>
    <row r="49" spans="1:18" ht="46.9" customHeight="1">
      <c r="A49" s="7"/>
      <c r="B49" s="574" t="s">
        <v>828</v>
      </c>
      <c r="C49" s="574"/>
      <c r="D49" s="574"/>
      <c r="E49" s="574"/>
      <c r="F49" s="574"/>
      <c r="G49" s="574"/>
      <c r="H49" s="7"/>
      <c r="I49" s="132"/>
      <c r="J49" s="7"/>
      <c r="K49" s="573"/>
      <c r="L49" s="573"/>
      <c r="M49" s="573"/>
      <c r="N49" s="573"/>
      <c r="O49" s="573"/>
      <c r="P49" s="573"/>
      <c r="Q49" s="573"/>
      <c r="R49" s="7"/>
    </row>
    <row r="50" spans="1:18">
      <c r="A50" s="7"/>
      <c r="B50" s="7"/>
      <c r="C50" s="7"/>
      <c r="D50" s="131"/>
      <c r="E50" s="7"/>
      <c r="F50" s="7"/>
      <c r="G50" s="7"/>
      <c r="H50" s="7"/>
      <c r="I50" s="132"/>
      <c r="J50" s="7"/>
      <c r="K50" s="573"/>
      <c r="L50" s="573"/>
      <c r="M50" s="573"/>
      <c r="N50" s="573"/>
      <c r="O50" s="573"/>
      <c r="P50" s="573"/>
      <c r="Q50" s="573"/>
      <c r="R50" s="7"/>
    </row>
    <row r="51" spans="1:18">
      <c r="A51" s="7"/>
      <c r="B51" s="133" t="s">
        <v>419</v>
      </c>
      <c r="C51" s="133" t="s">
        <v>421</v>
      </c>
      <c r="D51" s="133" t="s">
        <v>408</v>
      </c>
      <c r="E51" s="133" t="s">
        <v>423</v>
      </c>
      <c r="F51" s="133" t="s">
        <v>424</v>
      </c>
      <c r="G51" s="7"/>
      <c r="H51" s="7"/>
      <c r="I51" s="18"/>
      <c r="J51" s="7"/>
      <c r="K51" s="573"/>
      <c r="L51" s="573"/>
      <c r="M51" s="573"/>
      <c r="N51" s="573"/>
      <c r="O51" s="573"/>
      <c r="P51" s="573"/>
      <c r="Q51" s="573"/>
      <c r="R51" s="7"/>
    </row>
    <row r="52" spans="1:18">
      <c r="A52" s="7"/>
      <c r="B52" s="134" t="s">
        <v>198</v>
      </c>
      <c r="C52" s="134" t="s">
        <v>829</v>
      </c>
      <c r="D52" s="134" t="s">
        <v>830</v>
      </c>
      <c r="E52" s="127">
        <f>F42</f>
        <v>50</v>
      </c>
      <c r="F52" s="138">
        <v>3</v>
      </c>
      <c r="G52" s="7"/>
      <c r="H52" s="7"/>
      <c r="I52" s="18"/>
      <c r="J52" s="7"/>
      <c r="K52" s="573"/>
      <c r="L52" s="573"/>
      <c r="M52" s="573"/>
      <c r="N52" s="573"/>
      <c r="O52" s="573"/>
      <c r="P52" s="573"/>
      <c r="Q52" s="573"/>
      <c r="R52" s="7"/>
    </row>
    <row r="53" spans="1:18">
      <c r="A53" s="7"/>
      <c r="B53" s="7"/>
      <c r="C53" s="7"/>
      <c r="D53" s="131"/>
      <c r="E53" s="7"/>
      <c r="F53" s="7"/>
      <c r="G53" s="7"/>
      <c r="H53" s="7"/>
      <c r="I53" s="18"/>
      <c r="J53" s="7"/>
      <c r="K53" s="7"/>
      <c r="L53" s="7"/>
      <c r="M53" s="7"/>
      <c r="N53" s="7"/>
      <c r="O53" s="7"/>
      <c r="P53" s="7"/>
      <c r="Q53" s="7"/>
      <c r="R53" s="7"/>
    </row>
  </sheetData>
  <sheetProtection algorithmName="SHA-512" hashValue="gP6LL8CKKkiH38xC5L1Oyh1AHe29Jq8vgVTQNK5tSR2bHnwZVllVZwCAhtvuE7KdcU8sd8J5SuOg7GzhHATw/g==" saltValue="GW5GkrWXloMlWdiYlUhSDQ==" spinCount="100000" sheet="1" objects="1" scenarios="1" formatCells="0" formatColumns="0" formatRows="0" autoFilter="0"/>
  <mergeCells count="18">
    <mergeCell ref="F2:G2"/>
    <mergeCell ref="K2:Q8"/>
    <mergeCell ref="B4:G4"/>
    <mergeCell ref="F17:G17"/>
    <mergeCell ref="K17:Q22"/>
    <mergeCell ref="B19:G19"/>
    <mergeCell ref="B10:G10"/>
    <mergeCell ref="K24:Q24"/>
    <mergeCell ref="K25:Q25"/>
    <mergeCell ref="F29:G29"/>
    <mergeCell ref="K29:Q35"/>
    <mergeCell ref="B31:G32"/>
    <mergeCell ref="K37:Q37"/>
    <mergeCell ref="K38:Q38"/>
    <mergeCell ref="F42:G42"/>
    <mergeCell ref="K42:Q52"/>
    <mergeCell ref="B44:G44"/>
    <mergeCell ref="B49:G49"/>
  </mergeCells>
  <conditionalFormatting sqref="E13">
    <cfRule type="expression" dxfId="10" priority="1">
      <formula>#REF!="By Hours"</formula>
    </cfRule>
  </conditionalFormatting>
  <conditionalFormatting sqref="E47">
    <cfRule type="expression" dxfId="9" priority="3">
      <formula>#REF!="By Hours"</formula>
    </cfRule>
  </conditionalFormatting>
  <conditionalFormatting sqref="E52">
    <cfRule type="expression" dxfId="8" priority="2">
      <formula>#REF!="By Hours"</formula>
    </cfRule>
  </conditionalFormatting>
  <conditionalFormatting sqref="E7:G8">
    <cfRule type="expression" dxfId="7" priority="9">
      <formula>#REF!="By Hours"</formula>
    </cfRule>
  </conditionalFormatting>
  <conditionalFormatting sqref="E22:G25">
    <cfRule type="expression" dxfId="6" priority="5">
      <formula>#REF!="By Hours"</formula>
    </cfRule>
  </conditionalFormatting>
  <conditionalFormatting sqref="E35:G38">
    <cfRule type="expression" dxfId="5" priority="4">
      <formula>#REF!="By Hours"</formula>
    </cfRule>
  </conditionalFormatting>
  <conditionalFormatting sqref="E48:G48">
    <cfRule type="expression" dxfId="4" priority="7">
      <formula>#REF!="By Hours"</formula>
    </cfRule>
  </conditionalFormatting>
  <dataValidations count="2">
    <dataValidation type="whole" allowBlank="1" showInputMessage="1" showErrorMessage="1" sqref="F17:G17 F29:G29 F2:G2" xr:uid="{697A7A58-BA98-2F40-B5F9-6E78AD3F15F0}">
      <formula1>20</formula1>
      <formula2>1000</formula2>
    </dataValidation>
    <dataValidation type="whole" allowBlank="1" showInputMessage="1" showErrorMessage="1" sqref="F42:G42" xr:uid="{B3C72C41-FF7E-AA44-9871-23B716115BB1}">
      <formula1>1</formula1>
      <formula2>5000</formula2>
    </dataValidation>
  </dataValidations>
  <hyperlinks>
    <hyperlink ref="K38:Q38" r:id="rId1" display="All-in-one Azure Security" xr:uid="{20EB4D5D-BF33-3E45-A500-91C1C9BA64A4}"/>
    <hyperlink ref="K25:Q25" r:id="rId2" display="Unified Support for Security" xr:uid="{0DB68BAA-A10E-F94A-A17F-F480790306D9}"/>
  </hyperlinks>
  <pageMargins left="0.7" right="0.7" top="0.75" bottom="0.75" header="0.3" footer="0.3"/>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6EB21-5C0E-48EF-9D6E-FB7C8082DCF5}">
  <sheetPr codeName="Sheet11"/>
  <dimension ref="A1:BT39"/>
  <sheetViews>
    <sheetView showGridLines="0" zoomScaleNormal="100" workbookViewId="0">
      <selection activeCell="S11" sqref="S11"/>
    </sheetView>
  </sheetViews>
  <sheetFormatPr defaultColWidth="8.7109375" defaultRowHeight="14.25" customHeight="1" outlineLevelRow="1" outlineLevelCol="1"/>
  <cols>
    <col min="1" max="1" width="2.7109375" style="56" customWidth="1"/>
    <col min="2" max="2" width="78.140625" style="56" customWidth="1"/>
    <col min="3" max="3" width="28" style="96" customWidth="1"/>
    <col min="4" max="4" width="2.42578125" style="97" customWidth="1"/>
    <col min="5" max="5" width="2.7109375" style="56" customWidth="1"/>
    <col min="6" max="6" width="3" style="56" customWidth="1"/>
    <col min="7" max="7" width="25.28515625" style="56" bestFit="1" customWidth="1"/>
    <col min="8" max="8" width="12.42578125" style="56" customWidth="1"/>
    <col min="9" max="9" width="1" style="56" customWidth="1"/>
    <col min="10" max="10" width="22.7109375" style="56" customWidth="1"/>
    <col min="11" max="11" width="15.7109375" style="140" customWidth="1"/>
    <col min="12" max="17" width="15.7109375" style="56" customWidth="1"/>
    <col min="18" max="18" width="2.28515625" style="141" customWidth="1"/>
    <col min="19" max="19" width="2.7109375" style="56" customWidth="1"/>
    <col min="20" max="20" width="9.140625" style="56" customWidth="1" outlineLevel="1"/>
    <col min="21" max="22" width="13.7109375" style="56" customWidth="1" outlineLevel="1"/>
    <col min="23" max="23" width="11" style="140" customWidth="1" outlineLevel="1"/>
    <col min="24" max="24" width="6" style="140" customWidth="1" outlineLevel="1"/>
    <col min="25" max="25" width="9.7109375" style="140" customWidth="1" outlineLevel="1"/>
    <col min="26" max="26" width="19.7109375" style="140" customWidth="1" outlineLevel="1"/>
    <col min="27" max="27" width="11.7109375" style="140" customWidth="1" outlineLevel="1"/>
    <col min="28" max="31" width="22" style="56" customWidth="1" outlineLevel="1"/>
    <col min="32" max="32" width="14.42578125" style="56" customWidth="1" outlineLevel="1"/>
    <col min="33" max="33" width="19" style="56" customWidth="1" outlineLevel="1"/>
    <col min="34" max="35" width="15.42578125" style="56" customWidth="1" outlineLevel="1"/>
    <col min="36" max="36" width="6.28515625" style="56" customWidth="1" outlineLevel="1"/>
    <col min="37" max="37" width="12" style="56" customWidth="1" outlineLevel="1"/>
    <col min="38" max="38" width="14.42578125" style="56" customWidth="1"/>
    <col min="39" max="39" width="21.140625" style="56" customWidth="1"/>
    <col min="40" max="40" width="13.140625" style="56" customWidth="1"/>
    <col min="41" max="41" width="15.28515625" style="56" customWidth="1"/>
    <col min="42" max="42" width="14.7109375" style="56" customWidth="1"/>
    <col min="43" max="43" width="16.28515625" style="56" customWidth="1"/>
    <col min="44" max="44" width="16.42578125" style="56" customWidth="1"/>
    <col min="45" max="47" width="9.140625" style="56" customWidth="1"/>
    <col min="48" max="48" width="16.28515625" style="56" customWidth="1"/>
    <col min="49" max="49" width="16.42578125" style="56" customWidth="1"/>
    <col min="50" max="50" width="9.140625" style="56" customWidth="1"/>
    <col min="51" max="51" width="9.140625" style="56" hidden="1" customWidth="1"/>
    <col min="52" max="53" width="6.7109375" style="56" hidden="1" customWidth="1"/>
    <col min="54" max="54" width="15.28515625" style="56" hidden="1" customWidth="1"/>
    <col min="55" max="55" width="22.140625" style="56" hidden="1" customWidth="1"/>
    <col min="56" max="56" width="22.42578125" style="56" hidden="1" customWidth="1"/>
    <col min="57" max="57" width="21.42578125" style="56" hidden="1" customWidth="1"/>
    <col min="58" max="58" width="28.140625" style="56" hidden="1" customWidth="1"/>
    <col min="59" max="59" width="15.140625" style="56" hidden="1" customWidth="1"/>
    <col min="60" max="60" width="39.28515625" style="56" hidden="1" customWidth="1"/>
    <col min="61" max="61" width="29.42578125" style="56" hidden="1" customWidth="1"/>
    <col min="62" max="62" width="28.42578125" style="56" hidden="1" customWidth="1"/>
    <col min="63" max="63" width="26.7109375" style="56" hidden="1" customWidth="1"/>
    <col min="64" max="66" width="9.140625" style="56" hidden="1" customWidth="1"/>
    <col min="67" max="67" width="5.7109375" style="56" hidden="1" customWidth="1"/>
    <col min="68" max="69" width="4.42578125" style="56" hidden="1" customWidth="1"/>
    <col min="70" max="72" width="9.140625" style="56" hidden="1" customWidth="1"/>
    <col min="73" max="79" width="9.140625" style="56" customWidth="1"/>
    <col min="80" max="16384" width="8.7109375" style="56"/>
  </cols>
  <sheetData>
    <row r="1" spans="1:68" ht="14.25" customHeight="1">
      <c r="A1" s="5"/>
      <c r="B1" s="5"/>
      <c r="C1" s="5"/>
      <c r="D1" s="5"/>
      <c r="F1" s="32"/>
      <c r="G1" s="32"/>
      <c r="H1" s="32"/>
      <c r="I1" s="32"/>
      <c r="J1" s="32"/>
      <c r="K1" s="33"/>
      <c r="L1" s="32"/>
      <c r="M1" s="32"/>
      <c r="N1" s="159"/>
      <c r="O1" s="32"/>
      <c r="P1" s="32"/>
      <c r="Q1" s="32"/>
      <c r="R1" s="160"/>
      <c r="T1" s="160"/>
      <c r="U1" s="160"/>
      <c r="V1" s="160"/>
      <c r="W1" s="160"/>
      <c r="X1" s="160"/>
      <c r="Y1" s="160"/>
      <c r="Z1" s="160"/>
      <c r="AA1" s="160"/>
      <c r="AB1" s="160"/>
      <c r="AC1" s="160"/>
      <c r="AD1" s="160"/>
      <c r="AE1" s="160"/>
      <c r="AF1" s="160"/>
      <c r="AG1" s="160"/>
      <c r="AH1" s="160"/>
      <c r="AI1" s="160"/>
      <c r="AJ1" s="160"/>
    </row>
    <row r="2" spans="1:68" ht="21">
      <c r="A2" s="153" t="s">
        <v>831</v>
      </c>
      <c r="B2" s="7"/>
      <c r="C2" s="5"/>
      <c r="D2" s="5"/>
      <c r="F2" s="161"/>
      <c r="G2" s="162" t="s">
        <v>832</v>
      </c>
      <c r="H2" s="32"/>
      <c r="I2" s="32"/>
      <c r="J2" s="577" t="s">
        <v>833</v>
      </c>
      <c r="K2" s="578"/>
      <c r="L2" s="578"/>
      <c r="M2" s="578"/>
      <c r="N2" s="578"/>
      <c r="O2" s="578"/>
      <c r="P2" s="578"/>
      <c r="Q2" s="578"/>
      <c r="R2" s="160"/>
      <c r="T2" s="160"/>
      <c r="U2" s="576" t="s">
        <v>834</v>
      </c>
      <c r="V2" s="576"/>
      <c r="W2" s="160"/>
      <c r="X2" s="589" t="s">
        <v>835</v>
      </c>
      <c r="Y2" s="590"/>
      <c r="Z2" s="590"/>
      <c r="AA2" s="591"/>
      <c r="AB2" s="587" t="s">
        <v>836</v>
      </c>
      <c r="AC2" s="588"/>
      <c r="AD2" s="587" t="s">
        <v>837</v>
      </c>
      <c r="AE2" s="588"/>
      <c r="AF2" s="164" t="s">
        <v>838</v>
      </c>
      <c r="AG2" s="160"/>
      <c r="AH2" s="160"/>
      <c r="AI2" s="160" t="s">
        <v>839</v>
      </c>
      <c r="AJ2" s="160"/>
    </row>
    <row r="3" spans="1:68" ht="14.25" customHeight="1">
      <c r="A3" s="5"/>
      <c r="B3" s="5"/>
      <c r="C3" s="5"/>
      <c r="D3" s="5"/>
      <c r="F3" s="33"/>
      <c r="G3" s="139" t="s">
        <v>840</v>
      </c>
      <c r="H3" s="32"/>
      <c r="I3" s="32"/>
      <c r="J3" s="578"/>
      <c r="K3" s="578"/>
      <c r="L3" s="578"/>
      <c r="M3" s="578"/>
      <c r="N3" s="578"/>
      <c r="O3" s="578"/>
      <c r="P3" s="578"/>
      <c r="Q3" s="578"/>
      <c r="R3" s="160"/>
      <c r="T3" s="160"/>
      <c r="U3" s="576"/>
      <c r="V3" s="576"/>
      <c r="W3" s="160"/>
      <c r="X3" s="592"/>
      <c r="Y3" s="593"/>
      <c r="Z3" s="593"/>
      <c r="AA3" s="594"/>
      <c r="AB3" s="165" t="s">
        <v>841</v>
      </c>
      <c r="AC3" s="165" t="s">
        <v>842</v>
      </c>
      <c r="AD3" s="166" t="s">
        <v>843</v>
      </c>
      <c r="AE3" s="166" t="s">
        <v>844</v>
      </c>
      <c r="AF3" s="166" t="s">
        <v>845</v>
      </c>
      <c r="AG3" s="167"/>
      <c r="AH3" s="160" t="s">
        <v>846</v>
      </c>
      <c r="AI3" s="168">
        <f>AC7+AC8/12</f>
        <v>1000</v>
      </c>
      <c r="AJ3" s="160"/>
    </row>
    <row r="4" spans="1:68" ht="14.25" customHeight="1">
      <c r="A4" s="5"/>
      <c r="B4" s="5" t="s">
        <v>847</v>
      </c>
      <c r="C4" s="158">
        <v>1</v>
      </c>
      <c r="D4" s="5"/>
      <c r="F4" s="33"/>
      <c r="G4" s="139"/>
      <c r="H4" s="32"/>
      <c r="I4" s="32"/>
      <c r="J4" s="578"/>
      <c r="K4" s="578"/>
      <c r="L4" s="578"/>
      <c r="M4" s="578"/>
      <c r="N4" s="578"/>
      <c r="O4" s="578"/>
      <c r="P4" s="578"/>
      <c r="Q4" s="578"/>
      <c r="R4" s="160"/>
      <c r="T4" s="160"/>
      <c r="U4" s="576"/>
      <c r="V4" s="576"/>
      <c r="W4" s="160"/>
      <c r="X4" s="169" t="s">
        <v>848</v>
      </c>
      <c r="Y4" s="170"/>
      <c r="Z4" s="170"/>
      <c r="AA4" s="171"/>
      <c r="AB4" s="166">
        <v>0</v>
      </c>
      <c r="AC4" s="166">
        <v>0</v>
      </c>
      <c r="AD4" s="166">
        <v>10000</v>
      </c>
      <c r="AE4" s="166">
        <v>10000</v>
      </c>
      <c r="AF4" s="166">
        <v>20000</v>
      </c>
      <c r="AG4" s="167"/>
      <c r="AH4" s="160" t="s">
        <v>849</v>
      </c>
      <c r="AI4" s="168">
        <f>AD7+AD8/12</f>
        <v>4833.333333333333</v>
      </c>
      <c r="AJ4" s="160"/>
    </row>
    <row r="5" spans="1:68" ht="14.25" customHeight="1">
      <c r="A5" s="5"/>
      <c r="B5" s="5"/>
      <c r="C5" s="5"/>
      <c r="D5" s="5"/>
      <c r="F5" s="33"/>
      <c r="G5" s="139"/>
      <c r="H5" s="32"/>
      <c r="I5" s="32"/>
      <c r="J5" s="578"/>
      <c r="K5" s="578"/>
      <c r="L5" s="578"/>
      <c r="M5" s="578"/>
      <c r="N5" s="578"/>
      <c r="O5" s="578"/>
      <c r="P5" s="578"/>
      <c r="Q5" s="578"/>
      <c r="R5" s="160"/>
      <c r="T5" s="160"/>
      <c r="U5" s="576"/>
      <c r="V5" s="576"/>
      <c r="W5" s="160"/>
      <c r="X5" s="169" t="s">
        <v>850</v>
      </c>
      <c r="Y5" s="170"/>
      <c r="Z5" s="170"/>
      <c r="AA5" s="171"/>
      <c r="AB5" s="166">
        <v>0</v>
      </c>
      <c r="AC5" s="166">
        <v>1000</v>
      </c>
      <c r="AD5" s="166">
        <v>4000</v>
      </c>
      <c r="AE5" s="166">
        <v>4000</v>
      </c>
      <c r="AF5" s="166">
        <v>8000</v>
      </c>
      <c r="AG5" s="167"/>
      <c r="AH5" s="160" t="s">
        <v>851</v>
      </c>
      <c r="AI5" s="168">
        <f>AE7+AE8/12</f>
        <v>4833.333333333333</v>
      </c>
      <c r="AJ5" s="160"/>
    </row>
    <row r="6" spans="1:68" ht="14.25" customHeight="1">
      <c r="A6" s="5"/>
      <c r="B6" s="5" t="s">
        <v>852</v>
      </c>
      <c r="C6" s="154">
        <f ca="1">SUMIF(B12:B964,B6,C12:C964)</f>
        <v>0</v>
      </c>
      <c r="D6" s="5"/>
      <c r="F6" s="33"/>
      <c r="G6" s="139"/>
      <c r="H6" s="32"/>
      <c r="I6" s="32"/>
      <c r="J6" s="578"/>
      <c r="K6" s="578"/>
      <c r="L6" s="578"/>
      <c r="M6" s="578"/>
      <c r="N6" s="578"/>
      <c r="O6" s="578"/>
      <c r="P6" s="578"/>
      <c r="Q6" s="578"/>
      <c r="R6" s="160"/>
      <c r="T6" s="160"/>
      <c r="U6" s="576"/>
      <c r="V6" s="576"/>
      <c r="W6" s="160"/>
      <c r="X6" s="169" t="s">
        <v>853</v>
      </c>
      <c r="Y6" s="170"/>
      <c r="Z6" s="170"/>
      <c r="AA6" s="171"/>
      <c r="AB6" s="166">
        <v>0</v>
      </c>
      <c r="AC6" s="172">
        <v>0.1</v>
      </c>
      <c r="AD6" s="172">
        <v>0.22</v>
      </c>
      <c r="AE6" s="172">
        <v>0.27</v>
      </c>
      <c r="AF6" s="172">
        <v>0.33</v>
      </c>
      <c r="AG6" s="160"/>
      <c r="AH6" s="160" t="s">
        <v>854</v>
      </c>
      <c r="AI6" s="168">
        <f>AF7+AF8/12</f>
        <v>9666.6666666666661</v>
      </c>
      <c r="AJ6" s="160"/>
    </row>
    <row r="7" spans="1:68" ht="14.25" customHeight="1">
      <c r="A7" s="5"/>
      <c r="B7" s="5" t="s">
        <v>855</v>
      </c>
      <c r="C7" s="154">
        <f ca="1">SUMIF(B12:B964,B7,C12:C964)</f>
        <v>0</v>
      </c>
      <c r="D7" s="5"/>
      <c r="F7" s="33"/>
      <c r="G7" s="139"/>
      <c r="H7" s="32"/>
      <c r="I7" s="32"/>
      <c r="J7" s="578"/>
      <c r="K7" s="578"/>
      <c r="L7" s="578"/>
      <c r="M7" s="578"/>
      <c r="N7" s="578"/>
      <c r="O7" s="578"/>
      <c r="P7" s="578"/>
      <c r="Q7" s="578"/>
      <c r="R7" s="160"/>
      <c r="T7" s="160"/>
      <c r="U7" s="576"/>
      <c r="V7" s="576"/>
      <c r="W7" s="160"/>
      <c r="X7" s="173" t="s">
        <v>856</v>
      </c>
      <c r="Y7" s="174"/>
      <c r="Z7" s="174"/>
      <c r="AA7" s="175"/>
      <c r="AB7" s="166">
        <f>C17</f>
        <v>0</v>
      </c>
      <c r="AC7" s="168">
        <f>IF(AC6*AB7&lt;AC5,AC5,AC6*AB7)</f>
        <v>1000</v>
      </c>
      <c r="AD7" s="168">
        <f>IF(AD6*AB7&lt;AD5,AD5,AD6*AB7)</f>
        <v>4000</v>
      </c>
      <c r="AE7" s="168">
        <f>IF(AE6*AB7&lt;AE5,AE5,AE6*AB7)</f>
        <v>4000</v>
      </c>
      <c r="AF7" s="168">
        <f>IF(AF6*AB7&lt;AF5,AF5,AF6*AB7)</f>
        <v>8000</v>
      </c>
      <c r="AG7" s="160"/>
      <c r="AH7" s="160"/>
      <c r="AI7" s="160"/>
      <c r="AJ7" s="160"/>
    </row>
    <row r="8" spans="1:68" ht="14.25" customHeight="1">
      <c r="A8" s="5"/>
      <c r="B8" s="121" t="s">
        <v>857</v>
      </c>
      <c r="C8" s="154">
        <f ca="1">SUMIF(B12:B964,B8,C12:C964)</f>
        <v>0</v>
      </c>
      <c r="D8" s="5"/>
      <c r="F8" s="32"/>
      <c r="G8" s="32"/>
      <c r="H8" s="32"/>
      <c r="I8" s="32"/>
      <c r="J8" s="578"/>
      <c r="K8" s="578"/>
      <c r="L8" s="578"/>
      <c r="M8" s="578"/>
      <c r="N8" s="578"/>
      <c r="O8" s="578"/>
      <c r="P8" s="578"/>
      <c r="Q8" s="578"/>
      <c r="R8" s="160"/>
      <c r="T8" s="160"/>
      <c r="U8" s="576"/>
      <c r="V8" s="576"/>
      <c r="W8" s="160"/>
      <c r="X8" s="173" t="s">
        <v>848</v>
      </c>
      <c r="Y8" s="174"/>
      <c r="Z8" s="174"/>
      <c r="AA8" s="175"/>
      <c r="AB8" s="176"/>
      <c r="AC8" s="168">
        <f>AC4</f>
        <v>0</v>
      </c>
      <c r="AD8" s="168">
        <f>AD4</f>
        <v>10000</v>
      </c>
      <c r="AE8" s="168">
        <f>AE4</f>
        <v>10000</v>
      </c>
      <c r="AF8" s="168">
        <f>AF4</f>
        <v>20000</v>
      </c>
      <c r="AG8" s="160"/>
      <c r="AH8" s="160"/>
      <c r="AI8" s="160"/>
      <c r="AJ8" s="160"/>
    </row>
    <row r="9" spans="1:68" ht="14.25" customHeight="1">
      <c r="A9" s="5"/>
      <c r="B9" s="155" t="s">
        <v>858</v>
      </c>
      <c r="C9" s="156">
        <f ca="1">SUM(C6:C8)</f>
        <v>0</v>
      </c>
      <c r="D9" s="5"/>
      <c r="F9" s="32"/>
      <c r="G9" s="32"/>
      <c r="H9" s="163"/>
      <c r="I9" s="32"/>
      <c r="J9" s="578"/>
      <c r="K9" s="578"/>
      <c r="L9" s="578"/>
      <c r="M9" s="578"/>
      <c r="N9" s="578"/>
      <c r="O9" s="578"/>
      <c r="P9" s="578"/>
      <c r="Q9" s="578"/>
      <c r="R9" s="160"/>
      <c r="T9" s="160"/>
      <c r="U9" s="576"/>
      <c r="V9" s="576"/>
      <c r="W9" s="160"/>
      <c r="X9" s="177" t="s">
        <v>91</v>
      </c>
      <c r="Y9" s="178"/>
      <c r="Z9" s="178"/>
      <c r="AA9" s="179"/>
      <c r="AB9" s="176"/>
      <c r="AC9" s="176">
        <f>AC7+AC8</f>
        <v>1000</v>
      </c>
      <c r="AD9" s="176">
        <f t="shared" ref="AD9:AF9" si="0">AD7+AD8</f>
        <v>14000</v>
      </c>
      <c r="AE9" s="176">
        <f t="shared" si="0"/>
        <v>14000</v>
      </c>
      <c r="AF9" s="176">
        <f t="shared" si="0"/>
        <v>28000</v>
      </c>
      <c r="AG9" s="160"/>
      <c r="AH9" s="160"/>
      <c r="AI9" s="160"/>
      <c r="AJ9" s="160"/>
    </row>
    <row r="10" spans="1:68" ht="14.25" customHeight="1">
      <c r="A10" s="5"/>
      <c r="B10" s="5"/>
      <c r="C10" s="5"/>
      <c r="D10" s="5"/>
      <c r="F10" s="32"/>
      <c r="G10" s="32"/>
      <c r="H10" s="32"/>
      <c r="I10" s="32"/>
      <c r="J10" s="32"/>
      <c r="K10" s="33"/>
      <c r="L10" s="32"/>
      <c r="M10" s="32"/>
      <c r="N10" s="32"/>
      <c r="O10" s="32"/>
      <c r="P10" s="32"/>
      <c r="Q10" s="32"/>
      <c r="R10" s="160"/>
      <c r="T10" s="160"/>
      <c r="U10" s="160"/>
      <c r="V10" s="160"/>
      <c r="W10" s="160"/>
      <c r="X10" s="160"/>
      <c r="Y10" s="160"/>
      <c r="Z10" s="160"/>
      <c r="AA10" s="160"/>
      <c r="AB10" s="160"/>
      <c r="AC10" s="160"/>
      <c r="AD10" s="160"/>
      <c r="AE10" s="160"/>
      <c r="AF10" s="160"/>
      <c r="AG10" s="160"/>
      <c r="AH10" s="160"/>
      <c r="AI10" s="160"/>
      <c r="AJ10" s="160"/>
    </row>
    <row r="11" spans="1:68" ht="12" customHeight="1"/>
    <row r="12" spans="1:68" ht="14.25" customHeight="1">
      <c r="A12" s="5"/>
      <c r="B12" s="5"/>
      <c r="C12" s="5"/>
      <c r="D12" s="5"/>
      <c r="F12" s="32"/>
      <c r="G12" s="32"/>
      <c r="H12" s="32"/>
      <c r="I12" s="32"/>
      <c r="J12" s="32"/>
      <c r="K12" s="33"/>
      <c r="L12" s="32"/>
      <c r="M12" s="32"/>
      <c r="N12" s="32"/>
      <c r="O12" s="32"/>
      <c r="P12" s="32"/>
      <c r="Q12" s="32"/>
      <c r="R12" s="160"/>
      <c r="T12" s="32"/>
      <c r="U12" s="32"/>
      <c r="V12" s="32"/>
      <c r="W12" s="32"/>
      <c r="X12" s="32"/>
      <c r="Y12" s="32"/>
      <c r="Z12" s="32"/>
      <c r="AA12" s="32"/>
      <c r="AB12" s="32"/>
      <c r="AC12" s="32"/>
      <c r="AD12" s="32"/>
      <c r="AE12" s="32"/>
      <c r="AF12" s="32"/>
      <c r="AG12" s="32"/>
      <c r="AH12" s="32"/>
      <c r="AI12" s="32"/>
      <c r="AJ12" s="32"/>
      <c r="AY12" s="481"/>
    </row>
    <row r="13" spans="1:68" ht="19.149999999999999" customHeight="1">
      <c r="A13" s="180" t="s">
        <v>859</v>
      </c>
      <c r="B13" s="181"/>
      <c r="C13" s="5"/>
      <c r="D13" s="5"/>
      <c r="F13" s="32"/>
      <c r="G13" s="193" t="str">
        <f ca="1">_xlfn.CONCAT("Rango: ",W17)</f>
        <v>Rango: 0</v>
      </c>
      <c r="H13" s="2"/>
      <c r="I13" s="32"/>
      <c r="J13" s="579" t="str">
        <f ca="1">IF(AE15&lt;=30%,"ONESheet v2.1: Hoja de negocio para el cliente y al interior de SoftwareOne","Revisar el modelo de cobro, el [% de Cobro] puede estar por fuera de los rango del mercado")</f>
        <v>ONESheet v2.1: Hoja de negocio para el cliente y al interior de SoftwareOne</v>
      </c>
      <c r="K13" s="580"/>
      <c r="L13" s="580"/>
      <c r="M13" s="580"/>
      <c r="N13" s="580"/>
      <c r="O13" s="580"/>
      <c r="P13" s="580"/>
      <c r="Q13" s="580"/>
      <c r="R13" s="160"/>
      <c r="S13" s="142"/>
      <c r="T13" s="32"/>
      <c r="U13" s="208" t="s">
        <v>860</v>
      </c>
      <c r="V13" s="32"/>
      <c r="W13" s="197" t="s">
        <v>844</v>
      </c>
      <c r="X13" s="32"/>
      <c r="Y13" s="581" t="s">
        <v>861</v>
      </c>
      <c r="Z13" s="582"/>
      <c r="AA13" s="582"/>
      <c r="AB13" s="582"/>
      <c r="AC13" s="582"/>
      <c r="AD13" s="582"/>
      <c r="AE13" s="583"/>
      <c r="AF13" s="32"/>
      <c r="AG13" s="584" t="s">
        <v>862</v>
      </c>
      <c r="AH13" s="585"/>
      <c r="AI13" s="586"/>
      <c r="AJ13" s="32"/>
    </row>
    <row r="14" spans="1:68" s="143" customFormat="1" ht="28.9">
      <c r="A14" s="182"/>
      <c r="B14" s="183" t="str" cm="1">
        <f t="array" aca="1" ref="B14" ca="1">INDIRECT("G"&amp;ROW()-28*(SUM(IF(INDIRECT("CMSResumen!B1:B"&amp;ROW()-2)="SUSCRIPCION:",1,0)))-(11-(SUM(IF(INDIRECT("CMSResumen!B1:B"&amp;ROW()-2)="SUSCRIPCION:",1,0)))))</f>
        <v>Nombre de Suscripcion 1</v>
      </c>
      <c r="C14" s="184"/>
      <c r="D14" s="182"/>
      <c r="F14" s="194"/>
      <c r="G14" s="194"/>
      <c r="H14" s="194"/>
      <c r="I14" s="194"/>
      <c r="J14" s="195" t="s">
        <v>863</v>
      </c>
      <c r="K14" s="195" t="s">
        <v>864</v>
      </c>
      <c r="L14" s="195" t="s">
        <v>865</v>
      </c>
      <c r="M14" s="195" t="s">
        <v>866</v>
      </c>
      <c r="N14" s="195" t="s">
        <v>867</v>
      </c>
      <c r="O14" s="195" t="s">
        <v>868</v>
      </c>
      <c r="P14" s="195" t="s">
        <v>869</v>
      </c>
      <c r="Q14" s="195" t="s">
        <v>870</v>
      </c>
      <c r="R14" s="196"/>
      <c r="S14" s="144"/>
      <c r="T14" s="194"/>
      <c r="U14" s="208"/>
      <c r="V14" s="32"/>
      <c r="W14" s="197" t="s">
        <v>845</v>
      </c>
      <c r="X14" s="32"/>
      <c r="Y14" s="209" t="s">
        <v>863</v>
      </c>
      <c r="Z14" s="209" t="s">
        <v>871</v>
      </c>
      <c r="AA14" s="209" t="s">
        <v>872</v>
      </c>
      <c r="AB14" s="209" t="s">
        <v>871</v>
      </c>
      <c r="AC14" s="209" t="s">
        <v>873</v>
      </c>
      <c r="AD14" s="209" t="s">
        <v>874</v>
      </c>
      <c r="AE14" s="209" t="s">
        <v>875</v>
      </c>
      <c r="AF14" s="194"/>
      <c r="AG14" s="195" t="s">
        <v>876</v>
      </c>
      <c r="AH14" s="195" t="s">
        <v>877</v>
      </c>
      <c r="AI14" s="195" t="s">
        <v>878</v>
      </c>
      <c r="AJ14" s="32"/>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row>
    <row r="15" spans="1:68" ht="14.25" customHeight="1">
      <c r="A15" s="5"/>
      <c r="B15" s="5"/>
      <c r="C15" s="5"/>
      <c r="D15" s="5"/>
      <c r="F15" s="32"/>
      <c r="G15" s="194"/>
      <c r="H15" s="194"/>
      <c r="I15" s="32"/>
      <c r="J15" s="207" t="s">
        <v>879</v>
      </c>
      <c r="K15" s="165">
        <v>1</v>
      </c>
      <c r="L15" s="166">
        <v>1</v>
      </c>
      <c r="M15" s="166">
        <f>AG15</f>
        <v>3000</v>
      </c>
      <c r="N15" s="198">
        <f ca="1">O15</f>
        <v>0.12859853041107691</v>
      </c>
      <c r="O15" s="198">
        <f t="shared" ref="O15:O27" ca="1" si="1">AE15</f>
        <v>0.12859853041107691</v>
      </c>
      <c r="P15" s="166">
        <f ca="1">O15*M15</f>
        <v>385.79559123323071</v>
      </c>
      <c r="Q15" s="166">
        <f ca="1">O15*M15</f>
        <v>385.79559123323071</v>
      </c>
      <c r="R15" s="160"/>
      <c r="S15" s="142"/>
      <c r="T15" s="32"/>
      <c r="U15" s="32"/>
      <c r="V15" s="32"/>
      <c r="W15" s="32"/>
      <c r="X15" s="32"/>
      <c r="Y15" s="210" t="s">
        <v>879</v>
      </c>
      <c r="Z15" s="168" cm="1">
        <f t="array" aca="1" ref="Z15" ca="1">IFERROR(INDEX('CMSCore 2.8'!AW:AW, MATCH(B14, 'CMSCore 2.8'!B:B, 0)+6),0)</f>
        <v>385.79559123323077</v>
      </c>
      <c r="AA15" s="211">
        <v>0</v>
      </c>
      <c r="AB15" s="166">
        <f ca="1">Z15*(1+AA15)</f>
        <v>385.79559123323077</v>
      </c>
      <c r="AC15" s="212">
        <v>0</v>
      </c>
      <c r="AD15" s="166">
        <f ca="1">AB15 + AC15</f>
        <v>385.79559123323077</v>
      </c>
      <c r="AE15" s="211">
        <f t="shared" ref="AE15:AE27" ca="1" si="2">AD15/AG15</f>
        <v>0.12859853041107691</v>
      </c>
      <c r="AF15" s="32"/>
      <c r="AG15" s="166">
        <v>3000</v>
      </c>
      <c r="AH15" s="172"/>
      <c r="AI15" s="172"/>
      <c r="AJ15" s="32"/>
    </row>
    <row r="16" spans="1:68" ht="14.25" customHeight="1">
      <c r="A16" s="5"/>
      <c r="B16" s="185" t="s">
        <v>880</v>
      </c>
      <c r="C16" s="145" t="s">
        <v>844</v>
      </c>
      <c r="D16" s="5"/>
      <c r="F16" s="32"/>
      <c r="G16" s="32"/>
      <c r="H16" s="32"/>
      <c r="I16" s="32"/>
      <c r="J16" s="207" t="s">
        <v>881</v>
      </c>
      <c r="K16" s="165">
        <v>2</v>
      </c>
      <c r="L16" s="166">
        <f t="shared" ref="L16:L27" si="3">0.01+M15</f>
        <v>3000.01</v>
      </c>
      <c r="M16" s="166">
        <f t="shared" ref="M16:M27" si="4">AG16</f>
        <v>4800</v>
      </c>
      <c r="N16" s="198">
        <f t="shared" ref="N16:N27" ca="1" si="5">O15</f>
        <v>0.12859853041107691</v>
      </c>
      <c r="O16" s="198">
        <f t="shared" ca="1" si="1"/>
        <v>0.12302701149069821</v>
      </c>
      <c r="P16" s="166">
        <f t="shared" ref="P16:P27" ca="1" si="6">N16*L16</f>
        <v>385.79687721853486</v>
      </c>
      <c r="Q16" s="166">
        <f t="shared" ref="Q16:Q27" ca="1" si="7">O16*M16</f>
        <v>590.52965515535141</v>
      </c>
      <c r="R16" s="160"/>
      <c r="S16" s="142"/>
      <c r="T16" s="32"/>
      <c r="U16" s="4" t="s">
        <v>856</v>
      </c>
      <c r="V16" s="32"/>
      <c r="W16" s="166">
        <f>C17</f>
        <v>0</v>
      </c>
      <c r="X16" s="32"/>
      <c r="Y16" s="210" t="s">
        <v>881</v>
      </c>
      <c r="Z16" s="166">
        <f t="shared" ref="Z16:Z27" ca="1" si="8">Z15*AI16+Z15</f>
        <v>590.52965515535141</v>
      </c>
      <c r="AA16" s="211">
        <v>0</v>
      </c>
      <c r="AB16" s="166">
        <f t="shared" ref="AB16:AB27" ca="1" si="9">Z16*(1+AA16)</f>
        <v>590.52965515535141</v>
      </c>
      <c r="AC16" s="212">
        <v>0</v>
      </c>
      <c r="AD16" s="166">
        <f t="shared" ref="AD16:AD27" ca="1" si="10">AB16 + AC16</f>
        <v>590.52965515535141</v>
      </c>
      <c r="AE16" s="211">
        <f t="shared" ca="1" si="2"/>
        <v>0.12302701149069821</v>
      </c>
      <c r="AF16" s="32"/>
      <c r="AG16" s="166">
        <f>AG15+AG15*AH16</f>
        <v>4800</v>
      </c>
      <c r="AH16" s="172">
        <v>0.60000000000000009</v>
      </c>
      <c r="AI16" s="172">
        <v>0.53068015439904204</v>
      </c>
      <c r="AJ16" s="32"/>
    </row>
    <row r="17" spans="1:71" ht="14.25" customHeight="1">
      <c r="A17" s="5"/>
      <c r="B17" s="185" t="s">
        <v>882</v>
      </c>
      <c r="C17" s="146">
        <v>0</v>
      </c>
      <c r="D17" s="5"/>
      <c r="F17" s="32"/>
      <c r="G17" s="35" t="s">
        <v>883</v>
      </c>
      <c r="H17" s="199">
        <f ca="1">IFERROR(W27+((W28-W27)*((C17-W25)/(W26-W25))),0)</f>
        <v>0</v>
      </c>
      <c r="I17" s="32"/>
      <c r="J17" s="207" t="s">
        <v>884</v>
      </c>
      <c r="K17" s="165">
        <v>3</v>
      </c>
      <c r="L17" s="166">
        <f t="shared" si="3"/>
        <v>4800.01</v>
      </c>
      <c r="M17" s="166">
        <f t="shared" si="4"/>
        <v>7200</v>
      </c>
      <c r="N17" s="198">
        <f t="shared" ca="1" si="5"/>
        <v>0.12302701149069821</v>
      </c>
      <c r="O17" s="198">
        <f t="shared" ca="1" si="1"/>
        <v>0.11767801099110253</v>
      </c>
      <c r="P17" s="166">
        <f t="shared" ca="1" si="6"/>
        <v>590.53088542546629</v>
      </c>
      <c r="Q17" s="166">
        <f t="shared" ca="1" si="7"/>
        <v>847.28167913593825</v>
      </c>
      <c r="R17" s="160"/>
      <c r="S17" s="142"/>
      <c r="T17" s="32"/>
      <c r="U17" s="4" t="s">
        <v>864</v>
      </c>
      <c r="V17" s="32"/>
      <c r="W17" s="213" cm="1">
        <f t="array" aca="1" ref="W17" ca="1">IFERROR(IF(W16=0,"",_xlfn.SINGLE(INDIRECT("L"&amp;SUMPRODUCT(--(L15:L27&lt;=W16)*(M15:M27&gt;=W16), ROW(L15:L27))))*W16)/W16,0)</f>
        <v>0</v>
      </c>
      <c r="X17" s="32"/>
      <c r="Y17" s="210" t="s">
        <v>884</v>
      </c>
      <c r="Z17" s="166">
        <f t="shared" ca="1" si="8"/>
        <v>847.28167913593825</v>
      </c>
      <c r="AA17" s="211">
        <v>0</v>
      </c>
      <c r="AB17" s="166">
        <f t="shared" ca="1" si="9"/>
        <v>847.28167913593825</v>
      </c>
      <c r="AC17" s="212">
        <v>0</v>
      </c>
      <c r="AD17" s="166">
        <f t="shared" ca="1" si="10"/>
        <v>847.28167913593825</v>
      </c>
      <c r="AE17" s="211">
        <f t="shared" ca="1" si="2"/>
        <v>0.11767801099110253</v>
      </c>
      <c r="AF17" s="32"/>
      <c r="AG17" s="166">
        <f t="shared" ref="AG17:AG27" si="11">AG16+AG16*AH17</f>
        <v>7200</v>
      </c>
      <c r="AH17" s="172">
        <v>0.5</v>
      </c>
      <c r="AI17" s="172">
        <v>0.434782608695651</v>
      </c>
      <c r="AJ17" s="32"/>
    </row>
    <row r="18" spans="1:71" ht="14.25" customHeight="1">
      <c r="A18" s="5"/>
      <c r="B18" s="186"/>
      <c r="C18" s="5"/>
      <c r="D18" s="5"/>
      <c r="F18" s="32"/>
      <c r="G18" s="200"/>
      <c r="H18" s="200"/>
      <c r="I18" s="32"/>
      <c r="J18" s="207" t="s">
        <v>885</v>
      </c>
      <c r="K18" s="165">
        <v>4</v>
      </c>
      <c r="L18" s="166">
        <f t="shared" si="3"/>
        <v>7200.01</v>
      </c>
      <c r="M18" s="166">
        <f t="shared" si="4"/>
        <v>9600</v>
      </c>
      <c r="N18" s="198">
        <f t="shared" ca="1" si="5"/>
        <v>0.11767801099110253</v>
      </c>
      <c r="O18" s="198">
        <f t="shared" ca="1" si="1"/>
        <v>0.11232901049150698</v>
      </c>
      <c r="P18" s="166">
        <f t="shared" ca="1" si="6"/>
        <v>847.28285591604822</v>
      </c>
      <c r="Q18" s="166">
        <f t="shared" ca="1" si="7"/>
        <v>1078.358500718467</v>
      </c>
      <c r="R18" s="160"/>
      <c r="S18" s="142"/>
      <c r="T18" s="32"/>
      <c r="U18" s="4" t="s">
        <v>886</v>
      </c>
      <c r="V18" s="32"/>
      <c r="W18" s="166">
        <f ca="1">IFERROR(INDEX(L15:L27,MATCH(W17,K15:K27,0)),0)</f>
        <v>0</v>
      </c>
      <c r="X18" s="32"/>
      <c r="Y18" s="210" t="s">
        <v>885</v>
      </c>
      <c r="Z18" s="166">
        <f t="shared" ca="1" si="8"/>
        <v>1078.358500718467</v>
      </c>
      <c r="AA18" s="211">
        <v>0</v>
      </c>
      <c r="AB18" s="166">
        <f t="shared" ca="1" si="9"/>
        <v>1078.358500718467</v>
      </c>
      <c r="AC18" s="212">
        <v>0</v>
      </c>
      <c r="AD18" s="166">
        <f t="shared" ca="1" si="10"/>
        <v>1078.358500718467</v>
      </c>
      <c r="AE18" s="211">
        <f t="shared" ca="1" si="2"/>
        <v>0.11232901049150698</v>
      </c>
      <c r="AF18" s="32"/>
      <c r="AG18" s="166">
        <f t="shared" si="11"/>
        <v>9600</v>
      </c>
      <c r="AH18" s="172">
        <v>0.33333333333333326</v>
      </c>
      <c r="AI18" s="172">
        <v>0.27272727272727293</v>
      </c>
      <c r="AJ18" s="32"/>
    </row>
    <row r="19" spans="1:71" ht="14.25" customHeight="1">
      <c r="A19" s="5"/>
      <c r="B19" s="187"/>
      <c r="C19" s="5"/>
      <c r="D19" s="5"/>
      <c r="F19" s="32"/>
      <c r="G19" s="35" t="s">
        <v>887</v>
      </c>
      <c r="H19" s="201">
        <f ca="1">IF(W17=1,Q15,CMSResumen!C17*H17)</f>
        <v>0</v>
      </c>
      <c r="I19" s="32"/>
      <c r="J19" s="207" t="s">
        <v>888</v>
      </c>
      <c r="K19" s="165">
        <v>5</v>
      </c>
      <c r="L19" s="166">
        <f t="shared" si="3"/>
        <v>9600.01</v>
      </c>
      <c r="M19" s="166">
        <f t="shared" si="4"/>
        <v>12000</v>
      </c>
      <c r="N19" s="198">
        <f t="shared" ca="1" si="5"/>
        <v>0.11232901049150698</v>
      </c>
      <c r="O19" s="198">
        <f t="shared" ca="1" si="1"/>
        <v>0.1069800099919114</v>
      </c>
      <c r="P19" s="166">
        <f t="shared" ca="1" si="6"/>
        <v>1078.3596240085719</v>
      </c>
      <c r="Q19" s="166">
        <f t="shared" ca="1" si="7"/>
        <v>1283.7601199029368</v>
      </c>
      <c r="R19" s="160"/>
      <c r="S19" s="142"/>
      <c r="T19" s="32"/>
      <c r="U19" s="4" t="s">
        <v>889</v>
      </c>
      <c r="V19" s="32"/>
      <c r="W19" s="166">
        <f ca="1">IFERROR(INDEX(M15:M27,MATCH(W17,K15:K27,0)),0)</f>
        <v>0</v>
      </c>
      <c r="X19" s="32"/>
      <c r="Y19" s="210" t="s">
        <v>888</v>
      </c>
      <c r="Z19" s="166">
        <f t="shared" ca="1" si="8"/>
        <v>1283.7601199029368</v>
      </c>
      <c r="AA19" s="211">
        <v>0</v>
      </c>
      <c r="AB19" s="166">
        <f t="shared" ca="1" si="9"/>
        <v>1283.7601199029368</v>
      </c>
      <c r="AC19" s="212">
        <v>0</v>
      </c>
      <c r="AD19" s="166">
        <f t="shared" ca="1" si="10"/>
        <v>1283.7601199029368</v>
      </c>
      <c r="AE19" s="211">
        <f t="shared" ca="1" si="2"/>
        <v>0.1069800099919114</v>
      </c>
      <c r="AF19" s="32"/>
      <c r="AG19" s="166">
        <f t="shared" si="11"/>
        <v>12000</v>
      </c>
      <c r="AH19" s="172">
        <v>0.25</v>
      </c>
      <c r="AI19" s="172">
        <v>0.19047619047619047</v>
      </c>
      <c r="AJ19" s="32"/>
    </row>
    <row r="20" spans="1:71" ht="14.25" customHeight="1">
      <c r="A20" s="5"/>
      <c r="B20" s="187" t="s">
        <v>852</v>
      </c>
      <c r="C20" s="154">
        <f ca="1">H19*$C$4</f>
        <v>0</v>
      </c>
      <c r="D20" s="5"/>
      <c r="F20" s="32"/>
      <c r="G20" s="200"/>
      <c r="H20" s="32"/>
      <c r="I20" s="32"/>
      <c r="J20" s="207" t="s">
        <v>890</v>
      </c>
      <c r="K20" s="165">
        <v>6</v>
      </c>
      <c r="L20" s="166">
        <f t="shared" si="3"/>
        <v>12000.01</v>
      </c>
      <c r="M20" s="166">
        <f t="shared" si="4"/>
        <v>18000</v>
      </c>
      <c r="N20" s="198">
        <f t="shared" ca="1" si="5"/>
        <v>0.1069800099919114</v>
      </c>
      <c r="O20" s="198">
        <f t="shared" ca="1" si="1"/>
        <v>0.10174287064356365</v>
      </c>
      <c r="P20" s="166">
        <f t="shared" ca="1" si="6"/>
        <v>1283.7611897030367</v>
      </c>
      <c r="Q20" s="166">
        <f t="shared" ca="1" si="7"/>
        <v>1831.3716715841456</v>
      </c>
      <c r="R20" s="160"/>
      <c r="S20" s="142"/>
      <c r="T20" s="32"/>
      <c r="U20" s="4" t="s">
        <v>891</v>
      </c>
      <c r="V20" s="32"/>
      <c r="W20" s="172">
        <f ca="1">IFERROR(INDEX(N15:N27,MATCH(W17,K15:K27,0)),0)</f>
        <v>0</v>
      </c>
      <c r="X20" s="32"/>
      <c r="Y20" s="210" t="s">
        <v>890</v>
      </c>
      <c r="Z20" s="166">
        <f t="shared" ca="1" si="8"/>
        <v>1831.3716715841456</v>
      </c>
      <c r="AA20" s="211">
        <v>0</v>
      </c>
      <c r="AB20" s="166">
        <f t="shared" ca="1" si="9"/>
        <v>1831.3716715841456</v>
      </c>
      <c r="AC20" s="212">
        <v>0</v>
      </c>
      <c r="AD20" s="166">
        <f t="shared" ca="1" si="10"/>
        <v>1831.3716715841456</v>
      </c>
      <c r="AE20" s="211">
        <f t="shared" ca="1" si="2"/>
        <v>0.10174287064356365</v>
      </c>
      <c r="AF20" s="32"/>
      <c r="AG20" s="166">
        <f t="shared" si="11"/>
        <v>18000</v>
      </c>
      <c r="AH20" s="172">
        <v>0.5</v>
      </c>
      <c r="AI20" s="172">
        <v>0.42656844000000005</v>
      </c>
      <c r="AJ20" s="32"/>
    </row>
    <row r="21" spans="1:71" ht="14.25" customHeight="1">
      <c r="A21" s="5"/>
      <c r="B21" s="187" t="s">
        <v>855</v>
      </c>
      <c r="C21" s="154">
        <f ca="1">SUMIF(CMSRecursos!D:D,CMSResumen!B14,CMSRecursos!T:T)</f>
        <v>0</v>
      </c>
      <c r="D21" s="5"/>
      <c r="F21" s="32"/>
      <c r="G21" s="35" t="s">
        <v>892</v>
      </c>
      <c r="H21" s="157">
        <v>0.3</v>
      </c>
      <c r="I21" s="32"/>
      <c r="J21" s="207" t="s">
        <v>893</v>
      </c>
      <c r="K21" s="165">
        <v>7</v>
      </c>
      <c r="L21" s="166">
        <f t="shared" si="3"/>
        <v>18000.009999999998</v>
      </c>
      <c r="M21" s="166">
        <f t="shared" si="4"/>
        <v>24000</v>
      </c>
      <c r="N21" s="198">
        <f t="shared" ca="1" si="5"/>
        <v>0.10174287064356365</v>
      </c>
      <c r="O21" s="198">
        <f t="shared" ca="1" si="1"/>
        <v>9.6282008992720228E-2</v>
      </c>
      <c r="P21" s="166">
        <f t="shared" ca="1" si="6"/>
        <v>1831.3726890128519</v>
      </c>
      <c r="Q21" s="166">
        <f t="shared" ca="1" si="7"/>
        <v>2310.7682158252856</v>
      </c>
      <c r="R21" s="160"/>
      <c r="S21" s="142"/>
      <c r="T21" s="32"/>
      <c r="U21" s="4" t="s">
        <v>894</v>
      </c>
      <c r="V21" s="32"/>
      <c r="W21" s="172">
        <f ca="1">IFERROR(INDEX(O15:O27,MATCH(W17,K15:K27,0)),0)</f>
        <v>0</v>
      </c>
      <c r="X21" s="32"/>
      <c r="Y21" s="210" t="s">
        <v>893</v>
      </c>
      <c r="Z21" s="166">
        <f t="shared" ca="1" si="8"/>
        <v>2310.7682158252856</v>
      </c>
      <c r="AA21" s="211">
        <v>0</v>
      </c>
      <c r="AB21" s="166">
        <f t="shared" ca="1" si="9"/>
        <v>2310.7682158252856</v>
      </c>
      <c r="AC21" s="212">
        <v>0</v>
      </c>
      <c r="AD21" s="166">
        <f t="shared" ca="1" si="10"/>
        <v>2310.7682158252856</v>
      </c>
      <c r="AE21" s="211">
        <f t="shared" ca="1" si="2"/>
        <v>9.6282008992720228E-2</v>
      </c>
      <c r="AF21" s="32"/>
      <c r="AG21" s="166">
        <f t="shared" si="11"/>
        <v>24000</v>
      </c>
      <c r="AH21" s="172">
        <v>0.33333333333333326</v>
      </c>
      <c r="AI21" s="172">
        <v>0.26176911638392864</v>
      </c>
      <c r="AJ21" s="32"/>
    </row>
    <row r="22" spans="1:71" ht="14.25" customHeight="1">
      <c r="A22" s="5"/>
      <c r="B22" s="187" t="s">
        <v>857</v>
      </c>
      <c r="C22" s="154">
        <v>0</v>
      </c>
      <c r="D22" s="5"/>
      <c r="F22" s="32"/>
      <c r="G22" s="200"/>
      <c r="H22" s="32"/>
      <c r="I22" s="32"/>
      <c r="J22" s="207" t="s">
        <v>895</v>
      </c>
      <c r="K22" s="165">
        <v>8</v>
      </c>
      <c r="L22" s="166">
        <f t="shared" si="3"/>
        <v>24000.01</v>
      </c>
      <c r="M22" s="166">
        <f t="shared" si="4"/>
        <v>30000</v>
      </c>
      <c r="N22" s="198">
        <f t="shared" ca="1" si="5"/>
        <v>9.6282008992720228E-2</v>
      </c>
      <c r="O22" s="198">
        <f t="shared" ca="1" si="1"/>
        <v>9.0933008493124676E-2</v>
      </c>
      <c r="P22" s="166">
        <f t="shared" ca="1" si="6"/>
        <v>2310.7691786453752</v>
      </c>
      <c r="Q22" s="166">
        <f t="shared" ca="1" si="7"/>
        <v>2727.9902547937404</v>
      </c>
      <c r="R22" s="160"/>
      <c r="S22" s="142"/>
      <c r="T22" s="32"/>
      <c r="U22" s="4" t="s">
        <v>896</v>
      </c>
      <c r="V22" s="32"/>
      <c r="W22" s="166">
        <f ca="1">IFERROR(INDEX(P15:P27,MATCH(W17,K15:K27,0)),0)</f>
        <v>0</v>
      </c>
      <c r="X22" s="32"/>
      <c r="Y22" s="210" t="s">
        <v>895</v>
      </c>
      <c r="Z22" s="166">
        <f t="shared" ca="1" si="8"/>
        <v>2727.9902547937404</v>
      </c>
      <c r="AA22" s="211">
        <v>0</v>
      </c>
      <c r="AB22" s="166">
        <f t="shared" ca="1" si="9"/>
        <v>2727.9902547937404</v>
      </c>
      <c r="AC22" s="212">
        <v>0</v>
      </c>
      <c r="AD22" s="166">
        <f t="shared" ca="1" si="10"/>
        <v>2727.9902547937404</v>
      </c>
      <c r="AE22" s="211">
        <f t="shared" ca="1" si="2"/>
        <v>9.0933008493124676E-2</v>
      </c>
      <c r="AF22" s="32"/>
      <c r="AG22" s="166">
        <f t="shared" si="11"/>
        <v>30000</v>
      </c>
      <c r="AH22" s="172">
        <v>0.25</v>
      </c>
      <c r="AI22" s="172">
        <v>0.1805555555555558</v>
      </c>
      <c r="AJ22" s="32"/>
    </row>
    <row r="23" spans="1:71" ht="14.25" customHeight="1">
      <c r="A23" s="5"/>
      <c r="B23" s="183" t="s">
        <v>858</v>
      </c>
      <c r="C23" s="156">
        <f ca="1">SUM(C20:C22)</f>
        <v>0</v>
      </c>
      <c r="D23" s="5"/>
      <c r="F23" s="32"/>
      <c r="G23" s="35" t="s">
        <v>897</v>
      </c>
      <c r="H23" s="201">
        <f ca="1">H19*(1-H21)</f>
        <v>0</v>
      </c>
      <c r="I23" s="32"/>
      <c r="J23" s="207" t="s">
        <v>898</v>
      </c>
      <c r="K23" s="165">
        <v>9</v>
      </c>
      <c r="L23" s="166">
        <f t="shared" si="3"/>
        <v>30000.01</v>
      </c>
      <c r="M23" s="166">
        <f t="shared" si="4"/>
        <v>36000</v>
      </c>
      <c r="N23" s="198">
        <f t="shared" ca="1" si="5"/>
        <v>9.0933008493124676E-2</v>
      </c>
      <c r="O23" s="198">
        <f t="shared" ca="1" si="1"/>
        <v>8.558400799352911E-2</v>
      </c>
      <c r="P23" s="166">
        <f t="shared" ca="1" si="6"/>
        <v>2727.991164123825</v>
      </c>
      <c r="Q23" s="166">
        <f t="shared" ca="1" si="7"/>
        <v>3081.024287767048</v>
      </c>
      <c r="R23" s="160"/>
      <c r="S23" s="142"/>
      <c r="T23" s="32"/>
      <c r="U23" s="4" t="s">
        <v>899</v>
      </c>
      <c r="V23" s="32"/>
      <c r="W23" s="166">
        <f ca="1">IFERROR(INDEX(Q15:Q27,MATCH(W17,K15:K27,0)),0)</f>
        <v>0</v>
      </c>
      <c r="X23" s="32"/>
      <c r="Y23" s="210" t="s">
        <v>898</v>
      </c>
      <c r="Z23" s="166">
        <f t="shared" ca="1" si="8"/>
        <v>3081.024287767048</v>
      </c>
      <c r="AA23" s="211">
        <v>0</v>
      </c>
      <c r="AB23" s="166">
        <f t="shared" ca="1" si="9"/>
        <v>3081.024287767048</v>
      </c>
      <c r="AC23" s="212">
        <v>0</v>
      </c>
      <c r="AD23" s="166">
        <f t="shared" ca="1" si="10"/>
        <v>3081.024287767048</v>
      </c>
      <c r="AE23" s="211">
        <f t="shared" ca="1" si="2"/>
        <v>8.558400799352911E-2</v>
      </c>
      <c r="AF23" s="32"/>
      <c r="AG23" s="166">
        <f t="shared" si="11"/>
        <v>36000</v>
      </c>
      <c r="AH23" s="172">
        <v>0.19999999999999996</v>
      </c>
      <c r="AI23" s="172">
        <v>0.12941176470588234</v>
      </c>
      <c r="AJ23" s="32"/>
    </row>
    <row r="24" spans="1:71" ht="14.25" customHeight="1">
      <c r="A24" s="5"/>
      <c r="B24" s="155"/>
      <c r="C24" s="5"/>
      <c r="D24" s="5"/>
      <c r="F24" s="32"/>
      <c r="G24" s="200"/>
      <c r="H24" s="32"/>
      <c r="I24" s="32"/>
      <c r="J24" s="207" t="s">
        <v>900</v>
      </c>
      <c r="K24" s="165">
        <v>10</v>
      </c>
      <c r="L24" s="166">
        <f t="shared" si="3"/>
        <v>36000.01</v>
      </c>
      <c r="M24" s="166">
        <f t="shared" si="4"/>
        <v>60000</v>
      </c>
      <c r="N24" s="198">
        <f t="shared" ca="1" si="5"/>
        <v>8.558400799352911E-2</v>
      </c>
      <c r="O24" s="198">
        <f t="shared" ca="1" si="1"/>
        <v>8.023500749393353E-2</v>
      </c>
      <c r="P24" s="166">
        <f t="shared" ca="1" si="6"/>
        <v>3081.025143607128</v>
      </c>
      <c r="Q24" s="166">
        <f t="shared" ca="1" si="7"/>
        <v>4814.1004496360119</v>
      </c>
      <c r="R24" s="160"/>
      <c r="S24" s="142"/>
      <c r="T24" s="32"/>
      <c r="U24" s="4" t="s">
        <v>863</v>
      </c>
      <c r="V24" s="32"/>
      <c r="W24" s="213">
        <f ca="1">IFERROR(INDEX(J15:J27,MATCH(W17,K15:K27,0)),0)</f>
        <v>0</v>
      </c>
      <c r="X24" s="32"/>
      <c r="Y24" s="210" t="s">
        <v>900</v>
      </c>
      <c r="Z24" s="166">
        <f t="shared" ca="1" si="8"/>
        <v>4814.1004496360119</v>
      </c>
      <c r="AA24" s="211">
        <v>0</v>
      </c>
      <c r="AB24" s="166">
        <f t="shared" ca="1" si="9"/>
        <v>4814.1004496360119</v>
      </c>
      <c r="AC24" s="212">
        <v>0</v>
      </c>
      <c r="AD24" s="166">
        <f t="shared" ca="1" si="10"/>
        <v>4814.1004496360119</v>
      </c>
      <c r="AE24" s="211">
        <f t="shared" ca="1" si="2"/>
        <v>8.023500749393353E-2</v>
      </c>
      <c r="AF24" s="32"/>
      <c r="AG24" s="166">
        <f t="shared" si="11"/>
        <v>60000</v>
      </c>
      <c r="AH24" s="172">
        <v>0.66666666666666674</v>
      </c>
      <c r="AI24" s="172">
        <v>0.56249999999999978</v>
      </c>
      <c r="AJ24" s="32"/>
    </row>
    <row r="25" spans="1:71" ht="14.25" customHeight="1">
      <c r="A25" s="5"/>
      <c r="B25" s="155"/>
      <c r="C25" s="5"/>
      <c r="D25" s="5"/>
      <c r="F25" s="32"/>
      <c r="G25" s="200"/>
      <c r="H25" s="32"/>
      <c r="I25" s="32"/>
      <c r="J25" s="207" t="s">
        <v>901</v>
      </c>
      <c r="K25" s="165">
        <v>11</v>
      </c>
      <c r="L25" s="166">
        <f t="shared" si="3"/>
        <v>60000.01</v>
      </c>
      <c r="M25" s="166">
        <f t="shared" si="4"/>
        <v>90000</v>
      </c>
      <c r="N25" s="198">
        <f t="shared" ca="1" si="5"/>
        <v>8.023500749393353E-2</v>
      </c>
      <c r="O25" s="198">
        <f t="shared" ca="1" si="1"/>
        <v>7.4886006994337978E-2</v>
      </c>
      <c r="P25" s="166">
        <f t="shared" ca="1" si="6"/>
        <v>4814.1012519860869</v>
      </c>
      <c r="Q25" s="166">
        <f t="shared" ca="1" si="7"/>
        <v>6739.7406294904176</v>
      </c>
      <c r="R25" s="160"/>
      <c r="S25" s="142"/>
      <c r="T25" s="32"/>
      <c r="U25" s="4" t="s">
        <v>886</v>
      </c>
      <c r="V25" s="32"/>
      <c r="W25" s="166">
        <f ca="1">IFERROR(INDEX(L15:L27,MATCH(W17,K15:K27,0)),0)</f>
        <v>0</v>
      </c>
      <c r="X25" s="32"/>
      <c r="Y25" s="210" t="s">
        <v>901</v>
      </c>
      <c r="Z25" s="166">
        <f t="shared" ca="1" si="8"/>
        <v>6739.7406294904185</v>
      </c>
      <c r="AA25" s="211">
        <v>0</v>
      </c>
      <c r="AB25" s="166">
        <f t="shared" ca="1" si="9"/>
        <v>6739.7406294904185</v>
      </c>
      <c r="AC25" s="212">
        <v>0</v>
      </c>
      <c r="AD25" s="166">
        <f t="shared" ca="1" si="10"/>
        <v>6739.7406294904185</v>
      </c>
      <c r="AE25" s="211">
        <f t="shared" ca="1" si="2"/>
        <v>7.4886006994337978E-2</v>
      </c>
      <c r="AF25" s="32"/>
      <c r="AG25" s="166">
        <f t="shared" si="11"/>
        <v>90000</v>
      </c>
      <c r="AH25" s="172">
        <v>0.5</v>
      </c>
      <c r="AI25" s="172">
        <v>0.40000000000000036</v>
      </c>
      <c r="AJ25" s="32"/>
    </row>
    <row r="26" spans="1:71" ht="14.25" customHeight="1">
      <c r="A26" s="5"/>
      <c r="B26" s="5"/>
      <c r="C26" s="5"/>
      <c r="D26" s="5"/>
      <c r="F26" s="32"/>
      <c r="G26" s="32"/>
      <c r="H26" s="32"/>
      <c r="I26" s="32"/>
      <c r="J26" s="207" t="s">
        <v>902</v>
      </c>
      <c r="K26" s="165">
        <v>12</v>
      </c>
      <c r="L26" s="166">
        <f t="shared" si="3"/>
        <v>90000.01</v>
      </c>
      <c r="M26" s="166">
        <f t="shared" si="4"/>
        <v>120000</v>
      </c>
      <c r="N26" s="198">
        <f t="shared" ca="1" si="5"/>
        <v>7.4886006994337978E-2</v>
      </c>
      <c r="O26" s="198">
        <f t="shared" ca="1" si="1"/>
        <v>6.9537006494742384E-2</v>
      </c>
      <c r="P26" s="166">
        <f t="shared" ca="1" si="6"/>
        <v>6739.7413783504871</v>
      </c>
      <c r="Q26" s="166">
        <f t="shared" ca="1" si="7"/>
        <v>8344.4407793690862</v>
      </c>
      <c r="R26" s="160"/>
      <c r="S26" s="142"/>
      <c r="T26" s="32"/>
      <c r="U26" s="4" t="s">
        <v>889</v>
      </c>
      <c r="V26" s="32"/>
      <c r="W26" s="166">
        <f ca="1">IFERROR(INDEX(M15:M27,MATCH(W17,K15:K27,0)),0)</f>
        <v>0</v>
      </c>
      <c r="X26" s="32"/>
      <c r="Y26" s="210" t="s">
        <v>902</v>
      </c>
      <c r="Z26" s="166">
        <f t="shared" ca="1" si="8"/>
        <v>8344.4407793690862</v>
      </c>
      <c r="AA26" s="211">
        <v>0</v>
      </c>
      <c r="AB26" s="166">
        <f t="shared" ca="1" si="9"/>
        <v>8344.4407793690862</v>
      </c>
      <c r="AC26" s="212">
        <v>0</v>
      </c>
      <c r="AD26" s="166">
        <f t="shared" ca="1" si="10"/>
        <v>8344.4407793690862</v>
      </c>
      <c r="AE26" s="211">
        <f t="shared" ca="1" si="2"/>
        <v>6.9537006494742384E-2</v>
      </c>
      <c r="AF26" s="32"/>
      <c r="AG26" s="166">
        <f t="shared" si="11"/>
        <v>120000</v>
      </c>
      <c r="AH26" s="172">
        <v>0.33333333333333326</v>
      </c>
      <c r="AI26" s="172">
        <v>0.23809523809523769</v>
      </c>
      <c r="AJ26" s="32"/>
    </row>
    <row r="27" spans="1:71" ht="14.25" customHeight="1">
      <c r="A27" s="5"/>
      <c r="B27" s="188"/>
      <c r="C27" s="5"/>
      <c r="D27" s="5"/>
      <c r="F27" s="32"/>
      <c r="G27" s="32"/>
      <c r="H27" s="32"/>
      <c r="I27" s="32"/>
      <c r="J27" s="207" t="s">
        <v>903</v>
      </c>
      <c r="K27" s="165">
        <v>13</v>
      </c>
      <c r="L27" s="166">
        <f t="shared" si="3"/>
        <v>120000.01</v>
      </c>
      <c r="M27" s="166">
        <f t="shared" si="4"/>
        <v>1140000</v>
      </c>
      <c r="N27" s="198">
        <f t="shared" ca="1" si="5"/>
        <v>6.9537006494742384E-2</v>
      </c>
      <c r="O27" s="198">
        <f t="shared" ca="1" si="1"/>
        <v>6.2217321600558977E-2</v>
      </c>
      <c r="P27" s="166">
        <f t="shared" ca="1" si="6"/>
        <v>8344.4414747391511</v>
      </c>
      <c r="Q27" s="166">
        <f t="shared" ca="1" si="7"/>
        <v>70927.746624637235</v>
      </c>
      <c r="R27" s="160"/>
      <c r="S27" s="142"/>
      <c r="T27" s="32"/>
      <c r="U27" s="4" t="s">
        <v>891</v>
      </c>
      <c r="V27" s="32"/>
      <c r="W27" s="172">
        <f ca="1">IFERROR(INDEX(N15:N27,MATCH(W17,K15:K27,0)),0)</f>
        <v>0</v>
      </c>
      <c r="X27" s="32"/>
      <c r="Y27" s="210" t="s">
        <v>903</v>
      </c>
      <c r="Z27" s="166">
        <f t="shared" ca="1" si="8"/>
        <v>70927.746624637235</v>
      </c>
      <c r="AA27" s="211">
        <v>0</v>
      </c>
      <c r="AB27" s="166">
        <f t="shared" ca="1" si="9"/>
        <v>70927.746624637235</v>
      </c>
      <c r="AC27" s="212">
        <v>0</v>
      </c>
      <c r="AD27" s="166">
        <f t="shared" ca="1" si="10"/>
        <v>70927.746624637235</v>
      </c>
      <c r="AE27" s="211">
        <f t="shared" ca="1" si="2"/>
        <v>6.2217321600558977E-2</v>
      </c>
      <c r="AF27" s="32"/>
      <c r="AG27" s="166">
        <f t="shared" si="11"/>
        <v>1140000</v>
      </c>
      <c r="AH27" s="172">
        <v>8.5</v>
      </c>
      <c r="AI27" s="172">
        <v>7.5</v>
      </c>
      <c r="AJ27" s="32"/>
    </row>
    <row r="28" spans="1:71" s="147" customFormat="1" ht="14.45" outlineLevel="1">
      <c r="A28" s="5"/>
      <c r="B28" s="189" t="s">
        <v>904</v>
      </c>
      <c r="C28" s="189" t="s">
        <v>905</v>
      </c>
      <c r="D28" s="5"/>
      <c r="E28" s="56"/>
      <c r="F28" s="32"/>
      <c r="G28" s="32"/>
      <c r="H28" s="32"/>
      <c r="I28" s="32"/>
      <c r="J28" s="32"/>
      <c r="K28" s="33"/>
      <c r="L28" s="32"/>
      <c r="M28" s="32"/>
      <c r="N28" s="32"/>
      <c r="O28" s="32"/>
      <c r="P28" s="32"/>
      <c r="Q28" s="32"/>
      <c r="R28" s="160"/>
      <c r="S28" s="142"/>
      <c r="T28" s="32"/>
      <c r="U28" s="4" t="s">
        <v>894</v>
      </c>
      <c r="V28" s="32"/>
      <c r="W28" s="172">
        <f ca="1">IFERROR(INDEX(O15:O27,MATCH(W17,K15:K27,0)),0)</f>
        <v>0</v>
      </c>
      <c r="X28" s="32"/>
      <c r="Y28" s="32"/>
      <c r="Z28" s="32"/>
      <c r="AA28" s="32"/>
      <c r="AB28" s="32"/>
      <c r="AC28" s="32"/>
      <c r="AD28" s="32"/>
      <c r="AE28" s="32"/>
      <c r="AF28" s="32"/>
      <c r="AG28" s="32"/>
      <c r="AH28" s="32"/>
      <c r="AI28" s="32"/>
      <c r="AJ28" s="32"/>
      <c r="AK28" s="56"/>
      <c r="AL28" s="56"/>
      <c r="AM28" s="56"/>
      <c r="AN28" s="56"/>
      <c r="AO28" s="56"/>
      <c r="AP28" s="56"/>
      <c r="AQ28" s="56"/>
      <c r="AR28" s="56"/>
      <c r="AS28" s="56"/>
      <c r="AT28" s="56"/>
      <c r="AU28" s="56"/>
      <c r="AV28" s="56"/>
      <c r="AW28" s="56"/>
      <c r="AX28" s="56"/>
      <c r="AY28" s="56"/>
    </row>
    <row r="29" spans="1:71" ht="14.25" customHeight="1" outlineLevel="1">
      <c r="A29" s="5"/>
      <c r="B29" s="190" t="s">
        <v>906</v>
      </c>
      <c r="C29" s="148" t="s">
        <v>907</v>
      </c>
      <c r="D29" s="5"/>
      <c r="F29" s="32"/>
      <c r="G29" s="202">
        <f>INDEX(CMSResumen!$BO29:$BS29,MATCH(C29,CMSResumen!$BG29:$BN29,0))</f>
        <v>0</v>
      </c>
      <c r="H29" s="5"/>
      <c r="I29" s="5"/>
      <c r="J29" s="32"/>
      <c r="K29" s="33"/>
      <c r="L29" s="32"/>
      <c r="M29" s="32"/>
      <c r="N29" s="32"/>
      <c r="O29" s="32"/>
      <c r="P29" s="5"/>
      <c r="Q29" s="5"/>
      <c r="R29" s="203"/>
      <c r="T29" s="32"/>
      <c r="U29" s="4" t="s">
        <v>908</v>
      </c>
      <c r="V29" s="32"/>
      <c r="W29" s="172">
        <f>C37</f>
        <v>0</v>
      </c>
      <c r="X29" s="32"/>
      <c r="Y29" s="32"/>
      <c r="Z29" s="32"/>
      <c r="AA29" s="32"/>
      <c r="AB29" s="32"/>
      <c r="AC29" s="32"/>
      <c r="AD29" s="32"/>
      <c r="AE29" s="32"/>
      <c r="AF29" s="32"/>
      <c r="AG29" s="32"/>
      <c r="AH29" s="32"/>
      <c r="AI29" s="32"/>
      <c r="AJ29" s="32"/>
      <c r="AV29" s="149"/>
      <c r="AZ29" s="150">
        <v>0.2</v>
      </c>
      <c r="BA29" s="150">
        <f>CMSResumen!G29*AZ29</f>
        <v>0</v>
      </c>
      <c r="BB29" s="151" t="s">
        <v>909</v>
      </c>
      <c r="BC29" s="151" t="s">
        <v>910</v>
      </c>
      <c r="BD29" s="151" t="s">
        <v>911</v>
      </c>
      <c r="BE29" s="151" t="s">
        <v>912</v>
      </c>
      <c r="BF29" s="151" t="s">
        <v>913</v>
      </c>
      <c r="BG29" s="151" t="s">
        <v>907</v>
      </c>
      <c r="BH29" s="151" t="s">
        <v>914</v>
      </c>
      <c r="BI29" s="151" t="s">
        <v>915</v>
      </c>
      <c r="BJ29" s="151" t="s">
        <v>916</v>
      </c>
      <c r="BK29" s="151" t="s">
        <v>917</v>
      </c>
      <c r="BO29" s="149">
        <v>0</v>
      </c>
      <c r="BP29" s="149">
        <v>0.25</v>
      </c>
      <c r="BQ29" s="149">
        <v>0.5</v>
      </c>
      <c r="BR29" s="149">
        <v>0.75</v>
      </c>
      <c r="BS29" s="149">
        <v>1</v>
      </c>
    </row>
    <row r="30" spans="1:71" ht="14.25" customHeight="1" outlineLevel="1">
      <c r="A30" s="5"/>
      <c r="B30" s="190" t="s">
        <v>918</v>
      </c>
      <c r="C30" s="148" t="s">
        <v>919</v>
      </c>
      <c r="D30" s="5"/>
      <c r="F30" s="32"/>
      <c r="G30" s="202">
        <f>INDEX(CMSResumen!$BO30:$BS30,MATCH(C30,CMSResumen!$BG30:$BN30,0))</f>
        <v>0</v>
      </c>
      <c r="H30" s="5"/>
      <c r="I30" s="5"/>
      <c r="J30" s="204" t="s">
        <v>863</v>
      </c>
      <c r="K30" s="204" t="s">
        <v>920</v>
      </c>
      <c r="L30" s="204" t="s">
        <v>921</v>
      </c>
      <c r="M30" s="204" t="s">
        <v>922</v>
      </c>
      <c r="N30" s="204" t="s">
        <v>923</v>
      </c>
      <c r="O30" s="204" t="s">
        <v>924</v>
      </c>
      <c r="P30" s="204" t="s">
        <v>925</v>
      </c>
      <c r="Q30" s="204" t="s">
        <v>926</v>
      </c>
      <c r="R30" s="203"/>
      <c r="T30" s="32"/>
      <c r="U30" s="4" t="s">
        <v>927</v>
      </c>
      <c r="V30" s="32"/>
      <c r="W30" s="172" cm="1">
        <f t="array" aca="1" ref="W30" ca="1">IFERROR(IF(W29=0,"",_xlfn.SINGLE(INDIRECT("X"&amp;SUMPRODUCT(--(CMSResumen!U33:U36&lt;=W29)*(CMSResumen!V33:V36&gt;=W29), ROW(CMSResumen!U33:U36))))*W29)/W29,0)</f>
        <v>0</v>
      </c>
      <c r="X30" s="32"/>
      <c r="Y30" s="32"/>
      <c r="Z30" s="32"/>
      <c r="AA30" s="32"/>
      <c r="AB30" s="32"/>
      <c r="AC30" s="32"/>
      <c r="AD30" s="32"/>
      <c r="AE30" s="32"/>
      <c r="AF30" s="32"/>
      <c r="AG30" s="32"/>
      <c r="AH30" s="32"/>
      <c r="AI30" s="32"/>
      <c r="AJ30" s="32"/>
      <c r="AZ30" s="150">
        <v>0.15</v>
      </c>
      <c r="BA30" s="150">
        <f>CMSResumen!G30*AZ30</f>
        <v>0</v>
      </c>
      <c r="BB30" s="151" t="s">
        <v>928</v>
      </c>
      <c r="BC30" s="151" t="s">
        <v>929</v>
      </c>
      <c r="BD30" s="151" t="s">
        <v>930</v>
      </c>
      <c r="BE30" s="151" t="s">
        <v>931</v>
      </c>
      <c r="BF30" s="151" t="s">
        <v>932</v>
      </c>
      <c r="BG30" s="151" t="s">
        <v>919</v>
      </c>
      <c r="BH30" s="151" t="s">
        <v>933</v>
      </c>
      <c r="BI30" s="151" t="s">
        <v>934</v>
      </c>
      <c r="BJ30" s="151" t="s">
        <v>935</v>
      </c>
      <c r="BK30" s="151" t="s">
        <v>936</v>
      </c>
      <c r="BO30" s="149">
        <v>0</v>
      </c>
      <c r="BP30" s="149">
        <v>0.25</v>
      </c>
      <c r="BQ30" s="149">
        <v>0.5</v>
      </c>
      <c r="BR30" s="149">
        <v>0.75</v>
      </c>
      <c r="BS30" s="149">
        <v>1</v>
      </c>
    </row>
    <row r="31" spans="1:71" ht="14.25" customHeight="1" outlineLevel="1">
      <c r="A31" s="5"/>
      <c r="B31" s="190" t="s">
        <v>937</v>
      </c>
      <c r="C31" s="148" t="s">
        <v>938</v>
      </c>
      <c r="D31" s="5"/>
      <c r="F31" s="32"/>
      <c r="G31" s="202">
        <f>INDEX(CMSResumen!$BO31:$BS31,MATCH(C31,CMSResumen!$BG31:$BN31,0))</f>
        <v>0</v>
      </c>
      <c r="H31" s="5"/>
      <c r="I31" s="5"/>
      <c r="J31" s="207" t="s">
        <v>176</v>
      </c>
      <c r="K31" s="198">
        <v>3.5000000000000003E-2</v>
      </c>
      <c r="L31" s="198">
        <f ca="1">W30</f>
        <v>0</v>
      </c>
      <c r="M31" s="198">
        <f ca="1">IFERROR(IF($C$17=0,K31,K31*(1+(CMSResumen!$H$19/CMSResumen!$Q$15-1)))*(1+L31),0)</f>
        <v>3.5000000000000003E-2</v>
      </c>
      <c r="N31" s="198">
        <v>0</v>
      </c>
      <c r="O31" s="198">
        <v>0</v>
      </c>
      <c r="P31" s="205">
        <v>0</v>
      </c>
      <c r="Q31" s="198">
        <v>0</v>
      </c>
      <c r="R31" s="203"/>
      <c r="T31" s="32"/>
      <c r="U31" s="32"/>
      <c r="V31" s="32"/>
      <c r="W31" s="32"/>
      <c r="X31" s="32"/>
      <c r="Y31" s="32"/>
      <c r="Z31" s="200"/>
      <c r="AA31" s="32"/>
      <c r="AB31" s="32"/>
      <c r="AC31" s="32"/>
      <c r="AD31" s="32"/>
      <c r="AE31" s="32"/>
      <c r="AF31" s="32"/>
      <c r="AG31" s="32"/>
      <c r="AH31" s="32"/>
      <c r="AI31" s="32"/>
      <c r="AJ31" s="32"/>
      <c r="AZ31" s="150">
        <v>0.2</v>
      </c>
      <c r="BA31" s="150">
        <f>CMSResumen!G31*AZ31</f>
        <v>0</v>
      </c>
      <c r="BB31" s="151" t="s">
        <v>928</v>
      </c>
      <c r="BC31" s="151" t="s">
        <v>939</v>
      </c>
      <c r="BD31" s="151" t="s">
        <v>940</v>
      </c>
      <c r="BE31" s="151" t="s">
        <v>941</v>
      </c>
      <c r="BF31" s="151" t="s">
        <v>942</v>
      </c>
      <c r="BG31" s="151" t="s">
        <v>938</v>
      </c>
      <c r="BH31" s="151" t="s">
        <v>943</v>
      </c>
      <c r="BI31" s="151" t="s">
        <v>944</v>
      </c>
      <c r="BJ31" s="151" t="s">
        <v>945</v>
      </c>
      <c r="BK31" s="151" t="s">
        <v>946</v>
      </c>
      <c r="BO31" s="149">
        <v>0</v>
      </c>
      <c r="BP31" s="149">
        <v>0.25</v>
      </c>
      <c r="BQ31" s="149">
        <v>0.5</v>
      </c>
      <c r="BR31" s="149">
        <v>0.75</v>
      </c>
      <c r="BS31" s="149">
        <v>1</v>
      </c>
    </row>
    <row r="32" spans="1:71" ht="14.25" customHeight="1" outlineLevel="1">
      <c r="A32" s="5"/>
      <c r="B32" s="190" t="s">
        <v>947</v>
      </c>
      <c r="C32" s="148" t="s">
        <v>919</v>
      </c>
      <c r="D32" s="5"/>
      <c r="F32" s="32"/>
      <c r="G32" s="202">
        <f>INDEX(CMSResumen!$BO32:$BS32,MATCH(C32,CMSResumen!$BG32:$BN32,0))</f>
        <v>0</v>
      </c>
      <c r="H32" s="5"/>
      <c r="I32" s="5"/>
      <c r="J32" s="207" t="s">
        <v>179</v>
      </c>
      <c r="K32" s="198">
        <v>7.8E-2</v>
      </c>
      <c r="L32" s="198">
        <f ca="1">W30</f>
        <v>0</v>
      </c>
      <c r="M32" s="198">
        <f ca="1">IFERROR(IF($C$17=0,K32,K32*(1+(CMSResumen!$H$19/CMSResumen!$Q$15-1)))*(1+L32),0)</f>
        <v>7.8E-2</v>
      </c>
      <c r="N32" s="198">
        <f>10%</f>
        <v>0.1</v>
      </c>
      <c r="O32" s="198">
        <v>0.23</v>
      </c>
      <c r="P32" s="205">
        <v>4</v>
      </c>
      <c r="Q32" s="198">
        <v>0</v>
      </c>
      <c r="R32" s="203"/>
      <c r="T32" s="32"/>
      <c r="U32" s="204" t="s">
        <v>948</v>
      </c>
      <c r="V32" s="204" t="s">
        <v>949</v>
      </c>
      <c r="W32" s="204" t="s">
        <v>950</v>
      </c>
      <c r="X32" s="32"/>
      <c r="Y32" s="32"/>
      <c r="Z32" s="200"/>
      <c r="AA32" s="32"/>
      <c r="AB32" s="32"/>
      <c r="AC32" s="32"/>
      <c r="AD32" s="32"/>
      <c r="AE32" s="32"/>
      <c r="AF32" s="32"/>
      <c r="AG32" s="32"/>
      <c r="AH32" s="32"/>
      <c r="AI32" s="32"/>
      <c r="AJ32" s="32"/>
      <c r="AZ32" s="150">
        <v>0.15</v>
      </c>
      <c r="BA32" s="150">
        <f>CMSResumen!G32*AZ32</f>
        <v>0</v>
      </c>
      <c r="BB32" s="151" t="s">
        <v>928</v>
      </c>
      <c r="BC32" s="151" t="s">
        <v>951</v>
      </c>
      <c r="BD32" s="151" t="s">
        <v>952</v>
      </c>
      <c r="BE32" s="151" t="s">
        <v>953</v>
      </c>
      <c r="BF32" s="151" t="s">
        <v>954</v>
      </c>
      <c r="BG32" s="151" t="s">
        <v>919</v>
      </c>
      <c r="BH32" s="151" t="s">
        <v>955</v>
      </c>
      <c r="BI32" s="151" t="s">
        <v>956</v>
      </c>
      <c r="BJ32" s="151" t="s">
        <v>957</v>
      </c>
      <c r="BK32" s="151" t="s">
        <v>958</v>
      </c>
      <c r="BO32" s="149">
        <v>0</v>
      </c>
      <c r="BP32" s="149">
        <v>0.25</v>
      </c>
      <c r="BQ32" s="149">
        <v>0.5</v>
      </c>
      <c r="BR32" s="149">
        <v>0.75</v>
      </c>
      <c r="BS32" s="149">
        <v>1</v>
      </c>
    </row>
    <row r="33" spans="1:71" ht="14.25" customHeight="1" outlineLevel="1">
      <c r="A33" s="5"/>
      <c r="B33" s="190" t="s">
        <v>959</v>
      </c>
      <c r="C33" s="148" t="s">
        <v>907</v>
      </c>
      <c r="D33" s="5"/>
      <c r="F33" s="32"/>
      <c r="G33" s="202">
        <f>INDEX(CMSResumen!$BO33:$BS33,MATCH(C33,CMSResumen!$BG33:$BN33,0))</f>
        <v>0</v>
      </c>
      <c r="H33" s="5"/>
      <c r="I33" s="5"/>
      <c r="J33" s="207" t="s">
        <v>181</v>
      </c>
      <c r="K33" s="198">
        <v>3.5000000000000003E-2</v>
      </c>
      <c r="L33" s="198">
        <f ca="1">W30</f>
        <v>0</v>
      </c>
      <c r="M33" s="198">
        <f ca="1">IFERROR(IF($C$17=0,K33,K33*(1+(CMSResumen!$H$19/CMSResumen!$Q$15-1)))*(1+L33),0)</f>
        <v>3.5000000000000003E-2</v>
      </c>
      <c r="N33" s="198">
        <v>0</v>
      </c>
      <c r="O33" s="198">
        <v>0</v>
      </c>
      <c r="P33" s="205">
        <v>0</v>
      </c>
      <c r="Q33" s="198">
        <v>0</v>
      </c>
      <c r="R33" s="203"/>
      <c r="T33" s="32"/>
      <c r="U33" s="172">
        <v>0</v>
      </c>
      <c r="V33" s="172">
        <v>0</v>
      </c>
      <c r="W33" s="214">
        <v>0</v>
      </c>
      <c r="X33" s="32"/>
      <c r="Y33" s="32"/>
      <c r="Z33" s="32"/>
      <c r="AA33" s="32"/>
      <c r="AB33" s="32"/>
      <c r="AC33" s="32"/>
      <c r="AD33" s="32"/>
      <c r="AE33" s="32"/>
      <c r="AF33" s="32"/>
      <c r="AG33" s="32"/>
      <c r="AH33" s="32"/>
      <c r="AI33" s="32"/>
      <c r="AJ33" s="32"/>
      <c r="AZ33" s="150">
        <v>0.1</v>
      </c>
      <c r="BA33" s="150">
        <f>CMSResumen!G33*AZ33</f>
        <v>0</v>
      </c>
      <c r="BB33" s="151" t="s">
        <v>928</v>
      </c>
      <c r="BC33" s="151" t="s">
        <v>960</v>
      </c>
      <c r="BD33" s="151" t="s">
        <v>961</v>
      </c>
      <c r="BE33" s="151" t="s">
        <v>962</v>
      </c>
      <c r="BF33" s="151" t="s">
        <v>963</v>
      </c>
      <c r="BG33" s="151" t="s">
        <v>907</v>
      </c>
      <c r="BH33" s="151" t="s">
        <v>964</v>
      </c>
      <c r="BI33" s="151" t="s">
        <v>916</v>
      </c>
      <c r="BJ33" s="151" t="s">
        <v>965</v>
      </c>
      <c r="BK33" s="151" t="s">
        <v>966</v>
      </c>
      <c r="BO33" s="149">
        <v>0</v>
      </c>
      <c r="BP33" s="149">
        <v>0.25</v>
      </c>
      <c r="BQ33" s="149">
        <v>0.5</v>
      </c>
      <c r="BR33" s="149">
        <v>0.75</v>
      </c>
      <c r="BS33" s="149">
        <v>1</v>
      </c>
    </row>
    <row r="34" spans="1:71" ht="14.25" customHeight="1" outlineLevel="1">
      <c r="A34" s="5"/>
      <c r="B34" s="190" t="s">
        <v>967</v>
      </c>
      <c r="C34" s="148" t="s">
        <v>968</v>
      </c>
      <c r="D34" s="5"/>
      <c r="F34" s="32"/>
      <c r="G34" s="202">
        <f>INDEX(CMSResumen!$BO34:$BS34,MATCH(C34,CMSResumen!$BG34:$BN34,0))</f>
        <v>0</v>
      </c>
      <c r="H34" s="5"/>
      <c r="I34" s="5"/>
      <c r="J34" s="207" t="s">
        <v>183</v>
      </c>
      <c r="K34" s="198">
        <v>3.5000000000000003E-2</v>
      </c>
      <c r="L34" s="198">
        <f ca="1">W30</f>
        <v>0</v>
      </c>
      <c r="M34" s="198">
        <f ca="1">IFERROR(IF($C$17=0,K34,K34*(1+(CMSResumen!$H$19/CMSResumen!$Q$15-1)))*(1+L34),0)</f>
        <v>3.5000000000000003E-2</v>
      </c>
      <c r="N34" s="198">
        <f>10%</f>
        <v>0.1</v>
      </c>
      <c r="O34" s="198">
        <v>0.23</v>
      </c>
      <c r="P34" s="205">
        <v>4</v>
      </c>
      <c r="Q34" s="198">
        <v>0</v>
      </c>
      <c r="R34" s="203"/>
      <c r="T34" s="32"/>
      <c r="U34" s="172">
        <v>0.25</v>
      </c>
      <c r="V34" s="172">
        <v>0.5</v>
      </c>
      <c r="W34" s="214">
        <v>0.05</v>
      </c>
      <c r="X34" s="32"/>
      <c r="Y34" s="32"/>
      <c r="Z34" s="32"/>
      <c r="AA34" s="32"/>
      <c r="AB34" s="32"/>
      <c r="AC34" s="32"/>
      <c r="AD34" s="32"/>
      <c r="AE34" s="32"/>
      <c r="AF34" s="32"/>
      <c r="AG34" s="32"/>
      <c r="AH34" s="32"/>
      <c r="AI34" s="32"/>
      <c r="AJ34" s="32"/>
      <c r="AZ34" s="150">
        <v>0.05</v>
      </c>
      <c r="BA34" s="150">
        <f>CMSResumen!G34*AZ34</f>
        <v>0</v>
      </c>
      <c r="BB34" s="151" t="s">
        <v>928</v>
      </c>
      <c r="BC34" s="151" t="s">
        <v>969</v>
      </c>
      <c r="BD34" s="151" t="s">
        <v>970</v>
      </c>
      <c r="BE34" s="151" t="s">
        <v>962</v>
      </c>
      <c r="BF34" s="151" t="s">
        <v>971</v>
      </c>
      <c r="BG34" s="151" t="s">
        <v>972</v>
      </c>
      <c r="BH34" s="151" t="s">
        <v>973</v>
      </c>
      <c r="BI34" s="151" t="s">
        <v>974</v>
      </c>
      <c r="BJ34" s="151" t="s">
        <v>975</v>
      </c>
      <c r="BK34" s="151" t="s">
        <v>968</v>
      </c>
      <c r="BO34" s="149">
        <v>1</v>
      </c>
      <c r="BP34" s="149">
        <v>0.75</v>
      </c>
      <c r="BQ34" s="149">
        <v>0.5</v>
      </c>
      <c r="BR34" s="149">
        <v>0.25</v>
      </c>
      <c r="BS34" s="149">
        <v>0</v>
      </c>
    </row>
    <row r="35" spans="1:71" ht="14.25" customHeight="1" outlineLevel="1">
      <c r="A35" s="5"/>
      <c r="B35" s="190" t="s">
        <v>976</v>
      </c>
      <c r="C35" s="148" t="s">
        <v>977</v>
      </c>
      <c r="D35" s="5"/>
      <c r="F35" s="32"/>
      <c r="G35" s="202">
        <f>INDEX(CMSResumen!$BO35:$BR35,MATCH(C35,CMSResumen!$BG35:$BJ35,0))</f>
        <v>0</v>
      </c>
      <c r="H35" s="5"/>
      <c r="I35" s="5"/>
      <c r="J35" s="207" t="s">
        <v>978</v>
      </c>
      <c r="K35" s="198">
        <v>0</v>
      </c>
      <c r="L35" s="198">
        <f ca="1">W30</f>
        <v>0</v>
      </c>
      <c r="M35" s="198">
        <f ca="1">IFERROR(IF($C$17=0,K35,K35*(1+(CMSResumen!$H$19/CMSResumen!$Q$15-1)))*(1+L35),0)</f>
        <v>0</v>
      </c>
      <c r="N35" s="198">
        <v>0</v>
      </c>
      <c r="O35" s="198">
        <v>0</v>
      </c>
      <c r="P35" s="205">
        <v>0</v>
      </c>
      <c r="Q35" s="198">
        <v>0</v>
      </c>
      <c r="R35" s="203"/>
      <c r="T35" s="32"/>
      <c r="U35" s="172">
        <v>0.51</v>
      </c>
      <c r="V35" s="172">
        <v>0.75</v>
      </c>
      <c r="W35" s="214">
        <v>0.1</v>
      </c>
      <c r="X35" s="32"/>
      <c r="Y35" s="32"/>
      <c r="Z35" s="32"/>
      <c r="AA35" s="32"/>
      <c r="AB35" s="32"/>
      <c r="AC35" s="32"/>
      <c r="AD35" s="32"/>
      <c r="AE35" s="32"/>
      <c r="AF35" s="32"/>
      <c r="AG35" s="32"/>
      <c r="AH35" s="32"/>
      <c r="AI35" s="32"/>
      <c r="AJ35" s="32"/>
      <c r="AZ35" s="150">
        <v>0.1</v>
      </c>
      <c r="BA35" s="150">
        <f>CMSResumen!G35*AZ35</f>
        <v>0</v>
      </c>
      <c r="BB35" s="151" t="s">
        <v>928</v>
      </c>
      <c r="BC35" s="151" t="s">
        <v>979</v>
      </c>
      <c r="BD35" s="151" t="s">
        <v>970</v>
      </c>
      <c r="BE35" s="151" t="s">
        <v>980</v>
      </c>
      <c r="BF35" s="151" t="s">
        <v>981</v>
      </c>
      <c r="BG35" s="151" t="s">
        <v>982</v>
      </c>
      <c r="BH35" s="151" t="s">
        <v>983</v>
      </c>
      <c r="BI35" s="151" t="s">
        <v>984</v>
      </c>
      <c r="BJ35" s="151" t="s">
        <v>977</v>
      </c>
      <c r="BK35" s="151"/>
      <c r="BO35" s="149">
        <v>1</v>
      </c>
      <c r="BP35" s="149">
        <v>0.75</v>
      </c>
      <c r="BQ35" s="149">
        <v>0.5</v>
      </c>
      <c r="BR35" s="149">
        <v>0</v>
      </c>
      <c r="BS35" s="149"/>
    </row>
    <row r="36" spans="1:71" ht="14.25" customHeight="1" outlineLevel="1">
      <c r="A36" s="5"/>
      <c r="B36" s="190" t="s">
        <v>985</v>
      </c>
      <c r="C36" s="148" t="s">
        <v>919</v>
      </c>
      <c r="D36" s="5"/>
      <c r="F36" s="32"/>
      <c r="G36" s="202">
        <f>INDEX(CMSResumen!$BO36:$BS36,MATCH(C36,CMSResumen!$BG36:$BN36,0))</f>
        <v>0</v>
      </c>
      <c r="H36" s="5"/>
      <c r="I36" s="5"/>
      <c r="J36" s="5"/>
      <c r="K36" s="206"/>
      <c r="L36" s="5"/>
      <c r="M36" s="5"/>
      <c r="N36" s="192"/>
      <c r="O36" s="5"/>
      <c r="P36" s="5"/>
      <c r="Q36" s="5"/>
      <c r="R36" s="203"/>
      <c r="T36" s="32"/>
      <c r="U36" s="172">
        <v>0.76</v>
      </c>
      <c r="V36" s="172">
        <v>1</v>
      </c>
      <c r="W36" s="214">
        <v>0.15</v>
      </c>
      <c r="X36" s="32"/>
      <c r="Y36" s="32"/>
      <c r="Z36" s="32"/>
      <c r="AA36" s="32"/>
      <c r="AB36" s="32"/>
      <c r="AC36" s="32"/>
      <c r="AD36" s="32"/>
      <c r="AE36" s="32"/>
      <c r="AF36" s="32"/>
      <c r="AG36" s="32"/>
      <c r="AH36" s="32"/>
      <c r="AI36" s="32"/>
      <c r="AJ36" s="32"/>
      <c r="AZ36" s="150">
        <v>0.05</v>
      </c>
      <c r="BA36" s="150">
        <f>CMSResumen!G36*AZ36</f>
        <v>0</v>
      </c>
      <c r="BB36" s="151" t="s">
        <v>928</v>
      </c>
      <c r="BC36" s="151" t="s">
        <v>929</v>
      </c>
      <c r="BD36" s="151" t="s">
        <v>930</v>
      </c>
      <c r="BE36" s="151" t="s">
        <v>986</v>
      </c>
      <c r="BF36" s="151" t="s">
        <v>987</v>
      </c>
      <c r="BG36" s="151" t="s">
        <v>919</v>
      </c>
      <c r="BH36" s="151" t="s">
        <v>988</v>
      </c>
      <c r="BI36" s="151" t="s">
        <v>989</v>
      </c>
      <c r="BJ36" s="151" t="s">
        <v>990</v>
      </c>
      <c r="BK36" s="151" t="s">
        <v>991</v>
      </c>
      <c r="BO36" s="149">
        <v>0</v>
      </c>
      <c r="BP36" s="149">
        <v>0.25</v>
      </c>
      <c r="BQ36" s="149">
        <v>0.5</v>
      </c>
      <c r="BR36" s="149">
        <v>0.75</v>
      </c>
      <c r="BS36" s="149">
        <v>1</v>
      </c>
    </row>
    <row r="37" spans="1:71" ht="14.25" customHeight="1">
      <c r="A37" s="5"/>
      <c r="B37" s="191" t="s">
        <v>992</v>
      </c>
      <c r="C37" s="152">
        <f>SUM(CMSResumen!BA29:BA36)</f>
        <v>0</v>
      </c>
      <c r="D37" s="5"/>
      <c r="F37" s="32"/>
      <c r="G37" s="32"/>
      <c r="H37" s="5"/>
      <c r="I37" s="5"/>
      <c r="J37" s="5"/>
      <c r="K37" s="206"/>
      <c r="L37" s="5"/>
      <c r="M37" s="5"/>
      <c r="N37" s="5"/>
      <c r="O37" s="5"/>
      <c r="P37" s="5"/>
      <c r="Q37" s="5"/>
      <c r="R37" s="203"/>
      <c r="T37" s="32"/>
      <c r="U37" s="32"/>
      <c r="V37" s="32"/>
      <c r="W37" s="32"/>
      <c r="X37" s="32"/>
      <c r="Y37" s="32"/>
      <c r="Z37" s="32"/>
      <c r="AA37" s="32"/>
      <c r="AB37" s="32"/>
      <c r="AC37" s="32"/>
      <c r="AD37" s="32"/>
      <c r="AE37" s="32"/>
      <c r="AF37" s="32"/>
      <c r="AG37" s="32"/>
      <c r="AH37" s="32"/>
      <c r="AI37" s="32"/>
      <c r="AJ37" s="32"/>
    </row>
    <row r="38" spans="1:71" ht="14.25" customHeight="1">
      <c r="A38" s="5"/>
      <c r="B38" s="5"/>
      <c r="C38" s="192"/>
      <c r="D38" s="5"/>
      <c r="F38" s="32"/>
      <c r="G38" s="5"/>
      <c r="H38" s="5"/>
      <c r="I38" s="5"/>
      <c r="J38" s="5"/>
      <c r="K38" s="206"/>
      <c r="L38" s="5"/>
      <c r="M38" s="5"/>
      <c r="N38" s="5"/>
      <c r="O38" s="5"/>
      <c r="P38" s="5"/>
      <c r="Q38" s="5"/>
      <c r="R38" s="203"/>
      <c r="T38" s="5"/>
      <c r="U38" s="5"/>
      <c r="V38" s="5"/>
      <c r="W38" s="5"/>
      <c r="X38" s="5"/>
      <c r="Y38" s="5"/>
      <c r="Z38" s="5"/>
      <c r="AA38" s="5"/>
      <c r="AB38" s="5"/>
      <c r="AC38" s="5"/>
      <c r="AD38" s="5"/>
      <c r="AE38" s="5"/>
      <c r="AF38" s="5"/>
      <c r="AG38" s="32"/>
      <c r="AH38" s="32"/>
      <c r="AI38" s="32"/>
      <c r="AJ38" s="32"/>
    </row>
    <row r="39" spans="1:71" ht="14.25" customHeight="1">
      <c r="C39" s="56"/>
      <c r="D39" s="56"/>
    </row>
  </sheetData>
  <sheetProtection formatCells="0" formatColumns="0" formatRows="0" autoFilter="0"/>
  <mergeCells count="8">
    <mergeCell ref="U2:V9"/>
    <mergeCell ref="J2:Q9"/>
    <mergeCell ref="J13:Q13"/>
    <mergeCell ref="Y13:AE13"/>
    <mergeCell ref="AG13:AI13"/>
    <mergeCell ref="AB2:AC2"/>
    <mergeCell ref="AD2:AE2"/>
    <mergeCell ref="X2:AA3"/>
  </mergeCells>
  <conditionalFormatting sqref="C4">
    <cfRule type="expression" dxfId="3" priority="1">
      <formula>$N$2="By Hours"</formula>
    </cfRule>
  </conditionalFormatting>
  <conditionalFormatting sqref="H21">
    <cfRule type="expression" dxfId="2" priority="2">
      <formula>$N$2="By Hours"</formula>
    </cfRule>
  </conditionalFormatting>
  <conditionalFormatting sqref="J13:Q13">
    <cfRule type="expression" dxfId="1" priority="7">
      <formula>$AE$15&gt;30%</formula>
    </cfRule>
    <cfRule type="cellIs" priority="8" operator="greaterThan">
      <formula>0.24</formula>
    </cfRule>
  </conditionalFormatting>
  <dataValidations disablePrompts="1" count="3">
    <dataValidation type="list" allowBlank="1" showInputMessage="1" showErrorMessage="1" sqref="C29:C34 C36" xr:uid="{FE2D1A28-BD6D-4C7F-BDD5-E8FC78DEC5B9}">
      <formula1>$BG29:$BK29</formula1>
    </dataValidation>
    <dataValidation type="list" allowBlank="1" showInputMessage="1" showErrorMessage="1" sqref="C35" xr:uid="{77D72675-F536-41F5-9F3F-588BF6239409}">
      <formula1>$BG$35:$BJ$35</formula1>
    </dataValidation>
    <dataValidation type="list" allowBlank="1" showInputMessage="1" showErrorMessage="1" sqref="C16" xr:uid="{6CC409C9-DF32-4E9D-8CEA-944E459961C9}">
      <formula1>"Azure, AWS"</formula1>
    </dataValidation>
  </dataValidation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1A437-36BD-403F-8EBF-5AD341515178}">
  <sheetPr codeName="Sheet13"/>
  <dimension ref="A1:Z205"/>
  <sheetViews>
    <sheetView showGridLines="0" zoomScale="90" zoomScaleNormal="90" workbookViewId="0"/>
  </sheetViews>
  <sheetFormatPr defaultColWidth="8.7109375" defaultRowHeight="14.45" outlineLevelCol="1"/>
  <cols>
    <col min="1" max="1" width="1.42578125" style="56" customWidth="1"/>
    <col min="2" max="2" width="11.42578125" style="56" hidden="1" customWidth="1"/>
    <col min="3" max="3" width="26" style="120" hidden="1" customWidth="1" outlineLevel="1"/>
    <col min="4" max="4" width="24.42578125" style="120" bestFit="1" customWidth="1" outlineLevel="1"/>
    <col min="5" max="5" width="16.42578125" style="120" customWidth="1" outlineLevel="1"/>
    <col min="6" max="6" width="26.7109375" style="140" bestFit="1" customWidth="1" outlineLevel="1"/>
    <col min="7" max="7" width="45.42578125" style="120" customWidth="1" outlineLevel="1"/>
    <col min="8" max="8" width="22.140625" style="120" bestFit="1" customWidth="1" outlineLevel="1"/>
    <col min="9" max="9" width="14.28515625" style="216" bestFit="1" customWidth="1" outlineLevel="1"/>
    <col min="10" max="10" width="13.7109375" style="216" bestFit="1" customWidth="1" outlineLevel="1"/>
    <col min="11" max="11" width="11.42578125" style="56" bestFit="1" customWidth="1" outlineLevel="1"/>
    <col min="12" max="12" width="13.7109375" style="56" bestFit="1" customWidth="1" outlineLevel="1"/>
    <col min="13" max="14" width="20.140625" style="56" customWidth="1" outlineLevel="1"/>
    <col min="15" max="15" width="24" style="56" customWidth="1" outlineLevel="1"/>
    <col min="16" max="16" width="1.7109375" style="56" customWidth="1" outlineLevel="1"/>
    <col min="17" max="17" width="2" style="217" customWidth="1"/>
    <col min="18" max="18" width="1.42578125" style="56" customWidth="1"/>
    <col min="19" max="19" width="20.140625" style="217" customWidth="1" outlineLevel="1"/>
    <col min="20" max="20" width="26.7109375" style="217" customWidth="1" outlineLevel="1"/>
    <col min="21" max="21" width="22.7109375" style="217" customWidth="1" outlineLevel="1"/>
    <col min="22" max="22" width="14.42578125" style="56" customWidth="1" outlineLevel="1"/>
    <col min="23" max="23" width="46.7109375" style="56" customWidth="1" outlineLevel="1"/>
    <col min="24" max="24" width="3" style="56" customWidth="1" outlineLevel="1"/>
    <col min="25" max="16384" width="8.7109375" style="56"/>
  </cols>
  <sheetData>
    <row r="1" spans="1:24" ht="15" customHeight="1">
      <c r="A1" s="5"/>
      <c r="B1" s="5"/>
      <c r="C1" s="121"/>
      <c r="D1" s="121"/>
      <c r="E1" s="121"/>
      <c r="F1" s="218"/>
      <c r="G1" s="121"/>
      <c r="H1" s="121"/>
      <c r="I1" s="28"/>
      <c r="J1" s="219"/>
      <c r="K1" s="5"/>
      <c r="L1" s="5"/>
      <c r="M1" s="5"/>
      <c r="N1" s="5"/>
      <c r="O1" s="5"/>
      <c r="P1" s="5"/>
      <c r="Q1" s="220"/>
      <c r="R1" s="5"/>
      <c r="S1" s="221"/>
      <c r="T1" s="222"/>
      <c r="U1" s="223"/>
      <c r="V1" s="224"/>
      <c r="W1" s="224"/>
      <c r="X1" s="224"/>
    </row>
    <row r="2" spans="1:24" s="69" customFormat="1" ht="19.5" customHeight="1">
      <c r="A2" s="7"/>
      <c r="B2" s="7"/>
      <c r="C2" s="131"/>
      <c r="D2" s="131"/>
      <c r="E2" s="131"/>
      <c r="F2" s="225"/>
      <c r="G2" s="131"/>
      <c r="H2" s="131"/>
      <c r="I2" s="226" t="s">
        <v>993</v>
      </c>
      <c r="J2" s="227" t="s">
        <v>362</v>
      </c>
      <c r="K2" s="228">
        <f>SUM(K4:K4)</f>
        <v>0</v>
      </c>
      <c r="L2" s="229"/>
      <c r="M2" s="229"/>
      <c r="N2" s="230"/>
      <c r="O2" s="231">
        <f>SUM(O4:O203)</f>
        <v>0</v>
      </c>
      <c r="P2" s="7"/>
      <c r="Q2" s="232"/>
      <c r="R2" s="7"/>
      <c r="S2" s="233"/>
      <c r="T2" s="231">
        <f>SUM(T4:T203)</f>
        <v>0</v>
      </c>
      <c r="U2" s="231">
        <f>SUM(U4:U203)</f>
        <v>0</v>
      </c>
      <c r="V2" s="248">
        <f>IFERROR(1-O2/T2,0)</f>
        <v>0</v>
      </c>
      <c r="W2" s="230"/>
      <c r="X2" s="234"/>
    </row>
    <row r="3" spans="1:24" ht="15" customHeight="1">
      <c r="A3" s="5"/>
      <c r="B3" s="235" t="s">
        <v>994</v>
      </c>
      <c r="C3" s="235" t="s">
        <v>995</v>
      </c>
      <c r="D3" s="235" t="s">
        <v>996</v>
      </c>
      <c r="E3" s="235" t="s">
        <v>204</v>
      </c>
      <c r="F3" s="236" t="s">
        <v>997</v>
      </c>
      <c r="G3" s="235" t="s">
        <v>998</v>
      </c>
      <c r="H3" s="235" t="s">
        <v>999</v>
      </c>
      <c r="I3" s="237" t="s">
        <v>1000</v>
      </c>
      <c r="J3" s="237" t="s">
        <v>1001</v>
      </c>
      <c r="K3" s="29" t="s">
        <v>108</v>
      </c>
      <c r="L3" s="8" t="s">
        <v>1002</v>
      </c>
      <c r="M3" s="8" t="s">
        <v>424</v>
      </c>
      <c r="N3" s="8" t="s">
        <v>1003</v>
      </c>
      <c r="O3" s="8" t="s">
        <v>1004</v>
      </c>
      <c r="P3" s="5"/>
      <c r="Q3" s="220"/>
      <c r="R3" s="5"/>
      <c r="S3" s="30" t="s">
        <v>1005</v>
      </c>
      <c r="T3" s="30" t="s">
        <v>1006</v>
      </c>
      <c r="U3" s="30" t="s">
        <v>1007</v>
      </c>
      <c r="V3" s="30" t="s">
        <v>1008</v>
      </c>
      <c r="W3" s="30" t="s">
        <v>418</v>
      </c>
      <c r="X3" s="224"/>
    </row>
    <row r="4" spans="1:24" ht="15" customHeight="1">
      <c r="A4" s="5"/>
      <c r="B4" s="238"/>
      <c r="C4" s="239" t="str">
        <f>_xlfn.CONCAT(F4,I4,"-",IF(AND(K4&gt;=10,K4&lt;50),10,IF(AND(K4&gt;=50,K4&lt;100),50,IF(AND(K4&gt;=100),100,0))))</f>
        <v>Seleccione un VendorNo-0</v>
      </c>
      <c r="D4" s="139" t="str">
        <f>CMSResumen!G3</f>
        <v>Nombre de Suscripcion 1</v>
      </c>
      <c r="E4" s="215"/>
      <c r="F4" s="240" t="str">
        <f>IF(E4="AWS",IFERROR(INDEX(CMSAzureAWS!C:C,MATCH(CMSRecursos!G4,CMSAzureAWS!E:E,0)),0),IF(E4="Azure",IFERROR(INDEX(CMSAzureAWS!C:C,MATCH(CMSRecursos!G4,CMSAzureAWS!G:G,0)),0),"Seleccione un Vendor"))</f>
        <v>Seleccione un Vendor</v>
      </c>
      <c r="G4" s="215"/>
      <c r="H4" s="241" t="str">
        <f>IF(E4="AWS",IFERROR(INDEX(CMSAzureAWS!D:D,MATCH(CMSRecursos!G4,CMSAzureAWS!E:E,0)),0),IF(E4="Azure",IFERROR(INDEX(CMSAzureAWS!D:D,MATCH(CMSRecursos!G4,CMSAzureAWS!G:G,0)),0),"Seleccione un Vendor"))</f>
        <v>Seleccione un Vendor</v>
      </c>
      <c r="I4" s="245" t="s">
        <v>1009</v>
      </c>
      <c r="J4" s="245" t="s">
        <v>1009</v>
      </c>
      <c r="K4" s="246">
        <v>0</v>
      </c>
      <c r="L4" s="242" cm="1">
        <f t="array" ref="L4">IFERROR(IF(I4="Si", INDEX(CMSDescuento!$E$23:$E$26, MATCH(1, (CMSDescuento!$C$23:$C$26&lt;=CMSRecursos!K4) * (CMSDescuento!$D$23:$D$26&gt;=CMSRecursos!K4), 0)), 0),0)</f>
        <v>0</v>
      </c>
      <c r="M4" s="241" cm="1">
        <f t="array" ref="M4">IFERROR(INDEX(CMSDescuento!$D$2:$D$7, MATCH(1, (CMSDescuento!$B$2:$B$7=CMSRecursos!F4) * (CMSDescuento!$C$2:$C$7=CMSRecursos!I4), 0)),0)</f>
        <v>0</v>
      </c>
      <c r="N4" s="241">
        <f>M4*(1-L4)</f>
        <v>0</v>
      </c>
      <c r="O4" s="241">
        <f>IF(OR(H4="Base",J4="No"),0,K4*N4)</f>
        <v>0</v>
      </c>
      <c r="P4" s="7"/>
      <c r="Q4" s="232"/>
      <c r="R4" s="7"/>
      <c r="S4" s="243">
        <f>N4/(1-CMSResumen!H21)</f>
        <v>0</v>
      </c>
      <c r="T4" s="244">
        <f>IF(OR(H4="Base",J4="No"),0,K4*S4)</f>
        <v>0</v>
      </c>
      <c r="U4" s="244">
        <f>T4-O4</f>
        <v>0</v>
      </c>
      <c r="V4" s="242">
        <f>IFERROR(1-O4/T4,0)</f>
        <v>0</v>
      </c>
      <c r="W4" s="247"/>
      <c r="X4" s="224"/>
    </row>
    <row r="5" spans="1:24" ht="15" customHeight="1">
      <c r="A5" s="5"/>
      <c r="B5" s="238"/>
      <c r="C5" s="239" t="str">
        <f>_xlfn.CONCAT(F5,I5,"-",IF(AND(K5&gt;=10,K5&lt;50),10,IF(AND(K5&gt;=50,K5&lt;100),50,IF(AND(K5&gt;=100),100,0))))</f>
        <v>Seleccione un VendorNo-0</v>
      </c>
      <c r="D5" s="139"/>
      <c r="E5" s="215"/>
      <c r="F5" s="240" t="str">
        <f>IF(E5="AWS",IFERROR(INDEX(CMSAzureAWS!C:C,MATCH(CMSRecursos!G5,CMSAzureAWS!E:E,0)),0),IF(E5="Azure",IFERROR(INDEX(CMSAzureAWS!C:C,MATCH(CMSRecursos!G5,CMSAzureAWS!G:G,0)),0),"Seleccione un Vendor"))</f>
        <v>Seleccione un Vendor</v>
      </c>
      <c r="G5" s="215"/>
      <c r="H5" s="241" t="str">
        <f>IF(E5="AWS",IFERROR(INDEX(CMSAzureAWS!D:D,MATCH(CMSRecursos!G5,CMSAzureAWS!E:E,0)),0),IF(E5="Azure",IFERROR(INDEX(CMSAzureAWS!D:D,MATCH(CMSRecursos!G5,CMSAzureAWS!G:G,0)),0),"Seleccione un Vendor"))</f>
        <v>Seleccione un Vendor</v>
      </c>
      <c r="I5" s="245" t="s">
        <v>1009</v>
      </c>
      <c r="J5" s="245" t="s">
        <v>1009</v>
      </c>
      <c r="K5" s="246">
        <v>0</v>
      </c>
      <c r="L5" s="242" cm="1">
        <f t="array" ref="L5">IFERROR(IF(I5="Si", INDEX(CMSDescuento!$E$23:$E$26, MATCH(1, (CMSDescuento!$C$23:$C$26&lt;=CMSRecursos!K5) * (CMSDescuento!$D$23:$D$26&gt;=CMSRecursos!K5), 0)), 0),0)</f>
        <v>0</v>
      </c>
      <c r="M5" s="241" cm="1">
        <f t="array" ref="M5">IFERROR(INDEX(CMSDescuento!$D$2:$D$7, MATCH(1, (CMSDescuento!$B$2:$B$7=CMSRecursos!F5) * (CMSDescuento!$C$2:$C$7=CMSRecursos!I5), 0)),0)</f>
        <v>0</v>
      </c>
      <c r="N5" s="241">
        <f t="shared" ref="N5" si="0">M5*(1-L5)</f>
        <v>0</v>
      </c>
      <c r="O5" s="241">
        <f t="shared" ref="O5:O68" si="1">IF(OR(H5="Base",J5="No"),0,K5*N5)</f>
        <v>0</v>
      </c>
      <c r="P5" s="7"/>
      <c r="Q5" s="232"/>
      <c r="R5" s="7"/>
      <c r="S5" s="243">
        <f>N5/(1-CMSResumen!H21)</f>
        <v>0</v>
      </c>
      <c r="T5" s="244">
        <f t="shared" ref="T5:T68" si="2">IF(OR(H5="Base",J5="No"),0,K5*S5)</f>
        <v>0</v>
      </c>
      <c r="U5" s="244">
        <f t="shared" ref="U5:U68" si="3">T5-O5</f>
        <v>0</v>
      </c>
      <c r="V5" s="242">
        <f t="shared" ref="V5:V68" si="4">IFERROR(1-O5/T5,0)</f>
        <v>0</v>
      </c>
      <c r="W5" s="247"/>
      <c r="X5" s="224"/>
    </row>
    <row r="6" spans="1:24" ht="15" customHeight="1">
      <c r="A6" s="5"/>
      <c r="B6" s="238"/>
      <c r="C6" s="239"/>
      <c r="D6" s="139"/>
      <c r="E6" s="215"/>
      <c r="F6" s="240" t="str">
        <f>IF(E6="AWS",IFERROR(INDEX(CMSAzureAWS!C:C,MATCH(CMSRecursos!G6,CMSAzureAWS!E:E,0)),0),IF(E6="Azure",IFERROR(INDEX(CMSAzureAWS!C:C,MATCH(CMSRecursos!G6,CMSAzureAWS!G:G,0)),0),"Seleccione un Vendor"))</f>
        <v>Seleccione un Vendor</v>
      </c>
      <c r="G6" s="215"/>
      <c r="H6" s="241" t="str">
        <f>IF(E6="AWS",IFERROR(INDEX(CMSAzureAWS!D:D,MATCH(CMSRecursos!G6,CMSAzureAWS!E:E,0)),0),IF(E6="Azure",IFERROR(INDEX(CMSAzureAWS!D:D,MATCH(CMSRecursos!G6,CMSAzureAWS!G:G,0)),0),"Seleccione un Vendor"))</f>
        <v>Seleccione un Vendor</v>
      </c>
      <c r="I6" s="245" t="s">
        <v>1009</v>
      </c>
      <c r="J6" s="245" t="s">
        <v>1009</v>
      </c>
      <c r="K6" s="246">
        <v>0</v>
      </c>
      <c r="L6" s="242" cm="1">
        <f t="array" ref="L6">IFERROR(IF(I6="Si", INDEX(CMSDescuento!$E$23:$E$26, MATCH(1, (CMSDescuento!$C$23:$C$26&lt;=CMSRecursos!K6) * (CMSDescuento!$D$23:$D$26&gt;=CMSRecursos!K6), 0)), 0),0)</f>
        <v>0</v>
      </c>
      <c r="M6" s="241" cm="1">
        <f t="array" ref="M6">IFERROR(INDEX(CMSDescuento!$D$2:$D$7, MATCH(1, (CMSDescuento!$B$2:$B$7=CMSRecursos!F6) * (CMSDescuento!$C$2:$C$7=CMSRecursos!I6), 0)),0)</f>
        <v>0</v>
      </c>
      <c r="N6" s="241">
        <f t="shared" ref="N6:N69" si="5">M6*(1-L6)</f>
        <v>0</v>
      </c>
      <c r="O6" s="241">
        <f t="shared" si="1"/>
        <v>0</v>
      </c>
      <c r="P6" s="7"/>
      <c r="Q6" s="232"/>
      <c r="R6" s="7"/>
      <c r="S6" s="243">
        <f>N6/(1-CMSResumen!H21)</f>
        <v>0</v>
      </c>
      <c r="T6" s="244">
        <f t="shared" si="2"/>
        <v>0</v>
      </c>
      <c r="U6" s="244">
        <f t="shared" si="3"/>
        <v>0</v>
      </c>
      <c r="V6" s="242">
        <f t="shared" si="4"/>
        <v>0</v>
      </c>
      <c r="W6" s="247"/>
      <c r="X6" s="224"/>
    </row>
    <row r="7" spans="1:24" ht="15" customHeight="1">
      <c r="A7" s="5"/>
      <c r="B7" s="238"/>
      <c r="C7" s="239"/>
      <c r="D7" s="139"/>
      <c r="E7" s="215"/>
      <c r="F7" s="240" t="str">
        <f>IF(E7="AWS",IFERROR(INDEX(CMSAzureAWS!C:C,MATCH(CMSRecursos!G7,CMSAzureAWS!E:E,0)),0),IF(E7="Azure",IFERROR(INDEX(CMSAzureAWS!C:C,MATCH(CMSRecursos!G7,CMSAzureAWS!G:G,0)),0),"Seleccione un Vendor"))</f>
        <v>Seleccione un Vendor</v>
      </c>
      <c r="G7" s="215"/>
      <c r="H7" s="241" t="str">
        <f>IF(E7="AWS",IFERROR(INDEX(CMSAzureAWS!D:D,MATCH(CMSRecursos!G7,CMSAzureAWS!E:E,0)),0),IF(E7="Azure",IFERROR(INDEX(CMSAzureAWS!D:D,MATCH(CMSRecursos!G7,CMSAzureAWS!G:G,0)),0),"Seleccione un Vendor"))</f>
        <v>Seleccione un Vendor</v>
      </c>
      <c r="I7" s="245" t="s">
        <v>1009</v>
      </c>
      <c r="J7" s="245" t="s">
        <v>1009</v>
      </c>
      <c r="K7" s="246">
        <v>0</v>
      </c>
      <c r="L7" s="242" cm="1">
        <f t="array" ref="L7">IFERROR(IF(I7="Si", INDEX(CMSDescuento!$E$23:$E$26, MATCH(1, (CMSDescuento!$C$23:$C$26&lt;=CMSRecursos!K7) * (CMSDescuento!$D$23:$D$26&gt;=CMSRecursos!K7), 0)), 0),0)</f>
        <v>0</v>
      </c>
      <c r="M7" s="241" cm="1">
        <f t="array" ref="M7">IFERROR(INDEX(CMSDescuento!$D$2:$D$7, MATCH(1, (CMSDescuento!$B$2:$B$7=CMSRecursos!F7) * (CMSDescuento!$C$2:$C$7=CMSRecursos!I7), 0)),0)</f>
        <v>0</v>
      </c>
      <c r="N7" s="241">
        <f t="shared" si="5"/>
        <v>0</v>
      </c>
      <c r="O7" s="241">
        <f t="shared" si="1"/>
        <v>0</v>
      </c>
      <c r="P7" s="7"/>
      <c r="Q7" s="232"/>
      <c r="R7" s="7"/>
      <c r="S7" s="243">
        <f>N7/(1-CMSResumen!H21)</f>
        <v>0</v>
      </c>
      <c r="T7" s="244">
        <f t="shared" si="2"/>
        <v>0</v>
      </c>
      <c r="U7" s="244">
        <f t="shared" si="3"/>
        <v>0</v>
      </c>
      <c r="V7" s="242">
        <f t="shared" si="4"/>
        <v>0</v>
      </c>
      <c r="W7" s="247"/>
      <c r="X7" s="224"/>
    </row>
    <row r="8" spans="1:24" ht="15" customHeight="1">
      <c r="A8" s="5"/>
      <c r="B8" s="238"/>
      <c r="C8" s="239"/>
      <c r="D8" s="139"/>
      <c r="E8" s="215"/>
      <c r="F8" s="240" t="str">
        <f>IF(E8="AWS",IFERROR(INDEX(CMSAzureAWS!C:C,MATCH(CMSRecursos!G8,CMSAzureAWS!E:E,0)),0),IF(E8="Azure",IFERROR(INDEX(CMSAzureAWS!C:C,MATCH(CMSRecursos!G8,CMSAzureAWS!G:G,0)),0),"Seleccione un Vendor"))</f>
        <v>Seleccione un Vendor</v>
      </c>
      <c r="G8" s="215"/>
      <c r="H8" s="241" t="str">
        <f>IF(E8="AWS",IFERROR(INDEX(CMSAzureAWS!D:D,MATCH(CMSRecursos!G8,CMSAzureAWS!E:E,0)),0),IF(E8="Azure",IFERROR(INDEX(CMSAzureAWS!D:D,MATCH(CMSRecursos!G8,CMSAzureAWS!G:G,0)),0),"Seleccione un Vendor"))</f>
        <v>Seleccione un Vendor</v>
      </c>
      <c r="I8" s="245" t="s">
        <v>1009</v>
      </c>
      <c r="J8" s="245" t="s">
        <v>1009</v>
      </c>
      <c r="K8" s="246">
        <v>0</v>
      </c>
      <c r="L8" s="242" cm="1">
        <f t="array" ref="L8">IFERROR(IF(I8="Si", INDEX(CMSDescuento!$E$23:$E$26, MATCH(1, (CMSDescuento!$C$23:$C$26&lt;=CMSRecursos!K8) * (CMSDescuento!$D$23:$D$26&gt;=CMSRecursos!K8), 0)), 0),0)</f>
        <v>0</v>
      </c>
      <c r="M8" s="241" cm="1">
        <f t="array" ref="M8">IFERROR(INDEX(CMSDescuento!$D$2:$D$7, MATCH(1, (CMSDescuento!$B$2:$B$7=CMSRecursos!F8) * (CMSDescuento!$C$2:$C$7=CMSRecursos!I8), 0)),0)</f>
        <v>0</v>
      </c>
      <c r="N8" s="241">
        <f t="shared" si="5"/>
        <v>0</v>
      </c>
      <c r="O8" s="241">
        <f t="shared" si="1"/>
        <v>0</v>
      </c>
      <c r="P8" s="7"/>
      <c r="Q8" s="232"/>
      <c r="R8" s="7"/>
      <c r="S8" s="243">
        <f>N8/(1-CMSResumen!H21)</f>
        <v>0</v>
      </c>
      <c r="T8" s="244">
        <f t="shared" si="2"/>
        <v>0</v>
      </c>
      <c r="U8" s="244">
        <f t="shared" si="3"/>
        <v>0</v>
      </c>
      <c r="V8" s="242">
        <f t="shared" si="4"/>
        <v>0</v>
      </c>
      <c r="W8" s="247"/>
      <c r="X8" s="224"/>
    </row>
    <row r="9" spans="1:24" ht="15" customHeight="1">
      <c r="A9" s="5"/>
      <c r="B9" s="238"/>
      <c r="C9" s="239"/>
      <c r="D9" s="139"/>
      <c r="E9" s="215"/>
      <c r="F9" s="240" t="str">
        <f>IF(E9="AWS",IFERROR(INDEX(CMSAzureAWS!C:C,MATCH(CMSRecursos!G9,CMSAzureAWS!E:E,0)),0),IF(E9="Azure",IFERROR(INDEX(CMSAzureAWS!C:C,MATCH(CMSRecursos!G9,CMSAzureAWS!G:G,0)),0),"Seleccione un Vendor"))</f>
        <v>Seleccione un Vendor</v>
      </c>
      <c r="G9" s="215"/>
      <c r="H9" s="241" t="str">
        <f>IF(E9="AWS",IFERROR(INDEX(CMSAzureAWS!D:D,MATCH(CMSRecursos!G9,CMSAzureAWS!E:E,0)),0),IF(E9="Azure",IFERROR(INDEX(CMSAzureAWS!D:D,MATCH(CMSRecursos!G9,CMSAzureAWS!G:G,0)),0),"Seleccione un Vendor"))</f>
        <v>Seleccione un Vendor</v>
      </c>
      <c r="I9" s="245" t="s">
        <v>1009</v>
      </c>
      <c r="J9" s="245" t="s">
        <v>1009</v>
      </c>
      <c r="K9" s="246">
        <v>0</v>
      </c>
      <c r="L9" s="242" cm="1">
        <f t="array" ref="L9">IFERROR(IF(I9="Si", INDEX(CMSDescuento!$E$23:$E$26, MATCH(1, (CMSDescuento!$C$23:$C$26&lt;=CMSRecursos!K9) * (CMSDescuento!$D$23:$D$26&gt;=CMSRecursos!K9), 0)), 0),0)</f>
        <v>0</v>
      </c>
      <c r="M9" s="241" cm="1">
        <f t="array" ref="M9">IFERROR(INDEX(CMSDescuento!$D$2:$D$7, MATCH(1, (CMSDescuento!$B$2:$B$7=CMSRecursos!F9) * (CMSDescuento!$C$2:$C$7=CMSRecursos!I9), 0)),0)</f>
        <v>0</v>
      </c>
      <c r="N9" s="241">
        <f t="shared" si="5"/>
        <v>0</v>
      </c>
      <c r="O9" s="241">
        <f t="shared" si="1"/>
        <v>0</v>
      </c>
      <c r="P9" s="7"/>
      <c r="Q9" s="232"/>
      <c r="R9" s="7"/>
      <c r="S9" s="243">
        <f>N9/(1-CMSResumen!H21)</f>
        <v>0</v>
      </c>
      <c r="T9" s="244">
        <f t="shared" si="2"/>
        <v>0</v>
      </c>
      <c r="U9" s="244">
        <f t="shared" si="3"/>
        <v>0</v>
      </c>
      <c r="V9" s="242">
        <f t="shared" si="4"/>
        <v>0</v>
      </c>
      <c r="W9" s="247"/>
      <c r="X9" s="224"/>
    </row>
    <row r="10" spans="1:24" ht="15" customHeight="1">
      <c r="A10" s="5"/>
      <c r="B10" s="238"/>
      <c r="C10" s="239"/>
      <c r="D10" s="139"/>
      <c r="E10" s="215"/>
      <c r="F10" s="240" t="str">
        <f>IF(E10="AWS",IFERROR(INDEX(CMSAzureAWS!C:C,MATCH(CMSRecursos!G10,CMSAzureAWS!E:E,0)),0),IF(E10="Azure",IFERROR(INDEX(CMSAzureAWS!C:C,MATCH(CMSRecursos!G10,CMSAzureAWS!G:G,0)),0),"Seleccione un Vendor"))</f>
        <v>Seleccione un Vendor</v>
      </c>
      <c r="G10" s="215"/>
      <c r="H10" s="241" t="str">
        <f>IF(E10="AWS",IFERROR(INDEX(CMSAzureAWS!D:D,MATCH(CMSRecursos!G10,CMSAzureAWS!E:E,0)),0),IF(E10="Azure",IFERROR(INDEX(CMSAzureAWS!D:D,MATCH(CMSRecursos!G10,CMSAzureAWS!G:G,0)),0),"Seleccione un Vendor"))</f>
        <v>Seleccione un Vendor</v>
      </c>
      <c r="I10" s="245" t="s">
        <v>1009</v>
      </c>
      <c r="J10" s="245" t="s">
        <v>1009</v>
      </c>
      <c r="K10" s="246">
        <v>0</v>
      </c>
      <c r="L10" s="242" cm="1">
        <f t="array" ref="L10">IFERROR(IF(I10="Si", INDEX(CMSDescuento!$E$23:$E$26, MATCH(1, (CMSDescuento!$C$23:$C$26&lt;=CMSRecursos!K10) * (CMSDescuento!$D$23:$D$26&gt;=CMSRecursos!K10), 0)), 0),0)</f>
        <v>0</v>
      </c>
      <c r="M10" s="241" cm="1">
        <f t="array" ref="M10">IFERROR(INDEX(CMSDescuento!$D$2:$D$7, MATCH(1, (CMSDescuento!$B$2:$B$7=CMSRecursos!F10) * (CMSDescuento!$C$2:$C$7=CMSRecursos!I10), 0)),0)</f>
        <v>0</v>
      </c>
      <c r="N10" s="241">
        <f t="shared" si="5"/>
        <v>0</v>
      </c>
      <c r="O10" s="241">
        <f t="shared" si="1"/>
        <v>0</v>
      </c>
      <c r="P10" s="7"/>
      <c r="Q10" s="232"/>
      <c r="R10" s="7"/>
      <c r="S10" s="243">
        <f>N10/(1-CMSResumen!H21)</f>
        <v>0</v>
      </c>
      <c r="T10" s="244">
        <f t="shared" si="2"/>
        <v>0</v>
      </c>
      <c r="U10" s="244">
        <f t="shared" si="3"/>
        <v>0</v>
      </c>
      <c r="V10" s="242">
        <f t="shared" si="4"/>
        <v>0</v>
      </c>
      <c r="W10" s="247"/>
      <c r="X10" s="224"/>
    </row>
    <row r="11" spans="1:24" ht="15" customHeight="1">
      <c r="A11" s="5"/>
      <c r="B11" s="238"/>
      <c r="C11" s="239"/>
      <c r="D11" s="139"/>
      <c r="E11" s="215"/>
      <c r="F11" s="240" t="str">
        <f>IF(E11="AWS",IFERROR(INDEX(CMSAzureAWS!C:C,MATCH(CMSRecursos!G11,CMSAzureAWS!E:E,0)),0),IF(E11="Azure",IFERROR(INDEX(CMSAzureAWS!C:C,MATCH(CMSRecursos!G11,CMSAzureAWS!G:G,0)),0),"Seleccione un Vendor"))</f>
        <v>Seleccione un Vendor</v>
      </c>
      <c r="G11" s="215"/>
      <c r="H11" s="241" t="str">
        <f>IF(E11="AWS",IFERROR(INDEX(CMSAzureAWS!D:D,MATCH(CMSRecursos!G11,CMSAzureAWS!E:E,0)),0),IF(E11="Azure",IFERROR(INDEX(CMSAzureAWS!D:D,MATCH(CMSRecursos!G11,CMSAzureAWS!G:G,0)),0),"Seleccione un Vendor"))</f>
        <v>Seleccione un Vendor</v>
      </c>
      <c r="I11" s="245" t="s">
        <v>1009</v>
      </c>
      <c r="J11" s="245" t="s">
        <v>1009</v>
      </c>
      <c r="K11" s="246">
        <v>0</v>
      </c>
      <c r="L11" s="242" cm="1">
        <f t="array" ref="L11">IFERROR(IF(I11="Si", INDEX(CMSDescuento!$E$23:$E$26, MATCH(1, (CMSDescuento!$C$23:$C$26&lt;=CMSRecursos!K11) * (CMSDescuento!$D$23:$D$26&gt;=CMSRecursos!K11), 0)), 0),0)</f>
        <v>0</v>
      </c>
      <c r="M11" s="241" cm="1">
        <f t="array" ref="M11">IFERROR(INDEX(CMSDescuento!$D$2:$D$7, MATCH(1, (CMSDescuento!$B$2:$B$7=CMSRecursos!F11) * (CMSDescuento!$C$2:$C$7=CMSRecursos!I11), 0)),0)</f>
        <v>0</v>
      </c>
      <c r="N11" s="241">
        <f t="shared" si="5"/>
        <v>0</v>
      </c>
      <c r="O11" s="241">
        <f t="shared" si="1"/>
        <v>0</v>
      </c>
      <c r="P11" s="7"/>
      <c r="Q11" s="232"/>
      <c r="R11" s="7"/>
      <c r="S11" s="243">
        <f>N11/(1-CMSResumen!H21)</f>
        <v>0</v>
      </c>
      <c r="T11" s="244">
        <f t="shared" si="2"/>
        <v>0</v>
      </c>
      <c r="U11" s="244">
        <f t="shared" si="3"/>
        <v>0</v>
      </c>
      <c r="V11" s="242">
        <f t="shared" si="4"/>
        <v>0</v>
      </c>
      <c r="W11" s="247"/>
      <c r="X11" s="224"/>
    </row>
    <row r="12" spans="1:24" ht="15" customHeight="1">
      <c r="A12" s="5"/>
      <c r="B12" s="238"/>
      <c r="C12" s="239"/>
      <c r="D12" s="139"/>
      <c r="E12" s="215"/>
      <c r="F12" s="240" t="str">
        <f>IF(E12="AWS",IFERROR(INDEX(CMSAzureAWS!C:C,MATCH(CMSRecursos!G12,CMSAzureAWS!E:E,0)),0),IF(E12="Azure",IFERROR(INDEX(CMSAzureAWS!C:C,MATCH(CMSRecursos!G12,CMSAzureAWS!G:G,0)),0),"Seleccione un Vendor"))</f>
        <v>Seleccione un Vendor</v>
      </c>
      <c r="G12" s="215"/>
      <c r="H12" s="241" t="str">
        <f>IF(E12="AWS",IFERROR(INDEX(CMSAzureAWS!D:D,MATCH(CMSRecursos!G12,CMSAzureAWS!E:E,0)),0),IF(E12="Azure",IFERROR(INDEX(CMSAzureAWS!D:D,MATCH(CMSRecursos!G12,CMSAzureAWS!G:G,0)),0),"Seleccione un Vendor"))</f>
        <v>Seleccione un Vendor</v>
      </c>
      <c r="I12" s="245" t="s">
        <v>1009</v>
      </c>
      <c r="J12" s="245" t="s">
        <v>1009</v>
      </c>
      <c r="K12" s="246">
        <v>0</v>
      </c>
      <c r="L12" s="242" cm="1">
        <f t="array" ref="L12">IFERROR(IF(I12="Si", INDEX(CMSDescuento!$E$23:$E$26, MATCH(1, (CMSDescuento!$C$23:$C$26&lt;=CMSRecursos!K12) * (CMSDescuento!$D$23:$D$26&gt;=CMSRecursos!K12), 0)), 0),0)</f>
        <v>0</v>
      </c>
      <c r="M12" s="241" cm="1">
        <f t="array" ref="M12">IFERROR(INDEX(CMSDescuento!$D$2:$D$7, MATCH(1, (CMSDescuento!$B$2:$B$7=CMSRecursos!F12) * (CMSDescuento!$C$2:$C$7=CMSRecursos!I12), 0)),0)</f>
        <v>0</v>
      </c>
      <c r="N12" s="241">
        <f t="shared" si="5"/>
        <v>0</v>
      </c>
      <c r="O12" s="241">
        <f t="shared" si="1"/>
        <v>0</v>
      </c>
      <c r="P12" s="7"/>
      <c r="Q12" s="232"/>
      <c r="R12" s="7"/>
      <c r="S12" s="243">
        <f>N12/(1-CMSResumen!H21)</f>
        <v>0</v>
      </c>
      <c r="T12" s="244">
        <f t="shared" si="2"/>
        <v>0</v>
      </c>
      <c r="U12" s="244">
        <f t="shared" si="3"/>
        <v>0</v>
      </c>
      <c r="V12" s="242">
        <f t="shared" si="4"/>
        <v>0</v>
      </c>
      <c r="W12" s="247"/>
      <c r="X12" s="224"/>
    </row>
    <row r="13" spans="1:24" ht="15" customHeight="1">
      <c r="A13" s="5"/>
      <c r="B13" s="238"/>
      <c r="C13" s="239"/>
      <c r="D13" s="139"/>
      <c r="E13" s="215"/>
      <c r="F13" s="240" t="str">
        <f>IF(E13="AWS",IFERROR(INDEX(CMSAzureAWS!C:C,MATCH(CMSRecursos!G13,CMSAzureAWS!E:E,0)),0),IF(E13="Azure",IFERROR(INDEX(CMSAzureAWS!C:C,MATCH(CMSRecursos!G13,CMSAzureAWS!G:G,0)),0),"Seleccione un Vendor"))</f>
        <v>Seleccione un Vendor</v>
      </c>
      <c r="G13" s="215"/>
      <c r="H13" s="241" t="str">
        <f>IF(E13="AWS",IFERROR(INDEX(CMSAzureAWS!D:D,MATCH(CMSRecursos!G13,CMSAzureAWS!E:E,0)),0),IF(E13="Azure",IFERROR(INDEX(CMSAzureAWS!D:D,MATCH(CMSRecursos!G13,CMSAzureAWS!G:G,0)),0),"Seleccione un Vendor"))</f>
        <v>Seleccione un Vendor</v>
      </c>
      <c r="I13" s="245" t="s">
        <v>1009</v>
      </c>
      <c r="J13" s="245" t="s">
        <v>1009</v>
      </c>
      <c r="K13" s="246">
        <v>0</v>
      </c>
      <c r="L13" s="242" cm="1">
        <f t="array" ref="L13">IFERROR(IF(I13="Si", INDEX(CMSDescuento!$E$23:$E$26, MATCH(1, (CMSDescuento!$C$23:$C$26&lt;=CMSRecursos!K13) * (CMSDescuento!$D$23:$D$26&gt;=CMSRecursos!K13), 0)), 0),0)</f>
        <v>0</v>
      </c>
      <c r="M13" s="241" cm="1">
        <f t="array" ref="M13">IFERROR(INDEX(CMSDescuento!$D$2:$D$7, MATCH(1, (CMSDescuento!$B$2:$B$7=CMSRecursos!F13) * (CMSDescuento!$C$2:$C$7=CMSRecursos!I13), 0)),0)</f>
        <v>0</v>
      </c>
      <c r="N13" s="241">
        <f t="shared" si="5"/>
        <v>0</v>
      </c>
      <c r="O13" s="241">
        <f t="shared" si="1"/>
        <v>0</v>
      </c>
      <c r="P13" s="7"/>
      <c r="Q13" s="232"/>
      <c r="R13" s="7"/>
      <c r="S13" s="243">
        <f>N13/(1-CMSResumen!H21)</f>
        <v>0</v>
      </c>
      <c r="T13" s="244">
        <f t="shared" si="2"/>
        <v>0</v>
      </c>
      <c r="U13" s="244">
        <f t="shared" si="3"/>
        <v>0</v>
      </c>
      <c r="V13" s="242">
        <f t="shared" si="4"/>
        <v>0</v>
      </c>
      <c r="W13" s="247"/>
      <c r="X13" s="224"/>
    </row>
    <row r="14" spans="1:24" ht="15" customHeight="1">
      <c r="A14" s="5"/>
      <c r="B14" s="238"/>
      <c r="C14" s="239"/>
      <c r="D14" s="139"/>
      <c r="E14" s="215"/>
      <c r="F14" s="240" t="str">
        <f>IF(E14="AWS",IFERROR(INDEX(CMSAzureAWS!C:C,MATCH(CMSRecursos!G14,CMSAzureAWS!E:E,0)),0),IF(E14="Azure",IFERROR(INDEX(CMSAzureAWS!C:C,MATCH(CMSRecursos!G14,CMSAzureAWS!G:G,0)),0),"Seleccione un Vendor"))</f>
        <v>Seleccione un Vendor</v>
      </c>
      <c r="G14" s="215"/>
      <c r="H14" s="241" t="str">
        <f>IF(E14="AWS",IFERROR(INDEX(CMSAzureAWS!D:D,MATCH(CMSRecursos!G14,CMSAzureAWS!E:E,0)),0),IF(E14="Azure",IFERROR(INDEX(CMSAzureAWS!D:D,MATCH(CMSRecursos!G14,CMSAzureAWS!G:G,0)),0),"Seleccione un Vendor"))</f>
        <v>Seleccione un Vendor</v>
      </c>
      <c r="I14" s="245" t="s">
        <v>1009</v>
      </c>
      <c r="J14" s="245" t="s">
        <v>1009</v>
      </c>
      <c r="K14" s="246">
        <v>0</v>
      </c>
      <c r="L14" s="242" cm="1">
        <f t="array" ref="L14">IFERROR(IF(I14="Si", INDEX(CMSDescuento!$E$23:$E$26, MATCH(1, (CMSDescuento!$C$23:$C$26&lt;=CMSRecursos!K14) * (CMSDescuento!$D$23:$D$26&gt;=CMSRecursos!K14), 0)), 0),0)</f>
        <v>0</v>
      </c>
      <c r="M14" s="241" cm="1">
        <f t="array" ref="M14">IFERROR(INDEX(CMSDescuento!$D$2:$D$7, MATCH(1, (CMSDescuento!$B$2:$B$7=CMSRecursos!F14) * (CMSDescuento!$C$2:$C$7=CMSRecursos!I14), 0)),0)</f>
        <v>0</v>
      </c>
      <c r="N14" s="241">
        <f t="shared" si="5"/>
        <v>0</v>
      </c>
      <c r="O14" s="241">
        <f t="shared" si="1"/>
        <v>0</v>
      </c>
      <c r="P14" s="7"/>
      <c r="Q14" s="232"/>
      <c r="R14" s="7"/>
      <c r="S14" s="243">
        <f>N14/(1-CMSResumen!H21)</f>
        <v>0</v>
      </c>
      <c r="T14" s="244">
        <f t="shared" si="2"/>
        <v>0</v>
      </c>
      <c r="U14" s="244">
        <f t="shared" si="3"/>
        <v>0</v>
      </c>
      <c r="V14" s="242">
        <f t="shared" si="4"/>
        <v>0</v>
      </c>
      <c r="W14" s="247"/>
      <c r="X14" s="224"/>
    </row>
    <row r="15" spans="1:24" ht="15" customHeight="1">
      <c r="A15" s="5"/>
      <c r="B15" s="238"/>
      <c r="C15" s="239"/>
      <c r="D15" s="139"/>
      <c r="E15" s="215"/>
      <c r="F15" s="240" t="str">
        <f>IF(E15="AWS",IFERROR(INDEX(CMSAzureAWS!C:C,MATCH(CMSRecursos!G15,CMSAzureAWS!E:E,0)),0),IF(E15="Azure",IFERROR(INDEX(CMSAzureAWS!C:C,MATCH(CMSRecursos!G15,CMSAzureAWS!G:G,0)),0),"Seleccione un Vendor"))</f>
        <v>Seleccione un Vendor</v>
      </c>
      <c r="G15" s="215"/>
      <c r="H15" s="241" t="str">
        <f>IF(E15="AWS",IFERROR(INDEX(CMSAzureAWS!D:D,MATCH(CMSRecursos!G15,CMSAzureAWS!E:E,0)),0),IF(E15="Azure",IFERROR(INDEX(CMSAzureAWS!D:D,MATCH(CMSRecursos!G15,CMSAzureAWS!G:G,0)),0),"Seleccione un Vendor"))</f>
        <v>Seleccione un Vendor</v>
      </c>
      <c r="I15" s="245" t="s">
        <v>1009</v>
      </c>
      <c r="J15" s="245" t="s">
        <v>1009</v>
      </c>
      <c r="K15" s="246">
        <v>0</v>
      </c>
      <c r="L15" s="242" cm="1">
        <f t="array" ref="L15">IFERROR(IF(I15="Si", INDEX(CMSDescuento!$E$23:$E$26, MATCH(1, (CMSDescuento!$C$23:$C$26&lt;=CMSRecursos!K15) * (CMSDescuento!$D$23:$D$26&gt;=CMSRecursos!K15), 0)), 0),0)</f>
        <v>0</v>
      </c>
      <c r="M15" s="241" cm="1">
        <f t="array" ref="M15">IFERROR(INDEX(CMSDescuento!$D$2:$D$7, MATCH(1, (CMSDescuento!$B$2:$B$7=CMSRecursos!F15) * (CMSDescuento!$C$2:$C$7=CMSRecursos!I15), 0)),0)</f>
        <v>0</v>
      </c>
      <c r="N15" s="241">
        <f t="shared" si="5"/>
        <v>0</v>
      </c>
      <c r="O15" s="241">
        <f t="shared" si="1"/>
        <v>0</v>
      </c>
      <c r="P15" s="7"/>
      <c r="Q15" s="232"/>
      <c r="R15" s="7"/>
      <c r="S15" s="243">
        <f>N15/(1-CMSResumen!H21)</f>
        <v>0</v>
      </c>
      <c r="T15" s="244">
        <f t="shared" si="2"/>
        <v>0</v>
      </c>
      <c r="U15" s="244">
        <f t="shared" si="3"/>
        <v>0</v>
      </c>
      <c r="V15" s="242">
        <f t="shared" si="4"/>
        <v>0</v>
      </c>
      <c r="W15" s="247"/>
      <c r="X15" s="224"/>
    </row>
    <row r="16" spans="1:24" ht="15" customHeight="1">
      <c r="A16" s="5"/>
      <c r="B16" s="238"/>
      <c r="C16" s="239"/>
      <c r="D16" s="139"/>
      <c r="E16" s="215"/>
      <c r="F16" s="240" t="str">
        <f>IF(E16="AWS",IFERROR(INDEX(CMSAzureAWS!C:C,MATCH(CMSRecursos!G16,CMSAzureAWS!E:E,0)),0),IF(E16="Azure",IFERROR(INDEX(CMSAzureAWS!C:C,MATCH(CMSRecursos!G16,CMSAzureAWS!G:G,0)),0),"Seleccione un Vendor"))</f>
        <v>Seleccione un Vendor</v>
      </c>
      <c r="G16" s="215"/>
      <c r="H16" s="241" t="str">
        <f>IF(E16="AWS",IFERROR(INDEX(CMSAzureAWS!D:D,MATCH(CMSRecursos!G16,CMSAzureAWS!E:E,0)),0),IF(E16="Azure",IFERROR(INDEX(CMSAzureAWS!D:D,MATCH(CMSRecursos!G16,CMSAzureAWS!G:G,0)),0),"Seleccione un Vendor"))</f>
        <v>Seleccione un Vendor</v>
      </c>
      <c r="I16" s="245" t="s">
        <v>1009</v>
      </c>
      <c r="J16" s="245" t="s">
        <v>1009</v>
      </c>
      <c r="K16" s="246">
        <v>0</v>
      </c>
      <c r="L16" s="242" cm="1">
        <f t="array" ref="L16">IFERROR(IF(I16="Si", INDEX(CMSDescuento!$E$23:$E$26, MATCH(1, (CMSDescuento!$C$23:$C$26&lt;=CMSRecursos!K16) * (CMSDescuento!$D$23:$D$26&gt;=CMSRecursos!K16), 0)), 0),0)</f>
        <v>0</v>
      </c>
      <c r="M16" s="241" cm="1">
        <f t="array" ref="M16">IFERROR(INDEX(CMSDescuento!$D$2:$D$7, MATCH(1, (CMSDescuento!$B$2:$B$7=CMSRecursos!F16) * (CMSDescuento!$C$2:$C$7=CMSRecursos!I16), 0)),0)</f>
        <v>0</v>
      </c>
      <c r="N16" s="241">
        <f t="shared" si="5"/>
        <v>0</v>
      </c>
      <c r="O16" s="241">
        <f t="shared" si="1"/>
        <v>0</v>
      </c>
      <c r="P16" s="7"/>
      <c r="Q16" s="232"/>
      <c r="R16" s="7"/>
      <c r="S16" s="243">
        <f>N16/(1-CMSResumen!H21)</f>
        <v>0</v>
      </c>
      <c r="T16" s="244">
        <f t="shared" si="2"/>
        <v>0</v>
      </c>
      <c r="U16" s="244">
        <f t="shared" si="3"/>
        <v>0</v>
      </c>
      <c r="V16" s="242">
        <f t="shared" si="4"/>
        <v>0</v>
      </c>
      <c r="W16" s="247"/>
      <c r="X16" s="224"/>
    </row>
    <row r="17" spans="1:24" ht="15" customHeight="1">
      <c r="A17" s="5"/>
      <c r="B17" s="238"/>
      <c r="C17" s="239"/>
      <c r="D17" s="139"/>
      <c r="E17" s="215"/>
      <c r="F17" s="240" t="str">
        <f>IF(E17="AWS",IFERROR(INDEX(CMSAzureAWS!C:C,MATCH(CMSRecursos!G17,CMSAzureAWS!E:E,0)),0),IF(E17="Azure",IFERROR(INDEX(CMSAzureAWS!C:C,MATCH(CMSRecursos!G17,CMSAzureAWS!G:G,0)),0),"Seleccione un Vendor"))</f>
        <v>Seleccione un Vendor</v>
      </c>
      <c r="G17" s="215"/>
      <c r="H17" s="241" t="str">
        <f>IF(E17="AWS",IFERROR(INDEX(CMSAzureAWS!D:D,MATCH(CMSRecursos!G17,CMSAzureAWS!E:E,0)),0),IF(E17="Azure",IFERROR(INDEX(CMSAzureAWS!D:D,MATCH(CMSRecursos!G17,CMSAzureAWS!G:G,0)),0),"Seleccione un Vendor"))</f>
        <v>Seleccione un Vendor</v>
      </c>
      <c r="I17" s="245" t="s">
        <v>1009</v>
      </c>
      <c r="J17" s="245" t="s">
        <v>1009</v>
      </c>
      <c r="K17" s="246">
        <v>0</v>
      </c>
      <c r="L17" s="242" cm="1">
        <f t="array" ref="L17">IFERROR(IF(I17="Si", INDEX(CMSDescuento!$E$23:$E$26, MATCH(1, (CMSDescuento!$C$23:$C$26&lt;=CMSRecursos!K17) * (CMSDescuento!$D$23:$D$26&gt;=CMSRecursos!K17), 0)), 0),0)</f>
        <v>0</v>
      </c>
      <c r="M17" s="241" cm="1">
        <f t="array" ref="M17">IFERROR(INDEX(CMSDescuento!$D$2:$D$7, MATCH(1, (CMSDescuento!$B$2:$B$7=CMSRecursos!F17) * (CMSDescuento!$C$2:$C$7=CMSRecursos!I17), 0)),0)</f>
        <v>0</v>
      </c>
      <c r="N17" s="241">
        <f t="shared" si="5"/>
        <v>0</v>
      </c>
      <c r="O17" s="241">
        <f t="shared" si="1"/>
        <v>0</v>
      </c>
      <c r="P17" s="7"/>
      <c r="Q17" s="232"/>
      <c r="R17" s="7"/>
      <c r="S17" s="243">
        <f>N17/(1-CMSResumen!H21)</f>
        <v>0</v>
      </c>
      <c r="T17" s="244">
        <f t="shared" si="2"/>
        <v>0</v>
      </c>
      <c r="U17" s="244">
        <f t="shared" si="3"/>
        <v>0</v>
      </c>
      <c r="V17" s="242">
        <f t="shared" si="4"/>
        <v>0</v>
      </c>
      <c r="W17" s="247"/>
      <c r="X17" s="224"/>
    </row>
    <row r="18" spans="1:24" ht="15" customHeight="1">
      <c r="A18" s="5"/>
      <c r="B18" s="238"/>
      <c r="C18" s="239"/>
      <c r="D18" s="139"/>
      <c r="E18" s="215"/>
      <c r="F18" s="240" t="str">
        <f>IF(E18="AWS",IFERROR(INDEX(CMSAzureAWS!C:C,MATCH(CMSRecursos!G18,CMSAzureAWS!E:E,0)),0),IF(E18="Azure",IFERROR(INDEX(CMSAzureAWS!C:C,MATCH(CMSRecursos!G18,CMSAzureAWS!G:G,0)),0),"Seleccione un Vendor"))</f>
        <v>Seleccione un Vendor</v>
      </c>
      <c r="G18" s="215"/>
      <c r="H18" s="241" t="str">
        <f>IF(E18="AWS",IFERROR(INDEX(CMSAzureAWS!D:D,MATCH(CMSRecursos!G18,CMSAzureAWS!E:E,0)),0),IF(E18="Azure",IFERROR(INDEX(CMSAzureAWS!D:D,MATCH(CMSRecursos!G18,CMSAzureAWS!G:G,0)),0),"Seleccione un Vendor"))</f>
        <v>Seleccione un Vendor</v>
      </c>
      <c r="I18" s="245" t="s">
        <v>1009</v>
      </c>
      <c r="J18" s="245" t="s">
        <v>1009</v>
      </c>
      <c r="K18" s="246">
        <v>0</v>
      </c>
      <c r="L18" s="242" cm="1">
        <f t="array" ref="L18">IFERROR(IF(I18="Si", INDEX(CMSDescuento!$E$23:$E$26, MATCH(1, (CMSDescuento!$C$23:$C$26&lt;=CMSRecursos!K18) * (CMSDescuento!$D$23:$D$26&gt;=CMSRecursos!K18), 0)), 0),0)</f>
        <v>0</v>
      </c>
      <c r="M18" s="241" cm="1">
        <f t="array" ref="M18">IFERROR(INDEX(CMSDescuento!$D$2:$D$7, MATCH(1, (CMSDescuento!$B$2:$B$7=CMSRecursos!F18) * (CMSDescuento!$C$2:$C$7=CMSRecursos!I18), 0)),0)</f>
        <v>0</v>
      </c>
      <c r="N18" s="241">
        <f t="shared" si="5"/>
        <v>0</v>
      </c>
      <c r="O18" s="241">
        <f t="shared" si="1"/>
        <v>0</v>
      </c>
      <c r="P18" s="7"/>
      <c r="Q18" s="232"/>
      <c r="R18" s="7"/>
      <c r="S18" s="243">
        <f>N18/(1-CMSResumen!H21)</f>
        <v>0</v>
      </c>
      <c r="T18" s="244">
        <f t="shared" si="2"/>
        <v>0</v>
      </c>
      <c r="U18" s="244">
        <f t="shared" si="3"/>
        <v>0</v>
      </c>
      <c r="V18" s="242">
        <f t="shared" si="4"/>
        <v>0</v>
      </c>
      <c r="W18" s="247"/>
      <c r="X18" s="224"/>
    </row>
    <row r="19" spans="1:24" ht="15" customHeight="1">
      <c r="A19" s="5"/>
      <c r="B19" s="238"/>
      <c r="C19" s="239"/>
      <c r="D19" s="139"/>
      <c r="E19" s="215"/>
      <c r="F19" s="240" t="str">
        <f>IF(E19="AWS",IFERROR(INDEX(CMSAzureAWS!C:C,MATCH(CMSRecursos!G19,CMSAzureAWS!E:E,0)),0),IF(E19="Azure",IFERROR(INDEX(CMSAzureAWS!C:C,MATCH(CMSRecursos!G19,CMSAzureAWS!G:G,0)),0),"Seleccione un Vendor"))</f>
        <v>Seleccione un Vendor</v>
      </c>
      <c r="G19" s="215"/>
      <c r="H19" s="241" t="str">
        <f>IF(E19="AWS",IFERROR(INDEX(CMSAzureAWS!D:D,MATCH(CMSRecursos!G19,CMSAzureAWS!E:E,0)),0),IF(E19="Azure",IFERROR(INDEX(CMSAzureAWS!D:D,MATCH(CMSRecursos!G19,CMSAzureAWS!G:G,0)),0),"Seleccione un Vendor"))</f>
        <v>Seleccione un Vendor</v>
      </c>
      <c r="I19" s="245" t="s">
        <v>1009</v>
      </c>
      <c r="J19" s="245" t="s">
        <v>1009</v>
      </c>
      <c r="K19" s="246">
        <v>0</v>
      </c>
      <c r="L19" s="242" cm="1">
        <f t="array" ref="L19">IFERROR(IF(I19="Si", INDEX(CMSDescuento!$E$23:$E$26, MATCH(1, (CMSDescuento!$C$23:$C$26&lt;=CMSRecursos!K19) * (CMSDescuento!$D$23:$D$26&gt;=CMSRecursos!K19), 0)), 0),0)</f>
        <v>0</v>
      </c>
      <c r="M19" s="241" cm="1">
        <f t="array" ref="M19">IFERROR(INDEX(CMSDescuento!$D$2:$D$7, MATCH(1, (CMSDescuento!$B$2:$B$7=CMSRecursos!F19) * (CMSDescuento!$C$2:$C$7=CMSRecursos!I19), 0)),0)</f>
        <v>0</v>
      </c>
      <c r="N19" s="241">
        <f t="shared" si="5"/>
        <v>0</v>
      </c>
      <c r="O19" s="241">
        <f t="shared" si="1"/>
        <v>0</v>
      </c>
      <c r="P19" s="7"/>
      <c r="Q19" s="232"/>
      <c r="R19" s="7"/>
      <c r="S19" s="243">
        <f>N19/(1-CMSResumen!H21)</f>
        <v>0</v>
      </c>
      <c r="T19" s="244">
        <f t="shared" si="2"/>
        <v>0</v>
      </c>
      <c r="U19" s="244">
        <f t="shared" si="3"/>
        <v>0</v>
      </c>
      <c r="V19" s="242">
        <f t="shared" si="4"/>
        <v>0</v>
      </c>
      <c r="W19" s="247"/>
      <c r="X19" s="224"/>
    </row>
    <row r="20" spans="1:24" ht="15" customHeight="1">
      <c r="A20" s="5"/>
      <c r="B20" s="238"/>
      <c r="C20" s="239"/>
      <c r="D20" s="139"/>
      <c r="E20" s="215"/>
      <c r="F20" s="240" t="str">
        <f>IF(E20="AWS",IFERROR(INDEX(CMSAzureAWS!C:C,MATCH(CMSRecursos!G20,CMSAzureAWS!E:E,0)),0),IF(E20="Azure",IFERROR(INDEX(CMSAzureAWS!C:C,MATCH(CMSRecursos!G20,CMSAzureAWS!G:G,0)),0),"Seleccione un Vendor"))</f>
        <v>Seleccione un Vendor</v>
      </c>
      <c r="G20" s="215"/>
      <c r="H20" s="241" t="str">
        <f>IF(E20="AWS",IFERROR(INDEX(CMSAzureAWS!D:D,MATCH(CMSRecursos!G20,CMSAzureAWS!E:E,0)),0),IF(E20="Azure",IFERROR(INDEX(CMSAzureAWS!D:D,MATCH(CMSRecursos!G20,CMSAzureAWS!G:G,0)),0),"Seleccione un Vendor"))</f>
        <v>Seleccione un Vendor</v>
      </c>
      <c r="I20" s="245" t="s">
        <v>1009</v>
      </c>
      <c r="J20" s="245" t="s">
        <v>1009</v>
      </c>
      <c r="K20" s="246">
        <v>0</v>
      </c>
      <c r="L20" s="242" cm="1">
        <f t="array" ref="L20">IFERROR(IF(I20="Si", INDEX(CMSDescuento!$E$23:$E$26, MATCH(1, (CMSDescuento!$C$23:$C$26&lt;=CMSRecursos!K20) * (CMSDescuento!$D$23:$D$26&gt;=CMSRecursos!K20), 0)), 0),0)</f>
        <v>0</v>
      </c>
      <c r="M20" s="241" cm="1">
        <f t="array" ref="M20">IFERROR(INDEX(CMSDescuento!$D$2:$D$7, MATCH(1, (CMSDescuento!$B$2:$B$7=CMSRecursos!F20) * (CMSDescuento!$C$2:$C$7=CMSRecursos!I20), 0)),0)</f>
        <v>0</v>
      </c>
      <c r="N20" s="241">
        <f t="shared" si="5"/>
        <v>0</v>
      </c>
      <c r="O20" s="241">
        <f t="shared" si="1"/>
        <v>0</v>
      </c>
      <c r="P20" s="7"/>
      <c r="Q20" s="232"/>
      <c r="R20" s="7"/>
      <c r="S20" s="243">
        <f>N20/(1-CMSResumen!H21)</f>
        <v>0</v>
      </c>
      <c r="T20" s="244">
        <f t="shared" si="2"/>
        <v>0</v>
      </c>
      <c r="U20" s="244">
        <f t="shared" si="3"/>
        <v>0</v>
      </c>
      <c r="V20" s="242">
        <f t="shared" si="4"/>
        <v>0</v>
      </c>
      <c r="W20" s="247"/>
      <c r="X20" s="224"/>
    </row>
    <row r="21" spans="1:24" ht="15" customHeight="1">
      <c r="A21" s="5"/>
      <c r="B21" s="238"/>
      <c r="C21" s="239"/>
      <c r="D21" s="139"/>
      <c r="E21" s="215"/>
      <c r="F21" s="240" t="str">
        <f>IF(E21="AWS",IFERROR(INDEX(CMSAzureAWS!C:C,MATCH(CMSRecursos!G21,CMSAzureAWS!E:E,0)),0),IF(E21="Azure",IFERROR(INDEX(CMSAzureAWS!C:C,MATCH(CMSRecursos!G21,CMSAzureAWS!G:G,0)),0),"Seleccione un Vendor"))</f>
        <v>Seleccione un Vendor</v>
      </c>
      <c r="G21" s="215"/>
      <c r="H21" s="241" t="str">
        <f>IF(E21="AWS",IFERROR(INDEX(CMSAzureAWS!D:D,MATCH(CMSRecursos!G21,CMSAzureAWS!E:E,0)),0),IF(E21="Azure",IFERROR(INDEX(CMSAzureAWS!D:D,MATCH(CMSRecursos!G21,CMSAzureAWS!G:G,0)),0),"Seleccione un Vendor"))</f>
        <v>Seleccione un Vendor</v>
      </c>
      <c r="I21" s="245" t="s">
        <v>1009</v>
      </c>
      <c r="J21" s="245" t="s">
        <v>1009</v>
      </c>
      <c r="K21" s="246">
        <v>0</v>
      </c>
      <c r="L21" s="242" cm="1">
        <f t="array" ref="L21">IFERROR(IF(I21="Si", INDEX(CMSDescuento!$E$23:$E$26, MATCH(1, (CMSDescuento!$C$23:$C$26&lt;=CMSRecursos!K21) * (CMSDescuento!$D$23:$D$26&gt;=CMSRecursos!K21), 0)), 0),0)</f>
        <v>0</v>
      </c>
      <c r="M21" s="241" cm="1">
        <f t="array" ref="M21">IFERROR(INDEX(CMSDescuento!$D$2:$D$7, MATCH(1, (CMSDescuento!$B$2:$B$7=CMSRecursos!F21) * (CMSDescuento!$C$2:$C$7=CMSRecursos!I21), 0)),0)</f>
        <v>0</v>
      </c>
      <c r="N21" s="241">
        <f t="shared" si="5"/>
        <v>0</v>
      </c>
      <c r="O21" s="241">
        <f t="shared" si="1"/>
        <v>0</v>
      </c>
      <c r="P21" s="7"/>
      <c r="Q21" s="232"/>
      <c r="R21" s="7"/>
      <c r="S21" s="243">
        <f>N21/(1-CMSResumen!H21)</f>
        <v>0</v>
      </c>
      <c r="T21" s="244">
        <f t="shared" si="2"/>
        <v>0</v>
      </c>
      <c r="U21" s="244">
        <f t="shared" si="3"/>
        <v>0</v>
      </c>
      <c r="V21" s="242">
        <f t="shared" si="4"/>
        <v>0</v>
      </c>
      <c r="W21" s="247"/>
      <c r="X21" s="224"/>
    </row>
    <row r="22" spans="1:24" ht="15" customHeight="1">
      <c r="A22" s="5"/>
      <c r="B22" s="238"/>
      <c r="C22" s="239"/>
      <c r="D22" s="139"/>
      <c r="E22" s="215"/>
      <c r="F22" s="240" t="str">
        <f>IF(E22="AWS",IFERROR(INDEX(CMSAzureAWS!C:C,MATCH(CMSRecursos!G22,CMSAzureAWS!E:E,0)),0),IF(E22="Azure",IFERROR(INDEX(CMSAzureAWS!C:C,MATCH(CMSRecursos!G22,CMSAzureAWS!G:G,0)),0),"Seleccione un Vendor"))</f>
        <v>Seleccione un Vendor</v>
      </c>
      <c r="G22" s="215"/>
      <c r="H22" s="241" t="str">
        <f>IF(E22="AWS",IFERROR(INDEX(CMSAzureAWS!D:D,MATCH(CMSRecursos!G22,CMSAzureAWS!E:E,0)),0),IF(E22="Azure",IFERROR(INDEX(CMSAzureAWS!D:D,MATCH(CMSRecursos!G22,CMSAzureAWS!G:G,0)),0),"Seleccione un Vendor"))</f>
        <v>Seleccione un Vendor</v>
      </c>
      <c r="I22" s="245" t="s">
        <v>1009</v>
      </c>
      <c r="J22" s="245" t="s">
        <v>1009</v>
      </c>
      <c r="K22" s="246">
        <v>0</v>
      </c>
      <c r="L22" s="242" cm="1">
        <f t="array" ref="L22">IFERROR(IF(I22="Si", INDEX(CMSDescuento!$E$23:$E$26, MATCH(1, (CMSDescuento!$C$23:$C$26&lt;=CMSRecursos!K22) * (CMSDescuento!$D$23:$D$26&gt;=CMSRecursos!K22), 0)), 0),0)</f>
        <v>0</v>
      </c>
      <c r="M22" s="241" cm="1">
        <f t="array" ref="M22">IFERROR(INDEX(CMSDescuento!$D$2:$D$7, MATCH(1, (CMSDescuento!$B$2:$B$7=CMSRecursos!F22) * (CMSDescuento!$C$2:$C$7=CMSRecursos!I22), 0)),0)</f>
        <v>0</v>
      </c>
      <c r="N22" s="241">
        <f t="shared" si="5"/>
        <v>0</v>
      </c>
      <c r="O22" s="241">
        <f t="shared" si="1"/>
        <v>0</v>
      </c>
      <c r="P22" s="7"/>
      <c r="Q22" s="232"/>
      <c r="R22" s="7"/>
      <c r="S22" s="243">
        <f>N22/(1-CMSResumen!H21)</f>
        <v>0</v>
      </c>
      <c r="T22" s="244">
        <f t="shared" si="2"/>
        <v>0</v>
      </c>
      <c r="U22" s="244">
        <f t="shared" si="3"/>
        <v>0</v>
      </c>
      <c r="V22" s="242">
        <f t="shared" si="4"/>
        <v>0</v>
      </c>
      <c r="W22" s="247"/>
      <c r="X22" s="224"/>
    </row>
    <row r="23" spans="1:24" ht="15" customHeight="1">
      <c r="A23" s="5"/>
      <c r="B23" s="238"/>
      <c r="C23" s="239"/>
      <c r="D23" s="139"/>
      <c r="E23" s="215"/>
      <c r="F23" s="240" t="str">
        <f>IF(E23="AWS",IFERROR(INDEX(CMSAzureAWS!C:C,MATCH(CMSRecursos!G23,CMSAzureAWS!E:E,0)),0),IF(E23="Azure",IFERROR(INDEX(CMSAzureAWS!C:C,MATCH(CMSRecursos!G23,CMSAzureAWS!G:G,0)),0),"Seleccione un Vendor"))</f>
        <v>Seleccione un Vendor</v>
      </c>
      <c r="G23" s="215"/>
      <c r="H23" s="241" t="str">
        <f>IF(E23="AWS",IFERROR(INDEX(CMSAzureAWS!D:D,MATCH(CMSRecursos!G23,CMSAzureAWS!E:E,0)),0),IF(E23="Azure",IFERROR(INDEX(CMSAzureAWS!D:D,MATCH(CMSRecursos!G23,CMSAzureAWS!G:G,0)),0),"Seleccione un Vendor"))</f>
        <v>Seleccione un Vendor</v>
      </c>
      <c r="I23" s="245" t="s">
        <v>1009</v>
      </c>
      <c r="J23" s="245" t="s">
        <v>1009</v>
      </c>
      <c r="K23" s="246">
        <v>0</v>
      </c>
      <c r="L23" s="242" cm="1">
        <f t="array" ref="L23">IFERROR(IF(I23="Si", INDEX(CMSDescuento!$E$23:$E$26, MATCH(1, (CMSDescuento!$C$23:$C$26&lt;=CMSRecursos!K23) * (CMSDescuento!$D$23:$D$26&gt;=CMSRecursos!K23), 0)), 0),0)</f>
        <v>0</v>
      </c>
      <c r="M23" s="241" cm="1">
        <f t="array" ref="M23">IFERROR(INDEX(CMSDescuento!$D$2:$D$7, MATCH(1, (CMSDescuento!$B$2:$B$7=CMSRecursos!F23) * (CMSDescuento!$C$2:$C$7=CMSRecursos!I23), 0)),0)</f>
        <v>0</v>
      </c>
      <c r="N23" s="241">
        <f t="shared" si="5"/>
        <v>0</v>
      </c>
      <c r="O23" s="241">
        <f t="shared" si="1"/>
        <v>0</v>
      </c>
      <c r="P23" s="7"/>
      <c r="Q23" s="232"/>
      <c r="R23" s="7"/>
      <c r="S23" s="243">
        <f>N23/(1-CMSResumen!H21)</f>
        <v>0</v>
      </c>
      <c r="T23" s="244">
        <f t="shared" si="2"/>
        <v>0</v>
      </c>
      <c r="U23" s="244">
        <f t="shared" si="3"/>
        <v>0</v>
      </c>
      <c r="V23" s="242">
        <f t="shared" si="4"/>
        <v>0</v>
      </c>
      <c r="W23" s="247"/>
      <c r="X23" s="224"/>
    </row>
    <row r="24" spans="1:24" ht="15" customHeight="1">
      <c r="A24" s="5"/>
      <c r="B24" s="238"/>
      <c r="C24" s="239"/>
      <c r="D24" s="139"/>
      <c r="E24" s="215"/>
      <c r="F24" s="240" t="str">
        <f>IF(E24="AWS",IFERROR(INDEX(CMSAzureAWS!C:C,MATCH(CMSRecursos!G24,CMSAzureAWS!E:E,0)),0),IF(E24="Azure",IFERROR(INDEX(CMSAzureAWS!C:C,MATCH(CMSRecursos!G24,CMSAzureAWS!G:G,0)),0),"Seleccione un Vendor"))</f>
        <v>Seleccione un Vendor</v>
      </c>
      <c r="G24" s="215"/>
      <c r="H24" s="241" t="str">
        <f>IF(E24="AWS",IFERROR(INDEX(CMSAzureAWS!D:D,MATCH(CMSRecursos!G24,CMSAzureAWS!E:E,0)),0),IF(E24="Azure",IFERROR(INDEX(CMSAzureAWS!D:D,MATCH(CMSRecursos!G24,CMSAzureAWS!G:G,0)),0),"Seleccione un Vendor"))</f>
        <v>Seleccione un Vendor</v>
      </c>
      <c r="I24" s="245" t="s">
        <v>1009</v>
      </c>
      <c r="J24" s="245" t="s">
        <v>1009</v>
      </c>
      <c r="K24" s="246">
        <v>0</v>
      </c>
      <c r="L24" s="242" cm="1">
        <f t="array" ref="L24">IFERROR(IF(I24="Si", INDEX(CMSDescuento!$E$23:$E$26, MATCH(1, (CMSDescuento!$C$23:$C$26&lt;=CMSRecursos!K24) * (CMSDescuento!$D$23:$D$26&gt;=CMSRecursos!K24), 0)), 0),0)</f>
        <v>0</v>
      </c>
      <c r="M24" s="241" cm="1">
        <f t="array" ref="M24">IFERROR(INDEX(CMSDescuento!$D$2:$D$7, MATCH(1, (CMSDescuento!$B$2:$B$7=CMSRecursos!F24) * (CMSDescuento!$C$2:$C$7=CMSRecursos!I24), 0)),0)</f>
        <v>0</v>
      </c>
      <c r="N24" s="241">
        <f t="shared" si="5"/>
        <v>0</v>
      </c>
      <c r="O24" s="241">
        <f t="shared" si="1"/>
        <v>0</v>
      </c>
      <c r="P24" s="7"/>
      <c r="Q24" s="232"/>
      <c r="R24" s="7"/>
      <c r="S24" s="243">
        <f>N24/(1-CMSResumen!H21)</f>
        <v>0</v>
      </c>
      <c r="T24" s="244">
        <f t="shared" si="2"/>
        <v>0</v>
      </c>
      <c r="U24" s="244">
        <f t="shared" si="3"/>
        <v>0</v>
      </c>
      <c r="V24" s="242">
        <f t="shared" si="4"/>
        <v>0</v>
      </c>
      <c r="W24" s="247"/>
      <c r="X24" s="224"/>
    </row>
    <row r="25" spans="1:24" ht="15" customHeight="1">
      <c r="A25" s="5"/>
      <c r="B25" s="238"/>
      <c r="C25" s="239"/>
      <c r="D25" s="139"/>
      <c r="E25" s="215"/>
      <c r="F25" s="240" t="str">
        <f>IF(E25="AWS",IFERROR(INDEX(CMSAzureAWS!C:C,MATCH(CMSRecursos!G25,CMSAzureAWS!E:E,0)),0),IF(E25="Azure",IFERROR(INDEX(CMSAzureAWS!C:C,MATCH(CMSRecursos!G25,CMSAzureAWS!G:G,0)),0),"Seleccione un Vendor"))</f>
        <v>Seleccione un Vendor</v>
      </c>
      <c r="G25" s="215"/>
      <c r="H25" s="241" t="str">
        <f>IF(E25="AWS",IFERROR(INDEX(CMSAzureAWS!D:D,MATCH(CMSRecursos!G25,CMSAzureAWS!E:E,0)),0),IF(E25="Azure",IFERROR(INDEX(CMSAzureAWS!D:D,MATCH(CMSRecursos!G25,CMSAzureAWS!G:G,0)),0),"Seleccione un Vendor"))</f>
        <v>Seleccione un Vendor</v>
      </c>
      <c r="I25" s="245" t="s">
        <v>1009</v>
      </c>
      <c r="J25" s="245" t="s">
        <v>1009</v>
      </c>
      <c r="K25" s="246">
        <v>0</v>
      </c>
      <c r="L25" s="242" cm="1">
        <f t="array" ref="L25">IFERROR(IF(I25="Si", INDEX(CMSDescuento!$E$23:$E$26, MATCH(1, (CMSDescuento!$C$23:$C$26&lt;=CMSRecursos!K25) * (CMSDescuento!$D$23:$D$26&gt;=CMSRecursos!K25), 0)), 0),0)</f>
        <v>0</v>
      </c>
      <c r="M25" s="241" cm="1">
        <f t="array" ref="M25">IFERROR(INDEX(CMSDescuento!$D$2:$D$7, MATCH(1, (CMSDescuento!$B$2:$B$7=CMSRecursos!F25) * (CMSDescuento!$C$2:$C$7=CMSRecursos!I25), 0)),0)</f>
        <v>0</v>
      </c>
      <c r="N25" s="241">
        <f t="shared" si="5"/>
        <v>0</v>
      </c>
      <c r="O25" s="241">
        <f t="shared" si="1"/>
        <v>0</v>
      </c>
      <c r="P25" s="7"/>
      <c r="Q25" s="232"/>
      <c r="R25" s="7"/>
      <c r="S25" s="243">
        <f>N25/(1-CMSResumen!H21)</f>
        <v>0</v>
      </c>
      <c r="T25" s="244">
        <f t="shared" si="2"/>
        <v>0</v>
      </c>
      <c r="U25" s="244">
        <f t="shared" si="3"/>
        <v>0</v>
      </c>
      <c r="V25" s="242">
        <f t="shared" si="4"/>
        <v>0</v>
      </c>
      <c r="W25" s="247"/>
      <c r="X25" s="224"/>
    </row>
    <row r="26" spans="1:24" ht="15" customHeight="1">
      <c r="A26" s="5"/>
      <c r="B26" s="238"/>
      <c r="C26" s="239"/>
      <c r="D26" s="139"/>
      <c r="E26" s="215"/>
      <c r="F26" s="240" t="str">
        <f>IF(E26="AWS",IFERROR(INDEX(CMSAzureAWS!C:C,MATCH(CMSRecursos!G26,CMSAzureAWS!E:E,0)),0),IF(E26="Azure",IFERROR(INDEX(CMSAzureAWS!C:C,MATCH(CMSRecursos!G26,CMSAzureAWS!G:G,0)),0),"Seleccione un Vendor"))</f>
        <v>Seleccione un Vendor</v>
      </c>
      <c r="G26" s="215"/>
      <c r="H26" s="241" t="str">
        <f>IF(E26="AWS",IFERROR(INDEX(CMSAzureAWS!D:D,MATCH(CMSRecursos!G26,CMSAzureAWS!E:E,0)),0),IF(E26="Azure",IFERROR(INDEX(CMSAzureAWS!D:D,MATCH(CMSRecursos!G26,CMSAzureAWS!G:G,0)),0),"Seleccione un Vendor"))</f>
        <v>Seleccione un Vendor</v>
      </c>
      <c r="I26" s="245" t="s">
        <v>1009</v>
      </c>
      <c r="J26" s="245" t="s">
        <v>1009</v>
      </c>
      <c r="K26" s="246">
        <v>0</v>
      </c>
      <c r="L26" s="242" cm="1">
        <f t="array" ref="L26">IFERROR(IF(I26="Si", INDEX(CMSDescuento!$E$23:$E$26, MATCH(1, (CMSDescuento!$C$23:$C$26&lt;=CMSRecursos!K26) * (CMSDescuento!$D$23:$D$26&gt;=CMSRecursos!K26), 0)), 0),0)</f>
        <v>0</v>
      </c>
      <c r="M26" s="241" cm="1">
        <f t="array" ref="M26">IFERROR(INDEX(CMSDescuento!$D$2:$D$7, MATCH(1, (CMSDescuento!$B$2:$B$7=CMSRecursos!F26) * (CMSDescuento!$C$2:$C$7=CMSRecursos!I26), 0)),0)</f>
        <v>0</v>
      </c>
      <c r="N26" s="241">
        <f t="shared" si="5"/>
        <v>0</v>
      </c>
      <c r="O26" s="241">
        <f t="shared" si="1"/>
        <v>0</v>
      </c>
      <c r="P26" s="7"/>
      <c r="Q26" s="232"/>
      <c r="R26" s="7"/>
      <c r="S26" s="243">
        <f>N26/(1-CMSResumen!H21)</f>
        <v>0</v>
      </c>
      <c r="T26" s="244">
        <f t="shared" si="2"/>
        <v>0</v>
      </c>
      <c r="U26" s="244">
        <f t="shared" si="3"/>
        <v>0</v>
      </c>
      <c r="V26" s="242">
        <f t="shared" si="4"/>
        <v>0</v>
      </c>
      <c r="W26" s="247"/>
      <c r="X26" s="224"/>
    </row>
    <row r="27" spans="1:24" ht="15" customHeight="1">
      <c r="A27" s="5"/>
      <c r="B27" s="238"/>
      <c r="C27" s="239"/>
      <c r="D27" s="139"/>
      <c r="E27" s="215"/>
      <c r="F27" s="240" t="str">
        <f>IF(E27="AWS",IFERROR(INDEX(CMSAzureAWS!C:C,MATCH(CMSRecursos!G27,CMSAzureAWS!E:E,0)),0),IF(E27="Azure",IFERROR(INDEX(CMSAzureAWS!C:C,MATCH(CMSRecursos!G27,CMSAzureAWS!G:G,0)),0),"Seleccione un Vendor"))</f>
        <v>Seleccione un Vendor</v>
      </c>
      <c r="G27" s="215"/>
      <c r="H27" s="241" t="str">
        <f>IF(E27="AWS",IFERROR(INDEX(CMSAzureAWS!D:D,MATCH(CMSRecursos!G27,CMSAzureAWS!E:E,0)),0),IF(E27="Azure",IFERROR(INDEX(CMSAzureAWS!D:D,MATCH(CMSRecursos!G27,CMSAzureAWS!G:G,0)),0),"Seleccione un Vendor"))</f>
        <v>Seleccione un Vendor</v>
      </c>
      <c r="I27" s="245" t="s">
        <v>1009</v>
      </c>
      <c r="J27" s="245" t="s">
        <v>1009</v>
      </c>
      <c r="K27" s="246">
        <v>0</v>
      </c>
      <c r="L27" s="242" cm="1">
        <f t="array" ref="L27">IFERROR(IF(I27="Si", INDEX(CMSDescuento!$E$23:$E$26, MATCH(1, (CMSDescuento!$C$23:$C$26&lt;=CMSRecursos!K27) * (CMSDescuento!$D$23:$D$26&gt;=CMSRecursos!K27), 0)), 0),0)</f>
        <v>0</v>
      </c>
      <c r="M27" s="241" cm="1">
        <f t="array" ref="M27">IFERROR(INDEX(CMSDescuento!$D$2:$D$7, MATCH(1, (CMSDescuento!$B$2:$B$7=CMSRecursos!F27) * (CMSDescuento!$C$2:$C$7=CMSRecursos!I27), 0)),0)</f>
        <v>0</v>
      </c>
      <c r="N27" s="241">
        <f t="shared" si="5"/>
        <v>0</v>
      </c>
      <c r="O27" s="241">
        <f t="shared" si="1"/>
        <v>0</v>
      </c>
      <c r="P27" s="7"/>
      <c r="Q27" s="232"/>
      <c r="R27" s="7"/>
      <c r="S27" s="243">
        <f>N27/(1-CMSResumen!H21)</f>
        <v>0</v>
      </c>
      <c r="T27" s="244">
        <f t="shared" si="2"/>
        <v>0</v>
      </c>
      <c r="U27" s="244">
        <f t="shared" si="3"/>
        <v>0</v>
      </c>
      <c r="V27" s="242">
        <f t="shared" si="4"/>
        <v>0</v>
      </c>
      <c r="W27" s="247"/>
      <c r="X27" s="224"/>
    </row>
    <row r="28" spans="1:24" ht="15" customHeight="1">
      <c r="A28" s="5"/>
      <c r="B28" s="238"/>
      <c r="C28" s="239"/>
      <c r="D28" s="139"/>
      <c r="E28" s="215"/>
      <c r="F28" s="240" t="str">
        <f>IF(E28="AWS",IFERROR(INDEX(CMSAzureAWS!C:C,MATCH(CMSRecursos!G28,CMSAzureAWS!E:E,0)),0),IF(E28="Azure",IFERROR(INDEX(CMSAzureAWS!C:C,MATCH(CMSRecursos!G28,CMSAzureAWS!G:G,0)),0),"Seleccione un Vendor"))</f>
        <v>Seleccione un Vendor</v>
      </c>
      <c r="G28" s="215"/>
      <c r="H28" s="241" t="str">
        <f>IF(E28="AWS",IFERROR(INDEX(CMSAzureAWS!D:D,MATCH(CMSRecursos!G28,CMSAzureAWS!E:E,0)),0),IF(E28="Azure",IFERROR(INDEX(CMSAzureAWS!D:D,MATCH(CMSRecursos!G28,CMSAzureAWS!G:G,0)),0),"Seleccione un Vendor"))</f>
        <v>Seleccione un Vendor</v>
      </c>
      <c r="I28" s="245" t="s">
        <v>1009</v>
      </c>
      <c r="J28" s="245" t="s">
        <v>1009</v>
      </c>
      <c r="K28" s="246">
        <v>0</v>
      </c>
      <c r="L28" s="242" cm="1">
        <f t="array" ref="L28">IFERROR(IF(I28="Si", INDEX(CMSDescuento!$E$23:$E$26, MATCH(1, (CMSDescuento!$C$23:$C$26&lt;=CMSRecursos!K28) * (CMSDescuento!$D$23:$D$26&gt;=CMSRecursos!K28), 0)), 0),0)</f>
        <v>0</v>
      </c>
      <c r="M28" s="241" cm="1">
        <f t="array" ref="M28">IFERROR(INDEX(CMSDescuento!$D$2:$D$7, MATCH(1, (CMSDescuento!$B$2:$B$7=CMSRecursos!F28) * (CMSDescuento!$C$2:$C$7=CMSRecursos!I28), 0)),0)</f>
        <v>0</v>
      </c>
      <c r="N28" s="241">
        <f t="shared" si="5"/>
        <v>0</v>
      </c>
      <c r="O28" s="241">
        <f t="shared" si="1"/>
        <v>0</v>
      </c>
      <c r="P28" s="7"/>
      <c r="Q28" s="232"/>
      <c r="R28" s="7"/>
      <c r="S28" s="243">
        <f>N28/(1-CMSResumen!H21)</f>
        <v>0</v>
      </c>
      <c r="T28" s="244">
        <f t="shared" si="2"/>
        <v>0</v>
      </c>
      <c r="U28" s="244">
        <f t="shared" si="3"/>
        <v>0</v>
      </c>
      <c r="V28" s="242">
        <f t="shared" si="4"/>
        <v>0</v>
      </c>
      <c r="W28" s="247"/>
      <c r="X28" s="224"/>
    </row>
    <row r="29" spans="1:24" ht="15" customHeight="1">
      <c r="A29" s="5"/>
      <c r="B29" s="238"/>
      <c r="C29" s="239"/>
      <c r="D29" s="139"/>
      <c r="E29" s="215"/>
      <c r="F29" s="240" t="str">
        <f>IF(E29="AWS",IFERROR(INDEX(CMSAzureAWS!C:C,MATCH(CMSRecursos!G29,CMSAzureAWS!E:E,0)),0),IF(E29="Azure",IFERROR(INDEX(CMSAzureAWS!C:C,MATCH(CMSRecursos!G29,CMSAzureAWS!G:G,0)),0),"Seleccione un Vendor"))</f>
        <v>Seleccione un Vendor</v>
      </c>
      <c r="G29" s="215"/>
      <c r="H29" s="241" t="str">
        <f>IF(E29="AWS",IFERROR(INDEX(CMSAzureAWS!D:D,MATCH(CMSRecursos!G29,CMSAzureAWS!E:E,0)),0),IF(E29="Azure",IFERROR(INDEX(CMSAzureAWS!D:D,MATCH(CMSRecursos!G29,CMSAzureAWS!G:G,0)),0),"Seleccione un Vendor"))</f>
        <v>Seleccione un Vendor</v>
      </c>
      <c r="I29" s="245" t="s">
        <v>1009</v>
      </c>
      <c r="J29" s="245" t="s">
        <v>1009</v>
      </c>
      <c r="K29" s="246">
        <v>0</v>
      </c>
      <c r="L29" s="242" cm="1">
        <f t="array" ref="L29">IFERROR(IF(I29="Si", INDEX(CMSDescuento!$E$23:$E$26, MATCH(1, (CMSDescuento!$C$23:$C$26&lt;=CMSRecursos!K29) * (CMSDescuento!$D$23:$D$26&gt;=CMSRecursos!K29), 0)), 0),0)</f>
        <v>0</v>
      </c>
      <c r="M29" s="241" cm="1">
        <f t="array" ref="M29">IFERROR(INDEX(CMSDescuento!$D$2:$D$7, MATCH(1, (CMSDescuento!$B$2:$B$7=CMSRecursos!F29) * (CMSDescuento!$C$2:$C$7=CMSRecursos!I29), 0)),0)</f>
        <v>0</v>
      </c>
      <c r="N29" s="241">
        <f t="shared" si="5"/>
        <v>0</v>
      </c>
      <c r="O29" s="241">
        <f t="shared" si="1"/>
        <v>0</v>
      </c>
      <c r="P29" s="7"/>
      <c r="Q29" s="232"/>
      <c r="R29" s="7"/>
      <c r="S29" s="243">
        <f>N29/(1-CMSResumen!H21)</f>
        <v>0</v>
      </c>
      <c r="T29" s="244">
        <f t="shared" si="2"/>
        <v>0</v>
      </c>
      <c r="U29" s="244">
        <f t="shared" si="3"/>
        <v>0</v>
      </c>
      <c r="V29" s="242">
        <f t="shared" si="4"/>
        <v>0</v>
      </c>
      <c r="W29" s="247"/>
      <c r="X29" s="224"/>
    </row>
    <row r="30" spans="1:24" ht="15" customHeight="1">
      <c r="A30" s="5"/>
      <c r="B30" s="238"/>
      <c r="C30" s="239"/>
      <c r="D30" s="139"/>
      <c r="E30" s="215"/>
      <c r="F30" s="240" t="str">
        <f>IF(E30="AWS",IFERROR(INDEX(CMSAzureAWS!C:C,MATCH(CMSRecursos!G30,CMSAzureAWS!E:E,0)),0),IF(E30="Azure",IFERROR(INDEX(CMSAzureAWS!C:C,MATCH(CMSRecursos!G30,CMSAzureAWS!G:G,0)),0),"Seleccione un Vendor"))</f>
        <v>Seleccione un Vendor</v>
      </c>
      <c r="G30" s="215"/>
      <c r="H30" s="241" t="str">
        <f>IF(E30="AWS",IFERROR(INDEX(CMSAzureAWS!D:D,MATCH(CMSRecursos!G30,CMSAzureAWS!E:E,0)),0),IF(E30="Azure",IFERROR(INDEX(CMSAzureAWS!D:D,MATCH(CMSRecursos!G30,CMSAzureAWS!G:G,0)),0),"Seleccione un Vendor"))</f>
        <v>Seleccione un Vendor</v>
      </c>
      <c r="I30" s="245" t="s">
        <v>1009</v>
      </c>
      <c r="J30" s="245" t="s">
        <v>1009</v>
      </c>
      <c r="K30" s="246">
        <v>0</v>
      </c>
      <c r="L30" s="242" cm="1">
        <f t="array" ref="L30">IFERROR(IF(I30="Si", INDEX(CMSDescuento!$E$23:$E$26, MATCH(1, (CMSDescuento!$C$23:$C$26&lt;=CMSRecursos!K30) * (CMSDescuento!$D$23:$D$26&gt;=CMSRecursos!K30), 0)), 0),0)</f>
        <v>0</v>
      </c>
      <c r="M30" s="241" cm="1">
        <f t="array" ref="M30">IFERROR(INDEX(CMSDescuento!$D$2:$D$7, MATCH(1, (CMSDescuento!$B$2:$B$7=CMSRecursos!F30) * (CMSDescuento!$C$2:$C$7=CMSRecursos!I30), 0)),0)</f>
        <v>0</v>
      </c>
      <c r="N30" s="241">
        <f t="shared" si="5"/>
        <v>0</v>
      </c>
      <c r="O30" s="241">
        <f t="shared" si="1"/>
        <v>0</v>
      </c>
      <c r="P30" s="7"/>
      <c r="Q30" s="232"/>
      <c r="R30" s="7"/>
      <c r="S30" s="243">
        <f>N30/(1-CMSResumen!H21)</f>
        <v>0</v>
      </c>
      <c r="T30" s="244">
        <f t="shared" si="2"/>
        <v>0</v>
      </c>
      <c r="U30" s="244">
        <f t="shared" si="3"/>
        <v>0</v>
      </c>
      <c r="V30" s="242">
        <f t="shared" si="4"/>
        <v>0</v>
      </c>
      <c r="W30" s="247"/>
      <c r="X30" s="224"/>
    </row>
    <row r="31" spans="1:24" ht="15" customHeight="1">
      <c r="A31" s="5"/>
      <c r="B31" s="238"/>
      <c r="C31" s="239"/>
      <c r="D31" s="139"/>
      <c r="E31" s="215"/>
      <c r="F31" s="240" t="str">
        <f>IF(E31="AWS",IFERROR(INDEX(CMSAzureAWS!C:C,MATCH(CMSRecursos!G31,CMSAzureAWS!E:E,0)),0),IF(E31="Azure",IFERROR(INDEX(CMSAzureAWS!C:C,MATCH(CMSRecursos!G31,CMSAzureAWS!G:G,0)),0),"Seleccione un Vendor"))</f>
        <v>Seleccione un Vendor</v>
      </c>
      <c r="G31" s="215"/>
      <c r="H31" s="241" t="str">
        <f>IF(E31="AWS",IFERROR(INDEX(CMSAzureAWS!D:D,MATCH(CMSRecursos!G31,CMSAzureAWS!E:E,0)),0),IF(E31="Azure",IFERROR(INDEX(CMSAzureAWS!D:D,MATCH(CMSRecursos!G31,CMSAzureAWS!G:G,0)),0),"Seleccione un Vendor"))</f>
        <v>Seleccione un Vendor</v>
      </c>
      <c r="I31" s="245" t="s">
        <v>1009</v>
      </c>
      <c r="J31" s="245" t="s">
        <v>1009</v>
      </c>
      <c r="K31" s="246">
        <v>0</v>
      </c>
      <c r="L31" s="242" cm="1">
        <f t="array" ref="L31">IFERROR(IF(I31="Si", INDEX(CMSDescuento!$E$23:$E$26, MATCH(1, (CMSDescuento!$C$23:$C$26&lt;=CMSRecursos!K31) * (CMSDescuento!$D$23:$D$26&gt;=CMSRecursos!K31), 0)), 0),0)</f>
        <v>0</v>
      </c>
      <c r="M31" s="241" cm="1">
        <f t="array" ref="M31">IFERROR(INDEX(CMSDescuento!$D$2:$D$7, MATCH(1, (CMSDescuento!$B$2:$B$7=CMSRecursos!F31) * (CMSDescuento!$C$2:$C$7=CMSRecursos!I31), 0)),0)</f>
        <v>0</v>
      </c>
      <c r="N31" s="241">
        <f t="shared" si="5"/>
        <v>0</v>
      </c>
      <c r="O31" s="241">
        <f t="shared" si="1"/>
        <v>0</v>
      </c>
      <c r="P31" s="7"/>
      <c r="Q31" s="232"/>
      <c r="R31" s="7"/>
      <c r="S31" s="243">
        <f>N31/(1-CMSResumen!H21)</f>
        <v>0</v>
      </c>
      <c r="T31" s="244">
        <f t="shared" si="2"/>
        <v>0</v>
      </c>
      <c r="U31" s="244">
        <f t="shared" si="3"/>
        <v>0</v>
      </c>
      <c r="V31" s="242">
        <f t="shared" si="4"/>
        <v>0</v>
      </c>
      <c r="W31" s="247"/>
      <c r="X31" s="224"/>
    </row>
    <row r="32" spans="1:24" ht="15" customHeight="1">
      <c r="A32" s="5"/>
      <c r="B32" s="238"/>
      <c r="C32" s="239"/>
      <c r="D32" s="139"/>
      <c r="E32" s="215"/>
      <c r="F32" s="240" t="str">
        <f>IF(E32="AWS",IFERROR(INDEX(CMSAzureAWS!C:C,MATCH(CMSRecursos!G32,CMSAzureAWS!E:E,0)),0),IF(E32="Azure",IFERROR(INDEX(CMSAzureAWS!C:C,MATCH(CMSRecursos!G32,CMSAzureAWS!G:G,0)),0),"Seleccione un Vendor"))</f>
        <v>Seleccione un Vendor</v>
      </c>
      <c r="G32" s="215"/>
      <c r="H32" s="241" t="str">
        <f>IF(E32="AWS",IFERROR(INDEX(CMSAzureAWS!D:D,MATCH(CMSRecursos!G32,CMSAzureAWS!E:E,0)),0),IF(E32="Azure",IFERROR(INDEX(CMSAzureAWS!D:D,MATCH(CMSRecursos!G32,CMSAzureAWS!G:G,0)),0),"Seleccione un Vendor"))</f>
        <v>Seleccione un Vendor</v>
      </c>
      <c r="I32" s="245" t="s">
        <v>1009</v>
      </c>
      <c r="J32" s="245" t="s">
        <v>1009</v>
      </c>
      <c r="K32" s="246">
        <v>0</v>
      </c>
      <c r="L32" s="242" cm="1">
        <f t="array" ref="L32">IFERROR(IF(I32="Si", INDEX(CMSDescuento!$E$23:$E$26, MATCH(1, (CMSDescuento!$C$23:$C$26&lt;=CMSRecursos!K32) * (CMSDescuento!$D$23:$D$26&gt;=CMSRecursos!K32), 0)), 0),0)</f>
        <v>0</v>
      </c>
      <c r="M32" s="241" cm="1">
        <f t="array" ref="M32">IFERROR(INDEX(CMSDescuento!$D$2:$D$7, MATCH(1, (CMSDescuento!$B$2:$B$7=CMSRecursos!F32) * (CMSDescuento!$C$2:$C$7=CMSRecursos!I32), 0)),0)</f>
        <v>0</v>
      </c>
      <c r="N32" s="241">
        <f t="shared" si="5"/>
        <v>0</v>
      </c>
      <c r="O32" s="241">
        <f t="shared" si="1"/>
        <v>0</v>
      </c>
      <c r="P32" s="7"/>
      <c r="Q32" s="232"/>
      <c r="R32" s="7"/>
      <c r="S32" s="243">
        <f>N32/(1-CMSResumen!H21)</f>
        <v>0</v>
      </c>
      <c r="T32" s="244">
        <f t="shared" si="2"/>
        <v>0</v>
      </c>
      <c r="U32" s="244">
        <f t="shared" si="3"/>
        <v>0</v>
      </c>
      <c r="V32" s="242">
        <f t="shared" si="4"/>
        <v>0</v>
      </c>
      <c r="W32" s="247"/>
      <c r="X32" s="224"/>
    </row>
    <row r="33" spans="1:24" ht="15" customHeight="1">
      <c r="A33" s="5"/>
      <c r="B33" s="238"/>
      <c r="C33" s="239"/>
      <c r="D33" s="139"/>
      <c r="E33" s="215"/>
      <c r="F33" s="240" t="str">
        <f>IF(E33="AWS",IFERROR(INDEX(CMSAzureAWS!C:C,MATCH(CMSRecursos!G33,CMSAzureAWS!E:E,0)),0),IF(E33="Azure",IFERROR(INDEX(CMSAzureAWS!C:C,MATCH(CMSRecursos!G33,CMSAzureAWS!G:G,0)),0),"Seleccione un Vendor"))</f>
        <v>Seleccione un Vendor</v>
      </c>
      <c r="G33" s="215"/>
      <c r="H33" s="241" t="str">
        <f>IF(E33="AWS",IFERROR(INDEX(CMSAzureAWS!D:D,MATCH(CMSRecursos!G33,CMSAzureAWS!E:E,0)),0),IF(E33="Azure",IFERROR(INDEX(CMSAzureAWS!D:D,MATCH(CMSRecursos!G33,CMSAzureAWS!G:G,0)),0),"Seleccione un Vendor"))</f>
        <v>Seleccione un Vendor</v>
      </c>
      <c r="I33" s="245" t="s">
        <v>1009</v>
      </c>
      <c r="J33" s="245" t="s">
        <v>1009</v>
      </c>
      <c r="K33" s="246">
        <v>0</v>
      </c>
      <c r="L33" s="242" cm="1">
        <f t="array" ref="L33">IFERROR(IF(I33="Si", INDEX(CMSDescuento!$E$23:$E$26, MATCH(1, (CMSDescuento!$C$23:$C$26&lt;=CMSRecursos!K33) * (CMSDescuento!$D$23:$D$26&gt;=CMSRecursos!K33), 0)), 0),0)</f>
        <v>0</v>
      </c>
      <c r="M33" s="241" cm="1">
        <f t="array" ref="M33">IFERROR(INDEX(CMSDescuento!$D$2:$D$7, MATCH(1, (CMSDescuento!$B$2:$B$7=CMSRecursos!F33) * (CMSDescuento!$C$2:$C$7=CMSRecursos!I33), 0)),0)</f>
        <v>0</v>
      </c>
      <c r="N33" s="241">
        <f t="shared" si="5"/>
        <v>0</v>
      </c>
      <c r="O33" s="241">
        <f t="shared" si="1"/>
        <v>0</v>
      </c>
      <c r="P33" s="7"/>
      <c r="Q33" s="232"/>
      <c r="R33" s="7"/>
      <c r="S33" s="243">
        <f>N33/(1-CMSResumen!H21)</f>
        <v>0</v>
      </c>
      <c r="T33" s="244">
        <f t="shared" si="2"/>
        <v>0</v>
      </c>
      <c r="U33" s="244">
        <f t="shared" si="3"/>
        <v>0</v>
      </c>
      <c r="V33" s="242">
        <f t="shared" si="4"/>
        <v>0</v>
      </c>
      <c r="W33" s="247"/>
      <c r="X33" s="224"/>
    </row>
    <row r="34" spans="1:24" ht="15" customHeight="1">
      <c r="A34" s="5"/>
      <c r="B34" s="238"/>
      <c r="C34" s="239"/>
      <c r="D34" s="139"/>
      <c r="E34" s="215"/>
      <c r="F34" s="240" t="str">
        <f>IF(E34="AWS",IFERROR(INDEX(CMSAzureAWS!C:C,MATCH(CMSRecursos!G34,CMSAzureAWS!E:E,0)),0),IF(E34="Azure",IFERROR(INDEX(CMSAzureAWS!C:C,MATCH(CMSRecursos!G34,CMSAzureAWS!G:G,0)),0),"Seleccione un Vendor"))</f>
        <v>Seleccione un Vendor</v>
      </c>
      <c r="G34" s="215"/>
      <c r="H34" s="241" t="str">
        <f>IF(E34="AWS",IFERROR(INDEX(CMSAzureAWS!D:D,MATCH(CMSRecursos!G34,CMSAzureAWS!E:E,0)),0),IF(E34="Azure",IFERROR(INDEX(CMSAzureAWS!D:D,MATCH(CMSRecursos!G34,CMSAzureAWS!G:G,0)),0),"Seleccione un Vendor"))</f>
        <v>Seleccione un Vendor</v>
      </c>
      <c r="I34" s="245" t="s">
        <v>1009</v>
      </c>
      <c r="J34" s="245" t="s">
        <v>1009</v>
      </c>
      <c r="K34" s="246">
        <v>0</v>
      </c>
      <c r="L34" s="242" cm="1">
        <f t="array" ref="L34">IFERROR(IF(I34="Si", INDEX(CMSDescuento!$E$23:$E$26, MATCH(1, (CMSDescuento!$C$23:$C$26&lt;=CMSRecursos!K34) * (CMSDescuento!$D$23:$D$26&gt;=CMSRecursos!K34), 0)), 0),0)</f>
        <v>0</v>
      </c>
      <c r="M34" s="241" cm="1">
        <f t="array" ref="M34">IFERROR(INDEX(CMSDescuento!$D$2:$D$7, MATCH(1, (CMSDescuento!$B$2:$B$7=CMSRecursos!F34) * (CMSDescuento!$C$2:$C$7=CMSRecursos!I34), 0)),0)</f>
        <v>0</v>
      </c>
      <c r="N34" s="241">
        <f t="shared" si="5"/>
        <v>0</v>
      </c>
      <c r="O34" s="241">
        <f t="shared" si="1"/>
        <v>0</v>
      </c>
      <c r="P34" s="7"/>
      <c r="Q34" s="232"/>
      <c r="R34" s="7"/>
      <c r="S34" s="243">
        <f>N34/(1-CMSResumen!H21)</f>
        <v>0</v>
      </c>
      <c r="T34" s="244">
        <f t="shared" si="2"/>
        <v>0</v>
      </c>
      <c r="U34" s="244">
        <f t="shared" si="3"/>
        <v>0</v>
      </c>
      <c r="V34" s="242">
        <f t="shared" si="4"/>
        <v>0</v>
      </c>
      <c r="W34" s="247"/>
      <c r="X34" s="224"/>
    </row>
    <row r="35" spans="1:24" ht="15" customHeight="1">
      <c r="A35" s="5"/>
      <c r="B35" s="238"/>
      <c r="C35" s="239"/>
      <c r="D35" s="139"/>
      <c r="E35" s="215"/>
      <c r="F35" s="240" t="str">
        <f>IF(E35="AWS",IFERROR(INDEX(CMSAzureAWS!C:C,MATCH(CMSRecursos!G35,CMSAzureAWS!E:E,0)),0),IF(E35="Azure",IFERROR(INDEX(CMSAzureAWS!C:C,MATCH(CMSRecursos!G35,CMSAzureAWS!G:G,0)),0),"Seleccione un Vendor"))</f>
        <v>Seleccione un Vendor</v>
      </c>
      <c r="G35" s="215"/>
      <c r="H35" s="241" t="str">
        <f>IF(E35="AWS",IFERROR(INDEX(CMSAzureAWS!D:D,MATCH(CMSRecursos!G35,CMSAzureAWS!E:E,0)),0),IF(E35="Azure",IFERROR(INDEX(CMSAzureAWS!D:D,MATCH(CMSRecursos!G35,CMSAzureAWS!G:G,0)),0),"Seleccione un Vendor"))</f>
        <v>Seleccione un Vendor</v>
      </c>
      <c r="I35" s="245" t="s">
        <v>1009</v>
      </c>
      <c r="J35" s="245" t="s">
        <v>1009</v>
      </c>
      <c r="K35" s="246">
        <v>0</v>
      </c>
      <c r="L35" s="242" cm="1">
        <f t="array" ref="L35">IFERROR(IF(I35="Si", INDEX(CMSDescuento!$E$23:$E$26, MATCH(1, (CMSDescuento!$C$23:$C$26&lt;=CMSRecursos!K35) * (CMSDescuento!$D$23:$D$26&gt;=CMSRecursos!K35), 0)), 0),0)</f>
        <v>0</v>
      </c>
      <c r="M35" s="241" cm="1">
        <f t="array" ref="M35">IFERROR(INDEX(CMSDescuento!$D$2:$D$7, MATCH(1, (CMSDescuento!$B$2:$B$7=CMSRecursos!F35) * (CMSDescuento!$C$2:$C$7=CMSRecursos!I35), 0)),0)</f>
        <v>0</v>
      </c>
      <c r="N35" s="241">
        <f t="shared" si="5"/>
        <v>0</v>
      </c>
      <c r="O35" s="241">
        <f t="shared" si="1"/>
        <v>0</v>
      </c>
      <c r="P35" s="7"/>
      <c r="Q35" s="232"/>
      <c r="R35" s="7"/>
      <c r="S35" s="243">
        <f>N35/(1-CMSResumen!H21)</f>
        <v>0</v>
      </c>
      <c r="T35" s="244">
        <f t="shared" si="2"/>
        <v>0</v>
      </c>
      <c r="U35" s="244">
        <f t="shared" si="3"/>
        <v>0</v>
      </c>
      <c r="V35" s="242">
        <f t="shared" si="4"/>
        <v>0</v>
      </c>
      <c r="W35" s="247"/>
      <c r="X35" s="224"/>
    </row>
    <row r="36" spans="1:24" ht="15" customHeight="1">
      <c r="A36" s="5"/>
      <c r="B36" s="238"/>
      <c r="C36" s="239"/>
      <c r="D36" s="139"/>
      <c r="E36" s="215"/>
      <c r="F36" s="240" t="str">
        <f>IF(E36="AWS",IFERROR(INDEX(CMSAzureAWS!C:C,MATCH(CMSRecursos!G36,CMSAzureAWS!E:E,0)),0),IF(E36="Azure",IFERROR(INDEX(CMSAzureAWS!C:C,MATCH(CMSRecursos!G36,CMSAzureAWS!G:G,0)),0),"Seleccione un Vendor"))</f>
        <v>Seleccione un Vendor</v>
      </c>
      <c r="G36" s="215"/>
      <c r="H36" s="241" t="str">
        <f>IF(E36="AWS",IFERROR(INDEX(CMSAzureAWS!D:D,MATCH(CMSRecursos!G36,CMSAzureAWS!E:E,0)),0),IF(E36="Azure",IFERROR(INDEX(CMSAzureAWS!D:D,MATCH(CMSRecursos!G36,CMSAzureAWS!G:G,0)),0),"Seleccione un Vendor"))</f>
        <v>Seleccione un Vendor</v>
      </c>
      <c r="I36" s="245" t="s">
        <v>1009</v>
      </c>
      <c r="J36" s="245" t="s">
        <v>1009</v>
      </c>
      <c r="K36" s="246">
        <v>0</v>
      </c>
      <c r="L36" s="242" cm="1">
        <f t="array" ref="L36">IFERROR(IF(I36="Si", INDEX(CMSDescuento!$E$23:$E$26, MATCH(1, (CMSDescuento!$C$23:$C$26&lt;=CMSRecursos!K36) * (CMSDescuento!$D$23:$D$26&gt;=CMSRecursos!K36), 0)), 0),0)</f>
        <v>0</v>
      </c>
      <c r="M36" s="241" cm="1">
        <f t="array" ref="M36">IFERROR(INDEX(CMSDescuento!$D$2:$D$7, MATCH(1, (CMSDescuento!$B$2:$B$7=CMSRecursos!F36) * (CMSDescuento!$C$2:$C$7=CMSRecursos!I36), 0)),0)</f>
        <v>0</v>
      </c>
      <c r="N36" s="241">
        <f t="shared" si="5"/>
        <v>0</v>
      </c>
      <c r="O36" s="241">
        <f t="shared" si="1"/>
        <v>0</v>
      </c>
      <c r="P36" s="7"/>
      <c r="Q36" s="232"/>
      <c r="R36" s="7"/>
      <c r="S36" s="243">
        <f>N36/(1-CMSResumen!H21)</f>
        <v>0</v>
      </c>
      <c r="T36" s="244">
        <f t="shared" si="2"/>
        <v>0</v>
      </c>
      <c r="U36" s="244">
        <f t="shared" si="3"/>
        <v>0</v>
      </c>
      <c r="V36" s="242">
        <f t="shared" si="4"/>
        <v>0</v>
      </c>
      <c r="W36" s="247"/>
      <c r="X36" s="224"/>
    </row>
    <row r="37" spans="1:24" ht="15" customHeight="1">
      <c r="A37" s="5"/>
      <c r="B37" s="238"/>
      <c r="C37" s="239"/>
      <c r="D37" s="139"/>
      <c r="E37" s="215"/>
      <c r="F37" s="240" t="str">
        <f>IF(E37="AWS",IFERROR(INDEX(CMSAzureAWS!C:C,MATCH(CMSRecursos!G37,CMSAzureAWS!E:E,0)),0),IF(E37="Azure",IFERROR(INDEX(CMSAzureAWS!C:C,MATCH(CMSRecursos!G37,CMSAzureAWS!G:G,0)),0),"Seleccione un Vendor"))</f>
        <v>Seleccione un Vendor</v>
      </c>
      <c r="G37" s="215"/>
      <c r="H37" s="241" t="str">
        <f>IF(E37="AWS",IFERROR(INDEX(CMSAzureAWS!D:D,MATCH(CMSRecursos!G37,CMSAzureAWS!E:E,0)),0),IF(E37="Azure",IFERROR(INDEX(CMSAzureAWS!D:D,MATCH(CMSRecursos!G37,CMSAzureAWS!G:G,0)),0),"Seleccione un Vendor"))</f>
        <v>Seleccione un Vendor</v>
      </c>
      <c r="I37" s="245" t="s">
        <v>1009</v>
      </c>
      <c r="J37" s="245" t="s">
        <v>1009</v>
      </c>
      <c r="K37" s="246">
        <v>0</v>
      </c>
      <c r="L37" s="242" cm="1">
        <f t="array" ref="L37">IFERROR(IF(I37="Si", INDEX(CMSDescuento!$E$23:$E$26, MATCH(1, (CMSDescuento!$C$23:$C$26&lt;=CMSRecursos!K37) * (CMSDescuento!$D$23:$D$26&gt;=CMSRecursos!K37), 0)), 0),0)</f>
        <v>0</v>
      </c>
      <c r="M37" s="241" cm="1">
        <f t="array" ref="M37">IFERROR(INDEX(CMSDescuento!$D$2:$D$7, MATCH(1, (CMSDescuento!$B$2:$B$7=CMSRecursos!F37) * (CMSDescuento!$C$2:$C$7=CMSRecursos!I37), 0)),0)</f>
        <v>0</v>
      </c>
      <c r="N37" s="241">
        <f t="shared" si="5"/>
        <v>0</v>
      </c>
      <c r="O37" s="241">
        <f t="shared" si="1"/>
        <v>0</v>
      </c>
      <c r="P37" s="7"/>
      <c r="Q37" s="232"/>
      <c r="R37" s="7"/>
      <c r="S37" s="243">
        <f>N37/(1-CMSResumen!H21)</f>
        <v>0</v>
      </c>
      <c r="T37" s="244">
        <f t="shared" si="2"/>
        <v>0</v>
      </c>
      <c r="U37" s="244">
        <f t="shared" si="3"/>
        <v>0</v>
      </c>
      <c r="V37" s="242">
        <f t="shared" si="4"/>
        <v>0</v>
      </c>
      <c r="W37" s="247"/>
      <c r="X37" s="224"/>
    </row>
    <row r="38" spans="1:24" ht="15" customHeight="1">
      <c r="A38" s="5"/>
      <c r="B38" s="238"/>
      <c r="C38" s="239"/>
      <c r="D38" s="139"/>
      <c r="E38" s="215"/>
      <c r="F38" s="240" t="str">
        <f>IF(E38="AWS",IFERROR(INDEX(CMSAzureAWS!C:C,MATCH(CMSRecursos!G38,CMSAzureAWS!E:E,0)),0),IF(E38="Azure",IFERROR(INDEX(CMSAzureAWS!C:C,MATCH(CMSRecursos!G38,CMSAzureAWS!G:G,0)),0),"Seleccione un Vendor"))</f>
        <v>Seleccione un Vendor</v>
      </c>
      <c r="G38" s="215"/>
      <c r="H38" s="241" t="str">
        <f>IF(E38="AWS",IFERROR(INDEX(CMSAzureAWS!D:D,MATCH(CMSRecursos!G38,CMSAzureAWS!E:E,0)),0),IF(E38="Azure",IFERROR(INDEX(CMSAzureAWS!D:D,MATCH(CMSRecursos!G38,CMSAzureAWS!G:G,0)),0),"Seleccione un Vendor"))</f>
        <v>Seleccione un Vendor</v>
      </c>
      <c r="I38" s="245" t="s">
        <v>1009</v>
      </c>
      <c r="J38" s="245" t="s">
        <v>1009</v>
      </c>
      <c r="K38" s="246">
        <v>0</v>
      </c>
      <c r="L38" s="242" cm="1">
        <f t="array" ref="L38">IFERROR(IF(I38="Si", INDEX(CMSDescuento!$E$23:$E$26, MATCH(1, (CMSDescuento!$C$23:$C$26&lt;=CMSRecursos!K38) * (CMSDescuento!$D$23:$D$26&gt;=CMSRecursos!K38), 0)), 0),0)</f>
        <v>0</v>
      </c>
      <c r="M38" s="241" cm="1">
        <f t="array" ref="M38">IFERROR(INDEX(CMSDescuento!$D$2:$D$7, MATCH(1, (CMSDescuento!$B$2:$B$7=CMSRecursos!F38) * (CMSDescuento!$C$2:$C$7=CMSRecursos!I38), 0)),0)</f>
        <v>0</v>
      </c>
      <c r="N38" s="241">
        <f t="shared" si="5"/>
        <v>0</v>
      </c>
      <c r="O38" s="241">
        <f t="shared" si="1"/>
        <v>0</v>
      </c>
      <c r="P38" s="7"/>
      <c r="Q38" s="232"/>
      <c r="R38" s="7"/>
      <c r="S38" s="243">
        <f>N38/(1-CMSResumen!H21)</f>
        <v>0</v>
      </c>
      <c r="T38" s="244">
        <f t="shared" si="2"/>
        <v>0</v>
      </c>
      <c r="U38" s="244">
        <f t="shared" si="3"/>
        <v>0</v>
      </c>
      <c r="V38" s="242">
        <f t="shared" si="4"/>
        <v>0</v>
      </c>
      <c r="W38" s="247"/>
      <c r="X38" s="224"/>
    </row>
    <row r="39" spans="1:24" ht="15" customHeight="1">
      <c r="A39" s="5"/>
      <c r="B39" s="238"/>
      <c r="C39" s="239"/>
      <c r="D39" s="139"/>
      <c r="E39" s="215"/>
      <c r="F39" s="240" t="str">
        <f>IF(E39="AWS",IFERROR(INDEX(CMSAzureAWS!C:C,MATCH(CMSRecursos!G39,CMSAzureAWS!E:E,0)),0),IF(E39="Azure",IFERROR(INDEX(CMSAzureAWS!C:C,MATCH(CMSRecursos!G39,CMSAzureAWS!G:G,0)),0),"Seleccione un Vendor"))</f>
        <v>Seleccione un Vendor</v>
      </c>
      <c r="G39" s="215"/>
      <c r="H39" s="241" t="str">
        <f>IF(E39="AWS",IFERROR(INDEX(CMSAzureAWS!D:D,MATCH(CMSRecursos!G39,CMSAzureAWS!E:E,0)),0),IF(E39="Azure",IFERROR(INDEX(CMSAzureAWS!D:D,MATCH(CMSRecursos!G39,CMSAzureAWS!G:G,0)),0),"Seleccione un Vendor"))</f>
        <v>Seleccione un Vendor</v>
      </c>
      <c r="I39" s="245" t="s">
        <v>1009</v>
      </c>
      <c r="J39" s="245" t="s">
        <v>1009</v>
      </c>
      <c r="K39" s="246">
        <v>0</v>
      </c>
      <c r="L39" s="242" cm="1">
        <f t="array" ref="L39">IFERROR(IF(I39="Si", INDEX(CMSDescuento!$E$23:$E$26, MATCH(1, (CMSDescuento!$C$23:$C$26&lt;=CMSRecursos!K39) * (CMSDescuento!$D$23:$D$26&gt;=CMSRecursos!K39), 0)), 0),0)</f>
        <v>0</v>
      </c>
      <c r="M39" s="241" cm="1">
        <f t="array" ref="M39">IFERROR(INDEX(CMSDescuento!$D$2:$D$7, MATCH(1, (CMSDescuento!$B$2:$B$7=CMSRecursos!F39) * (CMSDescuento!$C$2:$C$7=CMSRecursos!I39), 0)),0)</f>
        <v>0</v>
      </c>
      <c r="N39" s="241">
        <f t="shared" si="5"/>
        <v>0</v>
      </c>
      <c r="O39" s="241">
        <f t="shared" si="1"/>
        <v>0</v>
      </c>
      <c r="P39" s="7"/>
      <c r="Q39" s="232"/>
      <c r="R39" s="7"/>
      <c r="S39" s="243">
        <f>N39/(1-CMSResumen!H21)</f>
        <v>0</v>
      </c>
      <c r="T39" s="244">
        <f t="shared" si="2"/>
        <v>0</v>
      </c>
      <c r="U39" s="244">
        <f t="shared" si="3"/>
        <v>0</v>
      </c>
      <c r="V39" s="242">
        <f t="shared" si="4"/>
        <v>0</v>
      </c>
      <c r="W39" s="247"/>
      <c r="X39" s="224"/>
    </row>
    <row r="40" spans="1:24" ht="15" customHeight="1">
      <c r="A40" s="5"/>
      <c r="B40" s="238"/>
      <c r="C40" s="239"/>
      <c r="D40" s="139"/>
      <c r="E40" s="215"/>
      <c r="F40" s="240" t="str">
        <f>IF(E40="AWS",IFERROR(INDEX(CMSAzureAWS!C:C,MATCH(CMSRecursos!G40,CMSAzureAWS!E:E,0)),0),IF(E40="Azure",IFERROR(INDEX(CMSAzureAWS!C:C,MATCH(CMSRecursos!G40,CMSAzureAWS!G:G,0)),0),"Seleccione un Vendor"))</f>
        <v>Seleccione un Vendor</v>
      </c>
      <c r="G40" s="215"/>
      <c r="H40" s="241" t="str">
        <f>IF(E40="AWS",IFERROR(INDEX(CMSAzureAWS!D:D,MATCH(CMSRecursos!G40,CMSAzureAWS!E:E,0)),0),IF(E40="Azure",IFERROR(INDEX(CMSAzureAWS!D:D,MATCH(CMSRecursos!G40,CMSAzureAWS!G:G,0)),0),"Seleccione un Vendor"))</f>
        <v>Seleccione un Vendor</v>
      </c>
      <c r="I40" s="245" t="s">
        <v>1009</v>
      </c>
      <c r="J40" s="245" t="s">
        <v>1009</v>
      </c>
      <c r="K40" s="246">
        <v>0</v>
      </c>
      <c r="L40" s="242" cm="1">
        <f t="array" ref="L40">IFERROR(IF(I40="Si", INDEX(CMSDescuento!$E$23:$E$26, MATCH(1, (CMSDescuento!$C$23:$C$26&lt;=CMSRecursos!K40) * (CMSDescuento!$D$23:$D$26&gt;=CMSRecursos!K40), 0)), 0),0)</f>
        <v>0</v>
      </c>
      <c r="M40" s="241" cm="1">
        <f t="array" ref="M40">IFERROR(INDEX(CMSDescuento!$D$2:$D$7, MATCH(1, (CMSDescuento!$B$2:$B$7=CMSRecursos!F40) * (CMSDescuento!$C$2:$C$7=CMSRecursos!I40), 0)),0)</f>
        <v>0</v>
      </c>
      <c r="N40" s="241">
        <f t="shared" si="5"/>
        <v>0</v>
      </c>
      <c r="O40" s="241">
        <f t="shared" si="1"/>
        <v>0</v>
      </c>
      <c r="P40" s="7"/>
      <c r="Q40" s="232"/>
      <c r="R40" s="7"/>
      <c r="S40" s="243">
        <f>N40/(1-CMSResumen!H21)</f>
        <v>0</v>
      </c>
      <c r="T40" s="244">
        <f t="shared" si="2"/>
        <v>0</v>
      </c>
      <c r="U40" s="244">
        <f t="shared" si="3"/>
        <v>0</v>
      </c>
      <c r="V40" s="242">
        <f t="shared" si="4"/>
        <v>0</v>
      </c>
      <c r="W40" s="247"/>
      <c r="X40" s="224"/>
    </row>
    <row r="41" spans="1:24" ht="15" customHeight="1">
      <c r="A41" s="5"/>
      <c r="B41" s="238"/>
      <c r="C41" s="239"/>
      <c r="D41" s="139"/>
      <c r="E41" s="215"/>
      <c r="F41" s="240" t="str">
        <f>IF(E41="AWS",IFERROR(INDEX(CMSAzureAWS!C:C,MATCH(CMSRecursos!G41,CMSAzureAWS!E:E,0)),0),IF(E41="Azure",IFERROR(INDEX(CMSAzureAWS!C:C,MATCH(CMSRecursos!G41,CMSAzureAWS!G:G,0)),0),"Seleccione un Vendor"))</f>
        <v>Seleccione un Vendor</v>
      </c>
      <c r="G41" s="215"/>
      <c r="H41" s="241" t="str">
        <f>IF(E41="AWS",IFERROR(INDEX(CMSAzureAWS!D:D,MATCH(CMSRecursos!G41,CMSAzureAWS!E:E,0)),0),IF(E41="Azure",IFERROR(INDEX(CMSAzureAWS!D:D,MATCH(CMSRecursos!G41,CMSAzureAWS!G:G,0)),0),"Seleccione un Vendor"))</f>
        <v>Seleccione un Vendor</v>
      </c>
      <c r="I41" s="245" t="s">
        <v>1009</v>
      </c>
      <c r="J41" s="245" t="s">
        <v>1009</v>
      </c>
      <c r="K41" s="246">
        <v>0</v>
      </c>
      <c r="L41" s="242" cm="1">
        <f t="array" ref="L41">IFERROR(IF(I41="Si", INDEX(CMSDescuento!$E$23:$E$26, MATCH(1, (CMSDescuento!$C$23:$C$26&lt;=CMSRecursos!K41) * (CMSDescuento!$D$23:$D$26&gt;=CMSRecursos!K41), 0)), 0),0)</f>
        <v>0</v>
      </c>
      <c r="M41" s="241" cm="1">
        <f t="array" ref="M41">IFERROR(INDEX(CMSDescuento!$D$2:$D$7, MATCH(1, (CMSDescuento!$B$2:$B$7=CMSRecursos!F41) * (CMSDescuento!$C$2:$C$7=CMSRecursos!I41), 0)),0)</f>
        <v>0</v>
      </c>
      <c r="N41" s="241">
        <f t="shared" si="5"/>
        <v>0</v>
      </c>
      <c r="O41" s="241">
        <f t="shared" si="1"/>
        <v>0</v>
      </c>
      <c r="P41" s="7"/>
      <c r="Q41" s="232"/>
      <c r="R41" s="7"/>
      <c r="S41" s="243">
        <f>N41/(1-CMSResumen!H21)</f>
        <v>0</v>
      </c>
      <c r="T41" s="244">
        <f t="shared" si="2"/>
        <v>0</v>
      </c>
      <c r="U41" s="244">
        <f t="shared" si="3"/>
        <v>0</v>
      </c>
      <c r="V41" s="242">
        <f t="shared" si="4"/>
        <v>0</v>
      </c>
      <c r="W41" s="247"/>
      <c r="X41" s="224"/>
    </row>
    <row r="42" spans="1:24" ht="15" customHeight="1">
      <c r="A42" s="5"/>
      <c r="B42" s="238"/>
      <c r="C42" s="239"/>
      <c r="D42" s="139"/>
      <c r="E42" s="215"/>
      <c r="F42" s="240" t="str">
        <f>IF(E42="AWS",IFERROR(INDEX(CMSAzureAWS!C:C,MATCH(CMSRecursos!G42,CMSAzureAWS!E:E,0)),0),IF(E42="Azure",IFERROR(INDEX(CMSAzureAWS!C:C,MATCH(CMSRecursos!G42,CMSAzureAWS!G:G,0)),0),"Seleccione un Vendor"))</f>
        <v>Seleccione un Vendor</v>
      </c>
      <c r="G42" s="215"/>
      <c r="H42" s="241" t="str">
        <f>IF(E42="AWS",IFERROR(INDEX(CMSAzureAWS!D:D,MATCH(CMSRecursos!G42,CMSAzureAWS!E:E,0)),0),IF(E42="Azure",IFERROR(INDEX(CMSAzureAWS!D:D,MATCH(CMSRecursos!G42,CMSAzureAWS!G:G,0)),0),"Seleccione un Vendor"))</f>
        <v>Seleccione un Vendor</v>
      </c>
      <c r="I42" s="245" t="s">
        <v>1009</v>
      </c>
      <c r="J42" s="245" t="s">
        <v>1009</v>
      </c>
      <c r="K42" s="246">
        <v>0</v>
      </c>
      <c r="L42" s="242" cm="1">
        <f t="array" ref="L42">IFERROR(IF(I42="Si", INDEX(CMSDescuento!$E$23:$E$26, MATCH(1, (CMSDescuento!$C$23:$C$26&lt;=CMSRecursos!K42) * (CMSDescuento!$D$23:$D$26&gt;=CMSRecursos!K42), 0)), 0),0)</f>
        <v>0</v>
      </c>
      <c r="M42" s="241" cm="1">
        <f t="array" ref="M42">IFERROR(INDEX(CMSDescuento!$D$2:$D$7, MATCH(1, (CMSDescuento!$B$2:$B$7=CMSRecursos!F42) * (CMSDescuento!$C$2:$C$7=CMSRecursos!I42), 0)),0)</f>
        <v>0</v>
      </c>
      <c r="N42" s="241">
        <f t="shared" si="5"/>
        <v>0</v>
      </c>
      <c r="O42" s="241">
        <f t="shared" si="1"/>
        <v>0</v>
      </c>
      <c r="P42" s="7"/>
      <c r="Q42" s="232"/>
      <c r="R42" s="7"/>
      <c r="S42" s="243">
        <f>N42/(1-CMSResumen!H21)</f>
        <v>0</v>
      </c>
      <c r="T42" s="244">
        <f t="shared" si="2"/>
        <v>0</v>
      </c>
      <c r="U42" s="244">
        <f t="shared" si="3"/>
        <v>0</v>
      </c>
      <c r="V42" s="242">
        <f t="shared" si="4"/>
        <v>0</v>
      </c>
      <c r="W42" s="247"/>
      <c r="X42" s="224"/>
    </row>
    <row r="43" spans="1:24" ht="15" customHeight="1">
      <c r="A43" s="5"/>
      <c r="B43" s="238"/>
      <c r="C43" s="239"/>
      <c r="D43" s="139"/>
      <c r="E43" s="215"/>
      <c r="F43" s="240" t="str">
        <f>IF(E43="AWS",IFERROR(INDEX(CMSAzureAWS!C:C,MATCH(CMSRecursos!G43,CMSAzureAWS!E:E,0)),0),IF(E43="Azure",IFERROR(INDEX(CMSAzureAWS!C:C,MATCH(CMSRecursos!G43,CMSAzureAWS!G:G,0)),0),"Seleccione un Vendor"))</f>
        <v>Seleccione un Vendor</v>
      </c>
      <c r="G43" s="215"/>
      <c r="H43" s="241" t="str">
        <f>IF(E43="AWS",IFERROR(INDEX(CMSAzureAWS!D:D,MATCH(CMSRecursos!G43,CMSAzureAWS!E:E,0)),0),IF(E43="Azure",IFERROR(INDEX(CMSAzureAWS!D:D,MATCH(CMSRecursos!G43,CMSAzureAWS!G:G,0)),0),"Seleccione un Vendor"))</f>
        <v>Seleccione un Vendor</v>
      </c>
      <c r="I43" s="245" t="s">
        <v>1009</v>
      </c>
      <c r="J43" s="245" t="s">
        <v>1009</v>
      </c>
      <c r="K43" s="246">
        <v>0</v>
      </c>
      <c r="L43" s="242" cm="1">
        <f t="array" ref="L43">IFERROR(IF(I43="Si", INDEX(CMSDescuento!$E$23:$E$26, MATCH(1, (CMSDescuento!$C$23:$C$26&lt;=CMSRecursos!K43) * (CMSDescuento!$D$23:$D$26&gt;=CMSRecursos!K43), 0)), 0),0)</f>
        <v>0</v>
      </c>
      <c r="M43" s="241" cm="1">
        <f t="array" ref="M43">IFERROR(INDEX(CMSDescuento!$D$2:$D$7, MATCH(1, (CMSDescuento!$B$2:$B$7=CMSRecursos!F43) * (CMSDescuento!$C$2:$C$7=CMSRecursos!I43), 0)),0)</f>
        <v>0</v>
      </c>
      <c r="N43" s="241">
        <f t="shared" si="5"/>
        <v>0</v>
      </c>
      <c r="O43" s="241">
        <f t="shared" si="1"/>
        <v>0</v>
      </c>
      <c r="P43" s="7"/>
      <c r="Q43" s="232"/>
      <c r="R43" s="7"/>
      <c r="S43" s="243">
        <f>N43/(1-CMSResumen!H21)</f>
        <v>0</v>
      </c>
      <c r="T43" s="244">
        <f t="shared" si="2"/>
        <v>0</v>
      </c>
      <c r="U43" s="244">
        <f t="shared" si="3"/>
        <v>0</v>
      </c>
      <c r="V43" s="242">
        <f t="shared" si="4"/>
        <v>0</v>
      </c>
      <c r="W43" s="247"/>
      <c r="X43" s="224"/>
    </row>
    <row r="44" spans="1:24" ht="15" customHeight="1">
      <c r="A44" s="5"/>
      <c r="B44" s="238"/>
      <c r="C44" s="239"/>
      <c r="D44" s="139"/>
      <c r="E44" s="215"/>
      <c r="F44" s="240" t="str">
        <f>IF(E44="AWS",IFERROR(INDEX(CMSAzureAWS!C:C,MATCH(CMSRecursos!G44,CMSAzureAWS!E:E,0)),0),IF(E44="Azure",IFERROR(INDEX(CMSAzureAWS!C:C,MATCH(CMSRecursos!G44,CMSAzureAWS!G:G,0)),0),"Seleccione un Vendor"))</f>
        <v>Seleccione un Vendor</v>
      </c>
      <c r="G44" s="215"/>
      <c r="H44" s="241" t="str">
        <f>IF(E44="AWS",IFERROR(INDEX(CMSAzureAWS!D:D,MATCH(CMSRecursos!G44,CMSAzureAWS!E:E,0)),0),IF(E44="Azure",IFERROR(INDEX(CMSAzureAWS!D:D,MATCH(CMSRecursos!G44,CMSAzureAWS!G:G,0)),0),"Seleccione un Vendor"))</f>
        <v>Seleccione un Vendor</v>
      </c>
      <c r="I44" s="245" t="s">
        <v>1009</v>
      </c>
      <c r="J44" s="245" t="s">
        <v>1009</v>
      </c>
      <c r="K44" s="246">
        <v>0</v>
      </c>
      <c r="L44" s="242" cm="1">
        <f t="array" ref="L44">IFERROR(IF(I44="Si", INDEX(CMSDescuento!$E$23:$E$26, MATCH(1, (CMSDescuento!$C$23:$C$26&lt;=CMSRecursos!K44) * (CMSDescuento!$D$23:$D$26&gt;=CMSRecursos!K44), 0)), 0),0)</f>
        <v>0</v>
      </c>
      <c r="M44" s="241" cm="1">
        <f t="array" ref="M44">IFERROR(INDEX(CMSDescuento!$D$2:$D$7, MATCH(1, (CMSDescuento!$B$2:$B$7=CMSRecursos!F44) * (CMSDescuento!$C$2:$C$7=CMSRecursos!I44), 0)),0)</f>
        <v>0</v>
      </c>
      <c r="N44" s="241">
        <f t="shared" si="5"/>
        <v>0</v>
      </c>
      <c r="O44" s="241">
        <f t="shared" si="1"/>
        <v>0</v>
      </c>
      <c r="P44" s="7"/>
      <c r="Q44" s="232"/>
      <c r="R44" s="7"/>
      <c r="S44" s="243">
        <f>N44/(1-CMSResumen!H21)</f>
        <v>0</v>
      </c>
      <c r="T44" s="244">
        <f t="shared" si="2"/>
        <v>0</v>
      </c>
      <c r="U44" s="244">
        <f t="shared" si="3"/>
        <v>0</v>
      </c>
      <c r="V44" s="242">
        <f t="shared" si="4"/>
        <v>0</v>
      </c>
      <c r="W44" s="247"/>
      <c r="X44" s="224"/>
    </row>
    <row r="45" spans="1:24" ht="15" customHeight="1">
      <c r="A45" s="5"/>
      <c r="B45" s="238"/>
      <c r="C45" s="239"/>
      <c r="D45" s="139"/>
      <c r="E45" s="215"/>
      <c r="F45" s="240" t="str">
        <f>IF(E45="AWS",IFERROR(INDEX(CMSAzureAWS!C:C,MATCH(CMSRecursos!G45,CMSAzureAWS!E:E,0)),0),IF(E45="Azure",IFERROR(INDEX(CMSAzureAWS!C:C,MATCH(CMSRecursos!G45,CMSAzureAWS!G:G,0)),0),"Seleccione un Vendor"))</f>
        <v>Seleccione un Vendor</v>
      </c>
      <c r="G45" s="215"/>
      <c r="H45" s="241" t="str">
        <f>IF(E45="AWS",IFERROR(INDEX(CMSAzureAWS!D:D,MATCH(CMSRecursos!G45,CMSAzureAWS!E:E,0)),0),IF(E45="Azure",IFERROR(INDEX(CMSAzureAWS!D:D,MATCH(CMSRecursos!G45,CMSAzureAWS!G:G,0)),0),"Seleccione un Vendor"))</f>
        <v>Seleccione un Vendor</v>
      </c>
      <c r="I45" s="245" t="s">
        <v>1009</v>
      </c>
      <c r="J45" s="245" t="s">
        <v>1009</v>
      </c>
      <c r="K45" s="246">
        <v>0</v>
      </c>
      <c r="L45" s="242" cm="1">
        <f t="array" ref="L45">IFERROR(IF(I45="Si", INDEX(CMSDescuento!$E$23:$E$26, MATCH(1, (CMSDescuento!$C$23:$C$26&lt;=CMSRecursos!K45) * (CMSDescuento!$D$23:$D$26&gt;=CMSRecursos!K45), 0)), 0),0)</f>
        <v>0</v>
      </c>
      <c r="M45" s="241" cm="1">
        <f t="array" ref="M45">IFERROR(INDEX(CMSDescuento!$D$2:$D$7, MATCH(1, (CMSDescuento!$B$2:$B$7=CMSRecursos!F45) * (CMSDescuento!$C$2:$C$7=CMSRecursos!I45), 0)),0)</f>
        <v>0</v>
      </c>
      <c r="N45" s="241">
        <f t="shared" si="5"/>
        <v>0</v>
      </c>
      <c r="O45" s="241">
        <f t="shared" si="1"/>
        <v>0</v>
      </c>
      <c r="P45" s="7"/>
      <c r="Q45" s="232"/>
      <c r="R45" s="7"/>
      <c r="S45" s="243">
        <f>N45/(1-CMSResumen!H21)</f>
        <v>0</v>
      </c>
      <c r="T45" s="244">
        <f t="shared" si="2"/>
        <v>0</v>
      </c>
      <c r="U45" s="244">
        <f t="shared" si="3"/>
        <v>0</v>
      </c>
      <c r="V45" s="242">
        <f t="shared" si="4"/>
        <v>0</v>
      </c>
      <c r="W45" s="247"/>
      <c r="X45" s="224"/>
    </row>
    <row r="46" spans="1:24" ht="15" customHeight="1">
      <c r="A46" s="5"/>
      <c r="B46" s="238"/>
      <c r="C46" s="239"/>
      <c r="D46" s="139"/>
      <c r="E46" s="215"/>
      <c r="F46" s="240" t="str">
        <f>IF(E46="AWS",IFERROR(INDEX(CMSAzureAWS!C:C,MATCH(CMSRecursos!G46,CMSAzureAWS!E:E,0)),0),IF(E46="Azure",IFERROR(INDEX(CMSAzureAWS!C:C,MATCH(CMSRecursos!G46,CMSAzureAWS!G:G,0)),0),"Seleccione un Vendor"))</f>
        <v>Seleccione un Vendor</v>
      </c>
      <c r="G46" s="215"/>
      <c r="H46" s="241" t="str">
        <f>IF(E46="AWS",IFERROR(INDEX(CMSAzureAWS!D:D,MATCH(CMSRecursos!G46,CMSAzureAWS!E:E,0)),0),IF(E46="Azure",IFERROR(INDEX(CMSAzureAWS!D:D,MATCH(CMSRecursos!G46,CMSAzureAWS!G:G,0)),0),"Seleccione un Vendor"))</f>
        <v>Seleccione un Vendor</v>
      </c>
      <c r="I46" s="245" t="s">
        <v>1009</v>
      </c>
      <c r="J46" s="245" t="s">
        <v>1009</v>
      </c>
      <c r="K46" s="246">
        <v>0</v>
      </c>
      <c r="L46" s="242" cm="1">
        <f t="array" ref="L46">IFERROR(IF(I46="Si", INDEX(CMSDescuento!$E$23:$E$26, MATCH(1, (CMSDescuento!$C$23:$C$26&lt;=CMSRecursos!K46) * (CMSDescuento!$D$23:$D$26&gt;=CMSRecursos!K46), 0)), 0),0)</f>
        <v>0</v>
      </c>
      <c r="M46" s="241" cm="1">
        <f t="array" ref="M46">IFERROR(INDEX(CMSDescuento!$D$2:$D$7, MATCH(1, (CMSDescuento!$B$2:$B$7=CMSRecursos!F46) * (CMSDescuento!$C$2:$C$7=CMSRecursos!I46), 0)),0)</f>
        <v>0</v>
      </c>
      <c r="N46" s="241">
        <f t="shared" si="5"/>
        <v>0</v>
      </c>
      <c r="O46" s="241">
        <f t="shared" si="1"/>
        <v>0</v>
      </c>
      <c r="P46" s="7"/>
      <c r="Q46" s="232"/>
      <c r="R46" s="7"/>
      <c r="S46" s="243">
        <f>N46/(1-CMSResumen!H21)</f>
        <v>0</v>
      </c>
      <c r="T46" s="244">
        <f t="shared" si="2"/>
        <v>0</v>
      </c>
      <c r="U46" s="244">
        <f t="shared" si="3"/>
        <v>0</v>
      </c>
      <c r="V46" s="242">
        <f t="shared" si="4"/>
        <v>0</v>
      </c>
      <c r="W46" s="247"/>
      <c r="X46" s="224"/>
    </row>
    <row r="47" spans="1:24" ht="15" customHeight="1">
      <c r="A47" s="5"/>
      <c r="B47" s="238"/>
      <c r="C47" s="239"/>
      <c r="D47" s="139"/>
      <c r="E47" s="215"/>
      <c r="F47" s="240" t="str">
        <f>IF(E47="AWS",IFERROR(INDEX(CMSAzureAWS!C:C,MATCH(CMSRecursos!G47,CMSAzureAWS!E:E,0)),0),IF(E47="Azure",IFERROR(INDEX(CMSAzureAWS!C:C,MATCH(CMSRecursos!G47,CMSAzureAWS!G:G,0)),0),"Seleccione un Vendor"))</f>
        <v>Seleccione un Vendor</v>
      </c>
      <c r="G47" s="215"/>
      <c r="H47" s="241" t="str">
        <f>IF(E47="AWS",IFERROR(INDEX(CMSAzureAWS!D:D,MATCH(CMSRecursos!G47,CMSAzureAWS!E:E,0)),0),IF(E47="Azure",IFERROR(INDEX(CMSAzureAWS!D:D,MATCH(CMSRecursos!G47,CMSAzureAWS!G:G,0)),0),"Seleccione un Vendor"))</f>
        <v>Seleccione un Vendor</v>
      </c>
      <c r="I47" s="245" t="s">
        <v>1009</v>
      </c>
      <c r="J47" s="245" t="s">
        <v>1009</v>
      </c>
      <c r="K47" s="246">
        <v>0</v>
      </c>
      <c r="L47" s="242" cm="1">
        <f t="array" ref="L47">IFERROR(IF(I47="Si", INDEX(CMSDescuento!$E$23:$E$26, MATCH(1, (CMSDescuento!$C$23:$C$26&lt;=CMSRecursos!K47) * (CMSDescuento!$D$23:$D$26&gt;=CMSRecursos!K47), 0)), 0),0)</f>
        <v>0</v>
      </c>
      <c r="M47" s="241" cm="1">
        <f t="array" ref="M47">IFERROR(INDEX(CMSDescuento!$D$2:$D$7, MATCH(1, (CMSDescuento!$B$2:$B$7=CMSRecursos!F47) * (CMSDescuento!$C$2:$C$7=CMSRecursos!I47), 0)),0)</f>
        <v>0</v>
      </c>
      <c r="N47" s="241">
        <f t="shared" si="5"/>
        <v>0</v>
      </c>
      <c r="O47" s="241">
        <f t="shared" si="1"/>
        <v>0</v>
      </c>
      <c r="P47" s="7"/>
      <c r="Q47" s="232"/>
      <c r="R47" s="7"/>
      <c r="S47" s="243">
        <f>N47/(1-CMSResumen!H21)</f>
        <v>0</v>
      </c>
      <c r="T47" s="244">
        <f t="shared" si="2"/>
        <v>0</v>
      </c>
      <c r="U47" s="244">
        <f t="shared" si="3"/>
        <v>0</v>
      </c>
      <c r="V47" s="242">
        <f t="shared" si="4"/>
        <v>0</v>
      </c>
      <c r="W47" s="247"/>
      <c r="X47" s="224"/>
    </row>
    <row r="48" spans="1:24" ht="15" customHeight="1">
      <c r="A48" s="5"/>
      <c r="B48" s="238"/>
      <c r="C48" s="239"/>
      <c r="D48" s="139"/>
      <c r="E48" s="215"/>
      <c r="F48" s="240" t="str">
        <f>IF(E48="AWS",IFERROR(INDEX(CMSAzureAWS!C:C,MATCH(CMSRecursos!G48,CMSAzureAWS!E:E,0)),0),IF(E48="Azure",IFERROR(INDEX(CMSAzureAWS!C:C,MATCH(CMSRecursos!G48,CMSAzureAWS!G:G,0)),0),"Seleccione un Vendor"))</f>
        <v>Seleccione un Vendor</v>
      </c>
      <c r="G48" s="215"/>
      <c r="H48" s="241" t="str">
        <f>IF(E48="AWS",IFERROR(INDEX(CMSAzureAWS!D:D,MATCH(CMSRecursos!G48,CMSAzureAWS!E:E,0)),0),IF(E48="Azure",IFERROR(INDEX(CMSAzureAWS!D:D,MATCH(CMSRecursos!G48,CMSAzureAWS!G:G,0)),0),"Seleccione un Vendor"))</f>
        <v>Seleccione un Vendor</v>
      </c>
      <c r="I48" s="245" t="s">
        <v>1009</v>
      </c>
      <c r="J48" s="245" t="s">
        <v>1009</v>
      </c>
      <c r="K48" s="246">
        <v>0</v>
      </c>
      <c r="L48" s="242" cm="1">
        <f t="array" ref="L48">IFERROR(IF(I48="Si", INDEX(CMSDescuento!$E$23:$E$26, MATCH(1, (CMSDescuento!$C$23:$C$26&lt;=CMSRecursos!K48) * (CMSDescuento!$D$23:$D$26&gt;=CMSRecursos!K48), 0)), 0),0)</f>
        <v>0</v>
      </c>
      <c r="M48" s="241" cm="1">
        <f t="array" ref="M48">IFERROR(INDEX(CMSDescuento!$D$2:$D$7, MATCH(1, (CMSDescuento!$B$2:$B$7=CMSRecursos!F48) * (CMSDescuento!$C$2:$C$7=CMSRecursos!I48), 0)),0)</f>
        <v>0</v>
      </c>
      <c r="N48" s="241">
        <f t="shared" si="5"/>
        <v>0</v>
      </c>
      <c r="O48" s="241">
        <f t="shared" si="1"/>
        <v>0</v>
      </c>
      <c r="P48" s="7"/>
      <c r="Q48" s="232"/>
      <c r="R48" s="7"/>
      <c r="S48" s="243">
        <f>N48/(1-CMSResumen!H21)</f>
        <v>0</v>
      </c>
      <c r="T48" s="244">
        <f t="shared" si="2"/>
        <v>0</v>
      </c>
      <c r="U48" s="244">
        <f t="shared" si="3"/>
        <v>0</v>
      </c>
      <c r="V48" s="242">
        <f t="shared" si="4"/>
        <v>0</v>
      </c>
      <c r="W48" s="247"/>
      <c r="X48" s="224"/>
    </row>
    <row r="49" spans="1:24" ht="15" customHeight="1">
      <c r="A49" s="5"/>
      <c r="B49" s="238"/>
      <c r="C49" s="239"/>
      <c r="D49" s="139"/>
      <c r="E49" s="215"/>
      <c r="F49" s="240" t="str">
        <f>IF(E49="AWS",IFERROR(INDEX(CMSAzureAWS!C:C,MATCH(CMSRecursos!G49,CMSAzureAWS!E:E,0)),0),IF(E49="Azure",IFERROR(INDEX(CMSAzureAWS!C:C,MATCH(CMSRecursos!G49,CMSAzureAWS!G:G,0)),0),"Seleccione un Vendor"))</f>
        <v>Seleccione un Vendor</v>
      </c>
      <c r="G49" s="215"/>
      <c r="H49" s="241" t="str">
        <f>IF(E49="AWS",IFERROR(INDEX(CMSAzureAWS!D:D,MATCH(CMSRecursos!G49,CMSAzureAWS!E:E,0)),0),IF(E49="Azure",IFERROR(INDEX(CMSAzureAWS!D:D,MATCH(CMSRecursos!G49,CMSAzureAWS!G:G,0)),0),"Seleccione un Vendor"))</f>
        <v>Seleccione un Vendor</v>
      </c>
      <c r="I49" s="245" t="s">
        <v>1009</v>
      </c>
      <c r="J49" s="245" t="s">
        <v>1009</v>
      </c>
      <c r="K49" s="246">
        <v>0</v>
      </c>
      <c r="L49" s="242" cm="1">
        <f t="array" ref="L49">IFERROR(IF(I49="Si", INDEX(CMSDescuento!$E$23:$E$26, MATCH(1, (CMSDescuento!$C$23:$C$26&lt;=CMSRecursos!K49) * (CMSDescuento!$D$23:$D$26&gt;=CMSRecursos!K49), 0)), 0),0)</f>
        <v>0</v>
      </c>
      <c r="M49" s="241" cm="1">
        <f t="array" ref="M49">IFERROR(INDEX(CMSDescuento!$D$2:$D$7, MATCH(1, (CMSDescuento!$B$2:$B$7=CMSRecursos!F49) * (CMSDescuento!$C$2:$C$7=CMSRecursos!I49), 0)),0)</f>
        <v>0</v>
      </c>
      <c r="N49" s="241">
        <f t="shared" si="5"/>
        <v>0</v>
      </c>
      <c r="O49" s="241">
        <f t="shared" si="1"/>
        <v>0</v>
      </c>
      <c r="P49" s="7"/>
      <c r="Q49" s="232"/>
      <c r="R49" s="7"/>
      <c r="S49" s="243">
        <f>N49/(1-CMSResumen!H21)</f>
        <v>0</v>
      </c>
      <c r="T49" s="244">
        <f t="shared" si="2"/>
        <v>0</v>
      </c>
      <c r="U49" s="244">
        <f t="shared" si="3"/>
        <v>0</v>
      </c>
      <c r="V49" s="242">
        <f t="shared" si="4"/>
        <v>0</v>
      </c>
      <c r="W49" s="247"/>
      <c r="X49" s="224"/>
    </row>
    <row r="50" spans="1:24" ht="15" customHeight="1">
      <c r="A50" s="5"/>
      <c r="B50" s="238"/>
      <c r="C50" s="239"/>
      <c r="D50" s="139"/>
      <c r="E50" s="215"/>
      <c r="F50" s="240" t="str">
        <f>IF(E50="AWS",IFERROR(INDEX(CMSAzureAWS!C:C,MATCH(CMSRecursos!G50,CMSAzureAWS!E:E,0)),0),IF(E50="Azure",IFERROR(INDEX(CMSAzureAWS!C:C,MATCH(CMSRecursos!G50,CMSAzureAWS!G:G,0)),0),"Seleccione un Vendor"))</f>
        <v>Seleccione un Vendor</v>
      </c>
      <c r="G50" s="215"/>
      <c r="H50" s="241" t="str">
        <f>IF(E50="AWS",IFERROR(INDEX(CMSAzureAWS!D:D,MATCH(CMSRecursos!G50,CMSAzureAWS!E:E,0)),0),IF(E50="Azure",IFERROR(INDEX(CMSAzureAWS!D:D,MATCH(CMSRecursos!G50,CMSAzureAWS!G:G,0)),0),"Seleccione un Vendor"))</f>
        <v>Seleccione un Vendor</v>
      </c>
      <c r="I50" s="245" t="s">
        <v>1009</v>
      </c>
      <c r="J50" s="245" t="s">
        <v>1009</v>
      </c>
      <c r="K50" s="246">
        <v>0</v>
      </c>
      <c r="L50" s="242" cm="1">
        <f t="array" ref="L50">IFERROR(IF(I50="Si", INDEX(CMSDescuento!$E$23:$E$26, MATCH(1, (CMSDescuento!$C$23:$C$26&lt;=CMSRecursos!K50) * (CMSDescuento!$D$23:$D$26&gt;=CMSRecursos!K50), 0)), 0),0)</f>
        <v>0</v>
      </c>
      <c r="M50" s="241" cm="1">
        <f t="array" ref="M50">IFERROR(INDEX(CMSDescuento!$D$2:$D$7, MATCH(1, (CMSDescuento!$B$2:$B$7=CMSRecursos!F50) * (CMSDescuento!$C$2:$C$7=CMSRecursos!I50), 0)),0)</f>
        <v>0</v>
      </c>
      <c r="N50" s="241">
        <f t="shared" si="5"/>
        <v>0</v>
      </c>
      <c r="O50" s="241">
        <f t="shared" si="1"/>
        <v>0</v>
      </c>
      <c r="P50" s="7"/>
      <c r="Q50" s="232"/>
      <c r="R50" s="7"/>
      <c r="S50" s="243">
        <f>N50/(1-CMSResumen!H21)</f>
        <v>0</v>
      </c>
      <c r="T50" s="244">
        <f t="shared" si="2"/>
        <v>0</v>
      </c>
      <c r="U50" s="244">
        <f t="shared" si="3"/>
        <v>0</v>
      </c>
      <c r="V50" s="242">
        <f t="shared" si="4"/>
        <v>0</v>
      </c>
      <c r="W50" s="247"/>
      <c r="X50" s="224"/>
    </row>
    <row r="51" spans="1:24" ht="15" customHeight="1">
      <c r="A51" s="5"/>
      <c r="B51" s="238"/>
      <c r="C51" s="239"/>
      <c r="D51" s="139"/>
      <c r="E51" s="215"/>
      <c r="F51" s="240" t="str">
        <f>IF(E51="AWS",IFERROR(INDEX(CMSAzureAWS!C:C,MATCH(CMSRecursos!G51,CMSAzureAWS!E:E,0)),0),IF(E51="Azure",IFERROR(INDEX(CMSAzureAWS!C:C,MATCH(CMSRecursos!G51,CMSAzureAWS!G:G,0)),0),"Seleccione un Vendor"))</f>
        <v>Seleccione un Vendor</v>
      </c>
      <c r="G51" s="215"/>
      <c r="H51" s="241" t="str">
        <f>IF(E51="AWS",IFERROR(INDEX(CMSAzureAWS!D:D,MATCH(CMSRecursos!G51,CMSAzureAWS!E:E,0)),0),IF(E51="Azure",IFERROR(INDEX(CMSAzureAWS!D:D,MATCH(CMSRecursos!G51,CMSAzureAWS!G:G,0)),0),"Seleccione un Vendor"))</f>
        <v>Seleccione un Vendor</v>
      </c>
      <c r="I51" s="245" t="s">
        <v>1009</v>
      </c>
      <c r="J51" s="245" t="s">
        <v>1009</v>
      </c>
      <c r="K51" s="246">
        <v>0</v>
      </c>
      <c r="L51" s="242" cm="1">
        <f t="array" ref="L51">IFERROR(IF(I51="Si", INDEX(CMSDescuento!$E$23:$E$26, MATCH(1, (CMSDescuento!$C$23:$C$26&lt;=CMSRecursos!K51) * (CMSDescuento!$D$23:$D$26&gt;=CMSRecursos!K51), 0)), 0),0)</f>
        <v>0</v>
      </c>
      <c r="M51" s="241" cm="1">
        <f t="array" ref="M51">IFERROR(INDEX(CMSDescuento!$D$2:$D$7, MATCH(1, (CMSDescuento!$B$2:$B$7=CMSRecursos!F51) * (CMSDescuento!$C$2:$C$7=CMSRecursos!I51), 0)),0)</f>
        <v>0</v>
      </c>
      <c r="N51" s="241">
        <f t="shared" si="5"/>
        <v>0</v>
      </c>
      <c r="O51" s="241">
        <f t="shared" si="1"/>
        <v>0</v>
      </c>
      <c r="P51" s="7"/>
      <c r="Q51" s="232"/>
      <c r="R51" s="7"/>
      <c r="S51" s="243">
        <f>N51/(1-CMSResumen!H21)</f>
        <v>0</v>
      </c>
      <c r="T51" s="244">
        <f t="shared" si="2"/>
        <v>0</v>
      </c>
      <c r="U51" s="244">
        <f t="shared" si="3"/>
        <v>0</v>
      </c>
      <c r="V51" s="242">
        <f t="shared" si="4"/>
        <v>0</v>
      </c>
      <c r="W51" s="247"/>
      <c r="X51" s="224"/>
    </row>
    <row r="52" spans="1:24" ht="15" customHeight="1">
      <c r="A52" s="5"/>
      <c r="B52" s="238"/>
      <c r="C52" s="239"/>
      <c r="D52" s="139"/>
      <c r="E52" s="215"/>
      <c r="F52" s="240" t="str">
        <f>IF(E52="AWS",IFERROR(INDEX(CMSAzureAWS!C:C,MATCH(CMSRecursos!G52,CMSAzureAWS!E:E,0)),0),IF(E52="Azure",IFERROR(INDEX(CMSAzureAWS!C:C,MATCH(CMSRecursos!G52,CMSAzureAWS!G:G,0)),0),"Seleccione un Vendor"))</f>
        <v>Seleccione un Vendor</v>
      </c>
      <c r="G52" s="215"/>
      <c r="H52" s="241" t="str">
        <f>IF(E52="AWS",IFERROR(INDEX(CMSAzureAWS!D:D,MATCH(CMSRecursos!G52,CMSAzureAWS!E:E,0)),0),IF(E52="Azure",IFERROR(INDEX(CMSAzureAWS!D:D,MATCH(CMSRecursos!G52,CMSAzureAWS!G:G,0)),0),"Seleccione un Vendor"))</f>
        <v>Seleccione un Vendor</v>
      </c>
      <c r="I52" s="245" t="s">
        <v>1009</v>
      </c>
      <c r="J52" s="245" t="s">
        <v>1009</v>
      </c>
      <c r="K52" s="246">
        <v>0</v>
      </c>
      <c r="L52" s="242" cm="1">
        <f t="array" ref="L52">IFERROR(IF(I52="Si", INDEX(CMSDescuento!$E$23:$E$26, MATCH(1, (CMSDescuento!$C$23:$C$26&lt;=CMSRecursos!K52) * (CMSDescuento!$D$23:$D$26&gt;=CMSRecursos!K52), 0)), 0),0)</f>
        <v>0</v>
      </c>
      <c r="M52" s="241" cm="1">
        <f t="array" ref="M52">IFERROR(INDEX(CMSDescuento!$D$2:$D$7, MATCH(1, (CMSDescuento!$B$2:$B$7=CMSRecursos!F52) * (CMSDescuento!$C$2:$C$7=CMSRecursos!I52), 0)),0)</f>
        <v>0</v>
      </c>
      <c r="N52" s="241">
        <f t="shared" si="5"/>
        <v>0</v>
      </c>
      <c r="O52" s="241">
        <f t="shared" si="1"/>
        <v>0</v>
      </c>
      <c r="P52" s="7"/>
      <c r="Q52" s="232"/>
      <c r="R52" s="7"/>
      <c r="S52" s="243">
        <f>N52/(1-CMSResumen!H21)</f>
        <v>0</v>
      </c>
      <c r="T52" s="244">
        <f t="shared" si="2"/>
        <v>0</v>
      </c>
      <c r="U52" s="244">
        <f t="shared" si="3"/>
        <v>0</v>
      </c>
      <c r="V52" s="242">
        <f t="shared" si="4"/>
        <v>0</v>
      </c>
      <c r="W52" s="247"/>
      <c r="X52" s="224"/>
    </row>
    <row r="53" spans="1:24" ht="15" customHeight="1">
      <c r="A53" s="5"/>
      <c r="B53" s="238"/>
      <c r="C53" s="239"/>
      <c r="D53" s="139"/>
      <c r="E53" s="215"/>
      <c r="F53" s="240" t="str">
        <f>IF(E53="AWS",IFERROR(INDEX(CMSAzureAWS!C:C,MATCH(CMSRecursos!G53,CMSAzureAWS!E:E,0)),0),IF(E53="Azure",IFERROR(INDEX(CMSAzureAWS!C:C,MATCH(CMSRecursos!G53,CMSAzureAWS!G:G,0)),0),"Seleccione un Vendor"))</f>
        <v>Seleccione un Vendor</v>
      </c>
      <c r="G53" s="215"/>
      <c r="H53" s="241" t="str">
        <f>IF(E53="AWS",IFERROR(INDEX(CMSAzureAWS!D:D,MATCH(CMSRecursos!G53,CMSAzureAWS!E:E,0)),0),IF(E53="Azure",IFERROR(INDEX(CMSAzureAWS!D:D,MATCH(CMSRecursos!G53,CMSAzureAWS!G:G,0)),0),"Seleccione un Vendor"))</f>
        <v>Seleccione un Vendor</v>
      </c>
      <c r="I53" s="245" t="s">
        <v>1009</v>
      </c>
      <c r="J53" s="245" t="s">
        <v>1009</v>
      </c>
      <c r="K53" s="246">
        <v>0</v>
      </c>
      <c r="L53" s="242" cm="1">
        <f t="array" ref="L53">IFERROR(IF(I53="Si", INDEX(CMSDescuento!$E$23:$E$26, MATCH(1, (CMSDescuento!$C$23:$C$26&lt;=CMSRecursos!K53) * (CMSDescuento!$D$23:$D$26&gt;=CMSRecursos!K53), 0)), 0),0)</f>
        <v>0</v>
      </c>
      <c r="M53" s="241" cm="1">
        <f t="array" ref="M53">IFERROR(INDEX(CMSDescuento!$D$2:$D$7, MATCH(1, (CMSDescuento!$B$2:$B$7=CMSRecursos!F53) * (CMSDescuento!$C$2:$C$7=CMSRecursos!I53), 0)),0)</f>
        <v>0</v>
      </c>
      <c r="N53" s="241">
        <f t="shared" si="5"/>
        <v>0</v>
      </c>
      <c r="O53" s="241">
        <f t="shared" si="1"/>
        <v>0</v>
      </c>
      <c r="P53" s="7"/>
      <c r="Q53" s="232"/>
      <c r="R53" s="7"/>
      <c r="S53" s="243">
        <f>N53/(1-CMSResumen!H21)</f>
        <v>0</v>
      </c>
      <c r="T53" s="244">
        <f t="shared" si="2"/>
        <v>0</v>
      </c>
      <c r="U53" s="244">
        <f t="shared" si="3"/>
        <v>0</v>
      </c>
      <c r="V53" s="242">
        <f t="shared" si="4"/>
        <v>0</v>
      </c>
      <c r="W53" s="247"/>
      <c r="X53" s="224"/>
    </row>
    <row r="54" spans="1:24" ht="15" customHeight="1">
      <c r="A54" s="5"/>
      <c r="B54" s="238"/>
      <c r="C54" s="239"/>
      <c r="D54" s="139"/>
      <c r="E54" s="215"/>
      <c r="F54" s="240" t="str">
        <f>IF(E54="AWS",IFERROR(INDEX(CMSAzureAWS!C:C,MATCH(CMSRecursos!G54,CMSAzureAWS!E:E,0)),0),IF(E54="Azure",IFERROR(INDEX(CMSAzureAWS!C:C,MATCH(CMSRecursos!G54,CMSAzureAWS!G:G,0)),0),"Seleccione un Vendor"))</f>
        <v>Seleccione un Vendor</v>
      </c>
      <c r="G54" s="215"/>
      <c r="H54" s="241" t="str">
        <f>IF(E54="AWS",IFERROR(INDEX(CMSAzureAWS!D:D,MATCH(CMSRecursos!G54,CMSAzureAWS!E:E,0)),0),IF(E54="Azure",IFERROR(INDEX(CMSAzureAWS!D:D,MATCH(CMSRecursos!G54,CMSAzureAWS!G:G,0)),0),"Seleccione un Vendor"))</f>
        <v>Seleccione un Vendor</v>
      </c>
      <c r="I54" s="245" t="s">
        <v>1009</v>
      </c>
      <c r="J54" s="245" t="s">
        <v>1009</v>
      </c>
      <c r="K54" s="246">
        <v>0</v>
      </c>
      <c r="L54" s="242" cm="1">
        <f t="array" ref="L54">IFERROR(IF(I54="Si", INDEX(CMSDescuento!$E$23:$E$26, MATCH(1, (CMSDescuento!$C$23:$C$26&lt;=CMSRecursos!K54) * (CMSDescuento!$D$23:$D$26&gt;=CMSRecursos!K54), 0)), 0),0)</f>
        <v>0</v>
      </c>
      <c r="M54" s="241" cm="1">
        <f t="array" ref="M54">IFERROR(INDEX(CMSDescuento!$D$2:$D$7, MATCH(1, (CMSDescuento!$B$2:$B$7=CMSRecursos!F54) * (CMSDescuento!$C$2:$C$7=CMSRecursos!I54), 0)),0)</f>
        <v>0</v>
      </c>
      <c r="N54" s="241">
        <f t="shared" si="5"/>
        <v>0</v>
      </c>
      <c r="O54" s="241">
        <f t="shared" si="1"/>
        <v>0</v>
      </c>
      <c r="P54" s="7"/>
      <c r="Q54" s="232"/>
      <c r="R54" s="7"/>
      <c r="S54" s="243">
        <f>N54/(1-CMSResumen!H21)</f>
        <v>0</v>
      </c>
      <c r="T54" s="244">
        <f t="shared" si="2"/>
        <v>0</v>
      </c>
      <c r="U54" s="244">
        <f t="shared" si="3"/>
        <v>0</v>
      </c>
      <c r="V54" s="242">
        <f t="shared" si="4"/>
        <v>0</v>
      </c>
      <c r="W54" s="247"/>
      <c r="X54" s="224"/>
    </row>
    <row r="55" spans="1:24" ht="15" customHeight="1">
      <c r="A55" s="5"/>
      <c r="B55" s="238"/>
      <c r="C55" s="239"/>
      <c r="D55" s="139"/>
      <c r="E55" s="215"/>
      <c r="F55" s="240" t="str">
        <f>IF(E55="AWS",IFERROR(INDEX(CMSAzureAWS!C:C,MATCH(CMSRecursos!G55,CMSAzureAWS!E:E,0)),0),IF(E55="Azure",IFERROR(INDEX(CMSAzureAWS!C:C,MATCH(CMSRecursos!G55,CMSAzureAWS!G:G,0)),0),"Seleccione un Vendor"))</f>
        <v>Seleccione un Vendor</v>
      </c>
      <c r="G55" s="215"/>
      <c r="H55" s="241" t="str">
        <f>IF(E55="AWS",IFERROR(INDEX(CMSAzureAWS!D:D,MATCH(CMSRecursos!G55,CMSAzureAWS!E:E,0)),0),IF(E55="Azure",IFERROR(INDEX(CMSAzureAWS!D:D,MATCH(CMSRecursos!G55,CMSAzureAWS!G:G,0)),0),"Seleccione un Vendor"))</f>
        <v>Seleccione un Vendor</v>
      </c>
      <c r="I55" s="245" t="s">
        <v>1009</v>
      </c>
      <c r="J55" s="245" t="s">
        <v>1009</v>
      </c>
      <c r="K55" s="246">
        <v>0</v>
      </c>
      <c r="L55" s="242" cm="1">
        <f t="array" ref="L55">IFERROR(IF(I55="Si", INDEX(CMSDescuento!$E$23:$E$26, MATCH(1, (CMSDescuento!$C$23:$C$26&lt;=CMSRecursos!K55) * (CMSDescuento!$D$23:$D$26&gt;=CMSRecursos!K55), 0)), 0),0)</f>
        <v>0</v>
      </c>
      <c r="M55" s="241" cm="1">
        <f t="array" ref="M55">IFERROR(INDEX(CMSDescuento!$D$2:$D$7, MATCH(1, (CMSDescuento!$B$2:$B$7=CMSRecursos!F55) * (CMSDescuento!$C$2:$C$7=CMSRecursos!I55), 0)),0)</f>
        <v>0</v>
      </c>
      <c r="N55" s="241">
        <f t="shared" si="5"/>
        <v>0</v>
      </c>
      <c r="O55" s="241">
        <f t="shared" si="1"/>
        <v>0</v>
      </c>
      <c r="P55" s="7"/>
      <c r="Q55" s="232"/>
      <c r="R55" s="7"/>
      <c r="S55" s="243">
        <f>N55/(1-CMSResumen!H21)</f>
        <v>0</v>
      </c>
      <c r="T55" s="244">
        <f t="shared" si="2"/>
        <v>0</v>
      </c>
      <c r="U55" s="244">
        <f t="shared" si="3"/>
        <v>0</v>
      </c>
      <c r="V55" s="242">
        <f t="shared" si="4"/>
        <v>0</v>
      </c>
      <c r="W55" s="247"/>
      <c r="X55" s="224"/>
    </row>
    <row r="56" spans="1:24" ht="15" customHeight="1">
      <c r="A56" s="5"/>
      <c r="B56" s="238"/>
      <c r="C56" s="239"/>
      <c r="D56" s="139"/>
      <c r="E56" s="215"/>
      <c r="F56" s="240" t="str">
        <f>IF(E56="AWS",IFERROR(INDEX(CMSAzureAWS!C:C,MATCH(CMSRecursos!G56,CMSAzureAWS!E:E,0)),0),IF(E56="Azure",IFERROR(INDEX(CMSAzureAWS!C:C,MATCH(CMSRecursos!G56,CMSAzureAWS!G:G,0)),0),"Seleccione un Vendor"))</f>
        <v>Seleccione un Vendor</v>
      </c>
      <c r="G56" s="215"/>
      <c r="H56" s="241" t="str">
        <f>IF(E56="AWS",IFERROR(INDEX(CMSAzureAWS!D:D,MATCH(CMSRecursos!G56,CMSAzureAWS!E:E,0)),0),IF(E56="Azure",IFERROR(INDEX(CMSAzureAWS!D:D,MATCH(CMSRecursos!G56,CMSAzureAWS!G:G,0)),0),"Seleccione un Vendor"))</f>
        <v>Seleccione un Vendor</v>
      </c>
      <c r="I56" s="245" t="s">
        <v>1009</v>
      </c>
      <c r="J56" s="245" t="s">
        <v>1009</v>
      </c>
      <c r="K56" s="246">
        <v>0</v>
      </c>
      <c r="L56" s="242" cm="1">
        <f t="array" ref="L56">IFERROR(IF(I56="Si", INDEX(CMSDescuento!$E$23:$E$26, MATCH(1, (CMSDescuento!$C$23:$C$26&lt;=CMSRecursos!K56) * (CMSDescuento!$D$23:$D$26&gt;=CMSRecursos!K56), 0)), 0),0)</f>
        <v>0</v>
      </c>
      <c r="M56" s="241" cm="1">
        <f t="array" ref="M56">IFERROR(INDEX(CMSDescuento!$D$2:$D$7, MATCH(1, (CMSDescuento!$B$2:$B$7=CMSRecursos!F56) * (CMSDescuento!$C$2:$C$7=CMSRecursos!I56), 0)),0)</f>
        <v>0</v>
      </c>
      <c r="N56" s="241">
        <f t="shared" si="5"/>
        <v>0</v>
      </c>
      <c r="O56" s="241">
        <f t="shared" si="1"/>
        <v>0</v>
      </c>
      <c r="P56" s="7"/>
      <c r="Q56" s="232"/>
      <c r="R56" s="7"/>
      <c r="S56" s="243">
        <f>N56/(1-CMSResumen!H21)</f>
        <v>0</v>
      </c>
      <c r="T56" s="244">
        <f t="shared" si="2"/>
        <v>0</v>
      </c>
      <c r="U56" s="244">
        <f t="shared" si="3"/>
        <v>0</v>
      </c>
      <c r="V56" s="242">
        <f t="shared" si="4"/>
        <v>0</v>
      </c>
      <c r="W56" s="247"/>
      <c r="X56" s="224"/>
    </row>
    <row r="57" spans="1:24" ht="15" customHeight="1">
      <c r="A57" s="5"/>
      <c r="B57" s="238"/>
      <c r="C57" s="239"/>
      <c r="D57" s="139"/>
      <c r="E57" s="215"/>
      <c r="F57" s="240" t="str">
        <f>IF(E57="AWS",IFERROR(INDEX(CMSAzureAWS!C:C,MATCH(CMSRecursos!G57,CMSAzureAWS!E:E,0)),0),IF(E57="Azure",IFERROR(INDEX(CMSAzureAWS!C:C,MATCH(CMSRecursos!G57,CMSAzureAWS!G:G,0)),0),"Seleccione un Vendor"))</f>
        <v>Seleccione un Vendor</v>
      </c>
      <c r="G57" s="215"/>
      <c r="H57" s="241" t="str">
        <f>IF(E57="AWS",IFERROR(INDEX(CMSAzureAWS!D:D,MATCH(CMSRecursos!G57,CMSAzureAWS!E:E,0)),0),IF(E57="Azure",IFERROR(INDEX(CMSAzureAWS!D:D,MATCH(CMSRecursos!G57,CMSAzureAWS!G:G,0)),0),"Seleccione un Vendor"))</f>
        <v>Seleccione un Vendor</v>
      </c>
      <c r="I57" s="245" t="s">
        <v>1009</v>
      </c>
      <c r="J57" s="245" t="s">
        <v>1009</v>
      </c>
      <c r="K57" s="246">
        <v>0</v>
      </c>
      <c r="L57" s="242" cm="1">
        <f t="array" ref="L57">IFERROR(IF(I57="Si", INDEX(CMSDescuento!$E$23:$E$26, MATCH(1, (CMSDescuento!$C$23:$C$26&lt;=CMSRecursos!K57) * (CMSDescuento!$D$23:$D$26&gt;=CMSRecursos!K57), 0)), 0),0)</f>
        <v>0</v>
      </c>
      <c r="M57" s="241" cm="1">
        <f t="array" ref="M57">IFERROR(INDEX(CMSDescuento!$D$2:$D$7, MATCH(1, (CMSDescuento!$B$2:$B$7=CMSRecursos!F57) * (CMSDescuento!$C$2:$C$7=CMSRecursos!I57), 0)),0)</f>
        <v>0</v>
      </c>
      <c r="N57" s="241">
        <f t="shared" si="5"/>
        <v>0</v>
      </c>
      <c r="O57" s="241">
        <f t="shared" si="1"/>
        <v>0</v>
      </c>
      <c r="P57" s="7"/>
      <c r="Q57" s="232"/>
      <c r="R57" s="7"/>
      <c r="S57" s="243">
        <f>N57/(1-CMSResumen!H21)</f>
        <v>0</v>
      </c>
      <c r="T57" s="244">
        <f t="shared" si="2"/>
        <v>0</v>
      </c>
      <c r="U57" s="244">
        <f t="shared" si="3"/>
        <v>0</v>
      </c>
      <c r="V57" s="242">
        <f t="shared" si="4"/>
        <v>0</v>
      </c>
      <c r="W57" s="247"/>
      <c r="X57" s="224"/>
    </row>
    <row r="58" spans="1:24" ht="15" customHeight="1">
      <c r="A58" s="5"/>
      <c r="B58" s="238"/>
      <c r="C58" s="239"/>
      <c r="D58" s="139"/>
      <c r="E58" s="215"/>
      <c r="F58" s="240" t="str">
        <f>IF(E58="AWS",IFERROR(INDEX(CMSAzureAWS!C:C,MATCH(CMSRecursos!G58,CMSAzureAWS!E:E,0)),0),IF(E58="Azure",IFERROR(INDEX(CMSAzureAWS!C:C,MATCH(CMSRecursos!G58,CMSAzureAWS!G:G,0)),0),"Seleccione un Vendor"))</f>
        <v>Seleccione un Vendor</v>
      </c>
      <c r="G58" s="215"/>
      <c r="H58" s="241" t="str">
        <f>IF(E58="AWS",IFERROR(INDEX(CMSAzureAWS!D:D,MATCH(CMSRecursos!G58,CMSAzureAWS!E:E,0)),0),IF(E58="Azure",IFERROR(INDEX(CMSAzureAWS!D:D,MATCH(CMSRecursos!G58,CMSAzureAWS!G:G,0)),0),"Seleccione un Vendor"))</f>
        <v>Seleccione un Vendor</v>
      </c>
      <c r="I58" s="245" t="s">
        <v>1009</v>
      </c>
      <c r="J58" s="245" t="s">
        <v>1009</v>
      </c>
      <c r="K58" s="246">
        <v>0</v>
      </c>
      <c r="L58" s="242" cm="1">
        <f t="array" ref="L58">IFERROR(IF(I58="Si", INDEX(CMSDescuento!$E$23:$E$26, MATCH(1, (CMSDescuento!$C$23:$C$26&lt;=CMSRecursos!K58) * (CMSDescuento!$D$23:$D$26&gt;=CMSRecursos!K58), 0)), 0),0)</f>
        <v>0</v>
      </c>
      <c r="M58" s="241" cm="1">
        <f t="array" ref="M58">IFERROR(INDEX(CMSDescuento!$D$2:$D$7, MATCH(1, (CMSDescuento!$B$2:$B$7=CMSRecursos!F58) * (CMSDescuento!$C$2:$C$7=CMSRecursos!I58), 0)),0)</f>
        <v>0</v>
      </c>
      <c r="N58" s="241">
        <f t="shared" si="5"/>
        <v>0</v>
      </c>
      <c r="O58" s="241">
        <f t="shared" si="1"/>
        <v>0</v>
      </c>
      <c r="P58" s="7"/>
      <c r="Q58" s="232"/>
      <c r="R58" s="7"/>
      <c r="S58" s="243">
        <f>N58/(1-CMSResumen!H21)</f>
        <v>0</v>
      </c>
      <c r="T58" s="244">
        <f t="shared" si="2"/>
        <v>0</v>
      </c>
      <c r="U58" s="244">
        <f t="shared" si="3"/>
        <v>0</v>
      </c>
      <c r="V58" s="242">
        <f t="shared" si="4"/>
        <v>0</v>
      </c>
      <c r="W58" s="247"/>
      <c r="X58" s="224"/>
    </row>
    <row r="59" spans="1:24" ht="15" customHeight="1">
      <c r="A59" s="5"/>
      <c r="B59" s="238"/>
      <c r="C59" s="239"/>
      <c r="D59" s="139"/>
      <c r="E59" s="215"/>
      <c r="F59" s="240" t="str">
        <f>IF(E59="AWS",IFERROR(INDEX(CMSAzureAWS!C:C,MATCH(CMSRecursos!G59,CMSAzureAWS!E:E,0)),0),IF(E59="Azure",IFERROR(INDEX(CMSAzureAWS!C:C,MATCH(CMSRecursos!G59,CMSAzureAWS!G:G,0)),0),"Seleccione un Vendor"))</f>
        <v>Seleccione un Vendor</v>
      </c>
      <c r="G59" s="215"/>
      <c r="H59" s="241" t="str">
        <f>IF(E59="AWS",IFERROR(INDEX(CMSAzureAWS!D:D,MATCH(CMSRecursos!G59,CMSAzureAWS!E:E,0)),0),IF(E59="Azure",IFERROR(INDEX(CMSAzureAWS!D:D,MATCH(CMSRecursos!G59,CMSAzureAWS!G:G,0)),0),"Seleccione un Vendor"))</f>
        <v>Seleccione un Vendor</v>
      </c>
      <c r="I59" s="245" t="s">
        <v>1009</v>
      </c>
      <c r="J59" s="245" t="s">
        <v>1009</v>
      </c>
      <c r="K59" s="246">
        <v>0</v>
      </c>
      <c r="L59" s="242" cm="1">
        <f t="array" ref="L59">IFERROR(IF(I59="Si", INDEX(CMSDescuento!$E$23:$E$26, MATCH(1, (CMSDescuento!$C$23:$C$26&lt;=CMSRecursos!K59) * (CMSDescuento!$D$23:$D$26&gt;=CMSRecursos!K59), 0)), 0),0)</f>
        <v>0</v>
      </c>
      <c r="M59" s="241" cm="1">
        <f t="array" ref="M59">IFERROR(INDEX(CMSDescuento!$D$2:$D$7, MATCH(1, (CMSDescuento!$B$2:$B$7=CMSRecursos!F59) * (CMSDescuento!$C$2:$C$7=CMSRecursos!I59), 0)),0)</f>
        <v>0</v>
      </c>
      <c r="N59" s="241">
        <f t="shared" si="5"/>
        <v>0</v>
      </c>
      <c r="O59" s="241">
        <f t="shared" si="1"/>
        <v>0</v>
      </c>
      <c r="P59" s="7"/>
      <c r="Q59" s="232"/>
      <c r="R59" s="7"/>
      <c r="S59" s="243">
        <f>N59/(1-CMSResumen!H21)</f>
        <v>0</v>
      </c>
      <c r="T59" s="244">
        <f t="shared" si="2"/>
        <v>0</v>
      </c>
      <c r="U59" s="244">
        <f t="shared" si="3"/>
        <v>0</v>
      </c>
      <c r="V59" s="242">
        <f t="shared" si="4"/>
        <v>0</v>
      </c>
      <c r="W59" s="247"/>
      <c r="X59" s="224"/>
    </row>
    <row r="60" spans="1:24" ht="15" customHeight="1">
      <c r="A60" s="5"/>
      <c r="B60" s="238"/>
      <c r="C60" s="239"/>
      <c r="D60" s="139"/>
      <c r="E60" s="215"/>
      <c r="F60" s="240" t="str">
        <f>IF(E60="AWS",IFERROR(INDEX(CMSAzureAWS!C:C,MATCH(CMSRecursos!G60,CMSAzureAWS!E:E,0)),0),IF(E60="Azure",IFERROR(INDEX(CMSAzureAWS!C:C,MATCH(CMSRecursos!G60,CMSAzureAWS!G:G,0)),0),"Seleccione un Vendor"))</f>
        <v>Seleccione un Vendor</v>
      </c>
      <c r="G60" s="215"/>
      <c r="H60" s="241" t="str">
        <f>IF(E60="AWS",IFERROR(INDEX(CMSAzureAWS!D:D,MATCH(CMSRecursos!G60,CMSAzureAWS!E:E,0)),0),IF(E60="Azure",IFERROR(INDEX(CMSAzureAWS!D:D,MATCH(CMSRecursos!G60,CMSAzureAWS!G:G,0)),0),"Seleccione un Vendor"))</f>
        <v>Seleccione un Vendor</v>
      </c>
      <c r="I60" s="245" t="s">
        <v>1009</v>
      </c>
      <c r="J60" s="245" t="s">
        <v>1009</v>
      </c>
      <c r="K60" s="246">
        <v>0</v>
      </c>
      <c r="L60" s="242" cm="1">
        <f t="array" ref="L60">IFERROR(IF(I60="Si", INDEX(CMSDescuento!$E$23:$E$26, MATCH(1, (CMSDescuento!$C$23:$C$26&lt;=CMSRecursos!K60) * (CMSDescuento!$D$23:$D$26&gt;=CMSRecursos!K60), 0)), 0),0)</f>
        <v>0</v>
      </c>
      <c r="M60" s="241" cm="1">
        <f t="array" ref="M60">IFERROR(INDEX(CMSDescuento!$D$2:$D$7, MATCH(1, (CMSDescuento!$B$2:$B$7=CMSRecursos!F60) * (CMSDescuento!$C$2:$C$7=CMSRecursos!I60), 0)),0)</f>
        <v>0</v>
      </c>
      <c r="N60" s="241">
        <f t="shared" si="5"/>
        <v>0</v>
      </c>
      <c r="O60" s="241">
        <f t="shared" si="1"/>
        <v>0</v>
      </c>
      <c r="P60" s="7"/>
      <c r="Q60" s="232"/>
      <c r="R60" s="7"/>
      <c r="S60" s="243">
        <f>N60/(1-CMSResumen!H21)</f>
        <v>0</v>
      </c>
      <c r="T60" s="244">
        <f t="shared" si="2"/>
        <v>0</v>
      </c>
      <c r="U60" s="244">
        <f t="shared" si="3"/>
        <v>0</v>
      </c>
      <c r="V60" s="242">
        <f t="shared" si="4"/>
        <v>0</v>
      </c>
      <c r="W60" s="247"/>
      <c r="X60" s="224"/>
    </row>
    <row r="61" spans="1:24" ht="15" customHeight="1">
      <c r="A61" s="5"/>
      <c r="B61" s="238"/>
      <c r="C61" s="239"/>
      <c r="D61" s="139"/>
      <c r="E61" s="215"/>
      <c r="F61" s="240" t="str">
        <f>IF(E61="AWS",IFERROR(INDEX(CMSAzureAWS!C:C,MATCH(CMSRecursos!G61,CMSAzureAWS!E:E,0)),0),IF(E61="Azure",IFERROR(INDEX(CMSAzureAWS!C:C,MATCH(CMSRecursos!G61,CMSAzureAWS!G:G,0)),0),"Seleccione un Vendor"))</f>
        <v>Seleccione un Vendor</v>
      </c>
      <c r="G61" s="215"/>
      <c r="H61" s="241" t="str">
        <f>IF(E61="AWS",IFERROR(INDEX(CMSAzureAWS!D:D,MATCH(CMSRecursos!G61,CMSAzureAWS!E:E,0)),0),IF(E61="Azure",IFERROR(INDEX(CMSAzureAWS!D:D,MATCH(CMSRecursos!G61,CMSAzureAWS!G:G,0)),0),"Seleccione un Vendor"))</f>
        <v>Seleccione un Vendor</v>
      </c>
      <c r="I61" s="245" t="s">
        <v>1009</v>
      </c>
      <c r="J61" s="245" t="s">
        <v>1009</v>
      </c>
      <c r="K61" s="246">
        <v>0</v>
      </c>
      <c r="L61" s="242" cm="1">
        <f t="array" ref="L61">IFERROR(IF(I61="Si", INDEX(CMSDescuento!$E$23:$E$26, MATCH(1, (CMSDescuento!$C$23:$C$26&lt;=CMSRecursos!K61) * (CMSDescuento!$D$23:$D$26&gt;=CMSRecursos!K61), 0)), 0),0)</f>
        <v>0</v>
      </c>
      <c r="M61" s="241" cm="1">
        <f t="array" ref="M61">IFERROR(INDEX(CMSDescuento!$D$2:$D$7, MATCH(1, (CMSDescuento!$B$2:$B$7=CMSRecursos!F61) * (CMSDescuento!$C$2:$C$7=CMSRecursos!I61), 0)),0)</f>
        <v>0</v>
      </c>
      <c r="N61" s="241">
        <f t="shared" si="5"/>
        <v>0</v>
      </c>
      <c r="O61" s="241">
        <f t="shared" si="1"/>
        <v>0</v>
      </c>
      <c r="P61" s="7"/>
      <c r="Q61" s="232"/>
      <c r="R61" s="7"/>
      <c r="S61" s="243">
        <f>N61/(1-CMSResumen!H21)</f>
        <v>0</v>
      </c>
      <c r="T61" s="244">
        <f t="shared" si="2"/>
        <v>0</v>
      </c>
      <c r="U61" s="244">
        <f t="shared" si="3"/>
        <v>0</v>
      </c>
      <c r="V61" s="242">
        <f t="shared" si="4"/>
        <v>0</v>
      </c>
      <c r="W61" s="247"/>
      <c r="X61" s="224"/>
    </row>
    <row r="62" spans="1:24" ht="15" customHeight="1">
      <c r="A62" s="5"/>
      <c r="B62" s="238"/>
      <c r="C62" s="239"/>
      <c r="D62" s="139"/>
      <c r="E62" s="215"/>
      <c r="F62" s="240" t="str">
        <f>IF(E62="AWS",IFERROR(INDEX(CMSAzureAWS!C:C,MATCH(CMSRecursos!G62,CMSAzureAWS!E:E,0)),0),IF(E62="Azure",IFERROR(INDEX(CMSAzureAWS!C:C,MATCH(CMSRecursos!G62,CMSAzureAWS!G:G,0)),0),"Seleccione un Vendor"))</f>
        <v>Seleccione un Vendor</v>
      </c>
      <c r="G62" s="215"/>
      <c r="H62" s="241" t="str">
        <f>IF(E62="AWS",IFERROR(INDEX(CMSAzureAWS!D:D,MATCH(CMSRecursos!G62,CMSAzureAWS!E:E,0)),0),IF(E62="Azure",IFERROR(INDEX(CMSAzureAWS!D:D,MATCH(CMSRecursos!G62,CMSAzureAWS!G:G,0)),0),"Seleccione un Vendor"))</f>
        <v>Seleccione un Vendor</v>
      </c>
      <c r="I62" s="245" t="s">
        <v>1009</v>
      </c>
      <c r="J62" s="245" t="s">
        <v>1009</v>
      </c>
      <c r="K62" s="246">
        <v>0</v>
      </c>
      <c r="L62" s="242" cm="1">
        <f t="array" ref="L62">IFERROR(IF(I62="Si", INDEX(CMSDescuento!$E$23:$E$26, MATCH(1, (CMSDescuento!$C$23:$C$26&lt;=CMSRecursos!K62) * (CMSDescuento!$D$23:$D$26&gt;=CMSRecursos!K62), 0)), 0),0)</f>
        <v>0</v>
      </c>
      <c r="M62" s="241" cm="1">
        <f t="array" ref="M62">IFERROR(INDEX(CMSDescuento!$D$2:$D$7, MATCH(1, (CMSDescuento!$B$2:$B$7=CMSRecursos!F62) * (CMSDescuento!$C$2:$C$7=CMSRecursos!I62), 0)),0)</f>
        <v>0</v>
      </c>
      <c r="N62" s="241">
        <f t="shared" si="5"/>
        <v>0</v>
      </c>
      <c r="O62" s="241">
        <f t="shared" si="1"/>
        <v>0</v>
      </c>
      <c r="P62" s="7"/>
      <c r="Q62" s="232"/>
      <c r="R62" s="7"/>
      <c r="S62" s="243">
        <f>N62/(1-CMSResumen!H21)</f>
        <v>0</v>
      </c>
      <c r="T62" s="244">
        <f t="shared" si="2"/>
        <v>0</v>
      </c>
      <c r="U62" s="244">
        <f t="shared" si="3"/>
        <v>0</v>
      </c>
      <c r="V62" s="242">
        <f t="shared" si="4"/>
        <v>0</v>
      </c>
      <c r="W62" s="247"/>
      <c r="X62" s="224"/>
    </row>
    <row r="63" spans="1:24" ht="15" customHeight="1">
      <c r="A63" s="5"/>
      <c r="B63" s="238"/>
      <c r="C63" s="239"/>
      <c r="D63" s="139"/>
      <c r="E63" s="215"/>
      <c r="F63" s="240" t="str">
        <f>IF(E63="AWS",IFERROR(INDEX(CMSAzureAWS!C:C,MATCH(CMSRecursos!G63,CMSAzureAWS!E:E,0)),0),IF(E63="Azure",IFERROR(INDEX(CMSAzureAWS!C:C,MATCH(CMSRecursos!G63,CMSAzureAWS!G:G,0)),0),"Seleccione un Vendor"))</f>
        <v>Seleccione un Vendor</v>
      </c>
      <c r="G63" s="215"/>
      <c r="H63" s="241" t="str">
        <f>IF(E63="AWS",IFERROR(INDEX(CMSAzureAWS!D:D,MATCH(CMSRecursos!G63,CMSAzureAWS!E:E,0)),0),IF(E63="Azure",IFERROR(INDEX(CMSAzureAWS!D:D,MATCH(CMSRecursos!G63,CMSAzureAWS!G:G,0)),0),"Seleccione un Vendor"))</f>
        <v>Seleccione un Vendor</v>
      </c>
      <c r="I63" s="245" t="s">
        <v>1009</v>
      </c>
      <c r="J63" s="245" t="s">
        <v>1009</v>
      </c>
      <c r="K63" s="246">
        <v>0</v>
      </c>
      <c r="L63" s="242" cm="1">
        <f t="array" ref="L63">IFERROR(IF(I63="Si", INDEX(CMSDescuento!$E$23:$E$26, MATCH(1, (CMSDescuento!$C$23:$C$26&lt;=CMSRecursos!K63) * (CMSDescuento!$D$23:$D$26&gt;=CMSRecursos!K63), 0)), 0),0)</f>
        <v>0</v>
      </c>
      <c r="M63" s="241" cm="1">
        <f t="array" ref="M63">IFERROR(INDEX(CMSDescuento!$D$2:$D$7, MATCH(1, (CMSDescuento!$B$2:$B$7=CMSRecursos!F63) * (CMSDescuento!$C$2:$C$7=CMSRecursos!I63), 0)),0)</f>
        <v>0</v>
      </c>
      <c r="N63" s="241">
        <f t="shared" si="5"/>
        <v>0</v>
      </c>
      <c r="O63" s="241">
        <f t="shared" si="1"/>
        <v>0</v>
      </c>
      <c r="P63" s="7"/>
      <c r="Q63" s="232"/>
      <c r="R63" s="7"/>
      <c r="S63" s="243">
        <f>N63/(1-CMSResumen!H21)</f>
        <v>0</v>
      </c>
      <c r="T63" s="244">
        <f t="shared" si="2"/>
        <v>0</v>
      </c>
      <c r="U63" s="244">
        <f t="shared" si="3"/>
        <v>0</v>
      </c>
      <c r="V63" s="242">
        <f t="shared" si="4"/>
        <v>0</v>
      </c>
      <c r="W63" s="247"/>
      <c r="X63" s="224"/>
    </row>
    <row r="64" spans="1:24" ht="15" customHeight="1">
      <c r="A64" s="5"/>
      <c r="B64" s="238"/>
      <c r="C64" s="239"/>
      <c r="D64" s="139"/>
      <c r="E64" s="215"/>
      <c r="F64" s="240" t="str">
        <f>IF(E64="AWS",IFERROR(INDEX(CMSAzureAWS!C:C,MATCH(CMSRecursos!G64,CMSAzureAWS!E:E,0)),0),IF(E64="Azure",IFERROR(INDEX(CMSAzureAWS!C:C,MATCH(CMSRecursos!G64,CMSAzureAWS!G:G,0)),0),"Seleccione un Vendor"))</f>
        <v>Seleccione un Vendor</v>
      </c>
      <c r="G64" s="215"/>
      <c r="H64" s="241" t="str">
        <f>IF(E64="AWS",IFERROR(INDEX(CMSAzureAWS!D:D,MATCH(CMSRecursos!G64,CMSAzureAWS!E:E,0)),0),IF(E64="Azure",IFERROR(INDEX(CMSAzureAWS!D:D,MATCH(CMSRecursos!G64,CMSAzureAWS!G:G,0)),0),"Seleccione un Vendor"))</f>
        <v>Seleccione un Vendor</v>
      </c>
      <c r="I64" s="245" t="s">
        <v>1009</v>
      </c>
      <c r="J64" s="245" t="s">
        <v>1009</v>
      </c>
      <c r="K64" s="246">
        <v>0</v>
      </c>
      <c r="L64" s="242" cm="1">
        <f t="array" ref="L64">IFERROR(IF(I64="Si", INDEX(CMSDescuento!$E$23:$E$26, MATCH(1, (CMSDescuento!$C$23:$C$26&lt;=CMSRecursos!K64) * (CMSDescuento!$D$23:$D$26&gt;=CMSRecursos!K64), 0)), 0),0)</f>
        <v>0</v>
      </c>
      <c r="M64" s="241" cm="1">
        <f t="array" ref="M64">IFERROR(INDEX(CMSDescuento!$D$2:$D$7, MATCH(1, (CMSDescuento!$B$2:$B$7=CMSRecursos!F64) * (CMSDescuento!$C$2:$C$7=CMSRecursos!I64), 0)),0)</f>
        <v>0</v>
      </c>
      <c r="N64" s="241">
        <f t="shared" si="5"/>
        <v>0</v>
      </c>
      <c r="O64" s="241">
        <f t="shared" si="1"/>
        <v>0</v>
      </c>
      <c r="P64" s="7"/>
      <c r="Q64" s="232"/>
      <c r="R64" s="7"/>
      <c r="S64" s="243">
        <f>N64/(1-CMSResumen!H21)</f>
        <v>0</v>
      </c>
      <c r="T64" s="244">
        <f t="shared" si="2"/>
        <v>0</v>
      </c>
      <c r="U64" s="244">
        <f t="shared" si="3"/>
        <v>0</v>
      </c>
      <c r="V64" s="242">
        <f t="shared" si="4"/>
        <v>0</v>
      </c>
      <c r="W64" s="247"/>
      <c r="X64" s="224"/>
    </row>
    <row r="65" spans="1:24" ht="15" customHeight="1">
      <c r="A65" s="5"/>
      <c r="B65" s="238"/>
      <c r="C65" s="239"/>
      <c r="D65" s="139"/>
      <c r="E65" s="215"/>
      <c r="F65" s="240" t="str">
        <f>IF(E65="AWS",IFERROR(INDEX(CMSAzureAWS!C:C,MATCH(CMSRecursos!G65,CMSAzureAWS!E:E,0)),0),IF(E65="Azure",IFERROR(INDEX(CMSAzureAWS!C:C,MATCH(CMSRecursos!G65,CMSAzureAWS!G:G,0)),0),"Seleccione un Vendor"))</f>
        <v>Seleccione un Vendor</v>
      </c>
      <c r="G65" s="215"/>
      <c r="H65" s="241" t="str">
        <f>IF(E65="AWS",IFERROR(INDEX(CMSAzureAWS!D:D,MATCH(CMSRecursos!G65,CMSAzureAWS!E:E,0)),0),IF(E65="Azure",IFERROR(INDEX(CMSAzureAWS!D:D,MATCH(CMSRecursos!G65,CMSAzureAWS!G:G,0)),0),"Seleccione un Vendor"))</f>
        <v>Seleccione un Vendor</v>
      </c>
      <c r="I65" s="245" t="s">
        <v>1009</v>
      </c>
      <c r="J65" s="245" t="s">
        <v>1009</v>
      </c>
      <c r="K65" s="246">
        <v>0</v>
      </c>
      <c r="L65" s="242" cm="1">
        <f t="array" ref="L65">IFERROR(IF(I65="Si", INDEX(CMSDescuento!$E$23:$E$26, MATCH(1, (CMSDescuento!$C$23:$C$26&lt;=CMSRecursos!K65) * (CMSDescuento!$D$23:$D$26&gt;=CMSRecursos!K65), 0)), 0),0)</f>
        <v>0</v>
      </c>
      <c r="M65" s="241" cm="1">
        <f t="array" ref="M65">IFERROR(INDEX(CMSDescuento!$D$2:$D$7, MATCH(1, (CMSDescuento!$B$2:$B$7=CMSRecursos!F65) * (CMSDescuento!$C$2:$C$7=CMSRecursos!I65), 0)),0)</f>
        <v>0</v>
      </c>
      <c r="N65" s="241">
        <f t="shared" si="5"/>
        <v>0</v>
      </c>
      <c r="O65" s="241">
        <f t="shared" si="1"/>
        <v>0</v>
      </c>
      <c r="P65" s="7"/>
      <c r="Q65" s="232"/>
      <c r="R65" s="7"/>
      <c r="S65" s="243">
        <f>N65/(1-CMSResumen!H21)</f>
        <v>0</v>
      </c>
      <c r="T65" s="244">
        <f t="shared" si="2"/>
        <v>0</v>
      </c>
      <c r="U65" s="244">
        <f t="shared" si="3"/>
        <v>0</v>
      </c>
      <c r="V65" s="242">
        <f t="shared" si="4"/>
        <v>0</v>
      </c>
      <c r="W65" s="247"/>
      <c r="X65" s="224"/>
    </row>
    <row r="66" spans="1:24" ht="15" customHeight="1">
      <c r="A66" s="5"/>
      <c r="B66" s="238"/>
      <c r="C66" s="239"/>
      <c r="D66" s="139"/>
      <c r="E66" s="215"/>
      <c r="F66" s="240" t="str">
        <f>IF(E66="AWS",IFERROR(INDEX(CMSAzureAWS!C:C,MATCH(CMSRecursos!G66,CMSAzureAWS!E:E,0)),0),IF(E66="Azure",IFERROR(INDEX(CMSAzureAWS!C:C,MATCH(CMSRecursos!G66,CMSAzureAWS!G:G,0)),0),"Seleccione un Vendor"))</f>
        <v>Seleccione un Vendor</v>
      </c>
      <c r="G66" s="215"/>
      <c r="H66" s="241" t="str">
        <f>IF(E66="AWS",IFERROR(INDEX(CMSAzureAWS!D:D,MATCH(CMSRecursos!G66,CMSAzureAWS!E:E,0)),0),IF(E66="Azure",IFERROR(INDEX(CMSAzureAWS!D:D,MATCH(CMSRecursos!G66,CMSAzureAWS!G:G,0)),0),"Seleccione un Vendor"))</f>
        <v>Seleccione un Vendor</v>
      </c>
      <c r="I66" s="245" t="s">
        <v>1009</v>
      </c>
      <c r="J66" s="245" t="s">
        <v>1009</v>
      </c>
      <c r="K66" s="246">
        <v>0</v>
      </c>
      <c r="L66" s="242" cm="1">
        <f t="array" ref="L66">IFERROR(IF(I66="Si", INDEX(CMSDescuento!$E$23:$E$26, MATCH(1, (CMSDescuento!$C$23:$C$26&lt;=CMSRecursos!K66) * (CMSDescuento!$D$23:$D$26&gt;=CMSRecursos!K66), 0)), 0),0)</f>
        <v>0</v>
      </c>
      <c r="M66" s="241" cm="1">
        <f t="array" ref="M66">IFERROR(INDEX(CMSDescuento!$D$2:$D$7, MATCH(1, (CMSDescuento!$B$2:$B$7=CMSRecursos!F66) * (CMSDescuento!$C$2:$C$7=CMSRecursos!I66), 0)),0)</f>
        <v>0</v>
      </c>
      <c r="N66" s="241">
        <f t="shared" si="5"/>
        <v>0</v>
      </c>
      <c r="O66" s="241">
        <f t="shared" si="1"/>
        <v>0</v>
      </c>
      <c r="P66" s="7"/>
      <c r="Q66" s="232"/>
      <c r="R66" s="7"/>
      <c r="S66" s="243">
        <f>N66/(1-CMSResumen!H21)</f>
        <v>0</v>
      </c>
      <c r="T66" s="244">
        <f t="shared" si="2"/>
        <v>0</v>
      </c>
      <c r="U66" s="244">
        <f t="shared" si="3"/>
        <v>0</v>
      </c>
      <c r="V66" s="242">
        <f t="shared" si="4"/>
        <v>0</v>
      </c>
      <c r="W66" s="247"/>
      <c r="X66" s="224"/>
    </row>
    <row r="67" spans="1:24" ht="15" customHeight="1">
      <c r="A67" s="5"/>
      <c r="B67" s="238"/>
      <c r="C67" s="239"/>
      <c r="D67" s="139"/>
      <c r="E67" s="215"/>
      <c r="F67" s="240" t="str">
        <f>IF(E67="AWS",IFERROR(INDEX(CMSAzureAWS!C:C,MATCH(CMSRecursos!G67,CMSAzureAWS!E:E,0)),0),IF(E67="Azure",IFERROR(INDEX(CMSAzureAWS!C:C,MATCH(CMSRecursos!G67,CMSAzureAWS!G:G,0)),0),"Seleccione un Vendor"))</f>
        <v>Seleccione un Vendor</v>
      </c>
      <c r="G67" s="215"/>
      <c r="H67" s="241" t="str">
        <f>IF(E67="AWS",IFERROR(INDEX(CMSAzureAWS!D:D,MATCH(CMSRecursos!G67,CMSAzureAWS!E:E,0)),0),IF(E67="Azure",IFERROR(INDEX(CMSAzureAWS!D:D,MATCH(CMSRecursos!G67,CMSAzureAWS!G:G,0)),0),"Seleccione un Vendor"))</f>
        <v>Seleccione un Vendor</v>
      </c>
      <c r="I67" s="245" t="s">
        <v>1009</v>
      </c>
      <c r="J67" s="245" t="s">
        <v>1009</v>
      </c>
      <c r="K67" s="246">
        <v>0</v>
      </c>
      <c r="L67" s="242" cm="1">
        <f t="array" ref="L67">IFERROR(IF(I67="Si", INDEX(CMSDescuento!$E$23:$E$26, MATCH(1, (CMSDescuento!$C$23:$C$26&lt;=CMSRecursos!K67) * (CMSDescuento!$D$23:$D$26&gt;=CMSRecursos!K67), 0)), 0),0)</f>
        <v>0</v>
      </c>
      <c r="M67" s="241" cm="1">
        <f t="array" ref="M67">IFERROR(INDEX(CMSDescuento!$D$2:$D$7, MATCH(1, (CMSDescuento!$B$2:$B$7=CMSRecursos!F67) * (CMSDescuento!$C$2:$C$7=CMSRecursos!I67), 0)),0)</f>
        <v>0</v>
      </c>
      <c r="N67" s="241">
        <f t="shared" si="5"/>
        <v>0</v>
      </c>
      <c r="O67" s="241">
        <f t="shared" si="1"/>
        <v>0</v>
      </c>
      <c r="P67" s="7"/>
      <c r="Q67" s="232"/>
      <c r="R67" s="7"/>
      <c r="S67" s="243">
        <f>N67/(1-CMSResumen!H21)</f>
        <v>0</v>
      </c>
      <c r="T67" s="244">
        <f t="shared" si="2"/>
        <v>0</v>
      </c>
      <c r="U67" s="244">
        <f t="shared" si="3"/>
        <v>0</v>
      </c>
      <c r="V67" s="242">
        <f t="shared" si="4"/>
        <v>0</v>
      </c>
      <c r="W67" s="247"/>
      <c r="X67" s="224"/>
    </row>
    <row r="68" spans="1:24" ht="15" customHeight="1">
      <c r="A68" s="5"/>
      <c r="B68" s="238"/>
      <c r="C68" s="239"/>
      <c r="D68" s="139"/>
      <c r="E68" s="215"/>
      <c r="F68" s="240" t="str">
        <f>IF(E68="AWS",IFERROR(INDEX(CMSAzureAWS!C:C,MATCH(CMSRecursos!G68,CMSAzureAWS!E:E,0)),0),IF(E68="Azure",IFERROR(INDEX(CMSAzureAWS!C:C,MATCH(CMSRecursos!G68,CMSAzureAWS!G:G,0)),0),"Seleccione un Vendor"))</f>
        <v>Seleccione un Vendor</v>
      </c>
      <c r="G68" s="215"/>
      <c r="H68" s="241" t="str">
        <f>IF(E68="AWS",IFERROR(INDEX(CMSAzureAWS!D:D,MATCH(CMSRecursos!G68,CMSAzureAWS!E:E,0)),0),IF(E68="Azure",IFERROR(INDEX(CMSAzureAWS!D:D,MATCH(CMSRecursos!G68,CMSAzureAWS!G:G,0)),0),"Seleccione un Vendor"))</f>
        <v>Seleccione un Vendor</v>
      </c>
      <c r="I68" s="245" t="s">
        <v>1009</v>
      </c>
      <c r="J68" s="245" t="s">
        <v>1009</v>
      </c>
      <c r="K68" s="246">
        <v>0</v>
      </c>
      <c r="L68" s="242" cm="1">
        <f t="array" ref="L68">IFERROR(IF(I68="Si", INDEX(CMSDescuento!$E$23:$E$26, MATCH(1, (CMSDescuento!$C$23:$C$26&lt;=CMSRecursos!K68) * (CMSDescuento!$D$23:$D$26&gt;=CMSRecursos!K68), 0)), 0),0)</f>
        <v>0</v>
      </c>
      <c r="M68" s="241" cm="1">
        <f t="array" ref="M68">IFERROR(INDEX(CMSDescuento!$D$2:$D$7, MATCH(1, (CMSDescuento!$B$2:$B$7=CMSRecursos!F68) * (CMSDescuento!$C$2:$C$7=CMSRecursos!I68), 0)),0)</f>
        <v>0</v>
      </c>
      <c r="N68" s="241">
        <f t="shared" si="5"/>
        <v>0</v>
      </c>
      <c r="O68" s="241">
        <f t="shared" si="1"/>
        <v>0</v>
      </c>
      <c r="P68" s="7"/>
      <c r="Q68" s="232"/>
      <c r="R68" s="7"/>
      <c r="S68" s="243">
        <f>N68/(1-CMSResumen!H21)</f>
        <v>0</v>
      </c>
      <c r="T68" s="244">
        <f t="shared" si="2"/>
        <v>0</v>
      </c>
      <c r="U68" s="244">
        <f t="shared" si="3"/>
        <v>0</v>
      </c>
      <c r="V68" s="242">
        <f t="shared" si="4"/>
        <v>0</v>
      </c>
      <c r="W68" s="247"/>
      <c r="X68" s="224"/>
    </row>
    <row r="69" spans="1:24" ht="15" customHeight="1">
      <c r="A69" s="5"/>
      <c r="B69" s="238"/>
      <c r="C69" s="239"/>
      <c r="D69" s="139"/>
      <c r="E69" s="215"/>
      <c r="F69" s="240" t="str">
        <f>IF(E69="AWS",IFERROR(INDEX(CMSAzureAWS!C:C,MATCH(CMSRecursos!G69,CMSAzureAWS!E:E,0)),0),IF(E69="Azure",IFERROR(INDEX(CMSAzureAWS!C:C,MATCH(CMSRecursos!G69,CMSAzureAWS!G:G,0)),0),"Seleccione un Vendor"))</f>
        <v>Seleccione un Vendor</v>
      </c>
      <c r="G69" s="215"/>
      <c r="H69" s="241" t="str">
        <f>IF(E69="AWS",IFERROR(INDEX(CMSAzureAWS!D:D,MATCH(CMSRecursos!G69,CMSAzureAWS!E:E,0)),0),IF(E69="Azure",IFERROR(INDEX(CMSAzureAWS!D:D,MATCH(CMSRecursos!G69,CMSAzureAWS!G:G,0)),0),"Seleccione un Vendor"))</f>
        <v>Seleccione un Vendor</v>
      </c>
      <c r="I69" s="245" t="s">
        <v>1009</v>
      </c>
      <c r="J69" s="245" t="s">
        <v>1009</v>
      </c>
      <c r="K69" s="246">
        <v>0</v>
      </c>
      <c r="L69" s="242" cm="1">
        <f t="array" ref="L69">IFERROR(IF(I69="Si", INDEX(CMSDescuento!$E$23:$E$26, MATCH(1, (CMSDescuento!$C$23:$C$26&lt;=CMSRecursos!K69) * (CMSDescuento!$D$23:$D$26&gt;=CMSRecursos!K69), 0)), 0),0)</f>
        <v>0</v>
      </c>
      <c r="M69" s="241" cm="1">
        <f t="array" ref="M69">IFERROR(INDEX(CMSDescuento!$D$2:$D$7, MATCH(1, (CMSDescuento!$B$2:$B$7=CMSRecursos!F69) * (CMSDescuento!$C$2:$C$7=CMSRecursos!I69), 0)),0)</f>
        <v>0</v>
      </c>
      <c r="N69" s="241">
        <f t="shared" si="5"/>
        <v>0</v>
      </c>
      <c r="O69" s="241">
        <f t="shared" ref="O69:O132" si="6">IF(OR(H69="Base",J69="No"),0,K69*N69)</f>
        <v>0</v>
      </c>
      <c r="P69" s="7"/>
      <c r="Q69" s="232"/>
      <c r="R69" s="7"/>
      <c r="S69" s="243">
        <f>N69/(1-CMSResumen!H21)</f>
        <v>0</v>
      </c>
      <c r="T69" s="244">
        <f t="shared" ref="T69:T132" si="7">IF(OR(H69="Base",J69="No"),0,K69*S69)</f>
        <v>0</v>
      </c>
      <c r="U69" s="244">
        <f t="shared" ref="U69:U132" si="8">T69-O69</f>
        <v>0</v>
      </c>
      <c r="V69" s="242">
        <f t="shared" ref="V69:V132" si="9">IFERROR(1-O69/T69,0)</f>
        <v>0</v>
      </c>
      <c r="W69" s="247"/>
      <c r="X69" s="224"/>
    </row>
    <row r="70" spans="1:24" ht="15" customHeight="1">
      <c r="A70" s="5"/>
      <c r="B70" s="238"/>
      <c r="C70" s="239"/>
      <c r="D70" s="139"/>
      <c r="E70" s="215"/>
      <c r="F70" s="240" t="str">
        <f>IF(E70="AWS",IFERROR(INDEX(CMSAzureAWS!C:C,MATCH(CMSRecursos!G70,CMSAzureAWS!E:E,0)),0),IF(E70="Azure",IFERROR(INDEX(CMSAzureAWS!C:C,MATCH(CMSRecursos!G70,CMSAzureAWS!G:G,0)),0),"Seleccione un Vendor"))</f>
        <v>Seleccione un Vendor</v>
      </c>
      <c r="G70" s="215"/>
      <c r="H70" s="241" t="str">
        <f>IF(E70="AWS",IFERROR(INDEX(CMSAzureAWS!D:D,MATCH(CMSRecursos!G70,CMSAzureAWS!E:E,0)),0),IF(E70="Azure",IFERROR(INDEX(CMSAzureAWS!D:D,MATCH(CMSRecursos!G70,CMSAzureAWS!G:G,0)),0),"Seleccione un Vendor"))</f>
        <v>Seleccione un Vendor</v>
      </c>
      <c r="I70" s="245" t="s">
        <v>1009</v>
      </c>
      <c r="J70" s="245" t="s">
        <v>1009</v>
      </c>
      <c r="K70" s="246">
        <v>0</v>
      </c>
      <c r="L70" s="242" cm="1">
        <f t="array" ref="L70">IFERROR(IF(I70="Si", INDEX(CMSDescuento!$E$23:$E$26, MATCH(1, (CMSDescuento!$C$23:$C$26&lt;=CMSRecursos!K70) * (CMSDescuento!$D$23:$D$26&gt;=CMSRecursos!K70), 0)), 0),0)</f>
        <v>0</v>
      </c>
      <c r="M70" s="241" cm="1">
        <f t="array" ref="M70">IFERROR(INDEX(CMSDescuento!$D$2:$D$7, MATCH(1, (CMSDescuento!$B$2:$B$7=CMSRecursos!F70) * (CMSDescuento!$C$2:$C$7=CMSRecursos!I70), 0)),0)</f>
        <v>0</v>
      </c>
      <c r="N70" s="241">
        <f t="shared" ref="N70:N133" si="10">M70*(1-L70)</f>
        <v>0</v>
      </c>
      <c r="O70" s="241">
        <f t="shared" si="6"/>
        <v>0</v>
      </c>
      <c r="P70" s="7"/>
      <c r="Q70" s="232"/>
      <c r="R70" s="7"/>
      <c r="S70" s="243">
        <f>N70/(1-CMSResumen!H21)</f>
        <v>0</v>
      </c>
      <c r="T70" s="244">
        <f t="shared" si="7"/>
        <v>0</v>
      </c>
      <c r="U70" s="244">
        <f t="shared" si="8"/>
        <v>0</v>
      </c>
      <c r="V70" s="242">
        <f t="shared" si="9"/>
        <v>0</v>
      </c>
      <c r="W70" s="247"/>
      <c r="X70" s="224"/>
    </row>
    <row r="71" spans="1:24" ht="15" customHeight="1">
      <c r="A71" s="5"/>
      <c r="B71" s="238"/>
      <c r="C71" s="239"/>
      <c r="D71" s="139"/>
      <c r="E71" s="215"/>
      <c r="F71" s="240" t="str">
        <f>IF(E71="AWS",IFERROR(INDEX(CMSAzureAWS!C:C,MATCH(CMSRecursos!G71,CMSAzureAWS!E:E,0)),0),IF(E71="Azure",IFERROR(INDEX(CMSAzureAWS!C:C,MATCH(CMSRecursos!G71,CMSAzureAWS!G:G,0)),0),"Seleccione un Vendor"))</f>
        <v>Seleccione un Vendor</v>
      </c>
      <c r="G71" s="215"/>
      <c r="H71" s="241" t="str">
        <f>IF(E71="AWS",IFERROR(INDEX(CMSAzureAWS!D:D,MATCH(CMSRecursos!G71,CMSAzureAWS!E:E,0)),0),IF(E71="Azure",IFERROR(INDEX(CMSAzureAWS!D:D,MATCH(CMSRecursos!G71,CMSAzureAWS!G:G,0)),0),"Seleccione un Vendor"))</f>
        <v>Seleccione un Vendor</v>
      </c>
      <c r="I71" s="245" t="s">
        <v>1009</v>
      </c>
      <c r="J71" s="245" t="s">
        <v>1009</v>
      </c>
      <c r="K71" s="246">
        <v>0</v>
      </c>
      <c r="L71" s="242" cm="1">
        <f t="array" ref="L71">IFERROR(IF(I71="Si", INDEX(CMSDescuento!$E$23:$E$26, MATCH(1, (CMSDescuento!$C$23:$C$26&lt;=CMSRecursos!K71) * (CMSDescuento!$D$23:$D$26&gt;=CMSRecursos!K71), 0)), 0),0)</f>
        <v>0</v>
      </c>
      <c r="M71" s="241" cm="1">
        <f t="array" ref="M71">IFERROR(INDEX(CMSDescuento!$D$2:$D$7, MATCH(1, (CMSDescuento!$B$2:$B$7=CMSRecursos!F71) * (CMSDescuento!$C$2:$C$7=CMSRecursos!I71), 0)),0)</f>
        <v>0</v>
      </c>
      <c r="N71" s="241">
        <f t="shared" si="10"/>
        <v>0</v>
      </c>
      <c r="O71" s="241">
        <f t="shared" si="6"/>
        <v>0</v>
      </c>
      <c r="P71" s="7"/>
      <c r="Q71" s="232"/>
      <c r="R71" s="7"/>
      <c r="S71" s="243">
        <f>N71/(1-CMSResumen!H21)</f>
        <v>0</v>
      </c>
      <c r="T71" s="244">
        <f t="shared" si="7"/>
        <v>0</v>
      </c>
      <c r="U71" s="244">
        <f t="shared" si="8"/>
        <v>0</v>
      </c>
      <c r="V71" s="242">
        <f t="shared" si="9"/>
        <v>0</v>
      </c>
      <c r="W71" s="247"/>
      <c r="X71" s="224"/>
    </row>
    <row r="72" spans="1:24" ht="15" customHeight="1">
      <c r="A72" s="5"/>
      <c r="B72" s="238"/>
      <c r="C72" s="239"/>
      <c r="D72" s="139"/>
      <c r="E72" s="215"/>
      <c r="F72" s="240" t="str">
        <f>IF(E72="AWS",IFERROR(INDEX(CMSAzureAWS!C:C,MATCH(CMSRecursos!G72,CMSAzureAWS!E:E,0)),0),IF(E72="Azure",IFERROR(INDEX(CMSAzureAWS!C:C,MATCH(CMSRecursos!G72,CMSAzureAWS!G:G,0)),0),"Seleccione un Vendor"))</f>
        <v>Seleccione un Vendor</v>
      </c>
      <c r="G72" s="215"/>
      <c r="H72" s="241" t="str">
        <f>IF(E72="AWS",IFERROR(INDEX(CMSAzureAWS!D:D,MATCH(CMSRecursos!G72,CMSAzureAWS!E:E,0)),0),IF(E72="Azure",IFERROR(INDEX(CMSAzureAWS!D:D,MATCH(CMSRecursos!G72,CMSAzureAWS!G:G,0)),0),"Seleccione un Vendor"))</f>
        <v>Seleccione un Vendor</v>
      </c>
      <c r="I72" s="245" t="s">
        <v>1009</v>
      </c>
      <c r="J72" s="245" t="s">
        <v>1009</v>
      </c>
      <c r="K72" s="246">
        <v>0</v>
      </c>
      <c r="L72" s="242" cm="1">
        <f t="array" ref="L72">IFERROR(IF(I72="Si", INDEX(CMSDescuento!$E$23:$E$26, MATCH(1, (CMSDescuento!$C$23:$C$26&lt;=CMSRecursos!K72) * (CMSDescuento!$D$23:$D$26&gt;=CMSRecursos!K72), 0)), 0),0)</f>
        <v>0</v>
      </c>
      <c r="M72" s="241" cm="1">
        <f t="array" ref="M72">IFERROR(INDEX(CMSDescuento!$D$2:$D$7, MATCH(1, (CMSDescuento!$B$2:$B$7=CMSRecursos!F72) * (CMSDescuento!$C$2:$C$7=CMSRecursos!I72), 0)),0)</f>
        <v>0</v>
      </c>
      <c r="N72" s="241">
        <f t="shared" si="10"/>
        <v>0</v>
      </c>
      <c r="O72" s="241">
        <f t="shared" si="6"/>
        <v>0</v>
      </c>
      <c r="P72" s="7"/>
      <c r="Q72" s="232"/>
      <c r="R72" s="7"/>
      <c r="S72" s="243">
        <f>N72/(1-CMSResumen!H21)</f>
        <v>0</v>
      </c>
      <c r="T72" s="244">
        <f t="shared" si="7"/>
        <v>0</v>
      </c>
      <c r="U72" s="244">
        <f t="shared" si="8"/>
        <v>0</v>
      </c>
      <c r="V72" s="242">
        <f t="shared" si="9"/>
        <v>0</v>
      </c>
      <c r="W72" s="247"/>
      <c r="X72" s="224"/>
    </row>
    <row r="73" spans="1:24" ht="15" customHeight="1">
      <c r="A73" s="5"/>
      <c r="B73" s="238"/>
      <c r="C73" s="239"/>
      <c r="D73" s="139"/>
      <c r="E73" s="215"/>
      <c r="F73" s="240" t="str">
        <f>IF(E73="AWS",IFERROR(INDEX(CMSAzureAWS!C:C,MATCH(CMSRecursos!G73,CMSAzureAWS!E:E,0)),0),IF(E73="Azure",IFERROR(INDEX(CMSAzureAWS!C:C,MATCH(CMSRecursos!G73,CMSAzureAWS!G:G,0)),0),"Seleccione un Vendor"))</f>
        <v>Seleccione un Vendor</v>
      </c>
      <c r="G73" s="215"/>
      <c r="H73" s="241" t="str">
        <f>IF(E73="AWS",IFERROR(INDEX(CMSAzureAWS!D:D,MATCH(CMSRecursos!G73,CMSAzureAWS!E:E,0)),0),IF(E73="Azure",IFERROR(INDEX(CMSAzureAWS!D:D,MATCH(CMSRecursos!G73,CMSAzureAWS!G:G,0)),0),"Seleccione un Vendor"))</f>
        <v>Seleccione un Vendor</v>
      </c>
      <c r="I73" s="245" t="s">
        <v>1009</v>
      </c>
      <c r="J73" s="245" t="s">
        <v>1009</v>
      </c>
      <c r="K73" s="246">
        <v>0</v>
      </c>
      <c r="L73" s="242" cm="1">
        <f t="array" ref="L73">IFERROR(IF(I73="Si", INDEX(CMSDescuento!$E$23:$E$26, MATCH(1, (CMSDescuento!$C$23:$C$26&lt;=CMSRecursos!K73) * (CMSDescuento!$D$23:$D$26&gt;=CMSRecursos!K73), 0)), 0),0)</f>
        <v>0</v>
      </c>
      <c r="M73" s="241" cm="1">
        <f t="array" ref="M73">IFERROR(INDEX(CMSDescuento!$D$2:$D$7, MATCH(1, (CMSDescuento!$B$2:$B$7=CMSRecursos!F73) * (CMSDescuento!$C$2:$C$7=CMSRecursos!I73), 0)),0)</f>
        <v>0</v>
      </c>
      <c r="N73" s="241">
        <f t="shared" si="10"/>
        <v>0</v>
      </c>
      <c r="O73" s="241">
        <f t="shared" si="6"/>
        <v>0</v>
      </c>
      <c r="P73" s="7"/>
      <c r="Q73" s="232"/>
      <c r="R73" s="7"/>
      <c r="S73" s="243">
        <f>N73/(1-CMSResumen!H21)</f>
        <v>0</v>
      </c>
      <c r="T73" s="244">
        <f t="shared" si="7"/>
        <v>0</v>
      </c>
      <c r="U73" s="244">
        <f t="shared" si="8"/>
        <v>0</v>
      </c>
      <c r="V73" s="242">
        <f t="shared" si="9"/>
        <v>0</v>
      </c>
      <c r="W73" s="247"/>
      <c r="X73" s="224"/>
    </row>
    <row r="74" spans="1:24" ht="15" customHeight="1">
      <c r="A74" s="5"/>
      <c r="B74" s="238"/>
      <c r="C74" s="239"/>
      <c r="D74" s="139"/>
      <c r="E74" s="215"/>
      <c r="F74" s="240" t="str">
        <f>IF(E74="AWS",IFERROR(INDEX(CMSAzureAWS!C:C,MATCH(CMSRecursos!G74,CMSAzureAWS!E:E,0)),0),IF(E74="Azure",IFERROR(INDEX(CMSAzureAWS!C:C,MATCH(CMSRecursos!G74,CMSAzureAWS!G:G,0)),0),"Seleccione un Vendor"))</f>
        <v>Seleccione un Vendor</v>
      </c>
      <c r="G74" s="215"/>
      <c r="H74" s="241" t="str">
        <f>IF(E74="AWS",IFERROR(INDEX(CMSAzureAWS!D:D,MATCH(CMSRecursos!G74,CMSAzureAWS!E:E,0)),0),IF(E74="Azure",IFERROR(INDEX(CMSAzureAWS!D:D,MATCH(CMSRecursos!G74,CMSAzureAWS!G:G,0)),0),"Seleccione un Vendor"))</f>
        <v>Seleccione un Vendor</v>
      </c>
      <c r="I74" s="245" t="s">
        <v>1009</v>
      </c>
      <c r="J74" s="245" t="s">
        <v>1009</v>
      </c>
      <c r="K74" s="246">
        <v>0</v>
      </c>
      <c r="L74" s="242" cm="1">
        <f t="array" ref="L74">IFERROR(IF(I74="Si", INDEX(CMSDescuento!$E$23:$E$26, MATCH(1, (CMSDescuento!$C$23:$C$26&lt;=CMSRecursos!K74) * (CMSDescuento!$D$23:$D$26&gt;=CMSRecursos!K74), 0)), 0),0)</f>
        <v>0</v>
      </c>
      <c r="M74" s="241" cm="1">
        <f t="array" ref="M74">IFERROR(INDEX(CMSDescuento!$D$2:$D$7, MATCH(1, (CMSDescuento!$B$2:$B$7=CMSRecursos!F74) * (CMSDescuento!$C$2:$C$7=CMSRecursos!I74), 0)),0)</f>
        <v>0</v>
      </c>
      <c r="N74" s="241">
        <f t="shared" si="10"/>
        <v>0</v>
      </c>
      <c r="O74" s="241">
        <f t="shared" si="6"/>
        <v>0</v>
      </c>
      <c r="P74" s="7"/>
      <c r="Q74" s="232"/>
      <c r="R74" s="7"/>
      <c r="S74" s="243">
        <f>N74/(1-CMSResumen!H21)</f>
        <v>0</v>
      </c>
      <c r="T74" s="244">
        <f t="shared" si="7"/>
        <v>0</v>
      </c>
      <c r="U74" s="244">
        <f t="shared" si="8"/>
        <v>0</v>
      </c>
      <c r="V74" s="242">
        <f t="shared" si="9"/>
        <v>0</v>
      </c>
      <c r="W74" s="247"/>
      <c r="X74" s="224"/>
    </row>
    <row r="75" spans="1:24" ht="15" customHeight="1">
      <c r="A75" s="5"/>
      <c r="B75" s="238"/>
      <c r="C75" s="239"/>
      <c r="D75" s="139"/>
      <c r="E75" s="215"/>
      <c r="F75" s="240" t="str">
        <f>IF(E75="AWS",IFERROR(INDEX(CMSAzureAWS!C:C,MATCH(CMSRecursos!G75,CMSAzureAWS!E:E,0)),0),IF(E75="Azure",IFERROR(INDEX(CMSAzureAWS!C:C,MATCH(CMSRecursos!G75,CMSAzureAWS!G:G,0)),0),"Seleccione un Vendor"))</f>
        <v>Seleccione un Vendor</v>
      </c>
      <c r="G75" s="215"/>
      <c r="H75" s="241" t="str">
        <f>IF(E75="AWS",IFERROR(INDEX(CMSAzureAWS!D:D,MATCH(CMSRecursos!G75,CMSAzureAWS!E:E,0)),0),IF(E75="Azure",IFERROR(INDEX(CMSAzureAWS!D:D,MATCH(CMSRecursos!G75,CMSAzureAWS!G:G,0)),0),"Seleccione un Vendor"))</f>
        <v>Seleccione un Vendor</v>
      </c>
      <c r="I75" s="245" t="s">
        <v>1009</v>
      </c>
      <c r="J75" s="245" t="s">
        <v>1009</v>
      </c>
      <c r="K75" s="246">
        <v>0</v>
      </c>
      <c r="L75" s="242" cm="1">
        <f t="array" ref="L75">IFERROR(IF(I75="Si", INDEX(CMSDescuento!$E$23:$E$26, MATCH(1, (CMSDescuento!$C$23:$C$26&lt;=CMSRecursos!K75) * (CMSDescuento!$D$23:$D$26&gt;=CMSRecursos!K75), 0)), 0),0)</f>
        <v>0</v>
      </c>
      <c r="M75" s="241" cm="1">
        <f t="array" ref="M75">IFERROR(INDEX(CMSDescuento!$D$2:$D$7, MATCH(1, (CMSDescuento!$B$2:$B$7=CMSRecursos!F75) * (CMSDescuento!$C$2:$C$7=CMSRecursos!I75), 0)),0)</f>
        <v>0</v>
      </c>
      <c r="N75" s="241">
        <f t="shared" si="10"/>
        <v>0</v>
      </c>
      <c r="O75" s="241">
        <f t="shared" si="6"/>
        <v>0</v>
      </c>
      <c r="P75" s="7"/>
      <c r="Q75" s="232"/>
      <c r="R75" s="7"/>
      <c r="S75" s="243">
        <f>N75/(1-CMSResumen!H21)</f>
        <v>0</v>
      </c>
      <c r="T75" s="244">
        <f t="shared" si="7"/>
        <v>0</v>
      </c>
      <c r="U75" s="244">
        <f t="shared" si="8"/>
        <v>0</v>
      </c>
      <c r="V75" s="242">
        <f t="shared" si="9"/>
        <v>0</v>
      </c>
      <c r="W75" s="247"/>
      <c r="X75" s="224"/>
    </row>
    <row r="76" spans="1:24" ht="15" customHeight="1">
      <c r="A76" s="5"/>
      <c r="B76" s="238"/>
      <c r="C76" s="239"/>
      <c r="D76" s="139"/>
      <c r="E76" s="215"/>
      <c r="F76" s="240" t="str">
        <f>IF(E76="AWS",IFERROR(INDEX(CMSAzureAWS!C:C,MATCH(CMSRecursos!G76,CMSAzureAWS!E:E,0)),0),IF(E76="Azure",IFERROR(INDEX(CMSAzureAWS!C:C,MATCH(CMSRecursos!G76,CMSAzureAWS!G:G,0)),0),"Seleccione un Vendor"))</f>
        <v>Seleccione un Vendor</v>
      </c>
      <c r="G76" s="215"/>
      <c r="H76" s="241" t="str">
        <f>IF(E76="AWS",IFERROR(INDEX(CMSAzureAWS!D:D,MATCH(CMSRecursos!G76,CMSAzureAWS!E:E,0)),0),IF(E76="Azure",IFERROR(INDEX(CMSAzureAWS!D:D,MATCH(CMSRecursos!G76,CMSAzureAWS!G:G,0)),0),"Seleccione un Vendor"))</f>
        <v>Seleccione un Vendor</v>
      </c>
      <c r="I76" s="245" t="s">
        <v>1009</v>
      </c>
      <c r="J76" s="245" t="s">
        <v>1009</v>
      </c>
      <c r="K76" s="246">
        <v>0</v>
      </c>
      <c r="L76" s="242" cm="1">
        <f t="array" ref="L76">IFERROR(IF(I76="Si", INDEX(CMSDescuento!$E$23:$E$26, MATCH(1, (CMSDescuento!$C$23:$C$26&lt;=CMSRecursos!K76) * (CMSDescuento!$D$23:$D$26&gt;=CMSRecursos!K76), 0)), 0),0)</f>
        <v>0</v>
      </c>
      <c r="M76" s="241" cm="1">
        <f t="array" ref="M76">IFERROR(INDEX(CMSDescuento!$D$2:$D$7, MATCH(1, (CMSDescuento!$B$2:$B$7=CMSRecursos!F76) * (CMSDescuento!$C$2:$C$7=CMSRecursos!I76), 0)),0)</f>
        <v>0</v>
      </c>
      <c r="N76" s="241">
        <f t="shared" si="10"/>
        <v>0</v>
      </c>
      <c r="O76" s="241">
        <f t="shared" si="6"/>
        <v>0</v>
      </c>
      <c r="P76" s="7"/>
      <c r="Q76" s="232"/>
      <c r="R76" s="7"/>
      <c r="S76" s="243">
        <f>N76/(1-CMSResumen!H21)</f>
        <v>0</v>
      </c>
      <c r="T76" s="244">
        <f t="shared" si="7"/>
        <v>0</v>
      </c>
      <c r="U76" s="244">
        <f t="shared" si="8"/>
        <v>0</v>
      </c>
      <c r="V76" s="242">
        <f t="shared" si="9"/>
        <v>0</v>
      </c>
      <c r="W76" s="247"/>
      <c r="X76" s="224"/>
    </row>
    <row r="77" spans="1:24" ht="15" customHeight="1">
      <c r="A77" s="5"/>
      <c r="B77" s="238"/>
      <c r="C77" s="239"/>
      <c r="D77" s="139"/>
      <c r="E77" s="215"/>
      <c r="F77" s="240" t="str">
        <f>IF(E77="AWS",IFERROR(INDEX(CMSAzureAWS!C:C,MATCH(CMSRecursos!G77,CMSAzureAWS!E:E,0)),0),IF(E77="Azure",IFERROR(INDEX(CMSAzureAWS!C:C,MATCH(CMSRecursos!G77,CMSAzureAWS!G:G,0)),0),"Seleccione un Vendor"))</f>
        <v>Seleccione un Vendor</v>
      </c>
      <c r="G77" s="215"/>
      <c r="H77" s="241" t="str">
        <f>IF(E77="AWS",IFERROR(INDEX(CMSAzureAWS!D:D,MATCH(CMSRecursos!G77,CMSAzureAWS!E:E,0)),0),IF(E77="Azure",IFERROR(INDEX(CMSAzureAWS!D:D,MATCH(CMSRecursos!G77,CMSAzureAWS!G:G,0)),0),"Seleccione un Vendor"))</f>
        <v>Seleccione un Vendor</v>
      </c>
      <c r="I77" s="245" t="s">
        <v>1009</v>
      </c>
      <c r="J77" s="245" t="s">
        <v>1009</v>
      </c>
      <c r="K77" s="246">
        <v>0</v>
      </c>
      <c r="L77" s="242" cm="1">
        <f t="array" ref="L77">IFERROR(IF(I77="Si", INDEX(CMSDescuento!$E$23:$E$26, MATCH(1, (CMSDescuento!$C$23:$C$26&lt;=CMSRecursos!K77) * (CMSDescuento!$D$23:$D$26&gt;=CMSRecursos!K77), 0)), 0),0)</f>
        <v>0</v>
      </c>
      <c r="M77" s="241" cm="1">
        <f t="array" ref="M77">IFERROR(INDEX(CMSDescuento!$D$2:$D$7, MATCH(1, (CMSDescuento!$B$2:$B$7=CMSRecursos!F77) * (CMSDescuento!$C$2:$C$7=CMSRecursos!I77), 0)),0)</f>
        <v>0</v>
      </c>
      <c r="N77" s="241">
        <f t="shared" si="10"/>
        <v>0</v>
      </c>
      <c r="O77" s="241">
        <f t="shared" si="6"/>
        <v>0</v>
      </c>
      <c r="P77" s="7"/>
      <c r="Q77" s="232"/>
      <c r="R77" s="7"/>
      <c r="S77" s="243">
        <f>N77/(1-CMSResumen!H21)</f>
        <v>0</v>
      </c>
      <c r="T77" s="244">
        <f t="shared" si="7"/>
        <v>0</v>
      </c>
      <c r="U77" s="244">
        <f t="shared" si="8"/>
        <v>0</v>
      </c>
      <c r="V77" s="242">
        <f t="shared" si="9"/>
        <v>0</v>
      </c>
      <c r="W77" s="247"/>
      <c r="X77" s="224"/>
    </row>
    <row r="78" spans="1:24" ht="15" customHeight="1">
      <c r="A78" s="5"/>
      <c r="B78" s="238"/>
      <c r="C78" s="239"/>
      <c r="D78" s="139"/>
      <c r="E78" s="215"/>
      <c r="F78" s="240" t="str">
        <f>IF(E78="AWS",IFERROR(INDEX(CMSAzureAWS!C:C,MATCH(CMSRecursos!G78,CMSAzureAWS!E:E,0)),0),IF(E78="Azure",IFERROR(INDEX(CMSAzureAWS!C:C,MATCH(CMSRecursos!G78,CMSAzureAWS!G:G,0)),0),"Seleccione un Vendor"))</f>
        <v>Seleccione un Vendor</v>
      </c>
      <c r="G78" s="215"/>
      <c r="H78" s="241" t="str">
        <f>IF(E78="AWS",IFERROR(INDEX(CMSAzureAWS!D:D,MATCH(CMSRecursos!G78,CMSAzureAWS!E:E,0)),0),IF(E78="Azure",IFERROR(INDEX(CMSAzureAWS!D:D,MATCH(CMSRecursos!G78,CMSAzureAWS!G:G,0)),0),"Seleccione un Vendor"))</f>
        <v>Seleccione un Vendor</v>
      </c>
      <c r="I78" s="245" t="s">
        <v>1009</v>
      </c>
      <c r="J78" s="245" t="s">
        <v>1009</v>
      </c>
      <c r="K78" s="246">
        <v>0</v>
      </c>
      <c r="L78" s="242" cm="1">
        <f t="array" ref="L78">IFERROR(IF(I78="Si", INDEX(CMSDescuento!$E$23:$E$26, MATCH(1, (CMSDescuento!$C$23:$C$26&lt;=CMSRecursos!K78) * (CMSDescuento!$D$23:$D$26&gt;=CMSRecursos!K78), 0)), 0),0)</f>
        <v>0</v>
      </c>
      <c r="M78" s="241" cm="1">
        <f t="array" ref="M78">IFERROR(INDEX(CMSDescuento!$D$2:$D$7, MATCH(1, (CMSDescuento!$B$2:$B$7=CMSRecursos!F78) * (CMSDescuento!$C$2:$C$7=CMSRecursos!I78), 0)),0)</f>
        <v>0</v>
      </c>
      <c r="N78" s="241">
        <f t="shared" si="10"/>
        <v>0</v>
      </c>
      <c r="O78" s="241">
        <f t="shared" si="6"/>
        <v>0</v>
      </c>
      <c r="P78" s="7"/>
      <c r="Q78" s="232"/>
      <c r="R78" s="7"/>
      <c r="S78" s="243">
        <f>N78/(1-CMSResumen!H21)</f>
        <v>0</v>
      </c>
      <c r="T78" s="244">
        <f t="shared" si="7"/>
        <v>0</v>
      </c>
      <c r="U78" s="244">
        <f t="shared" si="8"/>
        <v>0</v>
      </c>
      <c r="V78" s="242">
        <f t="shared" si="9"/>
        <v>0</v>
      </c>
      <c r="W78" s="247"/>
      <c r="X78" s="224"/>
    </row>
    <row r="79" spans="1:24" ht="15" customHeight="1">
      <c r="A79" s="5"/>
      <c r="B79" s="238"/>
      <c r="C79" s="239"/>
      <c r="D79" s="139"/>
      <c r="E79" s="215"/>
      <c r="F79" s="240" t="str">
        <f>IF(E79="AWS",IFERROR(INDEX(CMSAzureAWS!C:C,MATCH(CMSRecursos!G79,CMSAzureAWS!E:E,0)),0),IF(E79="Azure",IFERROR(INDEX(CMSAzureAWS!C:C,MATCH(CMSRecursos!G79,CMSAzureAWS!G:G,0)),0),"Seleccione un Vendor"))</f>
        <v>Seleccione un Vendor</v>
      </c>
      <c r="G79" s="215"/>
      <c r="H79" s="241" t="str">
        <f>IF(E79="AWS",IFERROR(INDEX(CMSAzureAWS!D:D,MATCH(CMSRecursos!G79,CMSAzureAWS!E:E,0)),0),IF(E79="Azure",IFERROR(INDEX(CMSAzureAWS!D:D,MATCH(CMSRecursos!G79,CMSAzureAWS!G:G,0)),0),"Seleccione un Vendor"))</f>
        <v>Seleccione un Vendor</v>
      </c>
      <c r="I79" s="245" t="s">
        <v>1009</v>
      </c>
      <c r="J79" s="245" t="s">
        <v>1009</v>
      </c>
      <c r="K79" s="246">
        <v>0</v>
      </c>
      <c r="L79" s="242" cm="1">
        <f t="array" ref="L79">IFERROR(IF(I79="Si", INDEX(CMSDescuento!$E$23:$E$26, MATCH(1, (CMSDescuento!$C$23:$C$26&lt;=CMSRecursos!K79) * (CMSDescuento!$D$23:$D$26&gt;=CMSRecursos!K79), 0)), 0),0)</f>
        <v>0</v>
      </c>
      <c r="M79" s="241" cm="1">
        <f t="array" ref="M79">IFERROR(INDEX(CMSDescuento!$D$2:$D$7, MATCH(1, (CMSDescuento!$B$2:$B$7=CMSRecursos!F79) * (CMSDescuento!$C$2:$C$7=CMSRecursos!I79), 0)),0)</f>
        <v>0</v>
      </c>
      <c r="N79" s="241">
        <f t="shared" si="10"/>
        <v>0</v>
      </c>
      <c r="O79" s="241">
        <f t="shared" si="6"/>
        <v>0</v>
      </c>
      <c r="P79" s="7"/>
      <c r="Q79" s="232"/>
      <c r="R79" s="7"/>
      <c r="S79" s="243">
        <f>N79/(1-CMSResumen!H21)</f>
        <v>0</v>
      </c>
      <c r="T79" s="244">
        <f t="shared" si="7"/>
        <v>0</v>
      </c>
      <c r="U79" s="244">
        <f t="shared" si="8"/>
        <v>0</v>
      </c>
      <c r="V79" s="242">
        <f t="shared" si="9"/>
        <v>0</v>
      </c>
      <c r="W79" s="247"/>
      <c r="X79" s="224"/>
    </row>
    <row r="80" spans="1:24" ht="15" customHeight="1">
      <c r="A80" s="5"/>
      <c r="B80" s="238"/>
      <c r="C80" s="239"/>
      <c r="D80" s="139"/>
      <c r="E80" s="215"/>
      <c r="F80" s="240" t="str">
        <f>IF(E80="AWS",IFERROR(INDEX(CMSAzureAWS!C:C,MATCH(CMSRecursos!G80,CMSAzureAWS!E:E,0)),0),IF(E80="Azure",IFERROR(INDEX(CMSAzureAWS!C:C,MATCH(CMSRecursos!G80,CMSAzureAWS!G:G,0)),0),"Seleccione un Vendor"))</f>
        <v>Seleccione un Vendor</v>
      </c>
      <c r="G80" s="215"/>
      <c r="H80" s="241" t="str">
        <f>IF(E80="AWS",IFERROR(INDEX(CMSAzureAWS!D:D,MATCH(CMSRecursos!G80,CMSAzureAWS!E:E,0)),0),IF(E80="Azure",IFERROR(INDEX(CMSAzureAWS!D:D,MATCH(CMSRecursos!G80,CMSAzureAWS!G:G,0)),0),"Seleccione un Vendor"))</f>
        <v>Seleccione un Vendor</v>
      </c>
      <c r="I80" s="245" t="s">
        <v>1009</v>
      </c>
      <c r="J80" s="245" t="s">
        <v>1009</v>
      </c>
      <c r="K80" s="246">
        <v>0</v>
      </c>
      <c r="L80" s="242" cm="1">
        <f t="array" ref="L80">IFERROR(IF(I80="Si", INDEX(CMSDescuento!$E$23:$E$26, MATCH(1, (CMSDescuento!$C$23:$C$26&lt;=CMSRecursos!K80) * (CMSDescuento!$D$23:$D$26&gt;=CMSRecursos!K80), 0)), 0),0)</f>
        <v>0</v>
      </c>
      <c r="M80" s="241" cm="1">
        <f t="array" ref="M80">IFERROR(INDEX(CMSDescuento!$D$2:$D$7, MATCH(1, (CMSDescuento!$B$2:$B$7=CMSRecursos!F80) * (CMSDescuento!$C$2:$C$7=CMSRecursos!I80), 0)),0)</f>
        <v>0</v>
      </c>
      <c r="N80" s="241">
        <f t="shared" si="10"/>
        <v>0</v>
      </c>
      <c r="O80" s="241">
        <f t="shared" si="6"/>
        <v>0</v>
      </c>
      <c r="P80" s="7"/>
      <c r="Q80" s="232"/>
      <c r="R80" s="7"/>
      <c r="S80" s="243">
        <f>N80/(1-CMSResumen!H21)</f>
        <v>0</v>
      </c>
      <c r="T80" s="244">
        <f t="shared" si="7"/>
        <v>0</v>
      </c>
      <c r="U80" s="244">
        <f t="shared" si="8"/>
        <v>0</v>
      </c>
      <c r="V80" s="242">
        <f t="shared" si="9"/>
        <v>0</v>
      </c>
      <c r="W80" s="247"/>
      <c r="X80" s="224"/>
    </row>
    <row r="81" spans="1:24" ht="15" customHeight="1">
      <c r="A81" s="5"/>
      <c r="B81" s="238"/>
      <c r="C81" s="239"/>
      <c r="D81" s="139"/>
      <c r="E81" s="215"/>
      <c r="F81" s="240" t="str">
        <f>IF(E81="AWS",IFERROR(INDEX(CMSAzureAWS!C:C,MATCH(CMSRecursos!G81,CMSAzureAWS!E:E,0)),0),IF(E81="Azure",IFERROR(INDEX(CMSAzureAWS!C:C,MATCH(CMSRecursos!G81,CMSAzureAWS!G:G,0)),0),"Seleccione un Vendor"))</f>
        <v>Seleccione un Vendor</v>
      </c>
      <c r="G81" s="215"/>
      <c r="H81" s="241" t="str">
        <f>IF(E81="AWS",IFERROR(INDEX(CMSAzureAWS!D:D,MATCH(CMSRecursos!G81,CMSAzureAWS!E:E,0)),0),IF(E81="Azure",IFERROR(INDEX(CMSAzureAWS!D:D,MATCH(CMSRecursos!G81,CMSAzureAWS!G:G,0)),0),"Seleccione un Vendor"))</f>
        <v>Seleccione un Vendor</v>
      </c>
      <c r="I81" s="245" t="s">
        <v>1009</v>
      </c>
      <c r="J81" s="245" t="s">
        <v>1009</v>
      </c>
      <c r="K81" s="246">
        <v>0</v>
      </c>
      <c r="L81" s="242" cm="1">
        <f t="array" ref="L81">IFERROR(IF(I81="Si", INDEX(CMSDescuento!$E$23:$E$26, MATCH(1, (CMSDescuento!$C$23:$C$26&lt;=CMSRecursos!K81) * (CMSDescuento!$D$23:$D$26&gt;=CMSRecursos!K81), 0)), 0),0)</f>
        <v>0</v>
      </c>
      <c r="M81" s="241" cm="1">
        <f t="array" ref="M81">IFERROR(INDEX(CMSDescuento!$D$2:$D$7, MATCH(1, (CMSDescuento!$B$2:$B$7=CMSRecursos!F81) * (CMSDescuento!$C$2:$C$7=CMSRecursos!I81), 0)),0)</f>
        <v>0</v>
      </c>
      <c r="N81" s="241">
        <f t="shared" si="10"/>
        <v>0</v>
      </c>
      <c r="O81" s="241">
        <f t="shared" si="6"/>
        <v>0</v>
      </c>
      <c r="P81" s="7"/>
      <c r="Q81" s="232"/>
      <c r="R81" s="7"/>
      <c r="S81" s="243">
        <f>N81/(1-CMSResumen!H21)</f>
        <v>0</v>
      </c>
      <c r="T81" s="244">
        <f t="shared" si="7"/>
        <v>0</v>
      </c>
      <c r="U81" s="244">
        <f t="shared" si="8"/>
        <v>0</v>
      </c>
      <c r="V81" s="242">
        <f t="shared" si="9"/>
        <v>0</v>
      </c>
      <c r="W81" s="247"/>
      <c r="X81" s="224"/>
    </row>
    <row r="82" spans="1:24" ht="15" customHeight="1">
      <c r="A82" s="5"/>
      <c r="B82" s="238"/>
      <c r="C82" s="239"/>
      <c r="D82" s="139"/>
      <c r="E82" s="215"/>
      <c r="F82" s="240" t="str">
        <f>IF(E82="AWS",IFERROR(INDEX(CMSAzureAWS!C:C,MATCH(CMSRecursos!G82,CMSAzureAWS!E:E,0)),0),IF(E82="Azure",IFERROR(INDEX(CMSAzureAWS!C:C,MATCH(CMSRecursos!G82,CMSAzureAWS!G:G,0)),0),"Seleccione un Vendor"))</f>
        <v>Seleccione un Vendor</v>
      </c>
      <c r="G82" s="215"/>
      <c r="H82" s="241" t="str">
        <f>IF(E82="AWS",IFERROR(INDEX(CMSAzureAWS!D:D,MATCH(CMSRecursos!G82,CMSAzureAWS!E:E,0)),0),IF(E82="Azure",IFERROR(INDEX(CMSAzureAWS!D:D,MATCH(CMSRecursos!G82,CMSAzureAWS!G:G,0)),0),"Seleccione un Vendor"))</f>
        <v>Seleccione un Vendor</v>
      </c>
      <c r="I82" s="245" t="s">
        <v>1009</v>
      </c>
      <c r="J82" s="245" t="s">
        <v>1009</v>
      </c>
      <c r="K82" s="246">
        <v>0</v>
      </c>
      <c r="L82" s="242" cm="1">
        <f t="array" ref="L82">IFERROR(IF(I82="Si", INDEX(CMSDescuento!$E$23:$E$26, MATCH(1, (CMSDescuento!$C$23:$C$26&lt;=CMSRecursos!K82) * (CMSDescuento!$D$23:$D$26&gt;=CMSRecursos!K82), 0)), 0),0)</f>
        <v>0</v>
      </c>
      <c r="M82" s="241" cm="1">
        <f t="array" ref="M82">IFERROR(INDEX(CMSDescuento!$D$2:$D$7, MATCH(1, (CMSDescuento!$B$2:$B$7=CMSRecursos!F82) * (CMSDescuento!$C$2:$C$7=CMSRecursos!I82), 0)),0)</f>
        <v>0</v>
      </c>
      <c r="N82" s="241">
        <f t="shared" si="10"/>
        <v>0</v>
      </c>
      <c r="O82" s="241">
        <f t="shared" si="6"/>
        <v>0</v>
      </c>
      <c r="P82" s="7"/>
      <c r="Q82" s="232"/>
      <c r="R82" s="7"/>
      <c r="S82" s="243">
        <f>N82/(1-CMSResumen!H21)</f>
        <v>0</v>
      </c>
      <c r="T82" s="244">
        <f t="shared" si="7"/>
        <v>0</v>
      </c>
      <c r="U82" s="244">
        <f t="shared" si="8"/>
        <v>0</v>
      </c>
      <c r="V82" s="242">
        <f t="shared" si="9"/>
        <v>0</v>
      </c>
      <c r="W82" s="247"/>
      <c r="X82" s="224"/>
    </row>
    <row r="83" spans="1:24" ht="15" customHeight="1">
      <c r="A83" s="5"/>
      <c r="B83" s="238"/>
      <c r="C83" s="239"/>
      <c r="D83" s="139"/>
      <c r="E83" s="215"/>
      <c r="F83" s="240" t="str">
        <f>IF(E83="AWS",IFERROR(INDEX(CMSAzureAWS!C:C,MATCH(CMSRecursos!G83,CMSAzureAWS!E:E,0)),0),IF(E83="Azure",IFERROR(INDEX(CMSAzureAWS!C:C,MATCH(CMSRecursos!G83,CMSAzureAWS!G:G,0)),0),"Seleccione un Vendor"))</f>
        <v>Seleccione un Vendor</v>
      </c>
      <c r="G83" s="215"/>
      <c r="H83" s="241" t="str">
        <f>IF(E83="AWS",IFERROR(INDEX(CMSAzureAWS!D:D,MATCH(CMSRecursos!G83,CMSAzureAWS!E:E,0)),0),IF(E83="Azure",IFERROR(INDEX(CMSAzureAWS!D:D,MATCH(CMSRecursos!G83,CMSAzureAWS!G:G,0)),0),"Seleccione un Vendor"))</f>
        <v>Seleccione un Vendor</v>
      </c>
      <c r="I83" s="245" t="s">
        <v>1009</v>
      </c>
      <c r="J83" s="245" t="s">
        <v>1009</v>
      </c>
      <c r="K83" s="246">
        <v>0</v>
      </c>
      <c r="L83" s="242" cm="1">
        <f t="array" ref="L83">IFERROR(IF(I83="Si", INDEX(CMSDescuento!$E$23:$E$26, MATCH(1, (CMSDescuento!$C$23:$C$26&lt;=CMSRecursos!K83) * (CMSDescuento!$D$23:$D$26&gt;=CMSRecursos!K83), 0)), 0),0)</f>
        <v>0</v>
      </c>
      <c r="M83" s="241" cm="1">
        <f t="array" ref="M83">IFERROR(INDEX(CMSDescuento!$D$2:$D$7, MATCH(1, (CMSDescuento!$B$2:$B$7=CMSRecursos!F83) * (CMSDescuento!$C$2:$C$7=CMSRecursos!I83), 0)),0)</f>
        <v>0</v>
      </c>
      <c r="N83" s="241">
        <f t="shared" si="10"/>
        <v>0</v>
      </c>
      <c r="O83" s="241">
        <f t="shared" si="6"/>
        <v>0</v>
      </c>
      <c r="P83" s="7"/>
      <c r="Q83" s="232"/>
      <c r="R83" s="7"/>
      <c r="S83" s="243">
        <f>N83/(1-CMSResumen!H21)</f>
        <v>0</v>
      </c>
      <c r="T83" s="244">
        <f t="shared" si="7"/>
        <v>0</v>
      </c>
      <c r="U83" s="244">
        <f t="shared" si="8"/>
        <v>0</v>
      </c>
      <c r="V83" s="242">
        <f t="shared" si="9"/>
        <v>0</v>
      </c>
      <c r="W83" s="247"/>
      <c r="X83" s="224"/>
    </row>
    <row r="84" spans="1:24" ht="15" customHeight="1">
      <c r="A84" s="5"/>
      <c r="B84" s="238"/>
      <c r="C84" s="239"/>
      <c r="D84" s="139"/>
      <c r="E84" s="215"/>
      <c r="F84" s="240" t="str">
        <f>IF(E84="AWS",IFERROR(INDEX(CMSAzureAWS!C:C,MATCH(CMSRecursos!G84,CMSAzureAWS!E:E,0)),0),IF(E84="Azure",IFERROR(INDEX(CMSAzureAWS!C:C,MATCH(CMSRecursos!G84,CMSAzureAWS!G:G,0)),0),"Seleccione un Vendor"))</f>
        <v>Seleccione un Vendor</v>
      </c>
      <c r="G84" s="215"/>
      <c r="H84" s="241" t="str">
        <f>IF(E84="AWS",IFERROR(INDEX(CMSAzureAWS!D:D,MATCH(CMSRecursos!G84,CMSAzureAWS!E:E,0)),0),IF(E84="Azure",IFERROR(INDEX(CMSAzureAWS!D:D,MATCH(CMSRecursos!G84,CMSAzureAWS!G:G,0)),0),"Seleccione un Vendor"))</f>
        <v>Seleccione un Vendor</v>
      </c>
      <c r="I84" s="245" t="s">
        <v>1009</v>
      </c>
      <c r="J84" s="245" t="s">
        <v>1009</v>
      </c>
      <c r="K84" s="246">
        <v>0</v>
      </c>
      <c r="L84" s="242" cm="1">
        <f t="array" ref="L84">IFERROR(IF(I84="Si", INDEX(CMSDescuento!$E$23:$E$26, MATCH(1, (CMSDescuento!$C$23:$C$26&lt;=CMSRecursos!K84) * (CMSDescuento!$D$23:$D$26&gt;=CMSRecursos!K84), 0)), 0),0)</f>
        <v>0</v>
      </c>
      <c r="M84" s="241" cm="1">
        <f t="array" ref="M84">IFERROR(INDEX(CMSDescuento!$D$2:$D$7, MATCH(1, (CMSDescuento!$B$2:$B$7=CMSRecursos!F84) * (CMSDescuento!$C$2:$C$7=CMSRecursos!I84), 0)),0)</f>
        <v>0</v>
      </c>
      <c r="N84" s="241">
        <f t="shared" si="10"/>
        <v>0</v>
      </c>
      <c r="O84" s="241">
        <f t="shared" si="6"/>
        <v>0</v>
      </c>
      <c r="P84" s="7"/>
      <c r="Q84" s="232"/>
      <c r="R84" s="7"/>
      <c r="S84" s="243">
        <f>N84/(1-CMSResumen!H21)</f>
        <v>0</v>
      </c>
      <c r="T84" s="244">
        <f t="shared" si="7"/>
        <v>0</v>
      </c>
      <c r="U84" s="244">
        <f t="shared" si="8"/>
        <v>0</v>
      </c>
      <c r="V84" s="242">
        <f t="shared" si="9"/>
        <v>0</v>
      </c>
      <c r="W84" s="247"/>
      <c r="X84" s="224"/>
    </row>
    <row r="85" spans="1:24" ht="15" customHeight="1">
      <c r="A85" s="5"/>
      <c r="B85" s="238"/>
      <c r="C85" s="239"/>
      <c r="D85" s="139"/>
      <c r="E85" s="215"/>
      <c r="F85" s="240" t="str">
        <f>IF(E85="AWS",IFERROR(INDEX(CMSAzureAWS!C:C,MATCH(CMSRecursos!G85,CMSAzureAWS!E:E,0)),0),IF(E85="Azure",IFERROR(INDEX(CMSAzureAWS!C:C,MATCH(CMSRecursos!G85,CMSAzureAWS!G:G,0)),0),"Seleccione un Vendor"))</f>
        <v>Seleccione un Vendor</v>
      </c>
      <c r="G85" s="215"/>
      <c r="H85" s="241" t="str">
        <f>IF(E85="AWS",IFERROR(INDEX(CMSAzureAWS!D:D,MATCH(CMSRecursos!G85,CMSAzureAWS!E:E,0)),0),IF(E85="Azure",IFERROR(INDEX(CMSAzureAWS!D:D,MATCH(CMSRecursos!G85,CMSAzureAWS!G:G,0)),0),"Seleccione un Vendor"))</f>
        <v>Seleccione un Vendor</v>
      </c>
      <c r="I85" s="245" t="s">
        <v>1009</v>
      </c>
      <c r="J85" s="245" t="s">
        <v>1009</v>
      </c>
      <c r="K85" s="246">
        <v>0</v>
      </c>
      <c r="L85" s="242" cm="1">
        <f t="array" ref="L85">IFERROR(IF(I85="Si", INDEX(CMSDescuento!$E$23:$E$26, MATCH(1, (CMSDescuento!$C$23:$C$26&lt;=CMSRecursos!K85) * (CMSDescuento!$D$23:$D$26&gt;=CMSRecursos!K85), 0)), 0),0)</f>
        <v>0</v>
      </c>
      <c r="M85" s="241" cm="1">
        <f t="array" ref="M85">IFERROR(INDEX(CMSDescuento!$D$2:$D$7, MATCH(1, (CMSDescuento!$B$2:$B$7=CMSRecursos!F85) * (CMSDescuento!$C$2:$C$7=CMSRecursos!I85), 0)),0)</f>
        <v>0</v>
      </c>
      <c r="N85" s="241">
        <f t="shared" si="10"/>
        <v>0</v>
      </c>
      <c r="O85" s="241">
        <f t="shared" si="6"/>
        <v>0</v>
      </c>
      <c r="P85" s="7"/>
      <c r="Q85" s="232"/>
      <c r="R85" s="7"/>
      <c r="S85" s="243">
        <f>N85/(1-CMSResumen!H21)</f>
        <v>0</v>
      </c>
      <c r="T85" s="244">
        <f t="shared" si="7"/>
        <v>0</v>
      </c>
      <c r="U85" s="244">
        <f t="shared" si="8"/>
        <v>0</v>
      </c>
      <c r="V85" s="242">
        <f t="shared" si="9"/>
        <v>0</v>
      </c>
      <c r="W85" s="247"/>
      <c r="X85" s="224"/>
    </row>
    <row r="86" spans="1:24" ht="15" customHeight="1">
      <c r="A86" s="5"/>
      <c r="B86" s="238"/>
      <c r="C86" s="239"/>
      <c r="D86" s="139"/>
      <c r="E86" s="215"/>
      <c r="F86" s="240" t="str">
        <f>IF(E86="AWS",IFERROR(INDEX(CMSAzureAWS!C:C,MATCH(CMSRecursos!G86,CMSAzureAWS!E:E,0)),0),IF(E86="Azure",IFERROR(INDEX(CMSAzureAWS!C:C,MATCH(CMSRecursos!G86,CMSAzureAWS!G:G,0)),0),"Seleccione un Vendor"))</f>
        <v>Seleccione un Vendor</v>
      </c>
      <c r="G86" s="215"/>
      <c r="H86" s="241" t="str">
        <f>IF(E86="AWS",IFERROR(INDEX(CMSAzureAWS!D:D,MATCH(CMSRecursos!G86,CMSAzureAWS!E:E,0)),0),IF(E86="Azure",IFERROR(INDEX(CMSAzureAWS!D:D,MATCH(CMSRecursos!G86,CMSAzureAWS!G:G,0)),0),"Seleccione un Vendor"))</f>
        <v>Seleccione un Vendor</v>
      </c>
      <c r="I86" s="245" t="s">
        <v>1009</v>
      </c>
      <c r="J86" s="245" t="s">
        <v>1009</v>
      </c>
      <c r="K86" s="246">
        <v>0</v>
      </c>
      <c r="L86" s="242" cm="1">
        <f t="array" ref="L86">IFERROR(IF(I86="Si", INDEX(CMSDescuento!$E$23:$E$26, MATCH(1, (CMSDescuento!$C$23:$C$26&lt;=CMSRecursos!K86) * (CMSDescuento!$D$23:$D$26&gt;=CMSRecursos!K86), 0)), 0),0)</f>
        <v>0</v>
      </c>
      <c r="M86" s="241" cm="1">
        <f t="array" ref="M86">IFERROR(INDEX(CMSDescuento!$D$2:$D$7, MATCH(1, (CMSDescuento!$B$2:$B$7=CMSRecursos!F86) * (CMSDescuento!$C$2:$C$7=CMSRecursos!I86), 0)),0)</f>
        <v>0</v>
      </c>
      <c r="N86" s="241">
        <f t="shared" si="10"/>
        <v>0</v>
      </c>
      <c r="O86" s="241">
        <f t="shared" si="6"/>
        <v>0</v>
      </c>
      <c r="P86" s="7"/>
      <c r="Q86" s="232"/>
      <c r="R86" s="7"/>
      <c r="S86" s="243">
        <f>N86/(1-CMSResumen!H21)</f>
        <v>0</v>
      </c>
      <c r="T86" s="244">
        <f t="shared" si="7"/>
        <v>0</v>
      </c>
      <c r="U86" s="244">
        <f t="shared" si="8"/>
        <v>0</v>
      </c>
      <c r="V86" s="242">
        <f t="shared" si="9"/>
        <v>0</v>
      </c>
      <c r="W86" s="247"/>
      <c r="X86" s="224"/>
    </row>
    <row r="87" spans="1:24" ht="15" customHeight="1">
      <c r="A87" s="5"/>
      <c r="B87" s="238"/>
      <c r="C87" s="239"/>
      <c r="D87" s="139"/>
      <c r="E87" s="215"/>
      <c r="F87" s="240" t="str">
        <f>IF(E87="AWS",IFERROR(INDEX(CMSAzureAWS!C:C,MATCH(CMSRecursos!G87,CMSAzureAWS!E:E,0)),0),IF(E87="Azure",IFERROR(INDEX(CMSAzureAWS!C:C,MATCH(CMSRecursos!G87,CMSAzureAWS!G:G,0)),0),"Seleccione un Vendor"))</f>
        <v>Seleccione un Vendor</v>
      </c>
      <c r="G87" s="215"/>
      <c r="H87" s="241" t="str">
        <f>IF(E87="AWS",IFERROR(INDEX(CMSAzureAWS!D:D,MATCH(CMSRecursos!G87,CMSAzureAWS!E:E,0)),0),IF(E87="Azure",IFERROR(INDEX(CMSAzureAWS!D:D,MATCH(CMSRecursos!G87,CMSAzureAWS!G:G,0)),0),"Seleccione un Vendor"))</f>
        <v>Seleccione un Vendor</v>
      </c>
      <c r="I87" s="245" t="s">
        <v>1009</v>
      </c>
      <c r="J87" s="245" t="s">
        <v>1009</v>
      </c>
      <c r="K87" s="246">
        <v>0</v>
      </c>
      <c r="L87" s="242" cm="1">
        <f t="array" ref="L87">IFERROR(IF(I87="Si", INDEX(CMSDescuento!$E$23:$E$26, MATCH(1, (CMSDescuento!$C$23:$C$26&lt;=CMSRecursos!K87) * (CMSDescuento!$D$23:$D$26&gt;=CMSRecursos!K87), 0)), 0),0)</f>
        <v>0</v>
      </c>
      <c r="M87" s="241" cm="1">
        <f t="array" ref="M87">IFERROR(INDEX(CMSDescuento!$D$2:$D$7, MATCH(1, (CMSDescuento!$B$2:$B$7=CMSRecursos!F87) * (CMSDescuento!$C$2:$C$7=CMSRecursos!I87), 0)),0)</f>
        <v>0</v>
      </c>
      <c r="N87" s="241">
        <f t="shared" si="10"/>
        <v>0</v>
      </c>
      <c r="O87" s="241">
        <f t="shared" si="6"/>
        <v>0</v>
      </c>
      <c r="P87" s="7"/>
      <c r="Q87" s="232"/>
      <c r="R87" s="7"/>
      <c r="S87" s="243">
        <f>N87/(1-CMSResumen!H21)</f>
        <v>0</v>
      </c>
      <c r="T87" s="244">
        <f t="shared" si="7"/>
        <v>0</v>
      </c>
      <c r="U87" s="244">
        <f t="shared" si="8"/>
        <v>0</v>
      </c>
      <c r="V87" s="242">
        <f t="shared" si="9"/>
        <v>0</v>
      </c>
      <c r="W87" s="247"/>
      <c r="X87" s="224"/>
    </row>
    <row r="88" spans="1:24" ht="15" customHeight="1">
      <c r="A88" s="5"/>
      <c r="B88" s="238"/>
      <c r="C88" s="239"/>
      <c r="D88" s="139"/>
      <c r="E88" s="215"/>
      <c r="F88" s="240" t="str">
        <f>IF(E88="AWS",IFERROR(INDEX(CMSAzureAWS!C:C,MATCH(CMSRecursos!G88,CMSAzureAWS!E:E,0)),0),IF(E88="Azure",IFERROR(INDEX(CMSAzureAWS!C:C,MATCH(CMSRecursos!G88,CMSAzureAWS!G:G,0)),0),"Seleccione un Vendor"))</f>
        <v>Seleccione un Vendor</v>
      </c>
      <c r="G88" s="215"/>
      <c r="H88" s="241" t="str">
        <f>IF(E88="AWS",IFERROR(INDEX(CMSAzureAWS!D:D,MATCH(CMSRecursos!G88,CMSAzureAWS!E:E,0)),0),IF(E88="Azure",IFERROR(INDEX(CMSAzureAWS!D:D,MATCH(CMSRecursos!G88,CMSAzureAWS!G:G,0)),0),"Seleccione un Vendor"))</f>
        <v>Seleccione un Vendor</v>
      </c>
      <c r="I88" s="245" t="s">
        <v>1009</v>
      </c>
      <c r="J88" s="245" t="s">
        <v>1009</v>
      </c>
      <c r="K88" s="246">
        <v>0</v>
      </c>
      <c r="L88" s="242" cm="1">
        <f t="array" ref="L88">IFERROR(IF(I88="Si", INDEX(CMSDescuento!$E$23:$E$26, MATCH(1, (CMSDescuento!$C$23:$C$26&lt;=CMSRecursos!K88) * (CMSDescuento!$D$23:$D$26&gt;=CMSRecursos!K88), 0)), 0),0)</f>
        <v>0</v>
      </c>
      <c r="M88" s="241" cm="1">
        <f t="array" ref="M88">IFERROR(INDEX(CMSDescuento!$D$2:$D$7, MATCH(1, (CMSDescuento!$B$2:$B$7=CMSRecursos!F88) * (CMSDescuento!$C$2:$C$7=CMSRecursos!I88), 0)),0)</f>
        <v>0</v>
      </c>
      <c r="N88" s="241">
        <f t="shared" si="10"/>
        <v>0</v>
      </c>
      <c r="O88" s="241">
        <f t="shared" si="6"/>
        <v>0</v>
      </c>
      <c r="P88" s="7"/>
      <c r="Q88" s="232"/>
      <c r="R88" s="7"/>
      <c r="S88" s="243">
        <f>N88/(1-CMSResumen!H21)</f>
        <v>0</v>
      </c>
      <c r="T88" s="244">
        <f t="shared" si="7"/>
        <v>0</v>
      </c>
      <c r="U88" s="244">
        <f t="shared" si="8"/>
        <v>0</v>
      </c>
      <c r="V88" s="242">
        <f t="shared" si="9"/>
        <v>0</v>
      </c>
      <c r="W88" s="247"/>
      <c r="X88" s="224"/>
    </row>
    <row r="89" spans="1:24" ht="15" customHeight="1">
      <c r="A89" s="5"/>
      <c r="B89" s="238"/>
      <c r="C89" s="239"/>
      <c r="D89" s="139"/>
      <c r="E89" s="215"/>
      <c r="F89" s="240" t="str">
        <f>IF(E89="AWS",IFERROR(INDEX(CMSAzureAWS!C:C,MATCH(CMSRecursos!G89,CMSAzureAWS!E:E,0)),0),IF(E89="Azure",IFERROR(INDEX(CMSAzureAWS!C:C,MATCH(CMSRecursos!G89,CMSAzureAWS!G:G,0)),0),"Seleccione un Vendor"))</f>
        <v>Seleccione un Vendor</v>
      </c>
      <c r="G89" s="215"/>
      <c r="H89" s="241" t="str">
        <f>IF(E89="AWS",IFERROR(INDEX(CMSAzureAWS!D:D,MATCH(CMSRecursos!G89,CMSAzureAWS!E:E,0)),0),IF(E89="Azure",IFERROR(INDEX(CMSAzureAWS!D:D,MATCH(CMSRecursos!G89,CMSAzureAWS!G:G,0)),0),"Seleccione un Vendor"))</f>
        <v>Seleccione un Vendor</v>
      </c>
      <c r="I89" s="245" t="s">
        <v>1009</v>
      </c>
      <c r="J89" s="245" t="s">
        <v>1009</v>
      </c>
      <c r="K89" s="246">
        <v>0</v>
      </c>
      <c r="L89" s="242" cm="1">
        <f t="array" ref="L89">IFERROR(IF(I89="Si", INDEX(CMSDescuento!$E$23:$E$26, MATCH(1, (CMSDescuento!$C$23:$C$26&lt;=CMSRecursos!K89) * (CMSDescuento!$D$23:$D$26&gt;=CMSRecursos!K89), 0)), 0),0)</f>
        <v>0</v>
      </c>
      <c r="M89" s="241" cm="1">
        <f t="array" ref="M89">IFERROR(INDEX(CMSDescuento!$D$2:$D$7, MATCH(1, (CMSDescuento!$B$2:$B$7=CMSRecursos!F89) * (CMSDescuento!$C$2:$C$7=CMSRecursos!I89), 0)),0)</f>
        <v>0</v>
      </c>
      <c r="N89" s="241">
        <f t="shared" si="10"/>
        <v>0</v>
      </c>
      <c r="O89" s="241">
        <f t="shared" si="6"/>
        <v>0</v>
      </c>
      <c r="P89" s="7"/>
      <c r="Q89" s="232"/>
      <c r="R89" s="7"/>
      <c r="S89" s="243">
        <f>N89/(1-CMSResumen!H21)</f>
        <v>0</v>
      </c>
      <c r="T89" s="244">
        <f t="shared" si="7"/>
        <v>0</v>
      </c>
      <c r="U89" s="244">
        <f t="shared" si="8"/>
        <v>0</v>
      </c>
      <c r="V89" s="242">
        <f t="shared" si="9"/>
        <v>0</v>
      </c>
      <c r="W89" s="247"/>
      <c r="X89" s="224"/>
    </row>
    <row r="90" spans="1:24" ht="15" customHeight="1">
      <c r="A90" s="5"/>
      <c r="B90" s="238"/>
      <c r="C90" s="239"/>
      <c r="D90" s="139"/>
      <c r="E90" s="215"/>
      <c r="F90" s="240" t="str">
        <f>IF(E90="AWS",IFERROR(INDEX(CMSAzureAWS!C:C,MATCH(CMSRecursos!G90,CMSAzureAWS!E:E,0)),0),IF(E90="Azure",IFERROR(INDEX(CMSAzureAWS!C:C,MATCH(CMSRecursos!G90,CMSAzureAWS!G:G,0)),0),"Seleccione un Vendor"))</f>
        <v>Seleccione un Vendor</v>
      </c>
      <c r="G90" s="215"/>
      <c r="H90" s="241" t="str">
        <f>IF(E90="AWS",IFERROR(INDEX(CMSAzureAWS!D:D,MATCH(CMSRecursos!G90,CMSAzureAWS!E:E,0)),0),IF(E90="Azure",IFERROR(INDEX(CMSAzureAWS!D:D,MATCH(CMSRecursos!G90,CMSAzureAWS!G:G,0)),0),"Seleccione un Vendor"))</f>
        <v>Seleccione un Vendor</v>
      </c>
      <c r="I90" s="245" t="s">
        <v>1009</v>
      </c>
      <c r="J90" s="245" t="s">
        <v>1009</v>
      </c>
      <c r="K90" s="246">
        <v>0</v>
      </c>
      <c r="L90" s="242" cm="1">
        <f t="array" ref="L90">IFERROR(IF(I90="Si", INDEX(CMSDescuento!$E$23:$E$26, MATCH(1, (CMSDescuento!$C$23:$C$26&lt;=CMSRecursos!K90) * (CMSDescuento!$D$23:$D$26&gt;=CMSRecursos!K90), 0)), 0),0)</f>
        <v>0</v>
      </c>
      <c r="M90" s="241" cm="1">
        <f t="array" ref="M90">IFERROR(INDEX(CMSDescuento!$D$2:$D$7, MATCH(1, (CMSDescuento!$B$2:$B$7=CMSRecursos!F90) * (CMSDescuento!$C$2:$C$7=CMSRecursos!I90), 0)),0)</f>
        <v>0</v>
      </c>
      <c r="N90" s="241">
        <f t="shared" si="10"/>
        <v>0</v>
      </c>
      <c r="O90" s="241">
        <f t="shared" si="6"/>
        <v>0</v>
      </c>
      <c r="P90" s="7"/>
      <c r="Q90" s="232"/>
      <c r="R90" s="7"/>
      <c r="S90" s="243">
        <f>N90/(1-CMSResumen!H21)</f>
        <v>0</v>
      </c>
      <c r="T90" s="244">
        <f t="shared" si="7"/>
        <v>0</v>
      </c>
      <c r="U90" s="244">
        <f t="shared" si="8"/>
        <v>0</v>
      </c>
      <c r="V90" s="242">
        <f t="shared" si="9"/>
        <v>0</v>
      </c>
      <c r="W90" s="247"/>
      <c r="X90" s="224"/>
    </row>
    <row r="91" spans="1:24" ht="15" customHeight="1">
      <c r="A91" s="5"/>
      <c r="B91" s="238"/>
      <c r="C91" s="239"/>
      <c r="D91" s="139"/>
      <c r="E91" s="215"/>
      <c r="F91" s="240" t="str">
        <f>IF(E91="AWS",IFERROR(INDEX(CMSAzureAWS!C:C,MATCH(CMSRecursos!G91,CMSAzureAWS!E:E,0)),0),IF(E91="Azure",IFERROR(INDEX(CMSAzureAWS!C:C,MATCH(CMSRecursos!G91,CMSAzureAWS!G:G,0)),0),"Seleccione un Vendor"))</f>
        <v>Seleccione un Vendor</v>
      </c>
      <c r="G91" s="215"/>
      <c r="H91" s="241" t="str">
        <f>IF(E91="AWS",IFERROR(INDEX(CMSAzureAWS!D:D,MATCH(CMSRecursos!G91,CMSAzureAWS!E:E,0)),0),IF(E91="Azure",IFERROR(INDEX(CMSAzureAWS!D:D,MATCH(CMSRecursos!G91,CMSAzureAWS!G:G,0)),0),"Seleccione un Vendor"))</f>
        <v>Seleccione un Vendor</v>
      </c>
      <c r="I91" s="245" t="s">
        <v>1009</v>
      </c>
      <c r="J91" s="245" t="s">
        <v>1009</v>
      </c>
      <c r="K91" s="246">
        <v>0</v>
      </c>
      <c r="L91" s="242" cm="1">
        <f t="array" ref="L91">IFERROR(IF(I91="Si", INDEX(CMSDescuento!$E$23:$E$26, MATCH(1, (CMSDescuento!$C$23:$C$26&lt;=CMSRecursos!K91) * (CMSDescuento!$D$23:$D$26&gt;=CMSRecursos!K91), 0)), 0),0)</f>
        <v>0</v>
      </c>
      <c r="M91" s="241" cm="1">
        <f t="array" ref="M91">IFERROR(INDEX(CMSDescuento!$D$2:$D$7, MATCH(1, (CMSDescuento!$B$2:$B$7=CMSRecursos!F91) * (CMSDescuento!$C$2:$C$7=CMSRecursos!I91), 0)),0)</f>
        <v>0</v>
      </c>
      <c r="N91" s="241">
        <f t="shared" si="10"/>
        <v>0</v>
      </c>
      <c r="O91" s="241">
        <f t="shared" si="6"/>
        <v>0</v>
      </c>
      <c r="P91" s="7"/>
      <c r="Q91" s="232"/>
      <c r="R91" s="7"/>
      <c r="S91" s="243">
        <f>N91/(1-CMSResumen!H21)</f>
        <v>0</v>
      </c>
      <c r="T91" s="244">
        <f t="shared" si="7"/>
        <v>0</v>
      </c>
      <c r="U91" s="244">
        <f t="shared" si="8"/>
        <v>0</v>
      </c>
      <c r="V91" s="242">
        <f t="shared" si="9"/>
        <v>0</v>
      </c>
      <c r="W91" s="247"/>
      <c r="X91" s="224"/>
    </row>
    <row r="92" spans="1:24" ht="15" customHeight="1">
      <c r="A92" s="5"/>
      <c r="B92" s="238"/>
      <c r="C92" s="239"/>
      <c r="D92" s="139"/>
      <c r="E92" s="215"/>
      <c r="F92" s="240" t="str">
        <f>IF(E92="AWS",IFERROR(INDEX(CMSAzureAWS!C:C,MATCH(CMSRecursos!G92,CMSAzureAWS!E:E,0)),0),IF(E92="Azure",IFERROR(INDEX(CMSAzureAWS!C:C,MATCH(CMSRecursos!G92,CMSAzureAWS!G:G,0)),0),"Seleccione un Vendor"))</f>
        <v>Seleccione un Vendor</v>
      </c>
      <c r="G92" s="215"/>
      <c r="H92" s="241" t="str">
        <f>IF(E92="AWS",IFERROR(INDEX(CMSAzureAWS!D:D,MATCH(CMSRecursos!G92,CMSAzureAWS!E:E,0)),0),IF(E92="Azure",IFERROR(INDEX(CMSAzureAWS!D:D,MATCH(CMSRecursos!G92,CMSAzureAWS!G:G,0)),0),"Seleccione un Vendor"))</f>
        <v>Seleccione un Vendor</v>
      </c>
      <c r="I92" s="245" t="s">
        <v>1009</v>
      </c>
      <c r="J92" s="245" t="s">
        <v>1009</v>
      </c>
      <c r="K92" s="246">
        <v>0</v>
      </c>
      <c r="L92" s="242" cm="1">
        <f t="array" ref="L92">IFERROR(IF(I92="Si", INDEX(CMSDescuento!$E$23:$E$26, MATCH(1, (CMSDescuento!$C$23:$C$26&lt;=CMSRecursos!K92) * (CMSDescuento!$D$23:$D$26&gt;=CMSRecursos!K92), 0)), 0),0)</f>
        <v>0</v>
      </c>
      <c r="M92" s="241" cm="1">
        <f t="array" ref="M92">IFERROR(INDEX(CMSDescuento!$D$2:$D$7, MATCH(1, (CMSDescuento!$B$2:$B$7=CMSRecursos!F92) * (CMSDescuento!$C$2:$C$7=CMSRecursos!I92), 0)),0)</f>
        <v>0</v>
      </c>
      <c r="N92" s="241">
        <f t="shared" si="10"/>
        <v>0</v>
      </c>
      <c r="O92" s="241">
        <f t="shared" si="6"/>
        <v>0</v>
      </c>
      <c r="P92" s="7"/>
      <c r="Q92" s="232"/>
      <c r="R92" s="7"/>
      <c r="S92" s="243">
        <f>N92/(1-CMSResumen!H21)</f>
        <v>0</v>
      </c>
      <c r="T92" s="244">
        <f t="shared" si="7"/>
        <v>0</v>
      </c>
      <c r="U92" s="244">
        <f t="shared" si="8"/>
        <v>0</v>
      </c>
      <c r="V92" s="242">
        <f t="shared" si="9"/>
        <v>0</v>
      </c>
      <c r="W92" s="247"/>
      <c r="X92" s="224"/>
    </row>
    <row r="93" spans="1:24" ht="15" customHeight="1">
      <c r="A93" s="5"/>
      <c r="B93" s="238"/>
      <c r="C93" s="239"/>
      <c r="D93" s="139"/>
      <c r="E93" s="215"/>
      <c r="F93" s="240" t="str">
        <f>IF(E93="AWS",IFERROR(INDEX(CMSAzureAWS!C:C,MATCH(CMSRecursos!G93,CMSAzureAWS!E:E,0)),0),IF(E93="Azure",IFERROR(INDEX(CMSAzureAWS!C:C,MATCH(CMSRecursos!G93,CMSAzureAWS!G:G,0)),0),"Seleccione un Vendor"))</f>
        <v>Seleccione un Vendor</v>
      </c>
      <c r="G93" s="215"/>
      <c r="H93" s="241" t="str">
        <f>IF(E93="AWS",IFERROR(INDEX(CMSAzureAWS!D:D,MATCH(CMSRecursos!G93,CMSAzureAWS!E:E,0)),0),IF(E93="Azure",IFERROR(INDEX(CMSAzureAWS!D:D,MATCH(CMSRecursos!G93,CMSAzureAWS!G:G,0)),0),"Seleccione un Vendor"))</f>
        <v>Seleccione un Vendor</v>
      </c>
      <c r="I93" s="245" t="s">
        <v>1009</v>
      </c>
      <c r="J93" s="245" t="s">
        <v>1009</v>
      </c>
      <c r="K93" s="246">
        <v>0</v>
      </c>
      <c r="L93" s="242" cm="1">
        <f t="array" ref="L93">IFERROR(IF(I93="Si", INDEX(CMSDescuento!$E$23:$E$26, MATCH(1, (CMSDescuento!$C$23:$C$26&lt;=CMSRecursos!K93) * (CMSDescuento!$D$23:$D$26&gt;=CMSRecursos!K93), 0)), 0),0)</f>
        <v>0</v>
      </c>
      <c r="M93" s="241" cm="1">
        <f t="array" ref="M93">IFERROR(INDEX(CMSDescuento!$D$2:$D$7, MATCH(1, (CMSDescuento!$B$2:$B$7=CMSRecursos!F93) * (CMSDescuento!$C$2:$C$7=CMSRecursos!I93), 0)),0)</f>
        <v>0</v>
      </c>
      <c r="N93" s="241">
        <f t="shared" si="10"/>
        <v>0</v>
      </c>
      <c r="O93" s="241">
        <f t="shared" si="6"/>
        <v>0</v>
      </c>
      <c r="P93" s="7"/>
      <c r="Q93" s="232"/>
      <c r="R93" s="7"/>
      <c r="S93" s="243">
        <f>N93/(1-CMSResumen!H21)</f>
        <v>0</v>
      </c>
      <c r="T93" s="244">
        <f t="shared" si="7"/>
        <v>0</v>
      </c>
      <c r="U93" s="244">
        <f t="shared" si="8"/>
        <v>0</v>
      </c>
      <c r="V93" s="242">
        <f t="shared" si="9"/>
        <v>0</v>
      </c>
      <c r="W93" s="247"/>
      <c r="X93" s="224"/>
    </row>
    <row r="94" spans="1:24" ht="15" customHeight="1">
      <c r="A94" s="5"/>
      <c r="B94" s="238"/>
      <c r="C94" s="239"/>
      <c r="D94" s="139"/>
      <c r="E94" s="215"/>
      <c r="F94" s="240" t="str">
        <f>IF(E94="AWS",IFERROR(INDEX(CMSAzureAWS!C:C,MATCH(CMSRecursos!G94,CMSAzureAWS!E:E,0)),0),IF(E94="Azure",IFERROR(INDEX(CMSAzureAWS!C:C,MATCH(CMSRecursos!G94,CMSAzureAWS!G:G,0)),0),"Seleccione un Vendor"))</f>
        <v>Seleccione un Vendor</v>
      </c>
      <c r="G94" s="215"/>
      <c r="H94" s="241" t="str">
        <f>IF(E94="AWS",IFERROR(INDEX(CMSAzureAWS!D:D,MATCH(CMSRecursos!G94,CMSAzureAWS!E:E,0)),0),IF(E94="Azure",IFERROR(INDEX(CMSAzureAWS!D:D,MATCH(CMSRecursos!G94,CMSAzureAWS!G:G,0)),0),"Seleccione un Vendor"))</f>
        <v>Seleccione un Vendor</v>
      </c>
      <c r="I94" s="245" t="s">
        <v>1009</v>
      </c>
      <c r="J94" s="245" t="s">
        <v>1009</v>
      </c>
      <c r="K94" s="246">
        <v>0</v>
      </c>
      <c r="L94" s="242" cm="1">
        <f t="array" ref="L94">IFERROR(IF(I94="Si", INDEX(CMSDescuento!$E$23:$E$26, MATCH(1, (CMSDescuento!$C$23:$C$26&lt;=CMSRecursos!K94) * (CMSDescuento!$D$23:$D$26&gt;=CMSRecursos!K94), 0)), 0),0)</f>
        <v>0</v>
      </c>
      <c r="M94" s="241" cm="1">
        <f t="array" ref="M94">IFERROR(INDEX(CMSDescuento!$D$2:$D$7, MATCH(1, (CMSDescuento!$B$2:$B$7=CMSRecursos!F94) * (CMSDescuento!$C$2:$C$7=CMSRecursos!I94), 0)),0)</f>
        <v>0</v>
      </c>
      <c r="N94" s="241">
        <f t="shared" si="10"/>
        <v>0</v>
      </c>
      <c r="O94" s="241">
        <f t="shared" si="6"/>
        <v>0</v>
      </c>
      <c r="P94" s="7"/>
      <c r="Q94" s="232"/>
      <c r="R94" s="7"/>
      <c r="S94" s="243">
        <f>N94/(1-CMSResumen!H21)</f>
        <v>0</v>
      </c>
      <c r="T94" s="244">
        <f t="shared" si="7"/>
        <v>0</v>
      </c>
      <c r="U94" s="244">
        <f t="shared" si="8"/>
        <v>0</v>
      </c>
      <c r="V94" s="242">
        <f t="shared" si="9"/>
        <v>0</v>
      </c>
      <c r="W94" s="247"/>
      <c r="X94" s="224"/>
    </row>
    <row r="95" spans="1:24" ht="15" customHeight="1">
      <c r="A95" s="5"/>
      <c r="B95" s="238"/>
      <c r="C95" s="239"/>
      <c r="D95" s="139"/>
      <c r="E95" s="215"/>
      <c r="F95" s="240" t="str">
        <f>IF(E95="AWS",IFERROR(INDEX(CMSAzureAWS!C:C,MATCH(CMSRecursos!G95,CMSAzureAWS!E:E,0)),0),IF(E95="Azure",IFERROR(INDEX(CMSAzureAWS!C:C,MATCH(CMSRecursos!G95,CMSAzureAWS!G:G,0)),0),"Seleccione un Vendor"))</f>
        <v>Seleccione un Vendor</v>
      </c>
      <c r="G95" s="215"/>
      <c r="H95" s="241" t="str">
        <f>IF(E95="AWS",IFERROR(INDEX(CMSAzureAWS!D:D,MATCH(CMSRecursos!G95,CMSAzureAWS!E:E,0)),0),IF(E95="Azure",IFERROR(INDEX(CMSAzureAWS!D:D,MATCH(CMSRecursos!G95,CMSAzureAWS!G:G,0)),0),"Seleccione un Vendor"))</f>
        <v>Seleccione un Vendor</v>
      </c>
      <c r="I95" s="245" t="s">
        <v>1009</v>
      </c>
      <c r="J95" s="245" t="s">
        <v>1009</v>
      </c>
      <c r="K95" s="246">
        <v>0</v>
      </c>
      <c r="L95" s="242" cm="1">
        <f t="array" ref="L95">IFERROR(IF(I95="Si", INDEX(CMSDescuento!$E$23:$E$26, MATCH(1, (CMSDescuento!$C$23:$C$26&lt;=CMSRecursos!K95) * (CMSDescuento!$D$23:$D$26&gt;=CMSRecursos!K95), 0)), 0),0)</f>
        <v>0</v>
      </c>
      <c r="M95" s="241" cm="1">
        <f t="array" ref="M95">IFERROR(INDEX(CMSDescuento!$D$2:$D$7, MATCH(1, (CMSDescuento!$B$2:$B$7=CMSRecursos!F95) * (CMSDescuento!$C$2:$C$7=CMSRecursos!I95), 0)),0)</f>
        <v>0</v>
      </c>
      <c r="N95" s="241">
        <f t="shared" si="10"/>
        <v>0</v>
      </c>
      <c r="O95" s="241">
        <f t="shared" si="6"/>
        <v>0</v>
      </c>
      <c r="P95" s="7"/>
      <c r="Q95" s="232"/>
      <c r="R95" s="7"/>
      <c r="S95" s="243">
        <f>N95/(1-CMSResumen!H21)</f>
        <v>0</v>
      </c>
      <c r="T95" s="244">
        <f t="shared" si="7"/>
        <v>0</v>
      </c>
      <c r="U95" s="244">
        <f t="shared" si="8"/>
        <v>0</v>
      </c>
      <c r="V95" s="242">
        <f t="shared" si="9"/>
        <v>0</v>
      </c>
      <c r="W95" s="247"/>
      <c r="X95" s="224"/>
    </row>
    <row r="96" spans="1:24" ht="15" customHeight="1">
      <c r="A96" s="5"/>
      <c r="B96" s="238"/>
      <c r="C96" s="239"/>
      <c r="D96" s="139"/>
      <c r="E96" s="215"/>
      <c r="F96" s="240" t="str">
        <f>IF(E96="AWS",IFERROR(INDEX(CMSAzureAWS!C:C,MATCH(CMSRecursos!G96,CMSAzureAWS!E:E,0)),0),IF(E96="Azure",IFERROR(INDEX(CMSAzureAWS!C:C,MATCH(CMSRecursos!G96,CMSAzureAWS!G:G,0)),0),"Seleccione un Vendor"))</f>
        <v>Seleccione un Vendor</v>
      </c>
      <c r="G96" s="215"/>
      <c r="H96" s="241" t="str">
        <f>IF(E96="AWS",IFERROR(INDEX(CMSAzureAWS!D:D,MATCH(CMSRecursos!G96,CMSAzureAWS!E:E,0)),0),IF(E96="Azure",IFERROR(INDEX(CMSAzureAWS!D:D,MATCH(CMSRecursos!G96,CMSAzureAWS!G:G,0)),0),"Seleccione un Vendor"))</f>
        <v>Seleccione un Vendor</v>
      </c>
      <c r="I96" s="245" t="s">
        <v>1009</v>
      </c>
      <c r="J96" s="245" t="s">
        <v>1009</v>
      </c>
      <c r="K96" s="246">
        <v>0</v>
      </c>
      <c r="L96" s="242" cm="1">
        <f t="array" ref="L96">IFERROR(IF(I96="Si", INDEX(CMSDescuento!$E$23:$E$26, MATCH(1, (CMSDescuento!$C$23:$C$26&lt;=CMSRecursos!K96) * (CMSDescuento!$D$23:$D$26&gt;=CMSRecursos!K96), 0)), 0),0)</f>
        <v>0</v>
      </c>
      <c r="M96" s="241" cm="1">
        <f t="array" ref="M96">IFERROR(INDEX(CMSDescuento!$D$2:$D$7, MATCH(1, (CMSDescuento!$B$2:$B$7=CMSRecursos!F96) * (CMSDescuento!$C$2:$C$7=CMSRecursos!I96), 0)),0)</f>
        <v>0</v>
      </c>
      <c r="N96" s="241">
        <f t="shared" si="10"/>
        <v>0</v>
      </c>
      <c r="O96" s="241">
        <f t="shared" si="6"/>
        <v>0</v>
      </c>
      <c r="P96" s="7"/>
      <c r="Q96" s="232"/>
      <c r="R96" s="7"/>
      <c r="S96" s="243">
        <f>N96/(1-CMSResumen!H21)</f>
        <v>0</v>
      </c>
      <c r="T96" s="244">
        <f t="shared" si="7"/>
        <v>0</v>
      </c>
      <c r="U96" s="244">
        <f t="shared" si="8"/>
        <v>0</v>
      </c>
      <c r="V96" s="242">
        <f t="shared" si="9"/>
        <v>0</v>
      </c>
      <c r="W96" s="247"/>
      <c r="X96" s="224"/>
    </row>
    <row r="97" spans="1:24" ht="15" customHeight="1">
      <c r="A97" s="5"/>
      <c r="B97" s="238"/>
      <c r="C97" s="239"/>
      <c r="D97" s="139"/>
      <c r="E97" s="215"/>
      <c r="F97" s="240" t="str">
        <f>IF(E97="AWS",IFERROR(INDEX(CMSAzureAWS!C:C,MATCH(CMSRecursos!G97,CMSAzureAWS!E:E,0)),0),IF(E97="Azure",IFERROR(INDEX(CMSAzureAWS!C:C,MATCH(CMSRecursos!G97,CMSAzureAWS!G:G,0)),0),"Seleccione un Vendor"))</f>
        <v>Seleccione un Vendor</v>
      </c>
      <c r="G97" s="215"/>
      <c r="H97" s="241" t="str">
        <f>IF(E97="AWS",IFERROR(INDEX(CMSAzureAWS!D:D,MATCH(CMSRecursos!G97,CMSAzureAWS!E:E,0)),0),IF(E97="Azure",IFERROR(INDEX(CMSAzureAWS!D:D,MATCH(CMSRecursos!G97,CMSAzureAWS!G:G,0)),0),"Seleccione un Vendor"))</f>
        <v>Seleccione un Vendor</v>
      </c>
      <c r="I97" s="245" t="s">
        <v>1009</v>
      </c>
      <c r="J97" s="245" t="s">
        <v>1009</v>
      </c>
      <c r="K97" s="246">
        <v>0</v>
      </c>
      <c r="L97" s="242" cm="1">
        <f t="array" ref="L97">IFERROR(IF(I97="Si", INDEX(CMSDescuento!$E$23:$E$26, MATCH(1, (CMSDescuento!$C$23:$C$26&lt;=CMSRecursos!K97) * (CMSDescuento!$D$23:$D$26&gt;=CMSRecursos!K97), 0)), 0),0)</f>
        <v>0</v>
      </c>
      <c r="M97" s="241" cm="1">
        <f t="array" ref="M97">IFERROR(INDEX(CMSDescuento!$D$2:$D$7, MATCH(1, (CMSDescuento!$B$2:$B$7=CMSRecursos!F97) * (CMSDescuento!$C$2:$C$7=CMSRecursos!I97), 0)),0)</f>
        <v>0</v>
      </c>
      <c r="N97" s="241">
        <f t="shared" si="10"/>
        <v>0</v>
      </c>
      <c r="O97" s="241">
        <f t="shared" si="6"/>
        <v>0</v>
      </c>
      <c r="P97" s="7"/>
      <c r="Q97" s="232"/>
      <c r="R97" s="7"/>
      <c r="S97" s="243">
        <f>N97/(1-CMSResumen!H21)</f>
        <v>0</v>
      </c>
      <c r="T97" s="244">
        <f t="shared" si="7"/>
        <v>0</v>
      </c>
      <c r="U97" s="244">
        <f t="shared" si="8"/>
        <v>0</v>
      </c>
      <c r="V97" s="242">
        <f t="shared" si="9"/>
        <v>0</v>
      </c>
      <c r="W97" s="247"/>
      <c r="X97" s="224"/>
    </row>
    <row r="98" spans="1:24" ht="15" customHeight="1">
      <c r="A98" s="5"/>
      <c r="B98" s="238"/>
      <c r="C98" s="239"/>
      <c r="D98" s="139"/>
      <c r="E98" s="215"/>
      <c r="F98" s="240" t="str">
        <f>IF(E98="AWS",IFERROR(INDEX(CMSAzureAWS!C:C,MATCH(CMSRecursos!G98,CMSAzureAWS!E:E,0)),0),IF(E98="Azure",IFERROR(INDEX(CMSAzureAWS!C:C,MATCH(CMSRecursos!G98,CMSAzureAWS!G:G,0)),0),"Seleccione un Vendor"))</f>
        <v>Seleccione un Vendor</v>
      </c>
      <c r="G98" s="215"/>
      <c r="H98" s="241" t="str">
        <f>IF(E98="AWS",IFERROR(INDEX(CMSAzureAWS!D:D,MATCH(CMSRecursos!G98,CMSAzureAWS!E:E,0)),0),IF(E98="Azure",IFERROR(INDEX(CMSAzureAWS!D:D,MATCH(CMSRecursos!G98,CMSAzureAWS!G:G,0)),0),"Seleccione un Vendor"))</f>
        <v>Seleccione un Vendor</v>
      </c>
      <c r="I98" s="245" t="s">
        <v>1009</v>
      </c>
      <c r="J98" s="245" t="s">
        <v>1009</v>
      </c>
      <c r="K98" s="246">
        <v>0</v>
      </c>
      <c r="L98" s="242" cm="1">
        <f t="array" ref="L98">IFERROR(IF(I98="Si", INDEX(CMSDescuento!$E$23:$E$26, MATCH(1, (CMSDescuento!$C$23:$C$26&lt;=CMSRecursos!K98) * (CMSDescuento!$D$23:$D$26&gt;=CMSRecursos!K98), 0)), 0),0)</f>
        <v>0</v>
      </c>
      <c r="M98" s="241" cm="1">
        <f t="array" ref="M98">IFERROR(INDEX(CMSDescuento!$D$2:$D$7, MATCH(1, (CMSDescuento!$B$2:$B$7=CMSRecursos!F98) * (CMSDescuento!$C$2:$C$7=CMSRecursos!I98), 0)),0)</f>
        <v>0</v>
      </c>
      <c r="N98" s="241">
        <f t="shared" si="10"/>
        <v>0</v>
      </c>
      <c r="O98" s="241">
        <f t="shared" si="6"/>
        <v>0</v>
      </c>
      <c r="P98" s="7"/>
      <c r="Q98" s="232"/>
      <c r="R98" s="7"/>
      <c r="S98" s="243">
        <f>N98/(1-CMSResumen!H21)</f>
        <v>0</v>
      </c>
      <c r="T98" s="244">
        <f t="shared" si="7"/>
        <v>0</v>
      </c>
      <c r="U98" s="244">
        <f t="shared" si="8"/>
        <v>0</v>
      </c>
      <c r="V98" s="242">
        <f t="shared" si="9"/>
        <v>0</v>
      </c>
      <c r="W98" s="247"/>
      <c r="X98" s="224"/>
    </row>
    <row r="99" spans="1:24" ht="15" customHeight="1">
      <c r="A99" s="5"/>
      <c r="B99" s="238"/>
      <c r="C99" s="239"/>
      <c r="D99" s="139"/>
      <c r="E99" s="215"/>
      <c r="F99" s="240" t="str">
        <f>IF(E99="AWS",IFERROR(INDEX(CMSAzureAWS!C:C,MATCH(CMSRecursos!G99,CMSAzureAWS!E:E,0)),0),IF(E99="Azure",IFERROR(INDEX(CMSAzureAWS!C:C,MATCH(CMSRecursos!G99,CMSAzureAWS!G:G,0)),0),"Seleccione un Vendor"))</f>
        <v>Seleccione un Vendor</v>
      </c>
      <c r="G99" s="215"/>
      <c r="H99" s="241" t="str">
        <f>IF(E99="AWS",IFERROR(INDEX(CMSAzureAWS!D:D,MATCH(CMSRecursos!G99,CMSAzureAWS!E:E,0)),0),IF(E99="Azure",IFERROR(INDEX(CMSAzureAWS!D:D,MATCH(CMSRecursos!G99,CMSAzureAWS!G:G,0)),0),"Seleccione un Vendor"))</f>
        <v>Seleccione un Vendor</v>
      </c>
      <c r="I99" s="245" t="s">
        <v>1009</v>
      </c>
      <c r="J99" s="245" t="s">
        <v>1009</v>
      </c>
      <c r="K99" s="246">
        <v>0</v>
      </c>
      <c r="L99" s="242" cm="1">
        <f t="array" ref="L99">IFERROR(IF(I99="Si", INDEX(CMSDescuento!$E$23:$E$26, MATCH(1, (CMSDescuento!$C$23:$C$26&lt;=CMSRecursos!K99) * (CMSDescuento!$D$23:$D$26&gt;=CMSRecursos!K99), 0)), 0),0)</f>
        <v>0</v>
      </c>
      <c r="M99" s="241" cm="1">
        <f t="array" ref="M99">IFERROR(INDEX(CMSDescuento!$D$2:$D$7, MATCH(1, (CMSDescuento!$B$2:$B$7=CMSRecursos!F99) * (CMSDescuento!$C$2:$C$7=CMSRecursos!I99), 0)),0)</f>
        <v>0</v>
      </c>
      <c r="N99" s="241">
        <f t="shared" si="10"/>
        <v>0</v>
      </c>
      <c r="O99" s="241">
        <f t="shared" si="6"/>
        <v>0</v>
      </c>
      <c r="P99" s="7"/>
      <c r="Q99" s="232"/>
      <c r="R99" s="7"/>
      <c r="S99" s="243">
        <f>N99/(1-CMSResumen!H21)</f>
        <v>0</v>
      </c>
      <c r="T99" s="244">
        <f t="shared" si="7"/>
        <v>0</v>
      </c>
      <c r="U99" s="244">
        <f t="shared" si="8"/>
        <v>0</v>
      </c>
      <c r="V99" s="242">
        <f t="shared" si="9"/>
        <v>0</v>
      </c>
      <c r="W99" s="247"/>
      <c r="X99" s="224"/>
    </row>
    <row r="100" spans="1:24" ht="15" customHeight="1">
      <c r="A100" s="5"/>
      <c r="B100" s="238"/>
      <c r="C100" s="239"/>
      <c r="D100" s="139"/>
      <c r="E100" s="215"/>
      <c r="F100" s="240" t="str">
        <f>IF(E100="AWS",IFERROR(INDEX(CMSAzureAWS!C:C,MATCH(CMSRecursos!G100,CMSAzureAWS!E:E,0)),0),IF(E100="Azure",IFERROR(INDEX(CMSAzureAWS!C:C,MATCH(CMSRecursos!G100,CMSAzureAWS!G:G,0)),0),"Seleccione un Vendor"))</f>
        <v>Seleccione un Vendor</v>
      </c>
      <c r="G100" s="215"/>
      <c r="H100" s="241" t="str">
        <f>IF(E100="AWS",IFERROR(INDEX(CMSAzureAWS!D:D,MATCH(CMSRecursos!G100,CMSAzureAWS!E:E,0)),0),IF(E100="Azure",IFERROR(INDEX(CMSAzureAWS!D:D,MATCH(CMSRecursos!G100,CMSAzureAWS!G:G,0)),0),"Seleccione un Vendor"))</f>
        <v>Seleccione un Vendor</v>
      </c>
      <c r="I100" s="245" t="s">
        <v>1009</v>
      </c>
      <c r="J100" s="245" t="s">
        <v>1009</v>
      </c>
      <c r="K100" s="246">
        <v>0</v>
      </c>
      <c r="L100" s="242" cm="1">
        <f t="array" ref="L100">IFERROR(IF(I100="Si", INDEX(CMSDescuento!$E$23:$E$26, MATCH(1, (CMSDescuento!$C$23:$C$26&lt;=CMSRecursos!K100) * (CMSDescuento!$D$23:$D$26&gt;=CMSRecursos!K100), 0)), 0),0)</f>
        <v>0</v>
      </c>
      <c r="M100" s="241" cm="1">
        <f t="array" ref="M100">IFERROR(INDEX(CMSDescuento!$D$2:$D$7, MATCH(1, (CMSDescuento!$B$2:$B$7=CMSRecursos!F100) * (CMSDescuento!$C$2:$C$7=CMSRecursos!I100), 0)),0)</f>
        <v>0</v>
      </c>
      <c r="N100" s="241">
        <f t="shared" si="10"/>
        <v>0</v>
      </c>
      <c r="O100" s="241">
        <f t="shared" si="6"/>
        <v>0</v>
      </c>
      <c r="P100" s="7"/>
      <c r="Q100" s="232"/>
      <c r="R100" s="7"/>
      <c r="S100" s="243">
        <f>N100/(1-CMSResumen!H21)</f>
        <v>0</v>
      </c>
      <c r="T100" s="244">
        <f t="shared" si="7"/>
        <v>0</v>
      </c>
      <c r="U100" s="244">
        <f t="shared" si="8"/>
        <v>0</v>
      </c>
      <c r="V100" s="242">
        <f t="shared" si="9"/>
        <v>0</v>
      </c>
      <c r="W100" s="247"/>
      <c r="X100" s="224"/>
    </row>
    <row r="101" spans="1:24" ht="15" customHeight="1">
      <c r="A101" s="5"/>
      <c r="B101" s="238"/>
      <c r="C101" s="239"/>
      <c r="D101" s="139"/>
      <c r="E101" s="215"/>
      <c r="F101" s="240" t="str">
        <f>IF(E101="AWS",IFERROR(INDEX(CMSAzureAWS!C:C,MATCH(CMSRecursos!G101,CMSAzureAWS!E:E,0)),0),IF(E101="Azure",IFERROR(INDEX(CMSAzureAWS!C:C,MATCH(CMSRecursos!G101,CMSAzureAWS!G:G,0)),0),"Seleccione un Vendor"))</f>
        <v>Seleccione un Vendor</v>
      </c>
      <c r="G101" s="215"/>
      <c r="H101" s="241" t="str">
        <f>IF(E101="AWS",IFERROR(INDEX(CMSAzureAWS!D:D,MATCH(CMSRecursos!G101,CMSAzureAWS!E:E,0)),0),IF(E101="Azure",IFERROR(INDEX(CMSAzureAWS!D:D,MATCH(CMSRecursos!G101,CMSAzureAWS!G:G,0)),0),"Seleccione un Vendor"))</f>
        <v>Seleccione un Vendor</v>
      </c>
      <c r="I101" s="245" t="s">
        <v>1009</v>
      </c>
      <c r="J101" s="245" t="s">
        <v>1009</v>
      </c>
      <c r="K101" s="246">
        <v>0</v>
      </c>
      <c r="L101" s="242" cm="1">
        <f t="array" ref="L101">IFERROR(IF(I101="Si", INDEX(CMSDescuento!$E$23:$E$26, MATCH(1, (CMSDescuento!$C$23:$C$26&lt;=CMSRecursos!K101) * (CMSDescuento!$D$23:$D$26&gt;=CMSRecursos!K101), 0)), 0),0)</f>
        <v>0</v>
      </c>
      <c r="M101" s="241" cm="1">
        <f t="array" ref="M101">IFERROR(INDEX(CMSDescuento!$D$2:$D$7, MATCH(1, (CMSDescuento!$B$2:$B$7=CMSRecursos!F101) * (CMSDescuento!$C$2:$C$7=CMSRecursos!I101), 0)),0)</f>
        <v>0</v>
      </c>
      <c r="N101" s="241">
        <f t="shared" si="10"/>
        <v>0</v>
      </c>
      <c r="O101" s="241">
        <f t="shared" si="6"/>
        <v>0</v>
      </c>
      <c r="P101" s="7"/>
      <c r="Q101" s="232"/>
      <c r="R101" s="7"/>
      <c r="S101" s="243">
        <f>N101/(1-CMSResumen!H21)</f>
        <v>0</v>
      </c>
      <c r="T101" s="244">
        <f t="shared" si="7"/>
        <v>0</v>
      </c>
      <c r="U101" s="244">
        <f t="shared" si="8"/>
        <v>0</v>
      </c>
      <c r="V101" s="242">
        <f t="shared" si="9"/>
        <v>0</v>
      </c>
      <c r="W101" s="247"/>
      <c r="X101" s="224"/>
    </row>
    <row r="102" spans="1:24" ht="15" customHeight="1">
      <c r="A102" s="5"/>
      <c r="B102" s="238"/>
      <c r="C102" s="239"/>
      <c r="D102" s="139"/>
      <c r="E102" s="215"/>
      <c r="F102" s="240" t="str">
        <f>IF(E102="AWS",IFERROR(INDEX(CMSAzureAWS!C:C,MATCH(CMSRecursos!G102,CMSAzureAWS!E:E,0)),0),IF(E102="Azure",IFERROR(INDEX(CMSAzureAWS!C:C,MATCH(CMSRecursos!G102,CMSAzureAWS!G:G,0)),0),"Seleccione un Vendor"))</f>
        <v>Seleccione un Vendor</v>
      </c>
      <c r="G102" s="215"/>
      <c r="H102" s="241" t="str">
        <f>IF(E102="AWS",IFERROR(INDEX(CMSAzureAWS!D:D,MATCH(CMSRecursos!G102,CMSAzureAWS!E:E,0)),0),IF(E102="Azure",IFERROR(INDEX(CMSAzureAWS!D:D,MATCH(CMSRecursos!G102,CMSAzureAWS!G:G,0)),0),"Seleccione un Vendor"))</f>
        <v>Seleccione un Vendor</v>
      </c>
      <c r="I102" s="245" t="s">
        <v>1009</v>
      </c>
      <c r="J102" s="245" t="s">
        <v>1009</v>
      </c>
      <c r="K102" s="246">
        <v>0</v>
      </c>
      <c r="L102" s="242" cm="1">
        <f t="array" ref="L102">IFERROR(IF(I102="Si", INDEX(CMSDescuento!$E$23:$E$26, MATCH(1, (CMSDescuento!$C$23:$C$26&lt;=CMSRecursos!K102) * (CMSDescuento!$D$23:$D$26&gt;=CMSRecursos!K102), 0)), 0),0)</f>
        <v>0</v>
      </c>
      <c r="M102" s="241" cm="1">
        <f t="array" ref="M102">IFERROR(INDEX(CMSDescuento!$D$2:$D$7, MATCH(1, (CMSDescuento!$B$2:$B$7=CMSRecursos!F102) * (CMSDescuento!$C$2:$C$7=CMSRecursos!I102), 0)),0)</f>
        <v>0</v>
      </c>
      <c r="N102" s="241">
        <f t="shared" si="10"/>
        <v>0</v>
      </c>
      <c r="O102" s="241">
        <f t="shared" si="6"/>
        <v>0</v>
      </c>
      <c r="P102" s="7"/>
      <c r="Q102" s="232"/>
      <c r="R102" s="7"/>
      <c r="S102" s="243">
        <f>N102/(1-CMSResumen!H21)</f>
        <v>0</v>
      </c>
      <c r="T102" s="244">
        <f t="shared" si="7"/>
        <v>0</v>
      </c>
      <c r="U102" s="244">
        <f t="shared" si="8"/>
        <v>0</v>
      </c>
      <c r="V102" s="242">
        <f t="shared" si="9"/>
        <v>0</v>
      </c>
      <c r="W102" s="247"/>
      <c r="X102" s="224"/>
    </row>
    <row r="103" spans="1:24" ht="15" customHeight="1">
      <c r="A103" s="5"/>
      <c r="B103" s="238"/>
      <c r="C103" s="239"/>
      <c r="D103" s="139"/>
      <c r="E103" s="215"/>
      <c r="F103" s="240" t="str">
        <f>IF(E103="AWS",IFERROR(INDEX(CMSAzureAWS!C:C,MATCH(CMSRecursos!G103,CMSAzureAWS!E:E,0)),0),IF(E103="Azure",IFERROR(INDEX(CMSAzureAWS!C:C,MATCH(CMSRecursos!G103,CMSAzureAWS!G:G,0)),0),"Seleccione un Vendor"))</f>
        <v>Seleccione un Vendor</v>
      </c>
      <c r="G103" s="215"/>
      <c r="H103" s="241" t="str">
        <f>IF(E103="AWS",IFERROR(INDEX(CMSAzureAWS!D:D,MATCH(CMSRecursos!G103,CMSAzureAWS!E:E,0)),0),IF(E103="Azure",IFERROR(INDEX(CMSAzureAWS!D:D,MATCH(CMSRecursos!G103,CMSAzureAWS!G:G,0)),0),"Seleccione un Vendor"))</f>
        <v>Seleccione un Vendor</v>
      </c>
      <c r="I103" s="245" t="s">
        <v>1009</v>
      </c>
      <c r="J103" s="245" t="s">
        <v>1009</v>
      </c>
      <c r="K103" s="246">
        <v>0</v>
      </c>
      <c r="L103" s="242" cm="1">
        <f t="array" ref="L103">IFERROR(IF(I103="Si", INDEX(CMSDescuento!$E$23:$E$26, MATCH(1, (CMSDescuento!$C$23:$C$26&lt;=CMSRecursos!K103) * (CMSDescuento!$D$23:$D$26&gt;=CMSRecursos!K103), 0)), 0),0)</f>
        <v>0</v>
      </c>
      <c r="M103" s="241" cm="1">
        <f t="array" ref="M103">IFERROR(INDEX(CMSDescuento!$D$2:$D$7, MATCH(1, (CMSDescuento!$B$2:$B$7=CMSRecursos!F103) * (CMSDescuento!$C$2:$C$7=CMSRecursos!I103), 0)),0)</f>
        <v>0</v>
      </c>
      <c r="N103" s="241">
        <f t="shared" si="10"/>
        <v>0</v>
      </c>
      <c r="O103" s="241">
        <f t="shared" si="6"/>
        <v>0</v>
      </c>
      <c r="P103" s="7"/>
      <c r="Q103" s="232"/>
      <c r="R103" s="7"/>
      <c r="S103" s="243">
        <f>N103/(1-CMSResumen!H21)</f>
        <v>0</v>
      </c>
      <c r="T103" s="244">
        <f t="shared" si="7"/>
        <v>0</v>
      </c>
      <c r="U103" s="244">
        <f t="shared" si="8"/>
        <v>0</v>
      </c>
      <c r="V103" s="242">
        <f t="shared" si="9"/>
        <v>0</v>
      </c>
      <c r="W103" s="247"/>
      <c r="X103" s="224"/>
    </row>
    <row r="104" spans="1:24" ht="15" customHeight="1">
      <c r="A104" s="5"/>
      <c r="B104" s="238"/>
      <c r="C104" s="239"/>
      <c r="D104" s="139"/>
      <c r="E104" s="215"/>
      <c r="F104" s="240" t="str">
        <f>IF(E104="AWS",IFERROR(INDEX(CMSAzureAWS!C:C,MATCH(CMSRecursos!G104,CMSAzureAWS!E:E,0)),0),IF(E104="Azure",IFERROR(INDEX(CMSAzureAWS!C:C,MATCH(CMSRecursos!G104,CMSAzureAWS!G:G,0)),0),"Seleccione un Vendor"))</f>
        <v>Seleccione un Vendor</v>
      </c>
      <c r="G104" s="215"/>
      <c r="H104" s="241" t="str">
        <f>IF(E104="AWS",IFERROR(INDEX(CMSAzureAWS!D:D,MATCH(CMSRecursos!G104,CMSAzureAWS!E:E,0)),0),IF(E104="Azure",IFERROR(INDEX(CMSAzureAWS!D:D,MATCH(CMSRecursos!G104,CMSAzureAWS!G:G,0)),0),"Seleccione un Vendor"))</f>
        <v>Seleccione un Vendor</v>
      </c>
      <c r="I104" s="245" t="s">
        <v>1009</v>
      </c>
      <c r="J104" s="245" t="s">
        <v>1009</v>
      </c>
      <c r="K104" s="246">
        <v>0</v>
      </c>
      <c r="L104" s="242" cm="1">
        <f t="array" ref="L104">IFERROR(IF(I104="Si", INDEX(CMSDescuento!$E$23:$E$26, MATCH(1, (CMSDescuento!$C$23:$C$26&lt;=CMSRecursos!K104) * (CMSDescuento!$D$23:$D$26&gt;=CMSRecursos!K104), 0)), 0),0)</f>
        <v>0</v>
      </c>
      <c r="M104" s="241" cm="1">
        <f t="array" ref="M104">IFERROR(INDEX(CMSDescuento!$D$2:$D$7, MATCH(1, (CMSDescuento!$B$2:$B$7=CMSRecursos!F104) * (CMSDescuento!$C$2:$C$7=CMSRecursos!I104), 0)),0)</f>
        <v>0</v>
      </c>
      <c r="N104" s="241">
        <f t="shared" si="10"/>
        <v>0</v>
      </c>
      <c r="O104" s="241">
        <f t="shared" si="6"/>
        <v>0</v>
      </c>
      <c r="P104" s="7"/>
      <c r="Q104" s="232"/>
      <c r="R104" s="7"/>
      <c r="S104" s="243">
        <f>N104/(1-CMSResumen!H21)</f>
        <v>0</v>
      </c>
      <c r="T104" s="244">
        <f t="shared" si="7"/>
        <v>0</v>
      </c>
      <c r="U104" s="244">
        <f t="shared" si="8"/>
        <v>0</v>
      </c>
      <c r="V104" s="242">
        <f t="shared" si="9"/>
        <v>0</v>
      </c>
      <c r="W104" s="247"/>
      <c r="X104" s="224"/>
    </row>
    <row r="105" spans="1:24" ht="15" customHeight="1">
      <c r="A105" s="5"/>
      <c r="B105" s="238"/>
      <c r="C105" s="239"/>
      <c r="D105" s="139"/>
      <c r="E105" s="215"/>
      <c r="F105" s="240" t="str">
        <f>IF(E105="AWS",IFERROR(INDEX(CMSAzureAWS!C:C,MATCH(CMSRecursos!G105,CMSAzureAWS!E:E,0)),0),IF(E105="Azure",IFERROR(INDEX(CMSAzureAWS!C:C,MATCH(CMSRecursos!G105,CMSAzureAWS!G:G,0)),0),"Seleccione un Vendor"))</f>
        <v>Seleccione un Vendor</v>
      </c>
      <c r="G105" s="215"/>
      <c r="H105" s="241" t="str">
        <f>IF(E105="AWS",IFERROR(INDEX(CMSAzureAWS!D:D,MATCH(CMSRecursos!G105,CMSAzureAWS!E:E,0)),0),IF(E105="Azure",IFERROR(INDEX(CMSAzureAWS!D:D,MATCH(CMSRecursos!G105,CMSAzureAWS!G:G,0)),0),"Seleccione un Vendor"))</f>
        <v>Seleccione un Vendor</v>
      </c>
      <c r="I105" s="245" t="s">
        <v>1009</v>
      </c>
      <c r="J105" s="245" t="s">
        <v>1009</v>
      </c>
      <c r="K105" s="246">
        <v>0</v>
      </c>
      <c r="L105" s="242" cm="1">
        <f t="array" ref="L105">IFERROR(IF(I105="Si", INDEX(CMSDescuento!$E$23:$E$26, MATCH(1, (CMSDescuento!$C$23:$C$26&lt;=CMSRecursos!K105) * (CMSDescuento!$D$23:$D$26&gt;=CMSRecursos!K105), 0)), 0),0)</f>
        <v>0</v>
      </c>
      <c r="M105" s="241" cm="1">
        <f t="array" ref="M105">IFERROR(INDEX(CMSDescuento!$D$2:$D$7, MATCH(1, (CMSDescuento!$B$2:$B$7=CMSRecursos!F105) * (CMSDescuento!$C$2:$C$7=CMSRecursos!I105), 0)),0)</f>
        <v>0</v>
      </c>
      <c r="N105" s="241">
        <f t="shared" si="10"/>
        <v>0</v>
      </c>
      <c r="O105" s="241">
        <f t="shared" si="6"/>
        <v>0</v>
      </c>
      <c r="P105" s="7"/>
      <c r="Q105" s="232"/>
      <c r="R105" s="7"/>
      <c r="S105" s="243">
        <f>N105/(1-CMSResumen!H21)</f>
        <v>0</v>
      </c>
      <c r="T105" s="244">
        <f t="shared" si="7"/>
        <v>0</v>
      </c>
      <c r="U105" s="244">
        <f t="shared" si="8"/>
        <v>0</v>
      </c>
      <c r="V105" s="242">
        <f t="shared" si="9"/>
        <v>0</v>
      </c>
      <c r="W105" s="247"/>
      <c r="X105" s="224"/>
    </row>
    <row r="106" spans="1:24" ht="15" customHeight="1">
      <c r="A106" s="5"/>
      <c r="B106" s="238"/>
      <c r="C106" s="239"/>
      <c r="D106" s="139"/>
      <c r="E106" s="215"/>
      <c r="F106" s="240" t="str">
        <f>IF(E106="AWS",IFERROR(INDEX(CMSAzureAWS!C:C,MATCH(CMSRecursos!G106,CMSAzureAWS!E:E,0)),0),IF(E106="Azure",IFERROR(INDEX(CMSAzureAWS!C:C,MATCH(CMSRecursos!G106,CMSAzureAWS!G:G,0)),0),"Seleccione un Vendor"))</f>
        <v>Seleccione un Vendor</v>
      </c>
      <c r="G106" s="215"/>
      <c r="H106" s="241" t="str">
        <f>IF(E106="AWS",IFERROR(INDEX(CMSAzureAWS!D:D,MATCH(CMSRecursos!G106,CMSAzureAWS!E:E,0)),0),IF(E106="Azure",IFERROR(INDEX(CMSAzureAWS!D:D,MATCH(CMSRecursos!G106,CMSAzureAWS!G:G,0)),0),"Seleccione un Vendor"))</f>
        <v>Seleccione un Vendor</v>
      </c>
      <c r="I106" s="245" t="s">
        <v>1009</v>
      </c>
      <c r="J106" s="245" t="s">
        <v>1009</v>
      </c>
      <c r="K106" s="246">
        <v>0</v>
      </c>
      <c r="L106" s="242" cm="1">
        <f t="array" ref="L106">IFERROR(IF(I106="Si", INDEX(CMSDescuento!$E$23:$E$26, MATCH(1, (CMSDescuento!$C$23:$C$26&lt;=CMSRecursos!K106) * (CMSDescuento!$D$23:$D$26&gt;=CMSRecursos!K106), 0)), 0),0)</f>
        <v>0</v>
      </c>
      <c r="M106" s="241" cm="1">
        <f t="array" ref="M106">IFERROR(INDEX(CMSDescuento!$D$2:$D$7, MATCH(1, (CMSDescuento!$B$2:$B$7=CMSRecursos!F106) * (CMSDescuento!$C$2:$C$7=CMSRecursos!I106), 0)),0)</f>
        <v>0</v>
      </c>
      <c r="N106" s="241">
        <f t="shared" si="10"/>
        <v>0</v>
      </c>
      <c r="O106" s="241">
        <f t="shared" si="6"/>
        <v>0</v>
      </c>
      <c r="P106" s="7"/>
      <c r="Q106" s="232"/>
      <c r="R106" s="7"/>
      <c r="S106" s="243">
        <f>N106/(1-CMSResumen!H21)</f>
        <v>0</v>
      </c>
      <c r="T106" s="244">
        <f t="shared" si="7"/>
        <v>0</v>
      </c>
      <c r="U106" s="244">
        <f t="shared" si="8"/>
        <v>0</v>
      </c>
      <c r="V106" s="242">
        <f t="shared" si="9"/>
        <v>0</v>
      </c>
      <c r="W106" s="247"/>
      <c r="X106" s="224"/>
    </row>
    <row r="107" spans="1:24" ht="15" customHeight="1">
      <c r="A107" s="5"/>
      <c r="B107" s="238"/>
      <c r="C107" s="239"/>
      <c r="D107" s="139"/>
      <c r="E107" s="215"/>
      <c r="F107" s="240" t="str">
        <f>IF(E107="AWS",IFERROR(INDEX(CMSAzureAWS!C:C,MATCH(CMSRecursos!G107,CMSAzureAWS!E:E,0)),0),IF(E107="Azure",IFERROR(INDEX(CMSAzureAWS!C:C,MATCH(CMSRecursos!G107,CMSAzureAWS!G:G,0)),0),"Seleccione un Vendor"))</f>
        <v>Seleccione un Vendor</v>
      </c>
      <c r="G107" s="215"/>
      <c r="H107" s="241" t="str">
        <f>IF(E107="AWS",IFERROR(INDEX(CMSAzureAWS!D:D,MATCH(CMSRecursos!G107,CMSAzureAWS!E:E,0)),0),IF(E107="Azure",IFERROR(INDEX(CMSAzureAWS!D:D,MATCH(CMSRecursos!G107,CMSAzureAWS!G:G,0)),0),"Seleccione un Vendor"))</f>
        <v>Seleccione un Vendor</v>
      </c>
      <c r="I107" s="245" t="s">
        <v>1009</v>
      </c>
      <c r="J107" s="245" t="s">
        <v>1009</v>
      </c>
      <c r="K107" s="246">
        <v>0</v>
      </c>
      <c r="L107" s="242" cm="1">
        <f t="array" ref="L107">IFERROR(IF(I107="Si", INDEX(CMSDescuento!$E$23:$E$26, MATCH(1, (CMSDescuento!$C$23:$C$26&lt;=CMSRecursos!K107) * (CMSDescuento!$D$23:$D$26&gt;=CMSRecursos!K107), 0)), 0),0)</f>
        <v>0</v>
      </c>
      <c r="M107" s="241" cm="1">
        <f t="array" ref="M107">IFERROR(INDEX(CMSDescuento!$D$2:$D$7, MATCH(1, (CMSDescuento!$B$2:$B$7=CMSRecursos!F107) * (CMSDescuento!$C$2:$C$7=CMSRecursos!I107), 0)),0)</f>
        <v>0</v>
      </c>
      <c r="N107" s="241">
        <f t="shared" si="10"/>
        <v>0</v>
      </c>
      <c r="O107" s="241">
        <f t="shared" si="6"/>
        <v>0</v>
      </c>
      <c r="P107" s="7"/>
      <c r="Q107" s="232"/>
      <c r="R107" s="7"/>
      <c r="S107" s="243">
        <f>N107/(1-CMSResumen!H21)</f>
        <v>0</v>
      </c>
      <c r="T107" s="244">
        <f t="shared" si="7"/>
        <v>0</v>
      </c>
      <c r="U107" s="244">
        <f t="shared" si="8"/>
        <v>0</v>
      </c>
      <c r="V107" s="242">
        <f t="shared" si="9"/>
        <v>0</v>
      </c>
      <c r="W107" s="247"/>
      <c r="X107" s="224"/>
    </row>
    <row r="108" spans="1:24" ht="15" customHeight="1">
      <c r="A108" s="5"/>
      <c r="B108" s="238"/>
      <c r="C108" s="239"/>
      <c r="D108" s="139"/>
      <c r="E108" s="215"/>
      <c r="F108" s="240" t="str">
        <f>IF(E108="AWS",IFERROR(INDEX(CMSAzureAWS!C:C,MATCH(CMSRecursos!G108,CMSAzureAWS!E:E,0)),0),IF(E108="Azure",IFERROR(INDEX(CMSAzureAWS!C:C,MATCH(CMSRecursos!G108,CMSAzureAWS!G:G,0)),0),"Seleccione un Vendor"))</f>
        <v>Seleccione un Vendor</v>
      </c>
      <c r="G108" s="215"/>
      <c r="H108" s="241" t="str">
        <f>IF(E108="AWS",IFERROR(INDEX(CMSAzureAWS!D:D,MATCH(CMSRecursos!G108,CMSAzureAWS!E:E,0)),0),IF(E108="Azure",IFERROR(INDEX(CMSAzureAWS!D:D,MATCH(CMSRecursos!G108,CMSAzureAWS!G:G,0)),0),"Seleccione un Vendor"))</f>
        <v>Seleccione un Vendor</v>
      </c>
      <c r="I108" s="245" t="s">
        <v>1009</v>
      </c>
      <c r="J108" s="245" t="s">
        <v>1009</v>
      </c>
      <c r="K108" s="246">
        <v>0</v>
      </c>
      <c r="L108" s="242" cm="1">
        <f t="array" ref="L108">IFERROR(IF(I108="Si", INDEX(CMSDescuento!$E$23:$E$26, MATCH(1, (CMSDescuento!$C$23:$C$26&lt;=CMSRecursos!K108) * (CMSDescuento!$D$23:$D$26&gt;=CMSRecursos!K108), 0)), 0),0)</f>
        <v>0</v>
      </c>
      <c r="M108" s="241" cm="1">
        <f t="array" ref="M108">IFERROR(INDEX(CMSDescuento!$D$2:$D$7, MATCH(1, (CMSDescuento!$B$2:$B$7=CMSRecursos!F108) * (CMSDescuento!$C$2:$C$7=CMSRecursos!I108), 0)),0)</f>
        <v>0</v>
      </c>
      <c r="N108" s="241">
        <f t="shared" si="10"/>
        <v>0</v>
      </c>
      <c r="O108" s="241">
        <f t="shared" si="6"/>
        <v>0</v>
      </c>
      <c r="P108" s="7"/>
      <c r="Q108" s="232"/>
      <c r="R108" s="7"/>
      <c r="S108" s="243">
        <f>N108/(1-CMSResumen!H21)</f>
        <v>0</v>
      </c>
      <c r="T108" s="244">
        <f t="shared" si="7"/>
        <v>0</v>
      </c>
      <c r="U108" s="244">
        <f t="shared" si="8"/>
        <v>0</v>
      </c>
      <c r="V108" s="242">
        <f t="shared" si="9"/>
        <v>0</v>
      </c>
      <c r="W108" s="247"/>
      <c r="X108" s="224"/>
    </row>
    <row r="109" spans="1:24" ht="15" customHeight="1">
      <c r="A109" s="5"/>
      <c r="B109" s="238"/>
      <c r="C109" s="239"/>
      <c r="D109" s="139"/>
      <c r="E109" s="215"/>
      <c r="F109" s="240" t="str">
        <f>IF(E109="AWS",IFERROR(INDEX(CMSAzureAWS!C:C,MATCH(CMSRecursos!G109,CMSAzureAWS!E:E,0)),0),IF(E109="Azure",IFERROR(INDEX(CMSAzureAWS!C:C,MATCH(CMSRecursos!G109,CMSAzureAWS!G:G,0)),0),"Seleccione un Vendor"))</f>
        <v>Seleccione un Vendor</v>
      </c>
      <c r="G109" s="215"/>
      <c r="H109" s="241" t="str">
        <f>IF(E109="AWS",IFERROR(INDEX(CMSAzureAWS!D:D,MATCH(CMSRecursos!G109,CMSAzureAWS!E:E,0)),0),IF(E109="Azure",IFERROR(INDEX(CMSAzureAWS!D:D,MATCH(CMSRecursos!G109,CMSAzureAWS!G:G,0)),0),"Seleccione un Vendor"))</f>
        <v>Seleccione un Vendor</v>
      </c>
      <c r="I109" s="245" t="s">
        <v>1009</v>
      </c>
      <c r="J109" s="245" t="s">
        <v>1009</v>
      </c>
      <c r="K109" s="246">
        <v>0</v>
      </c>
      <c r="L109" s="242" cm="1">
        <f t="array" ref="L109">IFERROR(IF(I109="Si", INDEX(CMSDescuento!$E$23:$E$26, MATCH(1, (CMSDescuento!$C$23:$C$26&lt;=CMSRecursos!K109) * (CMSDescuento!$D$23:$D$26&gt;=CMSRecursos!K109), 0)), 0),0)</f>
        <v>0</v>
      </c>
      <c r="M109" s="241" cm="1">
        <f t="array" ref="M109">IFERROR(INDEX(CMSDescuento!$D$2:$D$7, MATCH(1, (CMSDescuento!$B$2:$B$7=CMSRecursos!F109) * (CMSDescuento!$C$2:$C$7=CMSRecursos!I109), 0)),0)</f>
        <v>0</v>
      </c>
      <c r="N109" s="241">
        <f t="shared" si="10"/>
        <v>0</v>
      </c>
      <c r="O109" s="241">
        <f t="shared" si="6"/>
        <v>0</v>
      </c>
      <c r="P109" s="7"/>
      <c r="Q109" s="232"/>
      <c r="R109" s="7"/>
      <c r="S109" s="243">
        <f>N109/(1-CMSResumen!H21)</f>
        <v>0</v>
      </c>
      <c r="T109" s="244">
        <f t="shared" si="7"/>
        <v>0</v>
      </c>
      <c r="U109" s="244">
        <f t="shared" si="8"/>
        <v>0</v>
      </c>
      <c r="V109" s="242">
        <f t="shared" si="9"/>
        <v>0</v>
      </c>
      <c r="W109" s="247"/>
      <c r="X109" s="224"/>
    </row>
    <row r="110" spans="1:24" ht="15" customHeight="1">
      <c r="A110" s="5"/>
      <c r="B110" s="238"/>
      <c r="C110" s="239"/>
      <c r="D110" s="139"/>
      <c r="E110" s="215"/>
      <c r="F110" s="240" t="str">
        <f>IF(E110="AWS",IFERROR(INDEX(CMSAzureAWS!C:C,MATCH(CMSRecursos!G110,CMSAzureAWS!E:E,0)),0),IF(E110="Azure",IFERROR(INDEX(CMSAzureAWS!C:C,MATCH(CMSRecursos!G110,CMSAzureAWS!G:G,0)),0),"Seleccione un Vendor"))</f>
        <v>Seleccione un Vendor</v>
      </c>
      <c r="G110" s="215"/>
      <c r="H110" s="241" t="str">
        <f>IF(E110="AWS",IFERROR(INDEX(CMSAzureAWS!D:D,MATCH(CMSRecursos!G110,CMSAzureAWS!E:E,0)),0),IF(E110="Azure",IFERROR(INDEX(CMSAzureAWS!D:D,MATCH(CMSRecursos!G110,CMSAzureAWS!G:G,0)),0),"Seleccione un Vendor"))</f>
        <v>Seleccione un Vendor</v>
      </c>
      <c r="I110" s="245" t="s">
        <v>1009</v>
      </c>
      <c r="J110" s="245" t="s">
        <v>1009</v>
      </c>
      <c r="K110" s="246">
        <v>0</v>
      </c>
      <c r="L110" s="242" cm="1">
        <f t="array" ref="L110">IFERROR(IF(I110="Si", INDEX(CMSDescuento!$E$23:$E$26, MATCH(1, (CMSDescuento!$C$23:$C$26&lt;=CMSRecursos!K110) * (CMSDescuento!$D$23:$D$26&gt;=CMSRecursos!K110), 0)), 0),0)</f>
        <v>0</v>
      </c>
      <c r="M110" s="241" cm="1">
        <f t="array" ref="M110">IFERROR(INDEX(CMSDescuento!$D$2:$D$7, MATCH(1, (CMSDescuento!$B$2:$B$7=CMSRecursos!F110) * (CMSDescuento!$C$2:$C$7=CMSRecursos!I110), 0)),0)</f>
        <v>0</v>
      </c>
      <c r="N110" s="241">
        <f t="shared" si="10"/>
        <v>0</v>
      </c>
      <c r="O110" s="241">
        <f t="shared" si="6"/>
        <v>0</v>
      </c>
      <c r="P110" s="7"/>
      <c r="Q110" s="232"/>
      <c r="R110" s="7"/>
      <c r="S110" s="243">
        <f>N110/(1-CMSResumen!H21)</f>
        <v>0</v>
      </c>
      <c r="T110" s="244">
        <f t="shared" si="7"/>
        <v>0</v>
      </c>
      <c r="U110" s="244">
        <f t="shared" si="8"/>
        <v>0</v>
      </c>
      <c r="V110" s="242">
        <f t="shared" si="9"/>
        <v>0</v>
      </c>
      <c r="W110" s="247"/>
      <c r="X110" s="224"/>
    </row>
    <row r="111" spans="1:24" ht="15" customHeight="1">
      <c r="A111" s="5"/>
      <c r="B111" s="238"/>
      <c r="C111" s="239"/>
      <c r="D111" s="139"/>
      <c r="E111" s="215"/>
      <c r="F111" s="240" t="str">
        <f>IF(E111="AWS",IFERROR(INDEX(CMSAzureAWS!C:C,MATCH(CMSRecursos!G111,CMSAzureAWS!E:E,0)),0),IF(E111="Azure",IFERROR(INDEX(CMSAzureAWS!C:C,MATCH(CMSRecursos!G111,CMSAzureAWS!G:G,0)),0),"Seleccione un Vendor"))</f>
        <v>Seleccione un Vendor</v>
      </c>
      <c r="G111" s="215"/>
      <c r="H111" s="241" t="str">
        <f>IF(E111="AWS",IFERROR(INDEX(CMSAzureAWS!D:D,MATCH(CMSRecursos!G111,CMSAzureAWS!E:E,0)),0),IF(E111="Azure",IFERROR(INDEX(CMSAzureAWS!D:D,MATCH(CMSRecursos!G111,CMSAzureAWS!G:G,0)),0),"Seleccione un Vendor"))</f>
        <v>Seleccione un Vendor</v>
      </c>
      <c r="I111" s="245" t="s">
        <v>1009</v>
      </c>
      <c r="J111" s="245" t="s">
        <v>1009</v>
      </c>
      <c r="K111" s="246">
        <v>0</v>
      </c>
      <c r="L111" s="242" cm="1">
        <f t="array" ref="L111">IFERROR(IF(I111="Si", INDEX(CMSDescuento!$E$23:$E$26, MATCH(1, (CMSDescuento!$C$23:$C$26&lt;=CMSRecursos!K111) * (CMSDescuento!$D$23:$D$26&gt;=CMSRecursos!K111), 0)), 0),0)</f>
        <v>0</v>
      </c>
      <c r="M111" s="241" cm="1">
        <f t="array" ref="M111">IFERROR(INDEX(CMSDescuento!$D$2:$D$7, MATCH(1, (CMSDescuento!$B$2:$B$7=CMSRecursos!F111) * (CMSDescuento!$C$2:$C$7=CMSRecursos!I111), 0)),0)</f>
        <v>0</v>
      </c>
      <c r="N111" s="241">
        <f t="shared" si="10"/>
        <v>0</v>
      </c>
      <c r="O111" s="241">
        <f t="shared" si="6"/>
        <v>0</v>
      </c>
      <c r="P111" s="7"/>
      <c r="Q111" s="232"/>
      <c r="R111" s="7"/>
      <c r="S111" s="243">
        <f>N111/(1-CMSResumen!H21)</f>
        <v>0</v>
      </c>
      <c r="T111" s="244">
        <f t="shared" si="7"/>
        <v>0</v>
      </c>
      <c r="U111" s="244">
        <f t="shared" si="8"/>
        <v>0</v>
      </c>
      <c r="V111" s="242">
        <f t="shared" si="9"/>
        <v>0</v>
      </c>
      <c r="W111" s="247"/>
      <c r="X111" s="224"/>
    </row>
    <row r="112" spans="1:24" ht="15" customHeight="1">
      <c r="A112" s="5"/>
      <c r="B112" s="238"/>
      <c r="C112" s="239"/>
      <c r="D112" s="139"/>
      <c r="E112" s="215"/>
      <c r="F112" s="240" t="str">
        <f>IF(E112="AWS",IFERROR(INDEX(CMSAzureAWS!C:C,MATCH(CMSRecursos!G112,CMSAzureAWS!E:E,0)),0),IF(E112="Azure",IFERROR(INDEX(CMSAzureAWS!C:C,MATCH(CMSRecursos!G112,CMSAzureAWS!G:G,0)),0),"Seleccione un Vendor"))</f>
        <v>Seleccione un Vendor</v>
      </c>
      <c r="G112" s="215"/>
      <c r="H112" s="241" t="str">
        <f>IF(E112="AWS",IFERROR(INDEX(CMSAzureAWS!D:D,MATCH(CMSRecursos!G112,CMSAzureAWS!E:E,0)),0),IF(E112="Azure",IFERROR(INDEX(CMSAzureAWS!D:D,MATCH(CMSRecursos!G112,CMSAzureAWS!G:G,0)),0),"Seleccione un Vendor"))</f>
        <v>Seleccione un Vendor</v>
      </c>
      <c r="I112" s="245" t="s">
        <v>1009</v>
      </c>
      <c r="J112" s="245" t="s">
        <v>1009</v>
      </c>
      <c r="K112" s="246">
        <v>0</v>
      </c>
      <c r="L112" s="242" cm="1">
        <f t="array" ref="L112">IFERROR(IF(I112="Si", INDEX(CMSDescuento!$E$23:$E$26, MATCH(1, (CMSDescuento!$C$23:$C$26&lt;=CMSRecursos!K112) * (CMSDescuento!$D$23:$D$26&gt;=CMSRecursos!K112), 0)), 0),0)</f>
        <v>0</v>
      </c>
      <c r="M112" s="241" cm="1">
        <f t="array" ref="M112">IFERROR(INDEX(CMSDescuento!$D$2:$D$7, MATCH(1, (CMSDescuento!$B$2:$B$7=CMSRecursos!F112) * (CMSDescuento!$C$2:$C$7=CMSRecursos!I112), 0)),0)</f>
        <v>0</v>
      </c>
      <c r="N112" s="241">
        <f t="shared" si="10"/>
        <v>0</v>
      </c>
      <c r="O112" s="241">
        <f t="shared" si="6"/>
        <v>0</v>
      </c>
      <c r="P112" s="7"/>
      <c r="Q112" s="232"/>
      <c r="R112" s="7"/>
      <c r="S112" s="243">
        <f>N112/(1-CMSResumen!H21)</f>
        <v>0</v>
      </c>
      <c r="T112" s="244">
        <f t="shared" si="7"/>
        <v>0</v>
      </c>
      <c r="U112" s="244">
        <f t="shared" si="8"/>
        <v>0</v>
      </c>
      <c r="V112" s="242">
        <f t="shared" si="9"/>
        <v>0</v>
      </c>
      <c r="W112" s="247"/>
      <c r="X112" s="224"/>
    </row>
    <row r="113" spans="1:24" ht="15" customHeight="1">
      <c r="A113" s="5"/>
      <c r="B113" s="238"/>
      <c r="C113" s="239"/>
      <c r="D113" s="139"/>
      <c r="E113" s="215"/>
      <c r="F113" s="240" t="str">
        <f>IF(E113="AWS",IFERROR(INDEX(CMSAzureAWS!C:C,MATCH(CMSRecursos!G113,CMSAzureAWS!E:E,0)),0),IF(E113="Azure",IFERROR(INDEX(CMSAzureAWS!C:C,MATCH(CMSRecursos!G113,CMSAzureAWS!G:G,0)),0),"Seleccione un Vendor"))</f>
        <v>Seleccione un Vendor</v>
      </c>
      <c r="G113" s="215"/>
      <c r="H113" s="241" t="str">
        <f>IF(E113="AWS",IFERROR(INDEX(CMSAzureAWS!D:D,MATCH(CMSRecursos!G113,CMSAzureAWS!E:E,0)),0),IF(E113="Azure",IFERROR(INDEX(CMSAzureAWS!D:D,MATCH(CMSRecursos!G113,CMSAzureAWS!G:G,0)),0),"Seleccione un Vendor"))</f>
        <v>Seleccione un Vendor</v>
      </c>
      <c r="I113" s="245" t="s">
        <v>1009</v>
      </c>
      <c r="J113" s="245" t="s">
        <v>1009</v>
      </c>
      <c r="K113" s="246">
        <v>0</v>
      </c>
      <c r="L113" s="242" cm="1">
        <f t="array" ref="L113">IFERROR(IF(I113="Si", INDEX(CMSDescuento!$E$23:$E$26, MATCH(1, (CMSDescuento!$C$23:$C$26&lt;=CMSRecursos!K113) * (CMSDescuento!$D$23:$D$26&gt;=CMSRecursos!K113), 0)), 0),0)</f>
        <v>0</v>
      </c>
      <c r="M113" s="241" cm="1">
        <f t="array" ref="M113">IFERROR(INDEX(CMSDescuento!$D$2:$D$7, MATCH(1, (CMSDescuento!$B$2:$B$7=CMSRecursos!F113) * (CMSDescuento!$C$2:$C$7=CMSRecursos!I113), 0)),0)</f>
        <v>0</v>
      </c>
      <c r="N113" s="241">
        <f t="shared" si="10"/>
        <v>0</v>
      </c>
      <c r="O113" s="241">
        <f t="shared" si="6"/>
        <v>0</v>
      </c>
      <c r="P113" s="7"/>
      <c r="Q113" s="232"/>
      <c r="R113" s="7"/>
      <c r="S113" s="243">
        <f>N113/(1-CMSResumen!H21)</f>
        <v>0</v>
      </c>
      <c r="T113" s="244">
        <f t="shared" si="7"/>
        <v>0</v>
      </c>
      <c r="U113" s="244">
        <f t="shared" si="8"/>
        <v>0</v>
      </c>
      <c r="V113" s="242">
        <f t="shared" si="9"/>
        <v>0</v>
      </c>
      <c r="W113" s="247"/>
      <c r="X113" s="224"/>
    </row>
    <row r="114" spans="1:24" ht="15" customHeight="1">
      <c r="A114" s="5"/>
      <c r="B114" s="238"/>
      <c r="C114" s="239"/>
      <c r="D114" s="139"/>
      <c r="E114" s="215"/>
      <c r="F114" s="240" t="str">
        <f>IF(E114="AWS",IFERROR(INDEX(CMSAzureAWS!C:C,MATCH(CMSRecursos!G114,CMSAzureAWS!E:E,0)),0),IF(E114="Azure",IFERROR(INDEX(CMSAzureAWS!C:C,MATCH(CMSRecursos!G114,CMSAzureAWS!G:G,0)),0),"Seleccione un Vendor"))</f>
        <v>Seleccione un Vendor</v>
      </c>
      <c r="G114" s="215"/>
      <c r="H114" s="241" t="str">
        <f>IF(E114="AWS",IFERROR(INDEX(CMSAzureAWS!D:D,MATCH(CMSRecursos!G114,CMSAzureAWS!E:E,0)),0),IF(E114="Azure",IFERROR(INDEX(CMSAzureAWS!D:D,MATCH(CMSRecursos!G114,CMSAzureAWS!G:G,0)),0),"Seleccione un Vendor"))</f>
        <v>Seleccione un Vendor</v>
      </c>
      <c r="I114" s="245" t="s">
        <v>1009</v>
      </c>
      <c r="J114" s="245" t="s">
        <v>1009</v>
      </c>
      <c r="K114" s="246">
        <v>0</v>
      </c>
      <c r="L114" s="242" cm="1">
        <f t="array" ref="L114">IFERROR(IF(I114="Si", INDEX(CMSDescuento!$E$23:$E$26, MATCH(1, (CMSDescuento!$C$23:$C$26&lt;=CMSRecursos!K114) * (CMSDescuento!$D$23:$D$26&gt;=CMSRecursos!K114), 0)), 0),0)</f>
        <v>0</v>
      </c>
      <c r="M114" s="241" cm="1">
        <f t="array" ref="M114">IFERROR(INDEX(CMSDescuento!$D$2:$D$7, MATCH(1, (CMSDescuento!$B$2:$B$7=CMSRecursos!F114) * (CMSDescuento!$C$2:$C$7=CMSRecursos!I114), 0)),0)</f>
        <v>0</v>
      </c>
      <c r="N114" s="241">
        <f t="shared" si="10"/>
        <v>0</v>
      </c>
      <c r="O114" s="241">
        <f t="shared" si="6"/>
        <v>0</v>
      </c>
      <c r="P114" s="7"/>
      <c r="Q114" s="232"/>
      <c r="R114" s="7"/>
      <c r="S114" s="243">
        <f>N114/(1-CMSResumen!H21)</f>
        <v>0</v>
      </c>
      <c r="T114" s="244">
        <f t="shared" si="7"/>
        <v>0</v>
      </c>
      <c r="U114" s="244">
        <f t="shared" si="8"/>
        <v>0</v>
      </c>
      <c r="V114" s="242">
        <f t="shared" si="9"/>
        <v>0</v>
      </c>
      <c r="W114" s="247"/>
      <c r="X114" s="224"/>
    </row>
    <row r="115" spans="1:24" ht="15" customHeight="1">
      <c r="A115" s="5"/>
      <c r="B115" s="238"/>
      <c r="C115" s="239"/>
      <c r="D115" s="139"/>
      <c r="E115" s="215"/>
      <c r="F115" s="240" t="str">
        <f>IF(E115="AWS",IFERROR(INDEX(CMSAzureAWS!C:C,MATCH(CMSRecursos!G115,CMSAzureAWS!E:E,0)),0),IF(E115="Azure",IFERROR(INDEX(CMSAzureAWS!C:C,MATCH(CMSRecursos!G115,CMSAzureAWS!G:G,0)),0),"Seleccione un Vendor"))</f>
        <v>Seleccione un Vendor</v>
      </c>
      <c r="G115" s="215"/>
      <c r="H115" s="241" t="str">
        <f>IF(E115="AWS",IFERROR(INDEX(CMSAzureAWS!D:D,MATCH(CMSRecursos!G115,CMSAzureAWS!E:E,0)),0),IF(E115="Azure",IFERROR(INDEX(CMSAzureAWS!D:D,MATCH(CMSRecursos!G115,CMSAzureAWS!G:G,0)),0),"Seleccione un Vendor"))</f>
        <v>Seleccione un Vendor</v>
      </c>
      <c r="I115" s="245" t="s">
        <v>1009</v>
      </c>
      <c r="J115" s="245" t="s">
        <v>1009</v>
      </c>
      <c r="K115" s="246">
        <v>0</v>
      </c>
      <c r="L115" s="242" cm="1">
        <f t="array" ref="L115">IFERROR(IF(I115="Si", INDEX(CMSDescuento!$E$23:$E$26, MATCH(1, (CMSDescuento!$C$23:$C$26&lt;=CMSRecursos!K115) * (CMSDescuento!$D$23:$D$26&gt;=CMSRecursos!K115), 0)), 0),0)</f>
        <v>0</v>
      </c>
      <c r="M115" s="241" cm="1">
        <f t="array" ref="M115">IFERROR(INDEX(CMSDescuento!$D$2:$D$7, MATCH(1, (CMSDescuento!$B$2:$B$7=CMSRecursos!F115) * (CMSDescuento!$C$2:$C$7=CMSRecursos!I115), 0)),0)</f>
        <v>0</v>
      </c>
      <c r="N115" s="241">
        <f t="shared" si="10"/>
        <v>0</v>
      </c>
      <c r="O115" s="241">
        <f t="shared" si="6"/>
        <v>0</v>
      </c>
      <c r="P115" s="7"/>
      <c r="Q115" s="232"/>
      <c r="R115" s="7"/>
      <c r="S115" s="243">
        <f>N115/(1-CMSResumen!H21)</f>
        <v>0</v>
      </c>
      <c r="T115" s="244">
        <f t="shared" si="7"/>
        <v>0</v>
      </c>
      <c r="U115" s="244">
        <f t="shared" si="8"/>
        <v>0</v>
      </c>
      <c r="V115" s="242">
        <f t="shared" si="9"/>
        <v>0</v>
      </c>
      <c r="W115" s="247"/>
      <c r="X115" s="224"/>
    </row>
    <row r="116" spans="1:24" ht="15" customHeight="1">
      <c r="A116" s="5"/>
      <c r="B116" s="238"/>
      <c r="C116" s="239"/>
      <c r="D116" s="139"/>
      <c r="E116" s="215"/>
      <c r="F116" s="240" t="str">
        <f>IF(E116="AWS",IFERROR(INDEX(CMSAzureAWS!C:C,MATCH(CMSRecursos!G116,CMSAzureAWS!E:E,0)),0),IF(E116="Azure",IFERROR(INDEX(CMSAzureAWS!C:C,MATCH(CMSRecursos!G116,CMSAzureAWS!G:G,0)),0),"Seleccione un Vendor"))</f>
        <v>Seleccione un Vendor</v>
      </c>
      <c r="G116" s="215"/>
      <c r="H116" s="241" t="str">
        <f>IF(E116="AWS",IFERROR(INDEX(CMSAzureAWS!D:D,MATCH(CMSRecursos!G116,CMSAzureAWS!E:E,0)),0),IF(E116="Azure",IFERROR(INDEX(CMSAzureAWS!D:D,MATCH(CMSRecursos!G116,CMSAzureAWS!G:G,0)),0),"Seleccione un Vendor"))</f>
        <v>Seleccione un Vendor</v>
      </c>
      <c r="I116" s="245" t="s">
        <v>1009</v>
      </c>
      <c r="J116" s="245" t="s">
        <v>1009</v>
      </c>
      <c r="K116" s="246">
        <v>0</v>
      </c>
      <c r="L116" s="242" cm="1">
        <f t="array" ref="L116">IFERROR(IF(I116="Si", INDEX(CMSDescuento!$E$23:$E$26, MATCH(1, (CMSDescuento!$C$23:$C$26&lt;=CMSRecursos!K116) * (CMSDescuento!$D$23:$D$26&gt;=CMSRecursos!K116), 0)), 0),0)</f>
        <v>0</v>
      </c>
      <c r="M116" s="241" cm="1">
        <f t="array" ref="M116">IFERROR(INDEX(CMSDescuento!$D$2:$D$7, MATCH(1, (CMSDescuento!$B$2:$B$7=CMSRecursos!F116) * (CMSDescuento!$C$2:$C$7=CMSRecursos!I116), 0)),0)</f>
        <v>0</v>
      </c>
      <c r="N116" s="241">
        <f t="shared" si="10"/>
        <v>0</v>
      </c>
      <c r="O116" s="241">
        <f t="shared" si="6"/>
        <v>0</v>
      </c>
      <c r="P116" s="7"/>
      <c r="Q116" s="232"/>
      <c r="R116" s="7"/>
      <c r="S116" s="243">
        <f>N116/(1-CMSResumen!H21)</f>
        <v>0</v>
      </c>
      <c r="T116" s="244">
        <f t="shared" si="7"/>
        <v>0</v>
      </c>
      <c r="U116" s="244">
        <f t="shared" si="8"/>
        <v>0</v>
      </c>
      <c r="V116" s="242">
        <f t="shared" si="9"/>
        <v>0</v>
      </c>
      <c r="W116" s="247"/>
      <c r="X116" s="224"/>
    </row>
    <row r="117" spans="1:24" ht="15" customHeight="1">
      <c r="A117" s="5"/>
      <c r="B117" s="238"/>
      <c r="C117" s="239"/>
      <c r="D117" s="139"/>
      <c r="E117" s="215"/>
      <c r="F117" s="240" t="str">
        <f>IF(E117="AWS",IFERROR(INDEX(CMSAzureAWS!C:C,MATCH(CMSRecursos!G117,CMSAzureAWS!E:E,0)),0),IF(E117="Azure",IFERROR(INDEX(CMSAzureAWS!C:C,MATCH(CMSRecursos!G117,CMSAzureAWS!G:G,0)),0),"Seleccione un Vendor"))</f>
        <v>Seleccione un Vendor</v>
      </c>
      <c r="G117" s="215"/>
      <c r="H117" s="241" t="str">
        <f>IF(E117="AWS",IFERROR(INDEX(CMSAzureAWS!D:D,MATCH(CMSRecursos!G117,CMSAzureAWS!E:E,0)),0),IF(E117="Azure",IFERROR(INDEX(CMSAzureAWS!D:D,MATCH(CMSRecursos!G117,CMSAzureAWS!G:G,0)),0),"Seleccione un Vendor"))</f>
        <v>Seleccione un Vendor</v>
      </c>
      <c r="I117" s="245" t="s">
        <v>1009</v>
      </c>
      <c r="J117" s="245" t="s">
        <v>1009</v>
      </c>
      <c r="K117" s="246">
        <v>0</v>
      </c>
      <c r="L117" s="242" cm="1">
        <f t="array" ref="L117">IFERROR(IF(I117="Si", INDEX(CMSDescuento!$E$23:$E$26, MATCH(1, (CMSDescuento!$C$23:$C$26&lt;=CMSRecursos!K117) * (CMSDescuento!$D$23:$D$26&gt;=CMSRecursos!K117), 0)), 0),0)</f>
        <v>0</v>
      </c>
      <c r="M117" s="241" cm="1">
        <f t="array" ref="M117">IFERROR(INDEX(CMSDescuento!$D$2:$D$7, MATCH(1, (CMSDescuento!$B$2:$B$7=CMSRecursos!F117) * (CMSDescuento!$C$2:$C$7=CMSRecursos!I117), 0)),0)</f>
        <v>0</v>
      </c>
      <c r="N117" s="241">
        <f t="shared" si="10"/>
        <v>0</v>
      </c>
      <c r="O117" s="241">
        <f t="shared" si="6"/>
        <v>0</v>
      </c>
      <c r="P117" s="7"/>
      <c r="Q117" s="232"/>
      <c r="R117" s="7"/>
      <c r="S117" s="243">
        <f>N117/(1-CMSResumen!H21)</f>
        <v>0</v>
      </c>
      <c r="T117" s="244">
        <f t="shared" si="7"/>
        <v>0</v>
      </c>
      <c r="U117" s="244">
        <f t="shared" si="8"/>
        <v>0</v>
      </c>
      <c r="V117" s="242">
        <f t="shared" si="9"/>
        <v>0</v>
      </c>
      <c r="W117" s="247"/>
      <c r="X117" s="224"/>
    </row>
    <row r="118" spans="1:24" ht="15" customHeight="1">
      <c r="A118" s="5"/>
      <c r="B118" s="238"/>
      <c r="C118" s="239"/>
      <c r="D118" s="139"/>
      <c r="E118" s="215"/>
      <c r="F118" s="240" t="str">
        <f>IF(E118="AWS",IFERROR(INDEX(CMSAzureAWS!C:C,MATCH(CMSRecursos!G118,CMSAzureAWS!E:E,0)),0),IF(E118="Azure",IFERROR(INDEX(CMSAzureAWS!C:C,MATCH(CMSRecursos!G118,CMSAzureAWS!G:G,0)),0),"Seleccione un Vendor"))</f>
        <v>Seleccione un Vendor</v>
      </c>
      <c r="G118" s="215"/>
      <c r="H118" s="241" t="str">
        <f>IF(E118="AWS",IFERROR(INDEX(CMSAzureAWS!D:D,MATCH(CMSRecursos!G118,CMSAzureAWS!E:E,0)),0),IF(E118="Azure",IFERROR(INDEX(CMSAzureAWS!D:D,MATCH(CMSRecursos!G118,CMSAzureAWS!G:G,0)),0),"Seleccione un Vendor"))</f>
        <v>Seleccione un Vendor</v>
      </c>
      <c r="I118" s="245" t="s">
        <v>1009</v>
      </c>
      <c r="J118" s="245" t="s">
        <v>1009</v>
      </c>
      <c r="K118" s="246">
        <v>0</v>
      </c>
      <c r="L118" s="242" cm="1">
        <f t="array" ref="L118">IFERROR(IF(I118="Si", INDEX(CMSDescuento!$E$23:$E$26, MATCH(1, (CMSDescuento!$C$23:$C$26&lt;=CMSRecursos!K118) * (CMSDescuento!$D$23:$D$26&gt;=CMSRecursos!K118), 0)), 0),0)</f>
        <v>0</v>
      </c>
      <c r="M118" s="241" cm="1">
        <f t="array" ref="M118">IFERROR(INDEX(CMSDescuento!$D$2:$D$7, MATCH(1, (CMSDescuento!$B$2:$B$7=CMSRecursos!F118) * (CMSDescuento!$C$2:$C$7=CMSRecursos!I118), 0)),0)</f>
        <v>0</v>
      </c>
      <c r="N118" s="241">
        <f t="shared" si="10"/>
        <v>0</v>
      </c>
      <c r="O118" s="241">
        <f t="shared" si="6"/>
        <v>0</v>
      </c>
      <c r="P118" s="7"/>
      <c r="Q118" s="232"/>
      <c r="R118" s="7"/>
      <c r="S118" s="243">
        <f>N118/(1-CMSResumen!H21)</f>
        <v>0</v>
      </c>
      <c r="T118" s="244">
        <f t="shared" si="7"/>
        <v>0</v>
      </c>
      <c r="U118" s="244">
        <f t="shared" si="8"/>
        <v>0</v>
      </c>
      <c r="V118" s="242">
        <f t="shared" si="9"/>
        <v>0</v>
      </c>
      <c r="W118" s="247"/>
      <c r="X118" s="224"/>
    </row>
    <row r="119" spans="1:24" ht="15" customHeight="1">
      <c r="A119" s="5"/>
      <c r="B119" s="238"/>
      <c r="C119" s="239"/>
      <c r="D119" s="139"/>
      <c r="E119" s="215"/>
      <c r="F119" s="240" t="str">
        <f>IF(E119="AWS",IFERROR(INDEX(CMSAzureAWS!C:C,MATCH(CMSRecursos!G119,CMSAzureAWS!E:E,0)),0),IF(E119="Azure",IFERROR(INDEX(CMSAzureAWS!C:C,MATCH(CMSRecursos!G119,CMSAzureAWS!G:G,0)),0),"Seleccione un Vendor"))</f>
        <v>Seleccione un Vendor</v>
      </c>
      <c r="G119" s="215"/>
      <c r="H119" s="241" t="str">
        <f>IF(E119="AWS",IFERROR(INDEX(CMSAzureAWS!D:D,MATCH(CMSRecursos!G119,CMSAzureAWS!E:E,0)),0),IF(E119="Azure",IFERROR(INDEX(CMSAzureAWS!D:D,MATCH(CMSRecursos!G119,CMSAzureAWS!G:G,0)),0),"Seleccione un Vendor"))</f>
        <v>Seleccione un Vendor</v>
      </c>
      <c r="I119" s="245" t="s">
        <v>1009</v>
      </c>
      <c r="J119" s="245" t="s">
        <v>1009</v>
      </c>
      <c r="K119" s="246">
        <v>0</v>
      </c>
      <c r="L119" s="242" cm="1">
        <f t="array" ref="L119">IFERROR(IF(I119="Si", INDEX(CMSDescuento!$E$23:$E$26, MATCH(1, (CMSDescuento!$C$23:$C$26&lt;=CMSRecursos!K119) * (CMSDescuento!$D$23:$D$26&gt;=CMSRecursos!K119), 0)), 0),0)</f>
        <v>0</v>
      </c>
      <c r="M119" s="241" cm="1">
        <f t="array" ref="M119">IFERROR(INDEX(CMSDescuento!$D$2:$D$7, MATCH(1, (CMSDescuento!$B$2:$B$7=CMSRecursos!F119) * (CMSDescuento!$C$2:$C$7=CMSRecursos!I119), 0)),0)</f>
        <v>0</v>
      </c>
      <c r="N119" s="241">
        <f t="shared" si="10"/>
        <v>0</v>
      </c>
      <c r="O119" s="241">
        <f t="shared" si="6"/>
        <v>0</v>
      </c>
      <c r="P119" s="7"/>
      <c r="Q119" s="232"/>
      <c r="R119" s="7"/>
      <c r="S119" s="243">
        <f>N119/(1-CMSResumen!H21)</f>
        <v>0</v>
      </c>
      <c r="T119" s="244">
        <f t="shared" si="7"/>
        <v>0</v>
      </c>
      <c r="U119" s="244">
        <f t="shared" si="8"/>
        <v>0</v>
      </c>
      <c r="V119" s="242">
        <f t="shared" si="9"/>
        <v>0</v>
      </c>
      <c r="W119" s="247"/>
      <c r="X119" s="224"/>
    </row>
    <row r="120" spans="1:24" ht="15" customHeight="1">
      <c r="A120" s="5"/>
      <c r="B120" s="238"/>
      <c r="C120" s="239"/>
      <c r="D120" s="139"/>
      <c r="E120" s="215"/>
      <c r="F120" s="240" t="str">
        <f>IF(E120="AWS",IFERROR(INDEX(CMSAzureAWS!C:C,MATCH(CMSRecursos!G120,CMSAzureAWS!E:E,0)),0),IF(E120="Azure",IFERROR(INDEX(CMSAzureAWS!C:C,MATCH(CMSRecursos!G120,CMSAzureAWS!G:G,0)),0),"Seleccione un Vendor"))</f>
        <v>Seleccione un Vendor</v>
      </c>
      <c r="G120" s="215"/>
      <c r="H120" s="241" t="str">
        <f>IF(E120="AWS",IFERROR(INDEX(CMSAzureAWS!D:D,MATCH(CMSRecursos!G120,CMSAzureAWS!E:E,0)),0),IF(E120="Azure",IFERROR(INDEX(CMSAzureAWS!D:D,MATCH(CMSRecursos!G120,CMSAzureAWS!G:G,0)),0),"Seleccione un Vendor"))</f>
        <v>Seleccione un Vendor</v>
      </c>
      <c r="I120" s="245" t="s">
        <v>1009</v>
      </c>
      <c r="J120" s="245" t="s">
        <v>1009</v>
      </c>
      <c r="K120" s="246">
        <v>0</v>
      </c>
      <c r="L120" s="242" cm="1">
        <f t="array" ref="L120">IFERROR(IF(I120="Si", INDEX(CMSDescuento!$E$23:$E$26, MATCH(1, (CMSDescuento!$C$23:$C$26&lt;=CMSRecursos!K120) * (CMSDescuento!$D$23:$D$26&gt;=CMSRecursos!K120), 0)), 0),0)</f>
        <v>0</v>
      </c>
      <c r="M120" s="241" cm="1">
        <f t="array" ref="M120">IFERROR(INDEX(CMSDescuento!$D$2:$D$7, MATCH(1, (CMSDescuento!$B$2:$B$7=CMSRecursos!F120) * (CMSDescuento!$C$2:$C$7=CMSRecursos!I120), 0)),0)</f>
        <v>0</v>
      </c>
      <c r="N120" s="241">
        <f t="shared" si="10"/>
        <v>0</v>
      </c>
      <c r="O120" s="241">
        <f t="shared" si="6"/>
        <v>0</v>
      </c>
      <c r="P120" s="7"/>
      <c r="Q120" s="232"/>
      <c r="R120" s="7"/>
      <c r="S120" s="243">
        <f>N120/(1-CMSResumen!H21)</f>
        <v>0</v>
      </c>
      <c r="T120" s="244">
        <f t="shared" si="7"/>
        <v>0</v>
      </c>
      <c r="U120" s="244">
        <f t="shared" si="8"/>
        <v>0</v>
      </c>
      <c r="V120" s="242">
        <f t="shared" si="9"/>
        <v>0</v>
      </c>
      <c r="W120" s="247"/>
      <c r="X120" s="224"/>
    </row>
    <row r="121" spans="1:24" ht="15" customHeight="1">
      <c r="A121" s="5"/>
      <c r="B121" s="238"/>
      <c r="C121" s="239"/>
      <c r="D121" s="139"/>
      <c r="E121" s="215"/>
      <c r="F121" s="240" t="str">
        <f>IF(E121="AWS",IFERROR(INDEX(CMSAzureAWS!C:C,MATCH(CMSRecursos!G121,CMSAzureAWS!E:E,0)),0),IF(E121="Azure",IFERROR(INDEX(CMSAzureAWS!C:C,MATCH(CMSRecursos!G121,CMSAzureAWS!G:G,0)),0),"Seleccione un Vendor"))</f>
        <v>Seleccione un Vendor</v>
      </c>
      <c r="G121" s="215"/>
      <c r="H121" s="241" t="str">
        <f>IF(E121="AWS",IFERROR(INDEX(CMSAzureAWS!D:D,MATCH(CMSRecursos!G121,CMSAzureAWS!E:E,0)),0),IF(E121="Azure",IFERROR(INDEX(CMSAzureAWS!D:D,MATCH(CMSRecursos!G121,CMSAzureAWS!G:G,0)),0),"Seleccione un Vendor"))</f>
        <v>Seleccione un Vendor</v>
      </c>
      <c r="I121" s="245" t="s">
        <v>1009</v>
      </c>
      <c r="J121" s="245" t="s">
        <v>1009</v>
      </c>
      <c r="K121" s="246">
        <v>0</v>
      </c>
      <c r="L121" s="242" cm="1">
        <f t="array" ref="L121">IFERROR(IF(I121="Si", INDEX(CMSDescuento!$E$23:$E$26, MATCH(1, (CMSDescuento!$C$23:$C$26&lt;=CMSRecursos!K121) * (CMSDescuento!$D$23:$D$26&gt;=CMSRecursos!K121), 0)), 0),0)</f>
        <v>0</v>
      </c>
      <c r="M121" s="241" cm="1">
        <f t="array" ref="M121">IFERROR(INDEX(CMSDescuento!$D$2:$D$7, MATCH(1, (CMSDescuento!$B$2:$B$7=CMSRecursos!F121) * (CMSDescuento!$C$2:$C$7=CMSRecursos!I121), 0)),0)</f>
        <v>0</v>
      </c>
      <c r="N121" s="241">
        <f t="shared" si="10"/>
        <v>0</v>
      </c>
      <c r="O121" s="241">
        <f t="shared" si="6"/>
        <v>0</v>
      </c>
      <c r="P121" s="7"/>
      <c r="Q121" s="232"/>
      <c r="R121" s="7"/>
      <c r="S121" s="243">
        <f>N121/(1-CMSResumen!H21)</f>
        <v>0</v>
      </c>
      <c r="T121" s="244">
        <f t="shared" si="7"/>
        <v>0</v>
      </c>
      <c r="U121" s="244">
        <f t="shared" si="8"/>
        <v>0</v>
      </c>
      <c r="V121" s="242">
        <f t="shared" si="9"/>
        <v>0</v>
      </c>
      <c r="W121" s="247"/>
      <c r="X121" s="224"/>
    </row>
    <row r="122" spans="1:24" ht="15" customHeight="1">
      <c r="A122" s="5"/>
      <c r="B122" s="238"/>
      <c r="C122" s="239"/>
      <c r="D122" s="139"/>
      <c r="E122" s="215"/>
      <c r="F122" s="240" t="str">
        <f>IF(E122="AWS",IFERROR(INDEX(CMSAzureAWS!C:C,MATCH(CMSRecursos!G122,CMSAzureAWS!E:E,0)),0),IF(E122="Azure",IFERROR(INDEX(CMSAzureAWS!C:C,MATCH(CMSRecursos!G122,CMSAzureAWS!G:G,0)),0),"Seleccione un Vendor"))</f>
        <v>Seleccione un Vendor</v>
      </c>
      <c r="G122" s="215"/>
      <c r="H122" s="241" t="str">
        <f>IF(E122="AWS",IFERROR(INDEX(CMSAzureAWS!D:D,MATCH(CMSRecursos!G122,CMSAzureAWS!E:E,0)),0),IF(E122="Azure",IFERROR(INDEX(CMSAzureAWS!D:D,MATCH(CMSRecursos!G122,CMSAzureAWS!G:G,0)),0),"Seleccione un Vendor"))</f>
        <v>Seleccione un Vendor</v>
      </c>
      <c r="I122" s="245" t="s">
        <v>1009</v>
      </c>
      <c r="J122" s="245" t="s">
        <v>1009</v>
      </c>
      <c r="K122" s="246">
        <v>0</v>
      </c>
      <c r="L122" s="242" cm="1">
        <f t="array" ref="L122">IFERROR(IF(I122="Si", INDEX(CMSDescuento!$E$23:$E$26, MATCH(1, (CMSDescuento!$C$23:$C$26&lt;=CMSRecursos!K122) * (CMSDescuento!$D$23:$D$26&gt;=CMSRecursos!K122), 0)), 0),0)</f>
        <v>0</v>
      </c>
      <c r="M122" s="241" cm="1">
        <f t="array" ref="M122">IFERROR(INDEX(CMSDescuento!$D$2:$D$7, MATCH(1, (CMSDescuento!$B$2:$B$7=CMSRecursos!F122) * (CMSDescuento!$C$2:$C$7=CMSRecursos!I122), 0)),0)</f>
        <v>0</v>
      </c>
      <c r="N122" s="241">
        <f t="shared" si="10"/>
        <v>0</v>
      </c>
      <c r="O122" s="241">
        <f t="shared" si="6"/>
        <v>0</v>
      </c>
      <c r="P122" s="7"/>
      <c r="Q122" s="232"/>
      <c r="R122" s="7"/>
      <c r="S122" s="243">
        <f>N122/(1-CMSResumen!H21)</f>
        <v>0</v>
      </c>
      <c r="T122" s="244">
        <f t="shared" si="7"/>
        <v>0</v>
      </c>
      <c r="U122" s="244">
        <f t="shared" si="8"/>
        <v>0</v>
      </c>
      <c r="V122" s="242">
        <f t="shared" si="9"/>
        <v>0</v>
      </c>
      <c r="W122" s="247"/>
      <c r="X122" s="224"/>
    </row>
    <row r="123" spans="1:24" ht="15" customHeight="1">
      <c r="A123" s="5"/>
      <c r="B123" s="238"/>
      <c r="C123" s="239"/>
      <c r="D123" s="139"/>
      <c r="E123" s="215"/>
      <c r="F123" s="240" t="str">
        <f>IF(E123="AWS",IFERROR(INDEX(CMSAzureAWS!C:C,MATCH(CMSRecursos!G123,CMSAzureAWS!E:E,0)),0),IF(E123="Azure",IFERROR(INDEX(CMSAzureAWS!C:C,MATCH(CMSRecursos!G123,CMSAzureAWS!G:G,0)),0),"Seleccione un Vendor"))</f>
        <v>Seleccione un Vendor</v>
      </c>
      <c r="G123" s="215"/>
      <c r="H123" s="241" t="str">
        <f>IF(E123="AWS",IFERROR(INDEX(CMSAzureAWS!D:D,MATCH(CMSRecursos!G123,CMSAzureAWS!E:E,0)),0),IF(E123="Azure",IFERROR(INDEX(CMSAzureAWS!D:D,MATCH(CMSRecursos!G123,CMSAzureAWS!G:G,0)),0),"Seleccione un Vendor"))</f>
        <v>Seleccione un Vendor</v>
      </c>
      <c r="I123" s="245" t="s">
        <v>1009</v>
      </c>
      <c r="J123" s="245" t="s">
        <v>1009</v>
      </c>
      <c r="K123" s="246">
        <v>0</v>
      </c>
      <c r="L123" s="242" cm="1">
        <f t="array" ref="L123">IFERROR(IF(I123="Si", INDEX(CMSDescuento!$E$23:$E$26, MATCH(1, (CMSDescuento!$C$23:$C$26&lt;=CMSRecursos!K123) * (CMSDescuento!$D$23:$D$26&gt;=CMSRecursos!K123), 0)), 0),0)</f>
        <v>0</v>
      </c>
      <c r="M123" s="241" cm="1">
        <f t="array" ref="M123">IFERROR(INDEX(CMSDescuento!$D$2:$D$7, MATCH(1, (CMSDescuento!$B$2:$B$7=CMSRecursos!F123) * (CMSDescuento!$C$2:$C$7=CMSRecursos!I123), 0)),0)</f>
        <v>0</v>
      </c>
      <c r="N123" s="241">
        <f t="shared" si="10"/>
        <v>0</v>
      </c>
      <c r="O123" s="241">
        <f t="shared" si="6"/>
        <v>0</v>
      </c>
      <c r="P123" s="7"/>
      <c r="Q123" s="232"/>
      <c r="R123" s="7"/>
      <c r="S123" s="243">
        <f>N123/(1-CMSResumen!H21)</f>
        <v>0</v>
      </c>
      <c r="T123" s="244">
        <f t="shared" si="7"/>
        <v>0</v>
      </c>
      <c r="U123" s="244">
        <f t="shared" si="8"/>
        <v>0</v>
      </c>
      <c r="V123" s="242">
        <f t="shared" si="9"/>
        <v>0</v>
      </c>
      <c r="W123" s="247"/>
      <c r="X123" s="224"/>
    </row>
    <row r="124" spans="1:24" ht="15" customHeight="1">
      <c r="A124" s="5"/>
      <c r="B124" s="238"/>
      <c r="C124" s="239"/>
      <c r="D124" s="139"/>
      <c r="E124" s="215"/>
      <c r="F124" s="240" t="str">
        <f>IF(E124="AWS",IFERROR(INDEX(CMSAzureAWS!C:C,MATCH(CMSRecursos!G124,CMSAzureAWS!E:E,0)),0),IF(E124="Azure",IFERROR(INDEX(CMSAzureAWS!C:C,MATCH(CMSRecursos!G124,CMSAzureAWS!G:G,0)),0),"Seleccione un Vendor"))</f>
        <v>Seleccione un Vendor</v>
      </c>
      <c r="G124" s="215"/>
      <c r="H124" s="241" t="str">
        <f>IF(E124="AWS",IFERROR(INDEX(CMSAzureAWS!D:D,MATCH(CMSRecursos!G124,CMSAzureAWS!E:E,0)),0),IF(E124="Azure",IFERROR(INDEX(CMSAzureAWS!D:D,MATCH(CMSRecursos!G124,CMSAzureAWS!G:G,0)),0),"Seleccione un Vendor"))</f>
        <v>Seleccione un Vendor</v>
      </c>
      <c r="I124" s="245" t="s">
        <v>1009</v>
      </c>
      <c r="J124" s="245" t="s">
        <v>1009</v>
      </c>
      <c r="K124" s="246">
        <v>0</v>
      </c>
      <c r="L124" s="242" cm="1">
        <f t="array" ref="L124">IFERROR(IF(I124="Si", INDEX(CMSDescuento!$E$23:$E$26, MATCH(1, (CMSDescuento!$C$23:$C$26&lt;=CMSRecursos!K124) * (CMSDescuento!$D$23:$D$26&gt;=CMSRecursos!K124), 0)), 0),0)</f>
        <v>0</v>
      </c>
      <c r="M124" s="241" cm="1">
        <f t="array" ref="M124">IFERROR(INDEX(CMSDescuento!$D$2:$D$7, MATCH(1, (CMSDescuento!$B$2:$B$7=CMSRecursos!F124) * (CMSDescuento!$C$2:$C$7=CMSRecursos!I124), 0)),0)</f>
        <v>0</v>
      </c>
      <c r="N124" s="241">
        <f t="shared" si="10"/>
        <v>0</v>
      </c>
      <c r="O124" s="241">
        <f t="shared" si="6"/>
        <v>0</v>
      </c>
      <c r="P124" s="7"/>
      <c r="Q124" s="232"/>
      <c r="R124" s="7"/>
      <c r="S124" s="243">
        <f>N124/(1-CMSResumen!H21)</f>
        <v>0</v>
      </c>
      <c r="T124" s="244">
        <f t="shared" si="7"/>
        <v>0</v>
      </c>
      <c r="U124" s="244">
        <f t="shared" si="8"/>
        <v>0</v>
      </c>
      <c r="V124" s="242">
        <f t="shared" si="9"/>
        <v>0</v>
      </c>
      <c r="W124" s="247"/>
      <c r="X124" s="224"/>
    </row>
    <row r="125" spans="1:24" ht="15" customHeight="1">
      <c r="A125" s="5"/>
      <c r="B125" s="238"/>
      <c r="C125" s="239"/>
      <c r="D125" s="139"/>
      <c r="E125" s="215"/>
      <c r="F125" s="240" t="str">
        <f>IF(E125="AWS",IFERROR(INDEX(CMSAzureAWS!C:C,MATCH(CMSRecursos!G125,CMSAzureAWS!E:E,0)),0),IF(E125="Azure",IFERROR(INDEX(CMSAzureAWS!C:C,MATCH(CMSRecursos!G125,CMSAzureAWS!G:G,0)),0),"Seleccione un Vendor"))</f>
        <v>Seleccione un Vendor</v>
      </c>
      <c r="G125" s="215"/>
      <c r="H125" s="241" t="str">
        <f>IF(E125="AWS",IFERROR(INDEX(CMSAzureAWS!D:D,MATCH(CMSRecursos!G125,CMSAzureAWS!E:E,0)),0),IF(E125="Azure",IFERROR(INDEX(CMSAzureAWS!D:D,MATCH(CMSRecursos!G125,CMSAzureAWS!G:G,0)),0),"Seleccione un Vendor"))</f>
        <v>Seleccione un Vendor</v>
      </c>
      <c r="I125" s="245" t="s">
        <v>1009</v>
      </c>
      <c r="J125" s="245" t="s">
        <v>1009</v>
      </c>
      <c r="K125" s="246">
        <v>0</v>
      </c>
      <c r="L125" s="242" cm="1">
        <f t="array" ref="L125">IFERROR(IF(I125="Si", INDEX(CMSDescuento!$E$23:$E$26, MATCH(1, (CMSDescuento!$C$23:$C$26&lt;=CMSRecursos!K125) * (CMSDescuento!$D$23:$D$26&gt;=CMSRecursos!K125), 0)), 0),0)</f>
        <v>0</v>
      </c>
      <c r="M125" s="241" cm="1">
        <f t="array" ref="M125">IFERROR(INDEX(CMSDescuento!$D$2:$D$7, MATCH(1, (CMSDescuento!$B$2:$B$7=CMSRecursos!F125) * (CMSDescuento!$C$2:$C$7=CMSRecursos!I125), 0)),0)</f>
        <v>0</v>
      </c>
      <c r="N125" s="241">
        <f t="shared" si="10"/>
        <v>0</v>
      </c>
      <c r="O125" s="241">
        <f t="shared" si="6"/>
        <v>0</v>
      </c>
      <c r="P125" s="7"/>
      <c r="Q125" s="232"/>
      <c r="R125" s="7"/>
      <c r="S125" s="243">
        <f>N125/(1-CMSResumen!H21)</f>
        <v>0</v>
      </c>
      <c r="T125" s="244">
        <f t="shared" si="7"/>
        <v>0</v>
      </c>
      <c r="U125" s="244">
        <f t="shared" si="8"/>
        <v>0</v>
      </c>
      <c r="V125" s="242">
        <f t="shared" si="9"/>
        <v>0</v>
      </c>
      <c r="W125" s="247"/>
      <c r="X125" s="224"/>
    </row>
    <row r="126" spans="1:24" ht="15" customHeight="1">
      <c r="A126" s="5"/>
      <c r="B126" s="238"/>
      <c r="C126" s="239"/>
      <c r="D126" s="139"/>
      <c r="E126" s="215"/>
      <c r="F126" s="240" t="str">
        <f>IF(E126="AWS",IFERROR(INDEX(CMSAzureAWS!C:C,MATCH(CMSRecursos!G126,CMSAzureAWS!E:E,0)),0),IF(E126="Azure",IFERROR(INDEX(CMSAzureAWS!C:C,MATCH(CMSRecursos!G126,CMSAzureAWS!G:G,0)),0),"Seleccione un Vendor"))</f>
        <v>Seleccione un Vendor</v>
      </c>
      <c r="G126" s="215"/>
      <c r="H126" s="241" t="str">
        <f>IF(E126="AWS",IFERROR(INDEX(CMSAzureAWS!D:D,MATCH(CMSRecursos!G126,CMSAzureAWS!E:E,0)),0),IF(E126="Azure",IFERROR(INDEX(CMSAzureAWS!D:D,MATCH(CMSRecursos!G126,CMSAzureAWS!G:G,0)),0),"Seleccione un Vendor"))</f>
        <v>Seleccione un Vendor</v>
      </c>
      <c r="I126" s="245" t="s">
        <v>1009</v>
      </c>
      <c r="J126" s="245" t="s">
        <v>1009</v>
      </c>
      <c r="K126" s="246">
        <v>0</v>
      </c>
      <c r="L126" s="242" cm="1">
        <f t="array" ref="L126">IFERROR(IF(I126="Si", INDEX(CMSDescuento!$E$23:$E$26, MATCH(1, (CMSDescuento!$C$23:$C$26&lt;=CMSRecursos!K126) * (CMSDescuento!$D$23:$D$26&gt;=CMSRecursos!K126), 0)), 0),0)</f>
        <v>0</v>
      </c>
      <c r="M126" s="241" cm="1">
        <f t="array" ref="M126">IFERROR(INDEX(CMSDescuento!$D$2:$D$7, MATCH(1, (CMSDescuento!$B$2:$B$7=CMSRecursos!F126) * (CMSDescuento!$C$2:$C$7=CMSRecursos!I126), 0)),0)</f>
        <v>0</v>
      </c>
      <c r="N126" s="241">
        <f t="shared" si="10"/>
        <v>0</v>
      </c>
      <c r="O126" s="241">
        <f t="shared" si="6"/>
        <v>0</v>
      </c>
      <c r="P126" s="7"/>
      <c r="Q126" s="232"/>
      <c r="R126" s="7"/>
      <c r="S126" s="243">
        <f>N126/(1-CMSResumen!H21)</f>
        <v>0</v>
      </c>
      <c r="T126" s="244">
        <f t="shared" si="7"/>
        <v>0</v>
      </c>
      <c r="U126" s="244">
        <f t="shared" si="8"/>
        <v>0</v>
      </c>
      <c r="V126" s="242">
        <f t="shared" si="9"/>
        <v>0</v>
      </c>
      <c r="W126" s="247"/>
      <c r="X126" s="224"/>
    </row>
    <row r="127" spans="1:24" ht="15" customHeight="1">
      <c r="A127" s="5"/>
      <c r="B127" s="238"/>
      <c r="C127" s="239"/>
      <c r="D127" s="139"/>
      <c r="E127" s="215"/>
      <c r="F127" s="240" t="str">
        <f>IF(E127="AWS",IFERROR(INDEX(CMSAzureAWS!C:C,MATCH(CMSRecursos!G127,CMSAzureAWS!E:E,0)),0),IF(E127="Azure",IFERROR(INDEX(CMSAzureAWS!C:C,MATCH(CMSRecursos!G127,CMSAzureAWS!G:G,0)),0),"Seleccione un Vendor"))</f>
        <v>Seleccione un Vendor</v>
      </c>
      <c r="G127" s="215"/>
      <c r="H127" s="241" t="str">
        <f>IF(E127="AWS",IFERROR(INDEX(CMSAzureAWS!D:D,MATCH(CMSRecursos!G127,CMSAzureAWS!E:E,0)),0),IF(E127="Azure",IFERROR(INDEX(CMSAzureAWS!D:D,MATCH(CMSRecursos!G127,CMSAzureAWS!G:G,0)),0),"Seleccione un Vendor"))</f>
        <v>Seleccione un Vendor</v>
      </c>
      <c r="I127" s="245" t="s">
        <v>1009</v>
      </c>
      <c r="J127" s="245" t="s">
        <v>1009</v>
      </c>
      <c r="K127" s="246">
        <v>0</v>
      </c>
      <c r="L127" s="242" cm="1">
        <f t="array" ref="L127">IFERROR(IF(I127="Si", INDEX(CMSDescuento!$E$23:$E$26, MATCH(1, (CMSDescuento!$C$23:$C$26&lt;=CMSRecursos!K127) * (CMSDescuento!$D$23:$D$26&gt;=CMSRecursos!K127), 0)), 0),0)</f>
        <v>0</v>
      </c>
      <c r="M127" s="241" cm="1">
        <f t="array" ref="M127">IFERROR(INDEX(CMSDescuento!$D$2:$D$7, MATCH(1, (CMSDescuento!$B$2:$B$7=CMSRecursos!F127) * (CMSDescuento!$C$2:$C$7=CMSRecursos!I127), 0)),0)</f>
        <v>0</v>
      </c>
      <c r="N127" s="241">
        <f t="shared" si="10"/>
        <v>0</v>
      </c>
      <c r="O127" s="241">
        <f t="shared" si="6"/>
        <v>0</v>
      </c>
      <c r="P127" s="7"/>
      <c r="Q127" s="232"/>
      <c r="R127" s="7"/>
      <c r="S127" s="243">
        <f>N127/(1-CMSResumen!H21)</f>
        <v>0</v>
      </c>
      <c r="T127" s="244">
        <f t="shared" si="7"/>
        <v>0</v>
      </c>
      <c r="U127" s="244">
        <f t="shared" si="8"/>
        <v>0</v>
      </c>
      <c r="V127" s="242">
        <f t="shared" si="9"/>
        <v>0</v>
      </c>
      <c r="W127" s="247"/>
      <c r="X127" s="224"/>
    </row>
    <row r="128" spans="1:24" ht="15" customHeight="1">
      <c r="A128" s="5"/>
      <c r="B128" s="238"/>
      <c r="C128" s="239"/>
      <c r="D128" s="139"/>
      <c r="E128" s="215"/>
      <c r="F128" s="240" t="str">
        <f>IF(E128="AWS",IFERROR(INDEX(CMSAzureAWS!C:C,MATCH(CMSRecursos!G128,CMSAzureAWS!E:E,0)),0),IF(E128="Azure",IFERROR(INDEX(CMSAzureAWS!C:C,MATCH(CMSRecursos!G128,CMSAzureAWS!G:G,0)),0),"Seleccione un Vendor"))</f>
        <v>Seleccione un Vendor</v>
      </c>
      <c r="G128" s="215"/>
      <c r="H128" s="241" t="str">
        <f>IF(E128="AWS",IFERROR(INDEX(CMSAzureAWS!D:D,MATCH(CMSRecursos!G128,CMSAzureAWS!E:E,0)),0),IF(E128="Azure",IFERROR(INDEX(CMSAzureAWS!D:D,MATCH(CMSRecursos!G128,CMSAzureAWS!G:G,0)),0),"Seleccione un Vendor"))</f>
        <v>Seleccione un Vendor</v>
      </c>
      <c r="I128" s="245" t="s">
        <v>1009</v>
      </c>
      <c r="J128" s="245" t="s">
        <v>1009</v>
      </c>
      <c r="K128" s="246">
        <v>0</v>
      </c>
      <c r="L128" s="242" cm="1">
        <f t="array" ref="L128">IFERROR(IF(I128="Si", INDEX(CMSDescuento!$E$23:$E$26, MATCH(1, (CMSDescuento!$C$23:$C$26&lt;=CMSRecursos!K128) * (CMSDescuento!$D$23:$D$26&gt;=CMSRecursos!K128), 0)), 0),0)</f>
        <v>0</v>
      </c>
      <c r="M128" s="241" cm="1">
        <f t="array" ref="M128">IFERROR(INDEX(CMSDescuento!$D$2:$D$7, MATCH(1, (CMSDescuento!$B$2:$B$7=CMSRecursos!F128) * (CMSDescuento!$C$2:$C$7=CMSRecursos!I128), 0)),0)</f>
        <v>0</v>
      </c>
      <c r="N128" s="241">
        <f t="shared" si="10"/>
        <v>0</v>
      </c>
      <c r="O128" s="241">
        <f t="shared" si="6"/>
        <v>0</v>
      </c>
      <c r="P128" s="7"/>
      <c r="Q128" s="232"/>
      <c r="R128" s="7"/>
      <c r="S128" s="243">
        <f>N128/(1-CMSResumen!H21)</f>
        <v>0</v>
      </c>
      <c r="T128" s="244">
        <f t="shared" si="7"/>
        <v>0</v>
      </c>
      <c r="U128" s="244">
        <f t="shared" si="8"/>
        <v>0</v>
      </c>
      <c r="V128" s="242">
        <f t="shared" si="9"/>
        <v>0</v>
      </c>
      <c r="W128" s="247"/>
      <c r="X128" s="224"/>
    </row>
    <row r="129" spans="1:24" ht="15" customHeight="1">
      <c r="A129" s="5"/>
      <c r="B129" s="238"/>
      <c r="C129" s="239"/>
      <c r="D129" s="139"/>
      <c r="E129" s="215"/>
      <c r="F129" s="240" t="str">
        <f>IF(E129="AWS",IFERROR(INDEX(CMSAzureAWS!C:C,MATCH(CMSRecursos!G129,CMSAzureAWS!E:E,0)),0),IF(E129="Azure",IFERROR(INDEX(CMSAzureAWS!C:C,MATCH(CMSRecursos!G129,CMSAzureAWS!G:G,0)),0),"Seleccione un Vendor"))</f>
        <v>Seleccione un Vendor</v>
      </c>
      <c r="G129" s="215"/>
      <c r="H129" s="241" t="str">
        <f>IF(E129="AWS",IFERROR(INDEX(CMSAzureAWS!D:D,MATCH(CMSRecursos!G129,CMSAzureAWS!E:E,0)),0),IF(E129="Azure",IFERROR(INDEX(CMSAzureAWS!D:D,MATCH(CMSRecursos!G129,CMSAzureAWS!G:G,0)),0),"Seleccione un Vendor"))</f>
        <v>Seleccione un Vendor</v>
      </c>
      <c r="I129" s="245" t="s">
        <v>1009</v>
      </c>
      <c r="J129" s="245" t="s">
        <v>1009</v>
      </c>
      <c r="K129" s="246">
        <v>0</v>
      </c>
      <c r="L129" s="242" cm="1">
        <f t="array" ref="L129">IFERROR(IF(I129="Si", INDEX(CMSDescuento!$E$23:$E$26, MATCH(1, (CMSDescuento!$C$23:$C$26&lt;=CMSRecursos!K129) * (CMSDescuento!$D$23:$D$26&gt;=CMSRecursos!K129), 0)), 0),0)</f>
        <v>0</v>
      </c>
      <c r="M129" s="241" cm="1">
        <f t="array" ref="M129">IFERROR(INDEX(CMSDescuento!$D$2:$D$7, MATCH(1, (CMSDescuento!$B$2:$B$7=CMSRecursos!F129) * (CMSDescuento!$C$2:$C$7=CMSRecursos!I129), 0)),0)</f>
        <v>0</v>
      </c>
      <c r="N129" s="241">
        <f t="shared" si="10"/>
        <v>0</v>
      </c>
      <c r="O129" s="241">
        <f t="shared" si="6"/>
        <v>0</v>
      </c>
      <c r="P129" s="7"/>
      <c r="Q129" s="232"/>
      <c r="R129" s="7"/>
      <c r="S129" s="243">
        <f>N129/(1-CMSResumen!H21)</f>
        <v>0</v>
      </c>
      <c r="T129" s="244">
        <f t="shared" si="7"/>
        <v>0</v>
      </c>
      <c r="U129" s="244">
        <f t="shared" si="8"/>
        <v>0</v>
      </c>
      <c r="V129" s="242">
        <f t="shared" si="9"/>
        <v>0</v>
      </c>
      <c r="W129" s="247"/>
      <c r="X129" s="224"/>
    </row>
    <row r="130" spans="1:24" ht="15" customHeight="1">
      <c r="A130" s="5"/>
      <c r="B130" s="238"/>
      <c r="C130" s="239"/>
      <c r="D130" s="139"/>
      <c r="E130" s="215"/>
      <c r="F130" s="240" t="str">
        <f>IF(E130="AWS",IFERROR(INDEX(CMSAzureAWS!C:C,MATCH(CMSRecursos!G130,CMSAzureAWS!E:E,0)),0),IF(E130="Azure",IFERROR(INDEX(CMSAzureAWS!C:C,MATCH(CMSRecursos!G130,CMSAzureAWS!G:G,0)),0),"Seleccione un Vendor"))</f>
        <v>Seleccione un Vendor</v>
      </c>
      <c r="G130" s="215"/>
      <c r="H130" s="241" t="str">
        <f>IF(E130="AWS",IFERROR(INDEX(CMSAzureAWS!D:D,MATCH(CMSRecursos!G130,CMSAzureAWS!E:E,0)),0),IF(E130="Azure",IFERROR(INDEX(CMSAzureAWS!D:D,MATCH(CMSRecursos!G130,CMSAzureAWS!G:G,0)),0),"Seleccione un Vendor"))</f>
        <v>Seleccione un Vendor</v>
      </c>
      <c r="I130" s="245" t="s">
        <v>1009</v>
      </c>
      <c r="J130" s="245" t="s">
        <v>1009</v>
      </c>
      <c r="K130" s="246">
        <v>0</v>
      </c>
      <c r="L130" s="242" cm="1">
        <f t="array" ref="L130">IFERROR(IF(I130="Si", INDEX(CMSDescuento!$E$23:$E$26, MATCH(1, (CMSDescuento!$C$23:$C$26&lt;=CMSRecursos!K130) * (CMSDescuento!$D$23:$D$26&gt;=CMSRecursos!K130), 0)), 0),0)</f>
        <v>0</v>
      </c>
      <c r="M130" s="241" cm="1">
        <f t="array" ref="M130">IFERROR(INDEX(CMSDescuento!$D$2:$D$7, MATCH(1, (CMSDescuento!$B$2:$B$7=CMSRecursos!F130) * (CMSDescuento!$C$2:$C$7=CMSRecursos!I130), 0)),0)</f>
        <v>0</v>
      </c>
      <c r="N130" s="241">
        <f t="shared" si="10"/>
        <v>0</v>
      </c>
      <c r="O130" s="241">
        <f t="shared" si="6"/>
        <v>0</v>
      </c>
      <c r="P130" s="7"/>
      <c r="Q130" s="232"/>
      <c r="R130" s="7"/>
      <c r="S130" s="243">
        <f>N130/(1-CMSResumen!H21)</f>
        <v>0</v>
      </c>
      <c r="T130" s="244">
        <f t="shared" si="7"/>
        <v>0</v>
      </c>
      <c r="U130" s="244">
        <f t="shared" si="8"/>
        <v>0</v>
      </c>
      <c r="V130" s="242">
        <f t="shared" si="9"/>
        <v>0</v>
      </c>
      <c r="W130" s="247"/>
      <c r="X130" s="224"/>
    </row>
    <row r="131" spans="1:24" ht="15" customHeight="1">
      <c r="A131" s="5"/>
      <c r="B131" s="238"/>
      <c r="C131" s="239"/>
      <c r="D131" s="139"/>
      <c r="E131" s="215"/>
      <c r="F131" s="240" t="str">
        <f>IF(E131="AWS",IFERROR(INDEX(CMSAzureAWS!C:C,MATCH(CMSRecursos!G131,CMSAzureAWS!E:E,0)),0),IF(E131="Azure",IFERROR(INDEX(CMSAzureAWS!C:C,MATCH(CMSRecursos!G131,CMSAzureAWS!G:G,0)),0),"Seleccione un Vendor"))</f>
        <v>Seleccione un Vendor</v>
      </c>
      <c r="G131" s="215"/>
      <c r="H131" s="241" t="str">
        <f>IF(E131="AWS",IFERROR(INDEX(CMSAzureAWS!D:D,MATCH(CMSRecursos!G131,CMSAzureAWS!E:E,0)),0),IF(E131="Azure",IFERROR(INDEX(CMSAzureAWS!D:D,MATCH(CMSRecursos!G131,CMSAzureAWS!G:G,0)),0),"Seleccione un Vendor"))</f>
        <v>Seleccione un Vendor</v>
      </c>
      <c r="I131" s="245" t="s">
        <v>1009</v>
      </c>
      <c r="J131" s="245" t="s">
        <v>1009</v>
      </c>
      <c r="K131" s="246">
        <v>0</v>
      </c>
      <c r="L131" s="242" cm="1">
        <f t="array" ref="L131">IFERROR(IF(I131="Si", INDEX(CMSDescuento!$E$23:$E$26, MATCH(1, (CMSDescuento!$C$23:$C$26&lt;=CMSRecursos!K131) * (CMSDescuento!$D$23:$D$26&gt;=CMSRecursos!K131), 0)), 0),0)</f>
        <v>0</v>
      </c>
      <c r="M131" s="241" cm="1">
        <f t="array" ref="M131">IFERROR(INDEX(CMSDescuento!$D$2:$D$7, MATCH(1, (CMSDescuento!$B$2:$B$7=CMSRecursos!F131) * (CMSDescuento!$C$2:$C$7=CMSRecursos!I131), 0)),0)</f>
        <v>0</v>
      </c>
      <c r="N131" s="241">
        <f t="shared" si="10"/>
        <v>0</v>
      </c>
      <c r="O131" s="241">
        <f t="shared" si="6"/>
        <v>0</v>
      </c>
      <c r="P131" s="7"/>
      <c r="Q131" s="232"/>
      <c r="R131" s="7"/>
      <c r="S131" s="243">
        <f>N131/(1-CMSResumen!H21)</f>
        <v>0</v>
      </c>
      <c r="T131" s="244">
        <f t="shared" si="7"/>
        <v>0</v>
      </c>
      <c r="U131" s="244">
        <f t="shared" si="8"/>
        <v>0</v>
      </c>
      <c r="V131" s="242">
        <f t="shared" si="9"/>
        <v>0</v>
      </c>
      <c r="W131" s="247"/>
      <c r="X131" s="224"/>
    </row>
    <row r="132" spans="1:24" ht="15" customHeight="1">
      <c r="A132" s="5"/>
      <c r="B132" s="238"/>
      <c r="C132" s="239"/>
      <c r="D132" s="139"/>
      <c r="E132" s="215"/>
      <c r="F132" s="240" t="str">
        <f>IF(E132="AWS",IFERROR(INDEX(CMSAzureAWS!C:C,MATCH(CMSRecursos!G132,CMSAzureAWS!E:E,0)),0),IF(E132="Azure",IFERROR(INDEX(CMSAzureAWS!C:C,MATCH(CMSRecursos!G132,CMSAzureAWS!G:G,0)),0),"Seleccione un Vendor"))</f>
        <v>Seleccione un Vendor</v>
      </c>
      <c r="G132" s="215"/>
      <c r="H132" s="241" t="str">
        <f>IF(E132="AWS",IFERROR(INDEX(CMSAzureAWS!D:D,MATCH(CMSRecursos!G132,CMSAzureAWS!E:E,0)),0),IF(E132="Azure",IFERROR(INDEX(CMSAzureAWS!D:D,MATCH(CMSRecursos!G132,CMSAzureAWS!G:G,0)),0),"Seleccione un Vendor"))</f>
        <v>Seleccione un Vendor</v>
      </c>
      <c r="I132" s="245" t="s">
        <v>1009</v>
      </c>
      <c r="J132" s="245" t="s">
        <v>1009</v>
      </c>
      <c r="K132" s="246">
        <v>0</v>
      </c>
      <c r="L132" s="242" cm="1">
        <f t="array" ref="L132">IFERROR(IF(I132="Si", INDEX(CMSDescuento!$E$23:$E$26, MATCH(1, (CMSDescuento!$C$23:$C$26&lt;=CMSRecursos!K132) * (CMSDescuento!$D$23:$D$26&gt;=CMSRecursos!K132), 0)), 0),0)</f>
        <v>0</v>
      </c>
      <c r="M132" s="241" cm="1">
        <f t="array" ref="M132">IFERROR(INDEX(CMSDescuento!$D$2:$D$7, MATCH(1, (CMSDescuento!$B$2:$B$7=CMSRecursos!F132) * (CMSDescuento!$C$2:$C$7=CMSRecursos!I132), 0)),0)</f>
        <v>0</v>
      </c>
      <c r="N132" s="241">
        <f t="shared" si="10"/>
        <v>0</v>
      </c>
      <c r="O132" s="241">
        <f t="shared" si="6"/>
        <v>0</v>
      </c>
      <c r="P132" s="7"/>
      <c r="Q132" s="232"/>
      <c r="R132" s="7"/>
      <c r="S132" s="243">
        <f>N132/(1-CMSResumen!H21)</f>
        <v>0</v>
      </c>
      <c r="T132" s="244">
        <f t="shared" si="7"/>
        <v>0</v>
      </c>
      <c r="U132" s="244">
        <f t="shared" si="8"/>
        <v>0</v>
      </c>
      <c r="V132" s="242">
        <f t="shared" si="9"/>
        <v>0</v>
      </c>
      <c r="W132" s="247"/>
      <c r="X132" s="224"/>
    </row>
    <row r="133" spans="1:24" ht="15" customHeight="1">
      <c r="A133" s="5"/>
      <c r="B133" s="238"/>
      <c r="C133" s="239"/>
      <c r="D133" s="139"/>
      <c r="E133" s="215"/>
      <c r="F133" s="240" t="str">
        <f>IF(E133="AWS",IFERROR(INDEX(CMSAzureAWS!C:C,MATCH(CMSRecursos!G133,CMSAzureAWS!E:E,0)),0),IF(E133="Azure",IFERROR(INDEX(CMSAzureAWS!C:C,MATCH(CMSRecursos!G133,CMSAzureAWS!G:G,0)),0),"Seleccione un Vendor"))</f>
        <v>Seleccione un Vendor</v>
      </c>
      <c r="G133" s="215"/>
      <c r="H133" s="241" t="str">
        <f>IF(E133="AWS",IFERROR(INDEX(CMSAzureAWS!D:D,MATCH(CMSRecursos!G133,CMSAzureAWS!E:E,0)),0),IF(E133="Azure",IFERROR(INDEX(CMSAzureAWS!D:D,MATCH(CMSRecursos!G133,CMSAzureAWS!G:G,0)),0),"Seleccione un Vendor"))</f>
        <v>Seleccione un Vendor</v>
      </c>
      <c r="I133" s="245" t="s">
        <v>1009</v>
      </c>
      <c r="J133" s="245" t="s">
        <v>1009</v>
      </c>
      <c r="K133" s="246">
        <v>0</v>
      </c>
      <c r="L133" s="242" cm="1">
        <f t="array" ref="L133">IFERROR(IF(I133="Si", INDEX(CMSDescuento!$E$23:$E$26, MATCH(1, (CMSDescuento!$C$23:$C$26&lt;=CMSRecursos!K133) * (CMSDescuento!$D$23:$D$26&gt;=CMSRecursos!K133), 0)), 0),0)</f>
        <v>0</v>
      </c>
      <c r="M133" s="241" cm="1">
        <f t="array" ref="M133">IFERROR(INDEX(CMSDescuento!$D$2:$D$7, MATCH(1, (CMSDescuento!$B$2:$B$7=CMSRecursos!F133) * (CMSDescuento!$C$2:$C$7=CMSRecursos!I133), 0)),0)</f>
        <v>0</v>
      </c>
      <c r="N133" s="241">
        <f t="shared" si="10"/>
        <v>0</v>
      </c>
      <c r="O133" s="241">
        <f t="shared" ref="O133:O196" si="11">IF(OR(H133="Base",J133="No"),0,K133*N133)</f>
        <v>0</v>
      </c>
      <c r="P133" s="7"/>
      <c r="Q133" s="232"/>
      <c r="R133" s="7"/>
      <c r="S133" s="243">
        <f>N133/(1-CMSResumen!H21)</f>
        <v>0</v>
      </c>
      <c r="T133" s="244">
        <f t="shared" ref="T133:T196" si="12">IF(OR(H133="Base",J133="No"),0,K133*S133)</f>
        <v>0</v>
      </c>
      <c r="U133" s="244">
        <f t="shared" ref="U133:U196" si="13">T133-O133</f>
        <v>0</v>
      </c>
      <c r="V133" s="242">
        <f t="shared" ref="V133:V196" si="14">IFERROR(1-O133/T133,0)</f>
        <v>0</v>
      </c>
      <c r="W133" s="247"/>
      <c r="X133" s="224"/>
    </row>
    <row r="134" spans="1:24" ht="15" customHeight="1">
      <c r="A134" s="5"/>
      <c r="B134" s="238"/>
      <c r="C134" s="239"/>
      <c r="D134" s="139"/>
      <c r="E134" s="215"/>
      <c r="F134" s="240" t="str">
        <f>IF(E134="AWS",IFERROR(INDEX(CMSAzureAWS!C:C,MATCH(CMSRecursos!G134,CMSAzureAWS!E:E,0)),0),IF(E134="Azure",IFERROR(INDEX(CMSAzureAWS!C:C,MATCH(CMSRecursos!G134,CMSAzureAWS!G:G,0)),0),"Seleccione un Vendor"))</f>
        <v>Seleccione un Vendor</v>
      </c>
      <c r="G134" s="215"/>
      <c r="H134" s="241" t="str">
        <f>IF(E134="AWS",IFERROR(INDEX(CMSAzureAWS!D:D,MATCH(CMSRecursos!G134,CMSAzureAWS!E:E,0)),0),IF(E134="Azure",IFERROR(INDEX(CMSAzureAWS!D:D,MATCH(CMSRecursos!G134,CMSAzureAWS!G:G,0)),0),"Seleccione un Vendor"))</f>
        <v>Seleccione un Vendor</v>
      </c>
      <c r="I134" s="245" t="s">
        <v>1009</v>
      </c>
      <c r="J134" s="245" t="s">
        <v>1009</v>
      </c>
      <c r="K134" s="246">
        <v>0</v>
      </c>
      <c r="L134" s="242" cm="1">
        <f t="array" ref="L134">IFERROR(IF(I134="Si", INDEX(CMSDescuento!$E$23:$E$26, MATCH(1, (CMSDescuento!$C$23:$C$26&lt;=CMSRecursos!K134) * (CMSDescuento!$D$23:$D$26&gt;=CMSRecursos!K134), 0)), 0),0)</f>
        <v>0</v>
      </c>
      <c r="M134" s="241" cm="1">
        <f t="array" ref="M134">IFERROR(INDEX(CMSDescuento!$D$2:$D$7, MATCH(1, (CMSDescuento!$B$2:$B$7=CMSRecursos!F134) * (CMSDescuento!$C$2:$C$7=CMSRecursos!I134), 0)),0)</f>
        <v>0</v>
      </c>
      <c r="N134" s="241">
        <f t="shared" ref="N134:N197" si="15">M134*(1-L134)</f>
        <v>0</v>
      </c>
      <c r="O134" s="241">
        <f t="shared" si="11"/>
        <v>0</v>
      </c>
      <c r="P134" s="7"/>
      <c r="Q134" s="232"/>
      <c r="R134" s="7"/>
      <c r="S134" s="243">
        <f>N134/(1-CMSResumen!H21)</f>
        <v>0</v>
      </c>
      <c r="T134" s="244">
        <f t="shared" si="12"/>
        <v>0</v>
      </c>
      <c r="U134" s="244">
        <f t="shared" si="13"/>
        <v>0</v>
      </c>
      <c r="V134" s="242">
        <f t="shared" si="14"/>
        <v>0</v>
      </c>
      <c r="W134" s="247"/>
      <c r="X134" s="224"/>
    </row>
    <row r="135" spans="1:24" ht="15" customHeight="1">
      <c r="A135" s="5"/>
      <c r="B135" s="238"/>
      <c r="C135" s="239"/>
      <c r="D135" s="139"/>
      <c r="E135" s="215"/>
      <c r="F135" s="240" t="str">
        <f>IF(E135="AWS",IFERROR(INDEX(CMSAzureAWS!C:C,MATCH(CMSRecursos!G135,CMSAzureAWS!E:E,0)),0),IF(E135="Azure",IFERROR(INDEX(CMSAzureAWS!C:C,MATCH(CMSRecursos!G135,CMSAzureAWS!G:G,0)),0),"Seleccione un Vendor"))</f>
        <v>Seleccione un Vendor</v>
      </c>
      <c r="G135" s="215"/>
      <c r="H135" s="241" t="str">
        <f>IF(E135="AWS",IFERROR(INDEX(CMSAzureAWS!D:D,MATCH(CMSRecursos!G135,CMSAzureAWS!E:E,0)),0),IF(E135="Azure",IFERROR(INDEX(CMSAzureAWS!D:D,MATCH(CMSRecursos!G135,CMSAzureAWS!G:G,0)),0),"Seleccione un Vendor"))</f>
        <v>Seleccione un Vendor</v>
      </c>
      <c r="I135" s="245" t="s">
        <v>1009</v>
      </c>
      <c r="J135" s="245" t="s">
        <v>1009</v>
      </c>
      <c r="K135" s="246">
        <v>0</v>
      </c>
      <c r="L135" s="242" cm="1">
        <f t="array" ref="L135">IFERROR(IF(I135="Si", INDEX(CMSDescuento!$E$23:$E$26, MATCH(1, (CMSDescuento!$C$23:$C$26&lt;=CMSRecursos!K135) * (CMSDescuento!$D$23:$D$26&gt;=CMSRecursos!K135), 0)), 0),0)</f>
        <v>0</v>
      </c>
      <c r="M135" s="241" cm="1">
        <f t="array" ref="M135">IFERROR(INDEX(CMSDescuento!$D$2:$D$7, MATCH(1, (CMSDescuento!$B$2:$B$7=CMSRecursos!F135) * (CMSDescuento!$C$2:$C$7=CMSRecursos!I135), 0)),0)</f>
        <v>0</v>
      </c>
      <c r="N135" s="241">
        <f t="shared" si="15"/>
        <v>0</v>
      </c>
      <c r="O135" s="241">
        <f t="shared" si="11"/>
        <v>0</v>
      </c>
      <c r="P135" s="7"/>
      <c r="Q135" s="232"/>
      <c r="R135" s="7"/>
      <c r="S135" s="243">
        <f>N135/(1-CMSResumen!H21)</f>
        <v>0</v>
      </c>
      <c r="T135" s="244">
        <f t="shared" si="12"/>
        <v>0</v>
      </c>
      <c r="U135" s="244">
        <f t="shared" si="13"/>
        <v>0</v>
      </c>
      <c r="V135" s="242">
        <f t="shared" si="14"/>
        <v>0</v>
      </c>
      <c r="W135" s="247"/>
      <c r="X135" s="224"/>
    </row>
    <row r="136" spans="1:24" ht="15" customHeight="1">
      <c r="A136" s="5"/>
      <c r="B136" s="238"/>
      <c r="C136" s="239"/>
      <c r="D136" s="139"/>
      <c r="E136" s="215"/>
      <c r="F136" s="240" t="str">
        <f>IF(E136="AWS",IFERROR(INDEX(CMSAzureAWS!C:C,MATCH(CMSRecursos!G136,CMSAzureAWS!E:E,0)),0),IF(E136="Azure",IFERROR(INDEX(CMSAzureAWS!C:C,MATCH(CMSRecursos!G136,CMSAzureAWS!G:G,0)),0),"Seleccione un Vendor"))</f>
        <v>Seleccione un Vendor</v>
      </c>
      <c r="G136" s="215"/>
      <c r="H136" s="241" t="str">
        <f>IF(E136="AWS",IFERROR(INDEX(CMSAzureAWS!D:D,MATCH(CMSRecursos!G136,CMSAzureAWS!E:E,0)),0),IF(E136="Azure",IFERROR(INDEX(CMSAzureAWS!D:D,MATCH(CMSRecursos!G136,CMSAzureAWS!G:G,0)),0),"Seleccione un Vendor"))</f>
        <v>Seleccione un Vendor</v>
      </c>
      <c r="I136" s="245" t="s">
        <v>1009</v>
      </c>
      <c r="J136" s="245" t="s">
        <v>1009</v>
      </c>
      <c r="K136" s="246">
        <v>0</v>
      </c>
      <c r="L136" s="242" cm="1">
        <f t="array" ref="L136">IFERROR(IF(I136="Si", INDEX(CMSDescuento!$E$23:$E$26, MATCH(1, (CMSDescuento!$C$23:$C$26&lt;=CMSRecursos!K136) * (CMSDescuento!$D$23:$D$26&gt;=CMSRecursos!K136), 0)), 0),0)</f>
        <v>0</v>
      </c>
      <c r="M136" s="241" cm="1">
        <f t="array" ref="M136">IFERROR(INDEX(CMSDescuento!$D$2:$D$7, MATCH(1, (CMSDescuento!$B$2:$B$7=CMSRecursos!F136) * (CMSDescuento!$C$2:$C$7=CMSRecursos!I136), 0)),0)</f>
        <v>0</v>
      </c>
      <c r="N136" s="241">
        <f t="shared" si="15"/>
        <v>0</v>
      </c>
      <c r="O136" s="241">
        <f t="shared" si="11"/>
        <v>0</v>
      </c>
      <c r="P136" s="7"/>
      <c r="Q136" s="232"/>
      <c r="R136" s="7"/>
      <c r="S136" s="243">
        <f>N136/(1-CMSResumen!H21)</f>
        <v>0</v>
      </c>
      <c r="T136" s="244">
        <f t="shared" si="12"/>
        <v>0</v>
      </c>
      <c r="U136" s="244">
        <f t="shared" si="13"/>
        <v>0</v>
      </c>
      <c r="V136" s="242">
        <f t="shared" si="14"/>
        <v>0</v>
      </c>
      <c r="W136" s="247"/>
      <c r="X136" s="224"/>
    </row>
    <row r="137" spans="1:24" ht="15" customHeight="1">
      <c r="A137" s="5"/>
      <c r="B137" s="238"/>
      <c r="C137" s="239"/>
      <c r="D137" s="139"/>
      <c r="E137" s="215"/>
      <c r="F137" s="240" t="str">
        <f>IF(E137="AWS",IFERROR(INDEX(CMSAzureAWS!C:C,MATCH(CMSRecursos!G137,CMSAzureAWS!E:E,0)),0),IF(E137="Azure",IFERROR(INDEX(CMSAzureAWS!C:C,MATCH(CMSRecursos!G137,CMSAzureAWS!G:G,0)),0),"Seleccione un Vendor"))</f>
        <v>Seleccione un Vendor</v>
      </c>
      <c r="G137" s="215"/>
      <c r="H137" s="241" t="str">
        <f>IF(E137="AWS",IFERROR(INDEX(CMSAzureAWS!D:D,MATCH(CMSRecursos!G137,CMSAzureAWS!E:E,0)),0),IF(E137="Azure",IFERROR(INDEX(CMSAzureAWS!D:D,MATCH(CMSRecursos!G137,CMSAzureAWS!G:G,0)),0),"Seleccione un Vendor"))</f>
        <v>Seleccione un Vendor</v>
      </c>
      <c r="I137" s="245" t="s">
        <v>1009</v>
      </c>
      <c r="J137" s="245" t="s">
        <v>1009</v>
      </c>
      <c r="K137" s="246">
        <v>0</v>
      </c>
      <c r="L137" s="242" cm="1">
        <f t="array" ref="L137">IFERROR(IF(I137="Si", INDEX(CMSDescuento!$E$23:$E$26, MATCH(1, (CMSDescuento!$C$23:$C$26&lt;=CMSRecursos!K137) * (CMSDescuento!$D$23:$D$26&gt;=CMSRecursos!K137), 0)), 0),0)</f>
        <v>0</v>
      </c>
      <c r="M137" s="241" cm="1">
        <f t="array" ref="M137">IFERROR(INDEX(CMSDescuento!$D$2:$D$7, MATCH(1, (CMSDescuento!$B$2:$B$7=CMSRecursos!F137) * (CMSDescuento!$C$2:$C$7=CMSRecursos!I137), 0)),0)</f>
        <v>0</v>
      </c>
      <c r="N137" s="241">
        <f t="shared" si="15"/>
        <v>0</v>
      </c>
      <c r="O137" s="241">
        <f t="shared" si="11"/>
        <v>0</v>
      </c>
      <c r="P137" s="7"/>
      <c r="Q137" s="232"/>
      <c r="R137" s="7"/>
      <c r="S137" s="243">
        <f>N137/(1-CMSResumen!H21)</f>
        <v>0</v>
      </c>
      <c r="T137" s="244">
        <f t="shared" si="12"/>
        <v>0</v>
      </c>
      <c r="U137" s="244">
        <f t="shared" si="13"/>
        <v>0</v>
      </c>
      <c r="V137" s="242">
        <f t="shared" si="14"/>
        <v>0</v>
      </c>
      <c r="W137" s="247"/>
      <c r="X137" s="224"/>
    </row>
    <row r="138" spans="1:24" ht="15" customHeight="1">
      <c r="A138" s="5"/>
      <c r="B138" s="238"/>
      <c r="C138" s="239"/>
      <c r="D138" s="139"/>
      <c r="E138" s="215"/>
      <c r="F138" s="240" t="str">
        <f>IF(E138="AWS",IFERROR(INDEX(CMSAzureAWS!C:C,MATCH(CMSRecursos!G138,CMSAzureAWS!E:E,0)),0),IF(E138="Azure",IFERROR(INDEX(CMSAzureAWS!C:C,MATCH(CMSRecursos!G138,CMSAzureAWS!G:G,0)),0),"Seleccione un Vendor"))</f>
        <v>Seleccione un Vendor</v>
      </c>
      <c r="G138" s="215"/>
      <c r="H138" s="241" t="str">
        <f>IF(E138="AWS",IFERROR(INDEX(CMSAzureAWS!D:D,MATCH(CMSRecursos!G138,CMSAzureAWS!E:E,0)),0),IF(E138="Azure",IFERROR(INDEX(CMSAzureAWS!D:D,MATCH(CMSRecursos!G138,CMSAzureAWS!G:G,0)),0),"Seleccione un Vendor"))</f>
        <v>Seleccione un Vendor</v>
      </c>
      <c r="I138" s="245" t="s">
        <v>1009</v>
      </c>
      <c r="J138" s="245" t="s">
        <v>1009</v>
      </c>
      <c r="K138" s="246">
        <v>0</v>
      </c>
      <c r="L138" s="242" cm="1">
        <f t="array" ref="L138">IFERROR(IF(I138="Si", INDEX(CMSDescuento!$E$23:$E$26, MATCH(1, (CMSDescuento!$C$23:$C$26&lt;=CMSRecursos!K138) * (CMSDescuento!$D$23:$D$26&gt;=CMSRecursos!K138), 0)), 0),0)</f>
        <v>0</v>
      </c>
      <c r="M138" s="241" cm="1">
        <f t="array" ref="M138">IFERROR(INDEX(CMSDescuento!$D$2:$D$7, MATCH(1, (CMSDescuento!$B$2:$B$7=CMSRecursos!F138) * (CMSDescuento!$C$2:$C$7=CMSRecursos!I138), 0)),0)</f>
        <v>0</v>
      </c>
      <c r="N138" s="241">
        <f t="shared" si="15"/>
        <v>0</v>
      </c>
      <c r="O138" s="241">
        <f t="shared" si="11"/>
        <v>0</v>
      </c>
      <c r="P138" s="7"/>
      <c r="Q138" s="232"/>
      <c r="R138" s="7"/>
      <c r="S138" s="243">
        <f>N138/(1-CMSResumen!H21)</f>
        <v>0</v>
      </c>
      <c r="T138" s="244">
        <f t="shared" si="12"/>
        <v>0</v>
      </c>
      <c r="U138" s="244">
        <f t="shared" si="13"/>
        <v>0</v>
      </c>
      <c r="V138" s="242">
        <f t="shared" si="14"/>
        <v>0</v>
      </c>
      <c r="W138" s="247"/>
      <c r="X138" s="224"/>
    </row>
    <row r="139" spans="1:24" ht="15" customHeight="1">
      <c r="A139" s="5"/>
      <c r="B139" s="238"/>
      <c r="C139" s="239"/>
      <c r="D139" s="139"/>
      <c r="E139" s="215"/>
      <c r="F139" s="240" t="str">
        <f>IF(E139="AWS",IFERROR(INDEX(CMSAzureAWS!C:C,MATCH(CMSRecursos!G139,CMSAzureAWS!E:E,0)),0),IF(E139="Azure",IFERROR(INDEX(CMSAzureAWS!C:C,MATCH(CMSRecursos!G139,CMSAzureAWS!G:G,0)),0),"Seleccione un Vendor"))</f>
        <v>Seleccione un Vendor</v>
      </c>
      <c r="G139" s="215"/>
      <c r="H139" s="241" t="str">
        <f>IF(E139="AWS",IFERROR(INDEX(CMSAzureAWS!D:D,MATCH(CMSRecursos!G139,CMSAzureAWS!E:E,0)),0),IF(E139="Azure",IFERROR(INDEX(CMSAzureAWS!D:D,MATCH(CMSRecursos!G139,CMSAzureAWS!G:G,0)),0),"Seleccione un Vendor"))</f>
        <v>Seleccione un Vendor</v>
      </c>
      <c r="I139" s="245" t="s">
        <v>1009</v>
      </c>
      <c r="J139" s="245" t="s">
        <v>1009</v>
      </c>
      <c r="K139" s="246">
        <v>0</v>
      </c>
      <c r="L139" s="242" cm="1">
        <f t="array" ref="L139">IFERROR(IF(I139="Si", INDEX(CMSDescuento!$E$23:$E$26, MATCH(1, (CMSDescuento!$C$23:$C$26&lt;=CMSRecursos!K139) * (CMSDescuento!$D$23:$D$26&gt;=CMSRecursos!K139), 0)), 0),0)</f>
        <v>0</v>
      </c>
      <c r="M139" s="241" cm="1">
        <f t="array" ref="M139">IFERROR(INDEX(CMSDescuento!$D$2:$D$7, MATCH(1, (CMSDescuento!$B$2:$B$7=CMSRecursos!F139) * (CMSDescuento!$C$2:$C$7=CMSRecursos!I139), 0)),0)</f>
        <v>0</v>
      </c>
      <c r="N139" s="241">
        <f t="shared" si="15"/>
        <v>0</v>
      </c>
      <c r="O139" s="241">
        <f t="shared" si="11"/>
        <v>0</v>
      </c>
      <c r="P139" s="7"/>
      <c r="Q139" s="232"/>
      <c r="R139" s="7"/>
      <c r="S139" s="243">
        <f>N139/(1-CMSResumen!H21)</f>
        <v>0</v>
      </c>
      <c r="T139" s="244">
        <f t="shared" si="12"/>
        <v>0</v>
      </c>
      <c r="U139" s="244">
        <f t="shared" si="13"/>
        <v>0</v>
      </c>
      <c r="V139" s="242">
        <f t="shared" si="14"/>
        <v>0</v>
      </c>
      <c r="W139" s="247"/>
      <c r="X139" s="224"/>
    </row>
    <row r="140" spans="1:24" ht="15" customHeight="1">
      <c r="A140" s="5"/>
      <c r="B140" s="238"/>
      <c r="C140" s="239"/>
      <c r="D140" s="139"/>
      <c r="E140" s="215"/>
      <c r="F140" s="240" t="str">
        <f>IF(E140="AWS",IFERROR(INDEX(CMSAzureAWS!C:C,MATCH(CMSRecursos!G140,CMSAzureAWS!E:E,0)),0),IF(E140="Azure",IFERROR(INDEX(CMSAzureAWS!C:C,MATCH(CMSRecursos!G140,CMSAzureAWS!G:G,0)),0),"Seleccione un Vendor"))</f>
        <v>Seleccione un Vendor</v>
      </c>
      <c r="G140" s="215"/>
      <c r="H140" s="241" t="str">
        <f>IF(E140="AWS",IFERROR(INDEX(CMSAzureAWS!D:D,MATCH(CMSRecursos!G140,CMSAzureAWS!E:E,0)),0),IF(E140="Azure",IFERROR(INDEX(CMSAzureAWS!D:D,MATCH(CMSRecursos!G140,CMSAzureAWS!G:G,0)),0),"Seleccione un Vendor"))</f>
        <v>Seleccione un Vendor</v>
      </c>
      <c r="I140" s="245" t="s">
        <v>1009</v>
      </c>
      <c r="J140" s="245" t="s">
        <v>1009</v>
      </c>
      <c r="K140" s="246">
        <v>0</v>
      </c>
      <c r="L140" s="242" cm="1">
        <f t="array" ref="L140">IFERROR(IF(I140="Si", INDEX(CMSDescuento!$E$23:$E$26, MATCH(1, (CMSDescuento!$C$23:$C$26&lt;=CMSRecursos!K140) * (CMSDescuento!$D$23:$D$26&gt;=CMSRecursos!K140), 0)), 0),0)</f>
        <v>0</v>
      </c>
      <c r="M140" s="241" cm="1">
        <f t="array" ref="M140">IFERROR(INDEX(CMSDescuento!$D$2:$D$7, MATCH(1, (CMSDescuento!$B$2:$B$7=CMSRecursos!F140) * (CMSDescuento!$C$2:$C$7=CMSRecursos!I140), 0)),0)</f>
        <v>0</v>
      </c>
      <c r="N140" s="241">
        <f t="shared" si="15"/>
        <v>0</v>
      </c>
      <c r="O140" s="241">
        <f t="shared" si="11"/>
        <v>0</v>
      </c>
      <c r="P140" s="7"/>
      <c r="Q140" s="232"/>
      <c r="R140" s="7"/>
      <c r="S140" s="243">
        <f>N140/(1-CMSResumen!H21)</f>
        <v>0</v>
      </c>
      <c r="T140" s="244">
        <f t="shared" si="12"/>
        <v>0</v>
      </c>
      <c r="U140" s="244">
        <f t="shared" si="13"/>
        <v>0</v>
      </c>
      <c r="V140" s="242">
        <f t="shared" si="14"/>
        <v>0</v>
      </c>
      <c r="W140" s="247"/>
      <c r="X140" s="224"/>
    </row>
    <row r="141" spans="1:24" ht="15" customHeight="1">
      <c r="A141" s="5"/>
      <c r="B141" s="238"/>
      <c r="C141" s="239"/>
      <c r="D141" s="139"/>
      <c r="E141" s="215"/>
      <c r="F141" s="240" t="str">
        <f>IF(E141="AWS",IFERROR(INDEX(CMSAzureAWS!C:C,MATCH(CMSRecursos!G141,CMSAzureAWS!E:E,0)),0),IF(E141="Azure",IFERROR(INDEX(CMSAzureAWS!C:C,MATCH(CMSRecursos!G141,CMSAzureAWS!G:G,0)),0),"Seleccione un Vendor"))</f>
        <v>Seleccione un Vendor</v>
      </c>
      <c r="G141" s="215"/>
      <c r="H141" s="241" t="str">
        <f>IF(E141="AWS",IFERROR(INDEX(CMSAzureAWS!D:D,MATCH(CMSRecursos!G141,CMSAzureAWS!E:E,0)),0),IF(E141="Azure",IFERROR(INDEX(CMSAzureAWS!D:D,MATCH(CMSRecursos!G141,CMSAzureAWS!G:G,0)),0),"Seleccione un Vendor"))</f>
        <v>Seleccione un Vendor</v>
      </c>
      <c r="I141" s="245" t="s">
        <v>1009</v>
      </c>
      <c r="J141" s="245" t="s">
        <v>1009</v>
      </c>
      <c r="K141" s="246">
        <v>0</v>
      </c>
      <c r="L141" s="242" cm="1">
        <f t="array" ref="L141">IFERROR(IF(I141="Si", INDEX(CMSDescuento!$E$23:$E$26, MATCH(1, (CMSDescuento!$C$23:$C$26&lt;=CMSRecursos!K141) * (CMSDescuento!$D$23:$D$26&gt;=CMSRecursos!K141), 0)), 0),0)</f>
        <v>0</v>
      </c>
      <c r="M141" s="241" cm="1">
        <f t="array" ref="M141">IFERROR(INDEX(CMSDescuento!$D$2:$D$7, MATCH(1, (CMSDescuento!$B$2:$B$7=CMSRecursos!F141) * (CMSDescuento!$C$2:$C$7=CMSRecursos!I141), 0)),0)</f>
        <v>0</v>
      </c>
      <c r="N141" s="241">
        <f t="shared" si="15"/>
        <v>0</v>
      </c>
      <c r="O141" s="241">
        <f t="shared" si="11"/>
        <v>0</v>
      </c>
      <c r="P141" s="7"/>
      <c r="Q141" s="232"/>
      <c r="R141" s="7"/>
      <c r="S141" s="243">
        <f>N141/(1-CMSResumen!H21)</f>
        <v>0</v>
      </c>
      <c r="T141" s="244">
        <f t="shared" si="12"/>
        <v>0</v>
      </c>
      <c r="U141" s="244">
        <f t="shared" si="13"/>
        <v>0</v>
      </c>
      <c r="V141" s="242">
        <f t="shared" si="14"/>
        <v>0</v>
      </c>
      <c r="W141" s="247"/>
      <c r="X141" s="224"/>
    </row>
    <row r="142" spans="1:24" ht="15" customHeight="1">
      <c r="A142" s="5"/>
      <c r="B142" s="238"/>
      <c r="C142" s="239"/>
      <c r="D142" s="139"/>
      <c r="E142" s="215"/>
      <c r="F142" s="240" t="str">
        <f>IF(E142="AWS",IFERROR(INDEX(CMSAzureAWS!C:C,MATCH(CMSRecursos!G142,CMSAzureAWS!E:E,0)),0),IF(E142="Azure",IFERROR(INDEX(CMSAzureAWS!C:C,MATCH(CMSRecursos!G142,CMSAzureAWS!G:G,0)),0),"Seleccione un Vendor"))</f>
        <v>Seleccione un Vendor</v>
      </c>
      <c r="G142" s="215"/>
      <c r="H142" s="241" t="str">
        <f>IF(E142="AWS",IFERROR(INDEX(CMSAzureAWS!D:D,MATCH(CMSRecursos!G142,CMSAzureAWS!E:E,0)),0),IF(E142="Azure",IFERROR(INDEX(CMSAzureAWS!D:D,MATCH(CMSRecursos!G142,CMSAzureAWS!G:G,0)),0),"Seleccione un Vendor"))</f>
        <v>Seleccione un Vendor</v>
      </c>
      <c r="I142" s="245" t="s">
        <v>1009</v>
      </c>
      <c r="J142" s="245" t="s">
        <v>1009</v>
      </c>
      <c r="K142" s="246">
        <v>0</v>
      </c>
      <c r="L142" s="242" cm="1">
        <f t="array" ref="L142">IFERROR(IF(I142="Si", INDEX(CMSDescuento!$E$23:$E$26, MATCH(1, (CMSDescuento!$C$23:$C$26&lt;=CMSRecursos!K142) * (CMSDescuento!$D$23:$D$26&gt;=CMSRecursos!K142), 0)), 0),0)</f>
        <v>0</v>
      </c>
      <c r="M142" s="241" cm="1">
        <f t="array" ref="M142">IFERROR(INDEX(CMSDescuento!$D$2:$D$7, MATCH(1, (CMSDescuento!$B$2:$B$7=CMSRecursos!F142) * (CMSDescuento!$C$2:$C$7=CMSRecursos!I142), 0)),0)</f>
        <v>0</v>
      </c>
      <c r="N142" s="241">
        <f t="shared" si="15"/>
        <v>0</v>
      </c>
      <c r="O142" s="241">
        <f t="shared" si="11"/>
        <v>0</v>
      </c>
      <c r="P142" s="7"/>
      <c r="Q142" s="232"/>
      <c r="R142" s="7"/>
      <c r="S142" s="243">
        <f>N142/(1-CMSResumen!H21)</f>
        <v>0</v>
      </c>
      <c r="T142" s="244">
        <f t="shared" si="12"/>
        <v>0</v>
      </c>
      <c r="U142" s="244">
        <f t="shared" si="13"/>
        <v>0</v>
      </c>
      <c r="V142" s="242">
        <f t="shared" si="14"/>
        <v>0</v>
      </c>
      <c r="W142" s="247"/>
      <c r="X142" s="224"/>
    </row>
    <row r="143" spans="1:24" ht="15" customHeight="1">
      <c r="A143" s="5"/>
      <c r="B143" s="238"/>
      <c r="C143" s="239"/>
      <c r="D143" s="139"/>
      <c r="E143" s="215"/>
      <c r="F143" s="240" t="str">
        <f>IF(E143="AWS",IFERROR(INDEX(CMSAzureAWS!C:C,MATCH(CMSRecursos!G143,CMSAzureAWS!E:E,0)),0),IF(E143="Azure",IFERROR(INDEX(CMSAzureAWS!C:C,MATCH(CMSRecursos!G143,CMSAzureAWS!G:G,0)),0),"Seleccione un Vendor"))</f>
        <v>Seleccione un Vendor</v>
      </c>
      <c r="G143" s="215"/>
      <c r="H143" s="241" t="str">
        <f>IF(E143="AWS",IFERROR(INDEX(CMSAzureAWS!D:D,MATCH(CMSRecursos!G143,CMSAzureAWS!E:E,0)),0),IF(E143="Azure",IFERROR(INDEX(CMSAzureAWS!D:D,MATCH(CMSRecursos!G143,CMSAzureAWS!G:G,0)),0),"Seleccione un Vendor"))</f>
        <v>Seleccione un Vendor</v>
      </c>
      <c r="I143" s="245" t="s">
        <v>1009</v>
      </c>
      <c r="J143" s="245" t="s">
        <v>1009</v>
      </c>
      <c r="K143" s="246">
        <v>0</v>
      </c>
      <c r="L143" s="242" cm="1">
        <f t="array" ref="L143">IFERROR(IF(I143="Si", INDEX(CMSDescuento!$E$23:$E$26, MATCH(1, (CMSDescuento!$C$23:$C$26&lt;=CMSRecursos!K143) * (CMSDescuento!$D$23:$D$26&gt;=CMSRecursos!K143), 0)), 0),0)</f>
        <v>0</v>
      </c>
      <c r="M143" s="241" cm="1">
        <f t="array" ref="M143">IFERROR(INDEX(CMSDescuento!$D$2:$D$7, MATCH(1, (CMSDescuento!$B$2:$B$7=CMSRecursos!F143) * (CMSDescuento!$C$2:$C$7=CMSRecursos!I143), 0)),0)</f>
        <v>0</v>
      </c>
      <c r="N143" s="241">
        <f t="shared" si="15"/>
        <v>0</v>
      </c>
      <c r="O143" s="241">
        <f t="shared" si="11"/>
        <v>0</v>
      </c>
      <c r="P143" s="7"/>
      <c r="Q143" s="232"/>
      <c r="R143" s="7"/>
      <c r="S143" s="243">
        <f>N143/(1-CMSResumen!H21)</f>
        <v>0</v>
      </c>
      <c r="T143" s="244">
        <f t="shared" si="12"/>
        <v>0</v>
      </c>
      <c r="U143" s="244">
        <f t="shared" si="13"/>
        <v>0</v>
      </c>
      <c r="V143" s="242">
        <f t="shared" si="14"/>
        <v>0</v>
      </c>
      <c r="W143" s="247"/>
      <c r="X143" s="224"/>
    </row>
    <row r="144" spans="1:24" ht="15" customHeight="1">
      <c r="A144" s="5"/>
      <c r="B144" s="238"/>
      <c r="C144" s="239"/>
      <c r="D144" s="139"/>
      <c r="E144" s="215"/>
      <c r="F144" s="240" t="str">
        <f>IF(E144="AWS",IFERROR(INDEX(CMSAzureAWS!C:C,MATCH(CMSRecursos!G144,CMSAzureAWS!E:E,0)),0),IF(E144="Azure",IFERROR(INDEX(CMSAzureAWS!C:C,MATCH(CMSRecursos!G144,CMSAzureAWS!G:G,0)),0),"Seleccione un Vendor"))</f>
        <v>Seleccione un Vendor</v>
      </c>
      <c r="G144" s="215"/>
      <c r="H144" s="241" t="str">
        <f>IF(E144="AWS",IFERROR(INDEX(CMSAzureAWS!D:D,MATCH(CMSRecursos!G144,CMSAzureAWS!E:E,0)),0),IF(E144="Azure",IFERROR(INDEX(CMSAzureAWS!D:D,MATCH(CMSRecursos!G144,CMSAzureAWS!G:G,0)),0),"Seleccione un Vendor"))</f>
        <v>Seleccione un Vendor</v>
      </c>
      <c r="I144" s="245" t="s">
        <v>1009</v>
      </c>
      <c r="J144" s="245" t="s">
        <v>1009</v>
      </c>
      <c r="K144" s="246">
        <v>0</v>
      </c>
      <c r="L144" s="242" cm="1">
        <f t="array" ref="L144">IFERROR(IF(I144="Si", INDEX(CMSDescuento!$E$23:$E$26, MATCH(1, (CMSDescuento!$C$23:$C$26&lt;=CMSRecursos!K144) * (CMSDescuento!$D$23:$D$26&gt;=CMSRecursos!K144), 0)), 0),0)</f>
        <v>0</v>
      </c>
      <c r="M144" s="241" cm="1">
        <f t="array" ref="M144">IFERROR(INDEX(CMSDescuento!$D$2:$D$7, MATCH(1, (CMSDescuento!$B$2:$B$7=CMSRecursos!F144) * (CMSDescuento!$C$2:$C$7=CMSRecursos!I144), 0)),0)</f>
        <v>0</v>
      </c>
      <c r="N144" s="241">
        <f t="shared" si="15"/>
        <v>0</v>
      </c>
      <c r="O144" s="241">
        <f t="shared" si="11"/>
        <v>0</v>
      </c>
      <c r="P144" s="7"/>
      <c r="Q144" s="232"/>
      <c r="R144" s="7"/>
      <c r="S144" s="243">
        <f>N144/(1-CMSResumen!H21)</f>
        <v>0</v>
      </c>
      <c r="T144" s="244">
        <f t="shared" si="12"/>
        <v>0</v>
      </c>
      <c r="U144" s="244">
        <f t="shared" si="13"/>
        <v>0</v>
      </c>
      <c r="V144" s="242">
        <f t="shared" si="14"/>
        <v>0</v>
      </c>
      <c r="W144" s="247"/>
      <c r="X144" s="224"/>
    </row>
    <row r="145" spans="1:24" ht="15" customHeight="1">
      <c r="A145" s="5"/>
      <c r="B145" s="238"/>
      <c r="C145" s="239"/>
      <c r="D145" s="139"/>
      <c r="E145" s="215"/>
      <c r="F145" s="240" t="str">
        <f>IF(E145="AWS",IFERROR(INDEX(CMSAzureAWS!C:C,MATCH(CMSRecursos!G145,CMSAzureAWS!E:E,0)),0),IF(E145="Azure",IFERROR(INDEX(CMSAzureAWS!C:C,MATCH(CMSRecursos!G145,CMSAzureAWS!G:G,0)),0),"Seleccione un Vendor"))</f>
        <v>Seleccione un Vendor</v>
      </c>
      <c r="G145" s="215"/>
      <c r="H145" s="241" t="str">
        <f>IF(E145="AWS",IFERROR(INDEX(CMSAzureAWS!D:D,MATCH(CMSRecursos!G145,CMSAzureAWS!E:E,0)),0),IF(E145="Azure",IFERROR(INDEX(CMSAzureAWS!D:D,MATCH(CMSRecursos!G145,CMSAzureAWS!G:G,0)),0),"Seleccione un Vendor"))</f>
        <v>Seleccione un Vendor</v>
      </c>
      <c r="I145" s="245" t="s">
        <v>1009</v>
      </c>
      <c r="J145" s="245" t="s">
        <v>1009</v>
      </c>
      <c r="K145" s="246">
        <v>0</v>
      </c>
      <c r="L145" s="242" cm="1">
        <f t="array" ref="L145">IFERROR(IF(I145="Si", INDEX(CMSDescuento!$E$23:$E$26, MATCH(1, (CMSDescuento!$C$23:$C$26&lt;=CMSRecursos!K145) * (CMSDescuento!$D$23:$D$26&gt;=CMSRecursos!K145), 0)), 0),0)</f>
        <v>0</v>
      </c>
      <c r="M145" s="241" cm="1">
        <f t="array" ref="M145">IFERROR(INDEX(CMSDescuento!$D$2:$D$7, MATCH(1, (CMSDescuento!$B$2:$B$7=CMSRecursos!F145) * (CMSDescuento!$C$2:$C$7=CMSRecursos!I145), 0)),0)</f>
        <v>0</v>
      </c>
      <c r="N145" s="241">
        <f t="shared" si="15"/>
        <v>0</v>
      </c>
      <c r="O145" s="241">
        <f t="shared" si="11"/>
        <v>0</v>
      </c>
      <c r="P145" s="7"/>
      <c r="Q145" s="232"/>
      <c r="R145" s="7"/>
      <c r="S145" s="243">
        <f>N145/(1-CMSResumen!H21)</f>
        <v>0</v>
      </c>
      <c r="T145" s="244">
        <f t="shared" si="12"/>
        <v>0</v>
      </c>
      <c r="U145" s="244">
        <f t="shared" si="13"/>
        <v>0</v>
      </c>
      <c r="V145" s="242">
        <f t="shared" si="14"/>
        <v>0</v>
      </c>
      <c r="W145" s="247"/>
      <c r="X145" s="224"/>
    </row>
    <row r="146" spans="1:24" ht="15" customHeight="1">
      <c r="A146" s="5"/>
      <c r="B146" s="238"/>
      <c r="C146" s="239"/>
      <c r="D146" s="139"/>
      <c r="E146" s="215"/>
      <c r="F146" s="240" t="str">
        <f>IF(E146="AWS",IFERROR(INDEX(CMSAzureAWS!C:C,MATCH(CMSRecursos!G146,CMSAzureAWS!E:E,0)),0),IF(E146="Azure",IFERROR(INDEX(CMSAzureAWS!C:C,MATCH(CMSRecursos!G146,CMSAzureAWS!G:G,0)),0),"Seleccione un Vendor"))</f>
        <v>Seleccione un Vendor</v>
      </c>
      <c r="G146" s="215"/>
      <c r="H146" s="241" t="str">
        <f>IF(E146="AWS",IFERROR(INDEX(CMSAzureAWS!D:D,MATCH(CMSRecursos!G146,CMSAzureAWS!E:E,0)),0),IF(E146="Azure",IFERROR(INDEX(CMSAzureAWS!D:D,MATCH(CMSRecursos!G146,CMSAzureAWS!G:G,0)),0),"Seleccione un Vendor"))</f>
        <v>Seleccione un Vendor</v>
      </c>
      <c r="I146" s="245" t="s">
        <v>1009</v>
      </c>
      <c r="J146" s="245" t="s">
        <v>1009</v>
      </c>
      <c r="K146" s="246">
        <v>0</v>
      </c>
      <c r="L146" s="242" cm="1">
        <f t="array" ref="L146">IFERROR(IF(I146="Si", INDEX(CMSDescuento!$E$23:$E$26, MATCH(1, (CMSDescuento!$C$23:$C$26&lt;=CMSRecursos!K146) * (CMSDescuento!$D$23:$D$26&gt;=CMSRecursos!K146), 0)), 0),0)</f>
        <v>0</v>
      </c>
      <c r="M146" s="241" cm="1">
        <f t="array" ref="M146">IFERROR(INDEX(CMSDescuento!$D$2:$D$7, MATCH(1, (CMSDescuento!$B$2:$B$7=CMSRecursos!F146) * (CMSDescuento!$C$2:$C$7=CMSRecursos!I146), 0)),0)</f>
        <v>0</v>
      </c>
      <c r="N146" s="241">
        <f t="shared" si="15"/>
        <v>0</v>
      </c>
      <c r="O146" s="241">
        <f t="shared" si="11"/>
        <v>0</v>
      </c>
      <c r="P146" s="7"/>
      <c r="Q146" s="232"/>
      <c r="R146" s="7"/>
      <c r="S146" s="243">
        <f>N146/(1-CMSResumen!H21)</f>
        <v>0</v>
      </c>
      <c r="T146" s="244">
        <f t="shared" si="12"/>
        <v>0</v>
      </c>
      <c r="U146" s="244">
        <f t="shared" si="13"/>
        <v>0</v>
      </c>
      <c r="V146" s="242">
        <f t="shared" si="14"/>
        <v>0</v>
      </c>
      <c r="W146" s="247"/>
      <c r="X146" s="224"/>
    </row>
    <row r="147" spans="1:24" ht="15" customHeight="1">
      <c r="A147" s="5"/>
      <c r="B147" s="238"/>
      <c r="C147" s="239"/>
      <c r="D147" s="139"/>
      <c r="E147" s="215"/>
      <c r="F147" s="240" t="str">
        <f>IF(E147="AWS",IFERROR(INDEX(CMSAzureAWS!C:C,MATCH(CMSRecursos!G147,CMSAzureAWS!E:E,0)),0),IF(E147="Azure",IFERROR(INDEX(CMSAzureAWS!C:C,MATCH(CMSRecursos!G147,CMSAzureAWS!G:G,0)),0),"Seleccione un Vendor"))</f>
        <v>Seleccione un Vendor</v>
      </c>
      <c r="G147" s="215"/>
      <c r="H147" s="241" t="str">
        <f>IF(E147="AWS",IFERROR(INDEX(CMSAzureAWS!D:D,MATCH(CMSRecursos!G147,CMSAzureAWS!E:E,0)),0),IF(E147="Azure",IFERROR(INDEX(CMSAzureAWS!D:D,MATCH(CMSRecursos!G147,CMSAzureAWS!G:G,0)),0),"Seleccione un Vendor"))</f>
        <v>Seleccione un Vendor</v>
      </c>
      <c r="I147" s="245" t="s">
        <v>1009</v>
      </c>
      <c r="J147" s="245" t="s">
        <v>1009</v>
      </c>
      <c r="K147" s="246">
        <v>0</v>
      </c>
      <c r="L147" s="242" cm="1">
        <f t="array" ref="L147">IFERROR(IF(I147="Si", INDEX(CMSDescuento!$E$23:$E$26, MATCH(1, (CMSDescuento!$C$23:$C$26&lt;=CMSRecursos!K147) * (CMSDescuento!$D$23:$D$26&gt;=CMSRecursos!K147), 0)), 0),0)</f>
        <v>0</v>
      </c>
      <c r="M147" s="241" cm="1">
        <f t="array" ref="M147">IFERROR(INDEX(CMSDescuento!$D$2:$D$7, MATCH(1, (CMSDescuento!$B$2:$B$7=CMSRecursos!F147) * (CMSDescuento!$C$2:$C$7=CMSRecursos!I147), 0)),0)</f>
        <v>0</v>
      </c>
      <c r="N147" s="241">
        <f t="shared" si="15"/>
        <v>0</v>
      </c>
      <c r="O147" s="241">
        <f t="shared" si="11"/>
        <v>0</v>
      </c>
      <c r="P147" s="7"/>
      <c r="Q147" s="232"/>
      <c r="R147" s="7"/>
      <c r="S147" s="243">
        <f>N147/(1-CMSResumen!H21)</f>
        <v>0</v>
      </c>
      <c r="T147" s="244">
        <f t="shared" si="12"/>
        <v>0</v>
      </c>
      <c r="U147" s="244">
        <f t="shared" si="13"/>
        <v>0</v>
      </c>
      <c r="V147" s="242">
        <f t="shared" si="14"/>
        <v>0</v>
      </c>
      <c r="W147" s="247"/>
      <c r="X147" s="224"/>
    </row>
    <row r="148" spans="1:24" ht="15" customHeight="1">
      <c r="A148" s="5"/>
      <c r="B148" s="238"/>
      <c r="C148" s="239"/>
      <c r="D148" s="139"/>
      <c r="E148" s="215"/>
      <c r="F148" s="240" t="str">
        <f>IF(E148="AWS",IFERROR(INDEX(CMSAzureAWS!C:C,MATCH(CMSRecursos!G148,CMSAzureAWS!E:E,0)),0),IF(E148="Azure",IFERROR(INDEX(CMSAzureAWS!C:C,MATCH(CMSRecursos!G148,CMSAzureAWS!G:G,0)),0),"Seleccione un Vendor"))</f>
        <v>Seleccione un Vendor</v>
      </c>
      <c r="G148" s="215"/>
      <c r="H148" s="241" t="str">
        <f>IF(E148="AWS",IFERROR(INDEX(CMSAzureAWS!D:D,MATCH(CMSRecursos!G148,CMSAzureAWS!E:E,0)),0),IF(E148="Azure",IFERROR(INDEX(CMSAzureAWS!D:D,MATCH(CMSRecursos!G148,CMSAzureAWS!G:G,0)),0),"Seleccione un Vendor"))</f>
        <v>Seleccione un Vendor</v>
      </c>
      <c r="I148" s="245" t="s">
        <v>1009</v>
      </c>
      <c r="J148" s="245" t="s">
        <v>1009</v>
      </c>
      <c r="K148" s="246">
        <v>0</v>
      </c>
      <c r="L148" s="242" cm="1">
        <f t="array" ref="L148">IFERROR(IF(I148="Si", INDEX(CMSDescuento!$E$23:$E$26, MATCH(1, (CMSDescuento!$C$23:$C$26&lt;=CMSRecursos!K148) * (CMSDescuento!$D$23:$D$26&gt;=CMSRecursos!K148), 0)), 0),0)</f>
        <v>0</v>
      </c>
      <c r="M148" s="241" cm="1">
        <f t="array" ref="M148">IFERROR(INDEX(CMSDescuento!$D$2:$D$7, MATCH(1, (CMSDescuento!$B$2:$B$7=CMSRecursos!F148) * (CMSDescuento!$C$2:$C$7=CMSRecursos!I148), 0)),0)</f>
        <v>0</v>
      </c>
      <c r="N148" s="241">
        <f t="shared" si="15"/>
        <v>0</v>
      </c>
      <c r="O148" s="241">
        <f t="shared" si="11"/>
        <v>0</v>
      </c>
      <c r="P148" s="7"/>
      <c r="Q148" s="232"/>
      <c r="R148" s="7"/>
      <c r="S148" s="243">
        <f>N148/(1-CMSResumen!H21)</f>
        <v>0</v>
      </c>
      <c r="T148" s="244">
        <f t="shared" si="12"/>
        <v>0</v>
      </c>
      <c r="U148" s="244">
        <f t="shared" si="13"/>
        <v>0</v>
      </c>
      <c r="V148" s="242">
        <f t="shared" si="14"/>
        <v>0</v>
      </c>
      <c r="W148" s="247"/>
      <c r="X148" s="224"/>
    </row>
    <row r="149" spans="1:24" ht="15" customHeight="1">
      <c r="A149" s="5"/>
      <c r="B149" s="238"/>
      <c r="C149" s="239"/>
      <c r="D149" s="139"/>
      <c r="E149" s="215"/>
      <c r="F149" s="240" t="str">
        <f>IF(E149="AWS",IFERROR(INDEX(CMSAzureAWS!C:C,MATCH(CMSRecursos!G149,CMSAzureAWS!E:E,0)),0),IF(E149="Azure",IFERROR(INDEX(CMSAzureAWS!C:C,MATCH(CMSRecursos!G149,CMSAzureAWS!G:G,0)),0),"Seleccione un Vendor"))</f>
        <v>Seleccione un Vendor</v>
      </c>
      <c r="G149" s="215"/>
      <c r="H149" s="241" t="str">
        <f>IF(E149="AWS",IFERROR(INDEX(CMSAzureAWS!D:D,MATCH(CMSRecursos!G149,CMSAzureAWS!E:E,0)),0),IF(E149="Azure",IFERROR(INDEX(CMSAzureAWS!D:D,MATCH(CMSRecursos!G149,CMSAzureAWS!G:G,0)),0),"Seleccione un Vendor"))</f>
        <v>Seleccione un Vendor</v>
      </c>
      <c r="I149" s="245" t="s">
        <v>1009</v>
      </c>
      <c r="J149" s="245" t="s">
        <v>1009</v>
      </c>
      <c r="K149" s="246">
        <v>0</v>
      </c>
      <c r="L149" s="242" cm="1">
        <f t="array" ref="L149">IFERROR(IF(I149="Si", INDEX(CMSDescuento!$E$23:$E$26, MATCH(1, (CMSDescuento!$C$23:$C$26&lt;=CMSRecursos!K149) * (CMSDescuento!$D$23:$D$26&gt;=CMSRecursos!K149), 0)), 0),0)</f>
        <v>0</v>
      </c>
      <c r="M149" s="241" cm="1">
        <f t="array" ref="M149">IFERROR(INDEX(CMSDescuento!$D$2:$D$7, MATCH(1, (CMSDescuento!$B$2:$B$7=CMSRecursos!F149) * (CMSDescuento!$C$2:$C$7=CMSRecursos!I149), 0)),0)</f>
        <v>0</v>
      </c>
      <c r="N149" s="241">
        <f t="shared" si="15"/>
        <v>0</v>
      </c>
      <c r="O149" s="241">
        <f t="shared" si="11"/>
        <v>0</v>
      </c>
      <c r="P149" s="7"/>
      <c r="Q149" s="232"/>
      <c r="R149" s="7"/>
      <c r="S149" s="243">
        <f>N149/(1-CMSResumen!H21)</f>
        <v>0</v>
      </c>
      <c r="T149" s="244">
        <f t="shared" si="12"/>
        <v>0</v>
      </c>
      <c r="U149" s="244">
        <f t="shared" si="13"/>
        <v>0</v>
      </c>
      <c r="V149" s="242">
        <f t="shared" si="14"/>
        <v>0</v>
      </c>
      <c r="W149" s="247"/>
      <c r="X149" s="224"/>
    </row>
    <row r="150" spans="1:24" ht="15" customHeight="1">
      <c r="A150" s="5"/>
      <c r="B150" s="238"/>
      <c r="C150" s="239"/>
      <c r="D150" s="139"/>
      <c r="E150" s="215"/>
      <c r="F150" s="240" t="str">
        <f>IF(E150="AWS",IFERROR(INDEX(CMSAzureAWS!C:C,MATCH(CMSRecursos!G150,CMSAzureAWS!E:E,0)),0),IF(E150="Azure",IFERROR(INDEX(CMSAzureAWS!C:C,MATCH(CMSRecursos!G150,CMSAzureAWS!G:G,0)),0),"Seleccione un Vendor"))</f>
        <v>Seleccione un Vendor</v>
      </c>
      <c r="G150" s="215"/>
      <c r="H150" s="241" t="str">
        <f>IF(E150="AWS",IFERROR(INDEX(CMSAzureAWS!D:D,MATCH(CMSRecursos!G150,CMSAzureAWS!E:E,0)),0),IF(E150="Azure",IFERROR(INDEX(CMSAzureAWS!D:D,MATCH(CMSRecursos!G150,CMSAzureAWS!G:G,0)),0),"Seleccione un Vendor"))</f>
        <v>Seleccione un Vendor</v>
      </c>
      <c r="I150" s="245" t="s">
        <v>1009</v>
      </c>
      <c r="J150" s="245" t="s">
        <v>1009</v>
      </c>
      <c r="K150" s="246">
        <v>0</v>
      </c>
      <c r="L150" s="242" cm="1">
        <f t="array" ref="L150">IFERROR(IF(I150="Si", INDEX(CMSDescuento!$E$23:$E$26, MATCH(1, (CMSDescuento!$C$23:$C$26&lt;=CMSRecursos!K150) * (CMSDescuento!$D$23:$D$26&gt;=CMSRecursos!K150), 0)), 0),0)</f>
        <v>0</v>
      </c>
      <c r="M150" s="241" cm="1">
        <f t="array" ref="M150">IFERROR(INDEX(CMSDescuento!$D$2:$D$7, MATCH(1, (CMSDescuento!$B$2:$B$7=CMSRecursos!F150) * (CMSDescuento!$C$2:$C$7=CMSRecursos!I150), 0)),0)</f>
        <v>0</v>
      </c>
      <c r="N150" s="241">
        <f t="shared" si="15"/>
        <v>0</v>
      </c>
      <c r="O150" s="241">
        <f t="shared" si="11"/>
        <v>0</v>
      </c>
      <c r="P150" s="7"/>
      <c r="Q150" s="232"/>
      <c r="R150" s="7"/>
      <c r="S150" s="243">
        <f>N150/(1-CMSResumen!H21)</f>
        <v>0</v>
      </c>
      <c r="T150" s="244">
        <f t="shared" si="12"/>
        <v>0</v>
      </c>
      <c r="U150" s="244">
        <f t="shared" si="13"/>
        <v>0</v>
      </c>
      <c r="V150" s="242">
        <f t="shared" si="14"/>
        <v>0</v>
      </c>
      <c r="W150" s="247"/>
      <c r="X150" s="224"/>
    </row>
    <row r="151" spans="1:24" ht="15" customHeight="1">
      <c r="A151" s="5"/>
      <c r="B151" s="238"/>
      <c r="C151" s="239"/>
      <c r="D151" s="139"/>
      <c r="E151" s="215"/>
      <c r="F151" s="240" t="str">
        <f>IF(E151="AWS",IFERROR(INDEX(CMSAzureAWS!C:C,MATCH(CMSRecursos!G151,CMSAzureAWS!E:E,0)),0),IF(E151="Azure",IFERROR(INDEX(CMSAzureAWS!C:C,MATCH(CMSRecursos!G151,CMSAzureAWS!G:G,0)),0),"Seleccione un Vendor"))</f>
        <v>Seleccione un Vendor</v>
      </c>
      <c r="G151" s="215"/>
      <c r="H151" s="241" t="str">
        <f>IF(E151="AWS",IFERROR(INDEX(CMSAzureAWS!D:D,MATCH(CMSRecursos!G151,CMSAzureAWS!E:E,0)),0),IF(E151="Azure",IFERROR(INDEX(CMSAzureAWS!D:D,MATCH(CMSRecursos!G151,CMSAzureAWS!G:G,0)),0),"Seleccione un Vendor"))</f>
        <v>Seleccione un Vendor</v>
      </c>
      <c r="I151" s="245" t="s">
        <v>1009</v>
      </c>
      <c r="J151" s="245" t="s">
        <v>1009</v>
      </c>
      <c r="K151" s="246">
        <v>0</v>
      </c>
      <c r="L151" s="242" cm="1">
        <f t="array" ref="L151">IFERROR(IF(I151="Si", INDEX(CMSDescuento!$E$23:$E$26, MATCH(1, (CMSDescuento!$C$23:$C$26&lt;=CMSRecursos!K151) * (CMSDescuento!$D$23:$D$26&gt;=CMSRecursos!K151), 0)), 0),0)</f>
        <v>0</v>
      </c>
      <c r="M151" s="241" cm="1">
        <f t="array" ref="M151">IFERROR(INDEX(CMSDescuento!$D$2:$D$7, MATCH(1, (CMSDescuento!$B$2:$B$7=CMSRecursos!F151) * (CMSDescuento!$C$2:$C$7=CMSRecursos!I151), 0)),0)</f>
        <v>0</v>
      </c>
      <c r="N151" s="241">
        <f t="shared" si="15"/>
        <v>0</v>
      </c>
      <c r="O151" s="241">
        <f t="shared" si="11"/>
        <v>0</v>
      </c>
      <c r="P151" s="7"/>
      <c r="Q151" s="232"/>
      <c r="R151" s="7"/>
      <c r="S151" s="243">
        <f>N151/(1-CMSResumen!H21)</f>
        <v>0</v>
      </c>
      <c r="T151" s="244">
        <f t="shared" si="12"/>
        <v>0</v>
      </c>
      <c r="U151" s="244">
        <f t="shared" si="13"/>
        <v>0</v>
      </c>
      <c r="V151" s="242">
        <f t="shared" si="14"/>
        <v>0</v>
      </c>
      <c r="W151" s="247"/>
      <c r="X151" s="224"/>
    </row>
    <row r="152" spans="1:24" ht="15" customHeight="1">
      <c r="A152" s="5"/>
      <c r="B152" s="238"/>
      <c r="C152" s="239"/>
      <c r="D152" s="139"/>
      <c r="E152" s="215"/>
      <c r="F152" s="240" t="str">
        <f>IF(E152="AWS",IFERROR(INDEX(CMSAzureAWS!C:C,MATCH(CMSRecursos!G152,CMSAzureAWS!E:E,0)),0),IF(E152="Azure",IFERROR(INDEX(CMSAzureAWS!C:C,MATCH(CMSRecursos!G152,CMSAzureAWS!G:G,0)),0),"Seleccione un Vendor"))</f>
        <v>Seleccione un Vendor</v>
      </c>
      <c r="G152" s="215"/>
      <c r="H152" s="241" t="str">
        <f>IF(E152="AWS",IFERROR(INDEX(CMSAzureAWS!D:D,MATCH(CMSRecursos!G152,CMSAzureAWS!E:E,0)),0),IF(E152="Azure",IFERROR(INDEX(CMSAzureAWS!D:D,MATCH(CMSRecursos!G152,CMSAzureAWS!G:G,0)),0),"Seleccione un Vendor"))</f>
        <v>Seleccione un Vendor</v>
      </c>
      <c r="I152" s="245" t="s">
        <v>1009</v>
      </c>
      <c r="J152" s="245" t="s">
        <v>1009</v>
      </c>
      <c r="K152" s="246">
        <v>0</v>
      </c>
      <c r="L152" s="242" cm="1">
        <f t="array" ref="L152">IFERROR(IF(I152="Si", INDEX(CMSDescuento!$E$23:$E$26, MATCH(1, (CMSDescuento!$C$23:$C$26&lt;=CMSRecursos!K152) * (CMSDescuento!$D$23:$D$26&gt;=CMSRecursos!K152), 0)), 0),0)</f>
        <v>0</v>
      </c>
      <c r="M152" s="241" cm="1">
        <f t="array" ref="M152">IFERROR(INDEX(CMSDescuento!$D$2:$D$7, MATCH(1, (CMSDescuento!$B$2:$B$7=CMSRecursos!F152) * (CMSDescuento!$C$2:$C$7=CMSRecursos!I152), 0)),0)</f>
        <v>0</v>
      </c>
      <c r="N152" s="241">
        <f t="shared" si="15"/>
        <v>0</v>
      </c>
      <c r="O152" s="241">
        <f t="shared" si="11"/>
        <v>0</v>
      </c>
      <c r="P152" s="7"/>
      <c r="Q152" s="232"/>
      <c r="R152" s="7"/>
      <c r="S152" s="243">
        <f>N152/(1-CMSResumen!H21)</f>
        <v>0</v>
      </c>
      <c r="T152" s="244">
        <f t="shared" si="12"/>
        <v>0</v>
      </c>
      <c r="U152" s="244">
        <f t="shared" si="13"/>
        <v>0</v>
      </c>
      <c r="V152" s="242">
        <f t="shared" si="14"/>
        <v>0</v>
      </c>
      <c r="W152" s="247"/>
      <c r="X152" s="224"/>
    </row>
    <row r="153" spans="1:24" ht="15" customHeight="1">
      <c r="A153" s="5"/>
      <c r="B153" s="238"/>
      <c r="C153" s="239"/>
      <c r="D153" s="139"/>
      <c r="E153" s="215"/>
      <c r="F153" s="240" t="str">
        <f>IF(E153="AWS",IFERROR(INDEX(CMSAzureAWS!C:C,MATCH(CMSRecursos!G153,CMSAzureAWS!E:E,0)),0),IF(E153="Azure",IFERROR(INDEX(CMSAzureAWS!C:C,MATCH(CMSRecursos!G153,CMSAzureAWS!G:G,0)),0),"Seleccione un Vendor"))</f>
        <v>Seleccione un Vendor</v>
      </c>
      <c r="G153" s="215"/>
      <c r="H153" s="241" t="str">
        <f>IF(E153="AWS",IFERROR(INDEX(CMSAzureAWS!D:D,MATCH(CMSRecursos!G153,CMSAzureAWS!E:E,0)),0),IF(E153="Azure",IFERROR(INDEX(CMSAzureAWS!D:D,MATCH(CMSRecursos!G153,CMSAzureAWS!G:G,0)),0),"Seleccione un Vendor"))</f>
        <v>Seleccione un Vendor</v>
      </c>
      <c r="I153" s="245" t="s">
        <v>1009</v>
      </c>
      <c r="J153" s="245" t="s">
        <v>1009</v>
      </c>
      <c r="K153" s="246">
        <v>0</v>
      </c>
      <c r="L153" s="242" cm="1">
        <f t="array" ref="L153">IFERROR(IF(I153="Si", INDEX(CMSDescuento!$E$23:$E$26, MATCH(1, (CMSDescuento!$C$23:$C$26&lt;=CMSRecursos!K153) * (CMSDescuento!$D$23:$D$26&gt;=CMSRecursos!K153), 0)), 0),0)</f>
        <v>0</v>
      </c>
      <c r="M153" s="241" cm="1">
        <f t="array" ref="M153">IFERROR(INDEX(CMSDescuento!$D$2:$D$7, MATCH(1, (CMSDescuento!$B$2:$B$7=CMSRecursos!F153) * (CMSDescuento!$C$2:$C$7=CMSRecursos!I153), 0)),0)</f>
        <v>0</v>
      </c>
      <c r="N153" s="241">
        <f t="shared" si="15"/>
        <v>0</v>
      </c>
      <c r="O153" s="241">
        <f t="shared" si="11"/>
        <v>0</v>
      </c>
      <c r="P153" s="7"/>
      <c r="Q153" s="232"/>
      <c r="R153" s="7"/>
      <c r="S153" s="243">
        <f>N153/(1-CMSResumen!H21)</f>
        <v>0</v>
      </c>
      <c r="T153" s="244">
        <f t="shared" si="12"/>
        <v>0</v>
      </c>
      <c r="U153" s="244">
        <f t="shared" si="13"/>
        <v>0</v>
      </c>
      <c r="V153" s="242">
        <f t="shared" si="14"/>
        <v>0</v>
      </c>
      <c r="W153" s="247"/>
      <c r="X153" s="224"/>
    </row>
    <row r="154" spans="1:24" ht="15" customHeight="1">
      <c r="A154" s="5"/>
      <c r="B154" s="238"/>
      <c r="C154" s="239"/>
      <c r="D154" s="139"/>
      <c r="E154" s="215"/>
      <c r="F154" s="240" t="str">
        <f>IF(E154="AWS",IFERROR(INDEX(CMSAzureAWS!C:C,MATCH(CMSRecursos!G154,CMSAzureAWS!E:E,0)),0),IF(E154="Azure",IFERROR(INDEX(CMSAzureAWS!C:C,MATCH(CMSRecursos!G154,CMSAzureAWS!G:G,0)),0),"Seleccione un Vendor"))</f>
        <v>Seleccione un Vendor</v>
      </c>
      <c r="G154" s="215"/>
      <c r="H154" s="241" t="str">
        <f>IF(E154="AWS",IFERROR(INDEX(CMSAzureAWS!D:D,MATCH(CMSRecursos!G154,CMSAzureAWS!E:E,0)),0),IF(E154="Azure",IFERROR(INDEX(CMSAzureAWS!D:D,MATCH(CMSRecursos!G154,CMSAzureAWS!G:G,0)),0),"Seleccione un Vendor"))</f>
        <v>Seleccione un Vendor</v>
      </c>
      <c r="I154" s="245" t="s">
        <v>1009</v>
      </c>
      <c r="J154" s="245" t="s">
        <v>1009</v>
      </c>
      <c r="K154" s="246">
        <v>0</v>
      </c>
      <c r="L154" s="242" cm="1">
        <f t="array" ref="L154">IFERROR(IF(I154="Si", INDEX(CMSDescuento!$E$23:$E$26, MATCH(1, (CMSDescuento!$C$23:$C$26&lt;=CMSRecursos!K154) * (CMSDescuento!$D$23:$D$26&gt;=CMSRecursos!K154), 0)), 0),0)</f>
        <v>0</v>
      </c>
      <c r="M154" s="241" cm="1">
        <f t="array" ref="M154">IFERROR(INDEX(CMSDescuento!$D$2:$D$7, MATCH(1, (CMSDescuento!$B$2:$B$7=CMSRecursos!F154) * (CMSDescuento!$C$2:$C$7=CMSRecursos!I154), 0)),0)</f>
        <v>0</v>
      </c>
      <c r="N154" s="241">
        <f t="shared" si="15"/>
        <v>0</v>
      </c>
      <c r="O154" s="241">
        <f t="shared" si="11"/>
        <v>0</v>
      </c>
      <c r="P154" s="7"/>
      <c r="Q154" s="232"/>
      <c r="R154" s="7"/>
      <c r="S154" s="243">
        <f>N154/(1-CMSResumen!H21)</f>
        <v>0</v>
      </c>
      <c r="T154" s="244">
        <f t="shared" si="12"/>
        <v>0</v>
      </c>
      <c r="U154" s="244">
        <f t="shared" si="13"/>
        <v>0</v>
      </c>
      <c r="V154" s="242">
        <f t="shared" si="14"/>
        <v>0</v>
      </c>
      <c r="W154" s="247"/>
      <c r="X154" s="224"/>
    </row>
    <row r="155" spans="1:24" ht="15" customHeight="1">
      <c r="A155" s="5"/>
      <c r="B155" s="238"/>
      <c r="C155" s="239"/>
      <c r="D155" s="139"/>
      <c r="E155" s="215"/>
      <c r="F155" s="240" t="str">
        <f>IF(E155="AWS",IFERROR(INDEX(CMSAzureAWS!C:C,MATCH(CMSRecursos!G155,CMSAzureAWS!E:E,0)),0),IF(E155="Azure",IFERROR(INDEX(CMSAzureAWS!C:C,MATCH(CMSRecursos!G155,CMSAzureAWS!G:G,0)),0),"Seleccione un Vendor"))</f>
        <v>Seleccione un Vendor</v>
      </c>
      <c r="G155" s="215"/>
      <c r="H155" s="241" t="str">
        <f>IF(E155="AWS",IFERROR(INDEX(CMSAzureAWS!D:D,MATCH(CMSRecursos!G155,CMSAzureAWS!E:E,0)),0),IF(E155="Azure",IFERROR(INDEX(CMSAzureAWS!D:D,MATCH(CMSRecursos!G155,CMSAzureAWS!G:G,0)),0),"Seleccione un Vendor"))</f>
        <v>Seleccione un Vendor</v>
      </c>
      <c r="I155" s="245" t="s">
        <v>1009</v>
      </c>
      <c r="J155" s="245" t="s">
        <v>1009</v>
      </c>
      <c r="K155" s="246">
        <v>0</v>
      </c>
      <c r="L155" s="242" cm="1">
        <f t="array" ref="L155">IFERROR(IF(I155="Si", INDEX(CMSDescuento!$E$23:$E$26, MATCH(1, (CMSDescuento!$C$23:$C$26&lt;=CMSRecursos!K155) * (CMSDescuento!$D$23:$D$26&gt;=CMSRecursos!K155), 0)), 0),0)</f>
        <v>0</v>
      </c>
      <c r="M155" s="241" cm="1">
        <f t="array" ref="M155">IFERROR(INDEX(CMSDescuento!$D$2:$D$7, MATCH(1, (CMSDescuento!$B$2:$B$7=CMSRecursos!F155) * (CMSDescuento!$C$2:$C$7=CMSRecursos!I155), 0)),0)</f>
        <v>0</v>
      </c>
      <c r="N155" s="241">
        <f t="shared" si="15"/>
        <v>0</v>
      </c>
      <c r="O155" s="241">
        <f t="shared" si="11"/>
        <v>0</v>
      </c>
      <c r="P155" s="7"/>
      <c r="Q155" s="232"/>
      <c r="R155" s="7"/>
      <c r="S155" s="243">
        <f>N155/(1-CMSResumen!H21)</f>
        <v>0</v>
      </c>
      <c r="T155" s="244">
        <f t="shared" si="12"/>
        <v>0</v>
      </c>
      <c r="U155" s="244">
        <f t="shared" si="13"/>
        <v>0</v>
      </c>
      <c r="V155" s="242">
        <f t="shared" si="14"/>
        <v>0</v>
      </c>
      <c r="W155" s="247"/>
      <c r="X155" s="224"/>
    </row>
    <row r="156" spans="1:24" ht="15" customHeight="1">
      <c r="A156" s="5"/>
      <c r="B156" s="238"/>
      <c r="C156" s="239"/>
      <c r="D156" s="139"/>
      <c r="E156" s="215"/>
      <c r="F156" s="240" t="str">
        <f>IF(E156="AWS",IFERROR(INDEX(CMSAzureAWS!C:C,MATCH(CMSRecursos!G156,CMSAzureAWS!E:E,0)),0),IF(E156="Azure",IFERROR(INDEX(CMSAzureAWS!C:C,MATCH(CMSRecursos!G156,CMSAzureAWS!G:G,0)),0),"Seleccione un Vendor"))</f>
        <v>Seleccione un Vendor</v>
      </c>
      <c r="G156" s="215"/>
      <c r="H156" s="241" t="str">
        <f>IF(E156="AWS",IFERROR(INDEX(CMSAzureAWS!D:D,MATCH(CMSRecursos!G156,CMSAzureAWS!E:E,0)),0),IF(E156="Azure",IFERROR(INDEX(CMSAzureAWS!D:D,MATCH(CMSRecursos!G156,CMSAzureAWS!G:G,0)),0),"Seleccione un Vendor"))</f>
        <v>Seleccione un Vendor</v>
      </c>
      <c r="I156" s="245" t="s">
        <v>1009</v>
      </c>
      <c r="J156" s="245" t="s">
        <v>1009</v>
      </c>
      <c r="K156" s="246">
        <v>0</v>
      </c>
      <c r="L156" s="242" cm="1">
        <f t="array" ref="L156">IFERROR(IF(I156="Si", INDEX(CMSDescuento!$E$23:$E$26, MATCH(1, (CMSDescuento!$C$23:$C$26&lt;=CMSRecursos!K156) * (CMSDescuento!$D$23:$D$26&gt;=CMSRecursos!K156), 0)), 0),0)</f>
        <v>0</v>
      </c>
      <c r="M156" s="241" cm="1">
        <f t="array" ref="M156">IFERROR(INDEX(CMSDescuento!$D$2:$D$7, MATCH(1, (CMSDescuento!$B$2:$B$7=CMSRecursos!F156) * (CMSDescuento!$C$2:$C$7=CMSRecursos!I156), 0)),0)</f>
        <v>0</v>
      </c>
      <c r="N156" s="241">
        <f t="shared" si="15"/>
        <v>0</v>
      </c>
      <c r="O156" s="241">
        <f t="shared" si="11"/>
        <v>0</v>
      </c>
      <c r="P156" s="7"/>
      <c r="Q156" s="232"/>
      <c r="R156" s="7"/>
      <c r="S156" s="243">
        <f>N156/(1-CMSResumen!H21)</f>
        <v>0</v>
      </c>
      <c r="T156" s="244">
        <f t="shared" si="12"/>
        <v>0</v>
      </c>
      <c r="U156" s="244">
        <f t="shared" si="13"/>
        <v>0</v>
      </c>
      <c r="V156" s="242">
        <f t="shared" si="14"/>
        <v>0</v>
      </c>
      <c r="W156" s="247"/>
      <c r="X156" s="224"/>
    </row>
    <row r="157" spans="1:24" ht="15" customHeight="1">
      <c r="A157" s="5"/>
      <c r="B157" s="238"/>
      <c r="C157" s="239"/>
      <c r="D157" s="139"/>
      <c r="E157" s="215"/>
      <c r="F157" s="240" t="str">
        <f>IF(E157="AWS",IFERROR(INDEX(CMSAzureAWS!C:C,MATCH(CMSRecursos!G157,CMSAzureAWS!E:E,0)),0),IF(E157="Azure",IFERROR(INDEX(CMSAzureAWS!C:C,MATCH(CMSRecursos!G157,CMSAzureAWS!G:G,0)),0),"Seleccione un Vendor"))</f>
        <v>Seleccione un Vendor</v>
      </c>
      <c r="G157" s="215"/>
      <c r="H157" s="241" t="str">
        <f>IF(E157="AWS",IFERROR(INDEX(CMSAzureAWS!D:D,MATCH(CMSRecursos!G157,CMSAzureAWS!E:E,0)),0),IF(E157="Azure",IFERROR(INDEX(CMSAzureAWS!D:D,MATCH(CMSRecursos!G157,CMSAzureAWS!G:G,0)),0),"Seleccione un Vendor"))</f>
        <v>Seleccione un Vendor</v>
      </c>
      <c r="I157" s="245" t="s">
        <v>1009</v>
      </c>
      <c r="J157" s="245" t="s">
        <v>1009</v>
      </c>
      <c r="K157" s="246">
        <v>0</v>
      </c>
      <c r="L157" s="242" cm="1">
        <f t="array" ref="L157">IFERROR(IF(I157="Si", INDEX(CMSDescuento!$E$23:$E$26, MATCH(1, (CMSDescuento!$C$23:$C$26&lt;=CMSRecursos!K157) * (CMSDescuento!$D$23:$D$26&gt;=CMSRecursos!K157), 0)), 0),0)</f>
        <v>0</v>
      </c>
      <c r="M157" s="241" cm="1">
        <f t="array" ref="M157">IFERROR(INDEX(CMSDescuento!$D$2:$D$7, MATCH(1, (CMSDescuento!$B$2:$B$7=CMSRecursos!F157) * (CMSDescuento!$C$2:$C$7=CMSRecursos!I157), 0)),0)</f>
        <v>0</v>
      </c>
      <c r="N157" s="241">
        <f t="shared" si="15"/>
        <v>0</v>
      </c>
      <c r="O157" s="241">
        <f t="shared" si="11"/>
        <v>0</v>
      </c>
      <c r="P157" s="7"/>
      <c r="Q157" s="232"/>
      <c r="R157" s="7"/>
      <c r="S157" s="243">
        <f>N157/(1-CMSResumen!H21)</f>
        <v>0</v>
      </c>
      <c r="T157" s="244">
        <f t="shared" si="12"/>
        <v>0</v>
      </c>
      <c r="U157" s="244">
        <f t="shared" si="13"/>
        <v>0</v>
      </c>
      <c r="V157" s="242">
        <f t="shared" si="14"/>
        <v>0</v>
      </c>
      <c r="W157" s="247"/>
      <c r="X157" s="224"/>
    </row>
    <row r="158" spans="1:24" ht="15" customHeight="1">
      <c r="A158" s="5"/>
      <c r="B158" s="238"/>
      <c r="C158" s="239"/>
      <c r="D158" s="139"/>
      <c r="E158" s="215"/>
      <c r="F158" s="240" t="str">
        <f>IF(E158="AWS",IFERROR(INDEX(CMSAzureAWS!C:C,MATCH(CMSRecursos!G158,CMSAzureAWS!E:E,0)),0),IF(E158="Azure",IFERROR(INDEX(CMSAzureAWS!C:C,MATCH(CMSRecursos!G158,CMSAzureAWS!G:G,0)),0),"Seleccione un Vendor"))</f>
        <v>Seleccione un Vendor</v>
      </c>
      <c r="G158" s="215"/>
      <c r="H158" s="241" t="str">
        <f>IF(E158="AWS",IFERROR(INDEX(CMSAzureAWS!D:D,MATCH(CMSRecursos!G158,CMSAzureAWS!E:E,0)),0),IF(E158="Azure",IFERROR(INDEX(CMSAzureAWS!D:D,MATCH(CMSRecursos!G158,CMSAzureAWS!G:G,0)),0),"Seleccione un Vendor"))</f>
        <v>Seleccione un Vendor</v>
      </c>
      <c r="I158" s="245" t="s">
        <v>1009</v>
      </c>
      <c r="J158" s="245" t="s">
        <v>1009</v>
      </c>
      <c r="K158" s="246">
        <v>0</v>
      </c>
      <c r="L158" s="242" cm="1">
        <f t="array" ref="L158">IFERROR(IF(I158="Si", INDEX(CMSDescuento!$E$23:$E$26, MATCH(1, (CMSDescuento!$C$23:$C$26&lt;=CMSRecursos!K158) * (CMSDescuento!$D$23:$D$26&gt;=CMSRecursos!K158), 0)), 0),0)</f>
        <v>0</v>
      </c>
      <c r="M158" s="241" cm="1">
        <f t="array" ref="M158">IFERROR(INDEX(CMSDescuento!$D$2:$D$7, MATCH(1, (CMSDescuento!$B$2:$B$7=CMSRecursos!F158) * (CMSDescuento!$C$2:$C$7=CMSRecursos!I158), 0)),0)</f>
        <v>0</v>
      </c>
      <c r="N158" s="241">
        <f t="shared" si="15"/>
        <v>0</v>
      </c>
      <c r="O158" s="241">
        <f t="shared" si="11"/>
        <v>0</v>
      </c>
      <c r="P158" s="7"/>
      <c r="Q158" s="232"/>
      <c r="R158" s="7"/>
      <c r="S158" s="243">
        <f>N158/(1-CMSResumen!H21)</f>
        <v>0</v>
      </c>
      <c r="T158" s="244">
        <f t="shared" si="12"/>
        <v>0</v>
      </c>
      <c r="U158" s="244">
        <f t="shared" si="13"/>
        <v>0</v>
      </c>
      <c r="V158" s="242">
        <f t="shared" si="14"/>
        <v>0</v>
      </c>
      <c r="W158" s="247"/>
      <c r="X158" s="224"/>
    </row>
    <row r="159" spans="1:24" ht="15" customHeight="1">
      <c r="A159" s="5"/>
      <c r="B159" s="238"/>
      <c r="C159" s="239"/>
      <c r="D159" s="139"/>
      <c r="E159" s="215"/>
      <c r="F159" s="240" t="str">
        <f>IF(E159="AWS",IFERROR(INDEX(CMSAzureAWS!C:C,MATCH(CMSRecursos!G159,CMSAzureAWS!E:E,0)),0),IF(E159="Azure",IFERROR(INDEX(CMSAzureAWS!C:C,MATCH(CMSRecursos!G159,CMSAzureAWS!G:G,0)),0),"Seleccione un Vendor"))</f>
        <v>Seleccione un Vendor</v>
      </c>
      <c r="G159" s="215"/>
      <c r="H159" s="241" t="str">
        <f>IF(E159="AWS",IFERROR(INDEX(CMSAzureAWS!D:D,MATCH(CMSRecursos!G159,CMSAzureAWS!E:E,0)),0),IF(E159="Azure",IFERROR(INDEX(CMSAzureAWS!D:D,MATCH(CMSRecursos!G159,CMSAzureAWS!G:G,0)),0),"Seleccione un Vendor"))</f>
        <v>Seleccione un Vendor</v>
      </c>
      <c r="I159" s="245" t="s">
        <v>1009</v>
      </c>
      <c r="J159" s="245" t="s">
        <v>1009</v>
      </c>
      <c r="K159" s="246">
        <v>0</v>
      </c>
      <c r="L159" s="242" cm="1">
        <f t="array" ref="L159">IFERROR(IF(I159="Si", INDEX(CMSDescuento!$E$23:$E$26, MATCH(1, (CMSDescuento!$C$23:$C$26&lt;=CMSRecursos!K159) * (CMSDescuento!$D$23:$D$26&gt;=CMSRecursos!K159), 0)), 0),0)</f>
        <v>0</v>
      </c>
      <c r="M159" s="241" cm="1">
        <f t="array" ref="M159">IFERROR(INDEX(CMSDescuento!$D$2:$D$7, MATCH(1, (CMSDescuento!$B$2:$B$7=CMSRecursos!F159) * (CMSDescuento!$C$2:$C$7=CMSRecursos!I159), 0)),0)</f>
        <v>0</v>
      </c>
      <c r="N159" s="241">
        <f t="shared" si="15"/>
        <v>0</v>
      </c>
      <c r="O159" s="241">
        <f t="shared" si="11"/>
        <v>0</v>
      </c>
      <c r="P159" s="7"/>
      <c r="Q159" s="232"/>
      <c r="R159" s="7"/>
      <c r="S159" s="243">
        <f>N159/(1-CMSResumen!H21)</f>
        <v>0</v>
      </c>
      <c r="T159" s="244">
        <f t="shared" si="12"/>
        <v>0</v>
      </c>
      <c r="U159" s="244">
        <f t="shared" si="13"/>
        <v>0</v>
      </c>
      <c r="V159" s="242">
        <f t="shared" si="14"/>
        <v>0</v>
      </c>
      <c r="W159" s="247"/>
      <c r="X159" s="224"/>
    </row>
    <row r="160" spans="1:24" ht="15" customHeight="1">
      <c r="A160" s="5"/>
      <c r="B160" s="238"/>
      <c r="C160" s="239"/>
      <c r="D160" s="139"/>
      <c r="E160" s="215"/>
      <c r="F160" s="240" t="str">
        <f>IF(E160="AWS",IFERROR(INDEX(CMSAzureAWS!C:C,MATCH(CMSRecursos!G160,CMSAzureAWS!E:E,0)),0),IF(E160="Azure",IFERROR(INDEX(CMSAzureAWS!C:C,MATCH(CMSRecursos!G160,CMSAzureAWS!G:G,0)),0),"Seleccione un Vendor"))</f>
        <v>Seleccione un Vendor</v>
      </c>
      <c r="G160" s="215"/>
      <c r="H160" s="241" t="str">
        <f>IF(E160="AWS",IFERROR(INDEX(CMSAzureAWS!D:D,MATCH(CMSRecursos!G160,CMSAzureAWS!E:E,0)),0),IF(E160="Azure",IFERROR(INDEX(CMSAzureAWS!D:D,MATCH(CMSRecursos!G160,CMSAzureAWS!G:G,0)),0),"Seleccione un Vendor"))</f>
        <v>Seleccione un Vendor</v>
      </c>
      <c r="I160" s="245" t="s">
        <v>1009</v>
      </c>
      <c r="J160" s="245" t="s">
        <v>1009</v>
      </c>
      <c r="K160" s="246">
        <v>0</v>
      </c>
      <c r="L160" s="242" cm="1">
        <f t="array" ref="L160">IFERROR(IF(I160="Si", INDEX(CMSDescuento!$E$23:$E$26, MATCH(1, (CMSDescuento!$C$23:$C$26&lt;=CMSRecursos!K160) * (CMSDescuento!$D$23:$D$26&gt;=CMSRecursos!K160), 0)), 0),0)</f>
        <v>0</v>
      </c>
      <c r="M160" s="241" cm="1">
        <f t="array" ref="M160">IFERROR(INDEX(CMSDescuento!$D$2:$D$7, MATCH(1, (CMSDescuento!$B$2:$B$7=CMSRecursos!F160) * (CMSDescuento!$C$2:$C$7=CMSRecursos!I160), 0)),0)</f>
        <v>0</v>
      </c>
      <c r="N160" s="241">
        <f t="shared" si="15"/>
        <v>0</v>
      </c>
      <c r="O160" s="241">
        <f t="shared" si="11"/>
        <v>0</v>
      </c>
      <c r="P160" s="7"/>
      <c r="Q160" s="232"/>
      <c r="R160" s="7"/>
      <c r="S160" s="243">
        <f>N160/(1-CMSResumen!H21)</f>
        <v>0</v>
      </c>
      <c r="T160" s="244">
        <f t="shared" si="12"/>
        <v>0</v>
      </c>
      <c r="U160" s="244">
        <f t="shared" si="13"/>
        <v>0</v>
      </c>
      <c r="V160" s="242">
        <f t="shared" si="14"/>
        <v>0</v>
      </c>
      <c r="W160" s="247"/>
      <c r="X160" s="224"/>
    </row>
    <row r="161" spans="1:24" ht="15" customHeight="1">
      <c r="A161" s="5"/>
      <c r="B161" s="238"/>
      <c r="C161" s="239"/>
      <c r="D161" s="139"/>
      <c r="E161" s="215"/>
      <c r="F161" s="240" t="str">
        <f>IF(E161="AWS",IFERROR(INDEX(CMSAzureAWS!C:C,MATCH(CMSRecursos!G161,CMSAzureAWS!E:E,0)),0),IF(E161="Azure",IFERROR(INDEX(CMSAzureAWS!C:C,MATCH(CMSRecursos!G161,CMSAzureAWS!G:G,0)),0),"Seleccione un Vendor"))</f>
        <v>Seleccione un Vendor</v>
      </c>
      <c r="G161" s="215"/>
      <c r="H161" s="241" t="str">
        <f>IF(E161="AWS",IFERROR(INDEX(CMSAzureAWS!D:D,MATCH(CMSRecursos!G161,CMSAzureAWS!E:E,0)),0),IF(E161="Azure",IFERROR(INDEX(CMSAzureAWS!D:D,MATCH(CMSRecursos!G161,CMSAzureAWS!G:G,0)),0),"Seleccione un Vendor"))</f>
        <v>Seleccione un Vendor</v>
      </c>
      <c r="I161" s="245" t="s">
        <v>1009</v>
      </c>
      <c r="J161" s="245" t="s">
        <v>1009</v>
      </c>
      <c r="K161" s="246">
        <v>0</v>
      </c>
      <c r="L161" s="242" cm="1">
        <f t="array" ref="L161">IFERROR(IF(I161="Si", INDEX(CMSDescuento!$E$23:$E$26, MATCH(1, (CMSDescuento!$C$23:$C$26&lt;=CMSRecursos!K161) * (CMSDescuento!$D$23:$D$26&gt;=CMSRecursos!K161), 0)), 0),0)</f>
        <v>0</v>
      </c>
      <c r="M161" s="241" cm="1">
        <f t="array" ref="M161">IFERROR(INDEX(CMSDescuento!$D$2:$D$7, MATCH(1, (CMSDescuento!$B$2:$B$7=CMSRecursos!F161) * (CMSDescuento!$C$2:$C$7=CMSRecursos!I161), 0)),0)</f>
        <v>0</v>
      </c>
      <c r="N161" s="241">
        <f t="shared" si="15"/>
        <v>0</v>
      </c>
      <c r="O161" s="241">
        <f t="shared" si="11"/>
        <v>0</v>
      </c>
      <c r="P161" s="7"/>
      <c r="Q161" s="232"/>
      <c r="R161" s="7"/>
      <c r="S161" s="243">
        <f>N161/(1-CMSResumen!H21)</f>
        <v>0</v>
      </c>
      <c r="T161" s="244">
        <f t="shared" si="12"/>
        <v>0</v>
      </c>
      <c r="U161" s="244">
        <f t="shared" si="13"/>
        <v>0</v>
      </c>
      <c r="V161" s="242">
        <f t="shared" si="14"/>
        <v>0</v>
      </c>
      <c r="W161" s="247"/>
      <c r="X161" s="224"/>
    </row>
    <row r="162" spans="1:24" ht="15" customHeight="1">
      <c r="A162" s="5"/>
      <c r="B162" s="238"/>
      <c r="C162" s="239"/>
      <c r="D162" s="139"/>
      <c r="E162" s="215"/>
      <c r="F162" s="240" t="str">
        <f>IF(E162="AWS",IFERROR(INDEX(CMSAzureAWS!C:C,MATCH(CMSRecursos!G162,CMSAzureAWS!E:E,0)),0),IF(E162="Azure",IFERROR(INDEX(CMSAzureAWS!C:C,MATCH(CMSRecursos!G162,CMSAzureAWS!G:G,0)),0),"Seleccione un Vendor"))</f>
        <v>Seleccione un Vendor</v>
      </c>
      <c r="G162" s="215"/>
      <c r="H162" s="241" t="str">
        <f>IF(E162="AWS",IFERROR(INDEX(CMSAzureAWS!D:D,MATCH(CMSRecursos!G162,CMSAzureAWS!E:E,0)),0),IF(E162="Azure",IFERROR(INDEX(CMSAzureAWS!D:D,MATCH(CMSRecursos!G162,CMSAzureAWS!G:G,0)),0),"Seleccione un Vendor"))</f>
        <v>Seleccione un Vendor</v>
      </c>
      <c r="I162" s="245" t="s">
        <v>1009</v>
      </c>
      <c r="J162" s="245" t="s">
        <v>1009</v>
      </c>
      <c r="K162" s="246">
        <v>0</v>
      </c>
      <c r="L162" s="242" cm="1">
        <f t="array" ref="L162">IFERROR(IF(I162="Si", INDEX(CMSDescuento!$E$23:$E$26, MATCH(1, (CMSDescuento!$C$23:$C$26&lt;=CMSRecursos!K162) * (CMSDescuento!$D$23:$D$26&gt;=CMSRecursos!K162), 0)), 0),0)</f>
        <v>0</v>
      </c>
      <c r="M162" s="241" cm="1">
        <f t="array" ref="M162">IFERROR(INDEX(CMSDescuento!$D$2:$D$7, MATCH(1, (CMSDescuento!$B$2:$B$7=CMSRecursos!F162) * (CMSDescuento!$C$2:$C$7=CMSRecursos!I162), 0)),0)</f>
        <v>0</v>
      </c>
      <c r="N162" s="241">
        <f t="shared" si="15"/>
        <v>0</v>
      </c>
      <c r="O162" s="241">
        <f t="shared" si="11"/>
        <v>0</v>
      </c>
      <c r="P162" s="7"/>
      <c r="Q162" s="232"/>
      <c r="R162" s="7"/>
      <c r="S162" s="243">
        <f>N162/(1-CMSResumen!H21)</f>
        <v>0</v>
      </c>
      <c r="T162" s="244">
        <f t="shared" si="12"/>
        <v>0</v>
      </c>
      <c r="U162" s="244">
        <f t="shared" si="13"/>
        <v>0</v>
      </c>
      <c r="V162" s="242">
        <f t="shared" si="14"/>
        <v>0</v>
      </c>
      <c r="W162" s="247"/>
      <c r="X162" s="224"/>
    </row>
    <row r="163" spans="1:24" ht="15" customHeight="1">
      <c r="A163" s="5"/>
      <c r="B163" s="238"/>
      <c r="C163" s="239"/>
      <c r="D163" s="139"/>
      <c r="E163" s="215"/>
      <c r="F163" s="240" t="str">
        <f>IF(E163="AWS",IFERROR(INDEX(CMSAzureAWS!C:C,MATCH(CMSRecursos!G163,CMSAzureAWS!E:E,0)),0),IF(E163="Azure",IFERROR(INDEX(CMSAzureAWS!C:C,MATCH(CMSRecursos!G163,CMSAzureAWS!G:G,0)),0),"Seleccione un Vendor"))</f>
        <v>Seleccione un Vendor</v>
      </c>
      <c r="G163" s="215"/>
      <c r="H163" s="241" t="str">
        <f>IF(E163="AWS",IFERROR(INDEX(CMSAzureAWS!D:D,MATCH(CMSRecursos!G163,CMSAzureAWS!E:E,0)),0),IF(E163="Azure",IFERROR(INDEX(CMSAzureAWS!D:D,MATCH(CMSRecursos!G163,CMSAzureAWS!G:G,0)),0),"Seleccione un Vendor"))</f>
        <v>Seleccione un Vendor</v>
      </c>
      <c r="I163" s="245" t="s">
        <v>1009</v>
      </c>
      <c r="J163" s="245" t="s">
        <v>1009</v>
      </c>
      <c r="K163" s="246">
        <v>0</v>
      </c>
      <c r="L163" s="242" cm="1">
        <f t="array" ref="L163">IFERROR(IF(I163="Si", INDEX(CMSDescuento!$E$23:$E$26, MATCH(1, (CMSDescuento!$C$23:$C$26&lt;=CMSRecursos!K163) * (CMSDescuento!$D$23:$D$26&gt;=CMSRecursos!K163), 0)), 0),0)</f>
        <v>0</v>
      </c>
      <c r="M163" s="241" cm="1">
        <f t="array" ref="M163">IFERROR(INDEX(CMSDescuento!$D$2:$D$7, MATCH(1, (CMSDescuento!$B$2:$B$7=CMSRecursos!F163) * (CMSDescuento!$C$2:$C$7=CMSRecursos!I163), 0)),0)</f>
        <v>0</v>
      </c>
      <c r="N163" s="241">
        <f t="shared" si="15"/>
        <v>0</v>
      </c>
      <c r="O163" s="241">
        <f t="shared" si="11"/>
        <v>0</v>
      </c>
      <c r="P163" s="7"/>
      <c r="Q163" s="232"/>
      <c r="R163" s="7"/>
      <c r="S163" s="243">
        <f>N163/(1-CMSResumen!H21)</f>
        <v>0</v>
      </c>
      <c r="T163" s="244">
        <f t="shared" si="12"/>
        <v>0</v>
      </c>
      <c r="U163" s="244">
        <f t="shared" si="13"/>
        <v>0</v>
      </c>
      <c r="V163" s="242">
        <f t="shared" si="14"/>
        <v>0</v>
      </c>
      <c r="W163" s="247"/>
      <c r="X163" s="224"/>
    </row>
    <row r="164" spans="1:24" ht="15" customHeight="1">
      <c r="A164" s="5"/>
      <c r="B164" s="238"/>
      <c r="C164" s="239"/>
      <c r="D164" s="139"/>
      <c r="E164" s="215"/>
      <c r="F164" s="240" t="str">
        <f>IF(E164="AWS",IFERROR(INDEX(CMSAzureAWS!C:C,MATCH(CMSRecursos!G164,CMSAzureAWS!E:E,0)),0),IF(E164="Azure",IFERROR(INDEX(CMSAzureAWS!C:C,MATCH(CMSRecursos!G164,CMSAzureAWS!G:G,0)),0),"Seleccione un Vendor"))</f>
        <v>Seleccione un Vendor</v>
      </c>
      <c r="G164" s="215"/>
      <c r="H164" s="241" t="str">
        <f>IF(E164="AWS",IFERROR(INDEX(CMSAzureAWS!D:D,MATCH(CMSRecursos!G164,CMSAzureAWS!E:E,0)),0),IF(E164="Azure",IFERROR(INDEX(CMSAzureAWS!D:D,MATCH(CMSRecursos!G164,CMSAzureAWS!G:G,0)),0),"Seleccione un Vendor"))</f>
        <v>Seleccione un Vendor</v>
      </c>
      <c r="I164" s="245" t="s">
        <v>1009</v>
      </c>
      <c r="J164" s="245" t="s">
        <v>1009</v>
      </c>
      <c r="K164" s="246">
        <v>0</v>
      </c>
      <c r="L164" s="242" cm="1">
        <f t="array" ref="L164">IFERROR(IF(I164="Si", INDEX(CMSDescuento!$E$23:$E$26, MATCH(1, (CMSDescuento!$C$23:$C$26&lt;=CMSRecursos!K164) * (CMSDescuento!$D$23:$D$26&gt;=CMSRecursos!K164), 0)), 0),0)</f>
        <v>0</v>
      </c>
      <c r="M164" s="241" cm="1">
        <f t="array" ref="M164">IFERROR(INDEX(CMSDescuento!$D$2:$D$7, MATCH(1, (CMSDescuento!$B$2:$B$7=CMSRecursos!F164) * (CMSDescuento!$C$2:$C$7=CMSRecursos!I164), 0)),0)</f>
        <v>0</v>
      </c>
      <c r="N164" s="241">
        <f t="shared" si="15"/>
        <v>0</v>
      </c>
      <c r="O164" s="241">
        <f t="shared" si="11"/>
        <v>0</v>
      </c>
      <c r="P164" s="7"/>
      <c r="Q164" s="232"/>
      <c r="R164" s="7"/>
      <c r="S164" s="243">
        <f>N164/(1-CMSResumen!H21)</f>
        <v>0</v>
      </c>
      <c r="T164" s="244">
        <f t="shared" si="12"/>
        <v>0</v>
      </c>
      <c r="U164" s="244">
        <f t="shared" si="13"/>
        <v>0</v>
      </c>
      <c r="V164" s="242">
        <f t="shared" si="14"/>
        <v>0</v>
      </c>
      <c r="W164" s="247"/>
      <c r="X164" s="224"/>
    </row>
    <row r="165" spans="1:24" ht="15" customHeight="1">
      <c r="A165" s="5"/>
      <c r="B165" s="238"/>
      <c r="C165" s="239"/>
      <c r="D165" s="139"/>
      <c r="E165" s="215"/>
      <c r="F165" s="240" t="str">
        <f>IF(E165="AWS",IFERROR(INDEX(CMSAzureAWS!C:C,MATCH(CMSRecursos!G165,CMSAzureAWS!E:E,0)),0),IF(E165="Azure",IFERROR(INDEX(CMSAzureAWS!C:C,MATCH(CMSRecursos!G165,CMSAzureAWS!G:G,0)),0),"Seleccione un Vendor"))</f>
        <v>Seleccione un Vendor</v>
      </c>
      <c r="G165" s="215"/>
      <c r="H165" s="241" t="str">
        <f>IF(E165="AWS",IFERROR(INDEX(CMSAzureAWS!D:D,MATCH(CMSRecursos!G165,CMSAzureAWS!E:E,0)),0),IF(E165="Azure",IFERROR(INDEX(CMSAzureAWS!D:D,MATCH(CMSRecursos!G165,CMSAzureAWS!G:G,0)),0),"Seleccione un Vendor"))</f>
        <v>Seleccione un Vendor</v>
      </c>
      <c r="I165" s="245" t="s">
        <v>1009</v>
      </c>
      <c r="J165" s="245" t="s">
        <v>1009</v>
      </c>
      <c r="K165" s="246">
        <v>0</v>
      </c>
      <c r="L165" s="242" cm="1">
        <f t="array" ref="L165">IFERROR(IF(I165="Si", INDEX(CMSDescuento!$E$23:$E$26, MATCH(1, (CMSDescuento!$C$23:$C$26&lt;=CMSRecursos!K165) * (CMSDescuento!$D$23:$D$26&gt;=CMSRecursos!K165), 0)), 0),0)</f>
        <v>0</v>
      </c>
      <c r="M165" s="241" cm="1">
        <f t="array" ref="M165">IFERROR(INDEX(CMSDescuento!$D$2:$D$7, MATCH(1, (CMSDescuento!$B$2:$B$7=CMSRecursos!F165) * (CMSDescuento!$C$2:$C$7=CMSRecursos!I165), 0)),0)</f>
        <v>0</v>
      </c>
      <c r="N165" s="241">
        <f t="shared" si="15"/>
        <v>0</v>
      </c>
      <c r="O165" s="241">
        <f t="shared" si="11"/>
        <v>0</v>
      </c>
      <c r="P165" s="7"/>
      <c r="Q165" s="232"/>
      <c r="R165" s="7"/>
      <c r="S165" s="243">
        <f>N165/(1-CMSResumen!H21)</f>
        <v>0</v>
      </c>
      <c r="T165" s="244">
        <f t="shared" si="12"/>
        <v>0</v>
      </c>
      <c r="U165" s="244">
        <f t="shared" si="13"/>
        <v>0</v>
      </c>
      <c r="V165" s="242">
        <f t="shared" si="14"/>
        <v>0</v>
      </c>
      <c r="W165" s="247"/>
      <c r="X165" s="224"/>
    </row>
    <row r="166" spans="1:24" ht="15" customHeight="1">
      <c r="A166" s="5"/>
      <c r="B166" s="238"/>
      <c r="C166" s="239"/>
      <c r="D166" s="139"/>
      <c r="E166" s="215"/>
      <c r="F166" s="240" t="str">
        <f>IF(E166="AWS",IFERROR(INDEX(CMSAzureAWS!C:C,MATCH(CMSRecursos!G166,CMSAzureAWS!E:E,0)),0),IF(E166="Azure",IFERROR(INDEX(CMSAzureAWS!C:C,MATCH(CMSRecursos!G166,CMSAzureAWS!G:G,0)),0),"Seleccione un Vendor"))</f>
        <v>Seleccione un Vendor</v>
      </c>
      <c r="G166" s="215"/>
      <c r="H166" s="241" t="str">
        <f>IF(E166="AWS",IFERROR(INDEX(CMSAzureAWS!D:D,MATCH(CMSRecursos!G166,CMSAzureAWS!E:E,0)),0),IF(E166="Azure",IFERROR(INDEX(CMSAzureAWS!D:D,MATCH(CMSRecursos!G166,CMSAzureAWS!G:G,0)),0),"Seleccione un Vendor"))</f>
        <v>Seleccione un Vendor</v>
      </c>
      <c r="I166" s="245" t="s">
        <v>1009</v>
      </c>
      <c r="J166" s="245" t="s">
        <v>1009</v>
      </c>
      <c r="K166" s="246">
        <v>0</v>
      </c>
      <c r="L166" s="242" cm="1">
        <f t="array" ref="L166">IFERROR(IF(I166="Si", INDEX(CMSDescuento!$E$23:$E$26, MATCH(1, (CMSDescuento!$C$23:$C$26&lt;=CMSRecursos!K166) * (CMSDescuento!$D$23:$D$26&gt;=CMSRecursos!K166), 0)), 0),0)</f>
        <v>0</v>
      </c>
      <c r="M166" s="241" cm="1">
        <f t="array" ref="M166">IFERROR(INDEX(CMSDescuento!$D$2:$D$7, MATCH(1, (CMSDescuento!$B$2:$B$7=CMSRecursos!F166) * (CMSDescuento!$C$2:$C$7=CMSRecursos!I166), 0)),0)</f>
        <v>0</v>
      </c>
      <c r="N166" s="241">
        <f t="shared" si="15"/>
        <v>0</v>
      </c>
      <c r="O166" s="241">
        <f t="shared" si="11"/>
        <v>0</v>
      </c>
      <c r="P166" s="7"/>
      <c r="Q166" s="232"/>
      <c r="R166" s="7"/>
      <c r="S166" s="243">
        <f>N166/(1-CMSResumen!H21)</f>
        <v>0</v>
      </c>
      <c r="T166" s="244">
        <f t="shared" si="12"/>
        <v>0</v>
      </c>
      <c r="U166" s="244">
        <f t="shared" si="13"/>
        <v>0</v>
      </c>
      <c r="V166" s="242">
        <f t="shared" si="14"/>
        <v>0</v>
      </c>
      <c r="W166" s="247"/>
      <c r="X166" s="224"/>
    </row>
    <row r="167" spans="1:24" ht="15" customHeight="1">
      <c r="A167" s="5"/>
      <c r="B167" s="238"/>
      <c r="C167" s="239"/>
      <c r="D167" s="139"/>
      <c r="E167" s="215"/>
      <c r="F167" s="240" t="str">
        <f>IF(E167="AWS",IFERROR(INDEX(CMSAzureAWS!C:C,MATCH(CMSRecursos!G167,CMSAzureAWS!E:E,0)),0),IF(E167="Azure",IFERROR(INDEX(CMSAzureAWS!C:C,MATCH(CMSRecursos!G167,CMSAzureAWS!G:G,0)),0),"Seleccione un Vendor"))</f>
        <v>Seleccione un Vendor</v>
      </c>
      <c r="G167" s="215"/>
      <c r="H167" s="241" t="str">
        <f>IF(E167="AWS",IFERROR(INDEX(CMSAzureAWS!D:D,MATCH(CMSRecursos!G167,CMSAzureAWS!E:E,0)),0),IF(E167="Azure",IFERROR(INDEX(CMSAzureAWS!D:D,MATCH(CMSRecursos!G167,CMSAzureAWS!G:G,0)),0),"Seleccione un Vendor"))</f>
        <v>Seleccione un Vendor</v>
      </c>
      <c r="I167" s="245" t="s">
        <v>1009</v>
      </c>
      <c r="J167" s="245" t="s">
        <v>1009</v>
      </c>
      <c r="K167" s="246">
        <v>0</v>
      </c>
      <c r="L167" s="242" cm="1">
        <f t="array" ref="L167">IFERROR(IF(I167="Si", INDEX(CMSDescuento!$E$23:$E$26, MATCH(1, (CMSDescuento!$C$23:$C$26&lt;=CMSRecursos!K167) * (CMSDescuento!$D$23:$D$26&gt;=CMSRecursos!K167), 0)), 0),0)</f>
        <v>0</v>
      </c>
      <c r="M167" s="241" cm="1">
        <f t="array" ref="M167">IFERROR(INDEX(CMSDescuento!$D$2:$D$7, MATCH(1, (CMSDescuento!$B$2:$B$7=CMSRecursos!F167) * (CMSDescuento!$C$2:$C$7=CMSRecursos!I167), 0)),0)</f>
        <v>0</v>
      </c>
      <c r="N167" s="241">
        <f t="shared" si="15"/>
        <v>0</v>
      </c>
      <c r="O167" s="241">
        <f t="shared" si="11"/>
        <v>0</v>
      </c>
      <c r="P167" s="7"/>
      <c r="Q167" s="232"/>
      <c r="R167" s="7"/>
      <c r="S167" s="243">
        <f>N167/(1-CMSResumen!H21)</f>
        <v>0</v>
      </c>
      <c r="T167" s="244">
        <f t="shared" si="12"/>
        <v>0</v>
      </c>
      <c r="U167" s="244">
        <f t="shared" si="13"/>
        <v>0</v>
      </c>
      <c r="V167" s="242">
        <f t="shared" si="14"/>
        <v>0</v>
      </c>
      <c r="W167" s="247"/>
      <c r="X167" s="224"/>
    </row>
    <row r="168" spans="1:24" ht="15" customHeight="1">
      <c r="A168" s="5"/>
      <c r="B168" s="238"/>
      <c r="C168" s="239"/>
      <c r="D168" s="139"/>
      <c r="E168" s="215"/>
      <c r="F168" s="240" t="str">
        <f>IF(E168="AWS",IFERROR(INDEX(CMSAzureAWS!C:C,MATCH(CMSRecursos!G168,CMSAzureAWS!E:E,0)),0),IF(E168="Azure",IFERROR(INDEX(CMSAzureAWS!C:C,MATCH(CMSRecursos!G168,CMSAzureAWS!G:G,0)),0),"Seleccione un Vendor"))</f>
        <v>Seleccione un Vendor</v>
      </c>
      <c r="G168" s="215"/>
      <c r="H168" s="241" t="str">
        <f>IF(E168="AWS",IFERROR(INDEX(CMSAzureAWS!D:D,MATCH(CMSRecursos!G168,CMSAzureAWS!E:E,0)),0),IF(E168="Azure",IFERROR(INDEX(CMSAzureAWS!D:D,MATCH(CMSRecursos!G168,CMSAzureAWS!G:G,0)),0),"Seleccione un Vendor"))</f>
        <v>Seleccione un Vendor</v>
      </c>
      <c r="I168" s="245" t="s">
        <v>1009</v>
      </c>
      <c r="J168" s="245" t="s">
        <v>1009</v>
      </c>
      <c r="K168" s="246">
        <v>0</v>
      </c>
      <c r="L168" s="242" cm="1">
        <f t="array" ref="L168">IFERROR(IF(I168="Si", INDEX(CMSDescuento!$E$23:$E$26, MATCH(1, (CMSDescuento!$C$23:$C$26&lt;=CMSRecursos!K168) * (CMSDescuento!$D$23:$D$26&gt;=CMSRecursos!K168), 0)), 0),0)</f>
        <v>0</v>
      </c>
      <c r="M168" s="241" cm="1">
        <f t="array" ref="M168">IFERROR(INDEX(CMSDescuento!$D$2:$D$7, MATCH(1, (CMSDescuento!$B$2:$B$7=CMSRecursos!F168) * (CMSDescuento!$C$2:$C$7=CMSRecursos!I168), 0)),0)</f>
        <v>0</v>
      </c>
      <c r="N168" s="241">
        <f t="shared" si="15"/>
        <v>0</v>
      </c>
      <c r="O168" s="241">
        <f t="shared" si="11"/>
        <v>0</v>
      </c>
      <c r="P168" s="7"/>
      <c r="Q168" s="232"/>
      <c r="R168" s="7"/>
      <c r="S168" s="243">
        <f>N168/(1-CMSResumen!H21)</f>
        <v>0</v>
      </c>
      <c r="T168" s="244">
        <f t="shared" si="12"/>
        <v>0</v>
      </c>
      <c r="U168" s="244">
        <f t="shared" si="13"/>
        <v>0</v>
      </c>
      <c r="V168" s="242">
        <f t="shared" si="14"/>
        <v>0</v>
      </c>
      <c r="W168" s="247"/>
      <c r="X168" s="224"/>
    </row>
    <row r="169" spans="1:24" ht="15" customHeight="1">
      <c r="A169" s="5"/>
      <c r="B169" s="238"/>
      <c r="C169" s="239"/>
      <c r="D169" s="139"/>
      <c r="E169" s="215"/>
      <c r="F169" s="240" t="str">
        <f>IF(E169="AWS",IFERROR(INDEX(CMSAzureAWS!C:C,MATCH(CMSRecursos!G169,CMSAzureAWS!E:E,0)),0),IF(E169="Azure",IFERROR(INDEX(CMSAzureAWS!C:C,MATCH(CMSRecursos!G169,CMSAzureAWS!G:G,0)),0),"Seleccione un Vendor"))</f>
        <v>Seleccione un Vendor</v>
      </c>
      <c r="G169" s="215"/>
      <c r="H169" s="241" t="str">
        <f>IF(E169="AWS",IFERROR(INDEX(CMSAzureAWS!D:D,MATCH(CMSRecursos!G169,CMSAzureAWS!E:E,0)),0),IF(E169="Azure",IFERROR(INDEX(CMSAzureAWS!D:D,MATCH(CMSRecursos!G169,CMSAzureAWS!G:G,0)),0),"Seleccione un Vendor"))</f>
        <v>Seleccione un Vendor</v>
      </c>
      <c r="I169" s="245" t="s">
        <v>1009</v>
      </c>
      <c r="J169" s="245" t="s">
        <v>1009</v>
      </c>
      <c r="K169" s="246">
        <v>0</v>
      </c>
      <c r="L169" s="242" cm="1">
        <f t="array" ref="L169">IFERROR(IF(I169="Si", INDEX(CMSDescuento!$E$23:$E$26, MATCH(1, (CMSDescuento!$C$23:$C$26&lt;=CMSRecursos!K169) * (CMSDescuento!$D$23:$D$26&gt;=CMSRecursos!K169), 0)), 0),0)</f>
        <v>0</v>
      </c>
      <c r="M169" s="241" cm="1">
        <f t="array" ref="M169">IFERROR(INDEX(CMSDescuento!$D$2:$D$7, MATCH(1, (CMSDescuento!$B$2:$B$7=CMSRecursos!F169) * (CMSDescuento!$C$2:$C$7=CMSRecursos!I169), 0)),0)</f>
        <v>0</v>
      </c>
      <c r="N169" s="241">
        <f t="shared" si="15"/>
        <v>0</v>
      </c>
      <c r="O169" s="241">
        <f t="shared" si="11"/>
        <v>0</v>
      </c>
      <c r="P169" s="7"/>
      <c r="Q169" s="232"/>
      <c r="R169" s="7"/>
      <c r="S169" s="243">
        <f>N169/(1-CMSResumen!H21)</f>
        <v>0</v>
      </c>
      <c r="T169" s="244">
        <f t="shared" si="12"/>
        <v>0</v>
      </c>
      <c r="U169" s="244">
        <f t="shared" si="13"/>
        <v>0</v>
      </c>
      <c r="V169" s="242">
        <f t="shared" si="14"/>
        <v>0</v>
      </c>
      <c r="W169" s="247"/>
      <c r="X169" s="224"/>
    </row>
    <row r="170" spans="1:24" ht="15" customHeight="1">
      <c r="A170" s="5"/>
      <c r="B170" s="238"/>
      <c r="C170" s="239"/>
      <c r="D170" s="139"/>
      <c r="E170" s="215"/>
      <c r="F170" s="240" t="str">
        <f>IF(E170="AWS",IFERROR(INDEX(CMSAzureAWS!C:C,MATCH(CMSRecursos!G170,CMSAzureAWS!E:E,0)),0),IF(E170="Azure",IFERROR(INDEX(CMSAzureAWS!C:C,MATCH(CMSRecursos!G170,CMSAzureAWS!G:G,0)),0),"Seleccione un Vendor"))</f>
        <v>Seleccione un Vendor</v>
      </c>
      <c r="G170" s="215"/>
      <c r="H170" s="241" t="str">
        <f>IF(E170="AWS",IFERROR(INDEX(CMSAzureAWS!D:D,MATCH(CMSRecursos!G170,CMSAzureAWS!E:E,0)),0),IF(E170="Azure",IFERROR(INDEX(CMSAzureAWS!D:D,MATCH(CMSRecursos!G170,CMSAzureAWS!G:G,0)),0),"Seleccione un Vendor"))</f>
        <v>Seleccione un Vendor</v>
      </c>
      <c r="I170" s="245" t="s">
        <v>1009</v>
      </c>
      <c r="J170" s="245" t="s">
        <v>1009</v>
      </c>
      <c r="K170" s="246">
        <v>0</v>
      </c>
      <c r="L170" s="242" cm="1">
        <f t="array" ref="L170">IFERROR(IF(I170="Si", INDEX(CMSDescuento!$E$23:$E$26, MATCH(1, (CMSDescuento!$C$23:$C$26&lt;=CMSRecursos!K170) * (CMSDescuento!$D$23:$D$26&gt;=CMSRecursos!K170), 0)), 0),0)</f>
        <v>0</v>
      </c>
      <c r="M170" s="241" cm="1">
        <f t="array" ref="M170">IFERROR(INDEX(CMSDescuento!$D$2:$D$7, MATCH(1, (CMSDescuento!$B$2:$B$7=CMSRecursos!F170) * (CMSDescuento!$C$2:$C$7=CMSRecursos!I170), 0)),0)</f>
        <v>0</v>
      </c>
      <c r="N170" s="241">
        <f t="shared" si="15"/>
        <v>0</v>
      </c>
      <c r="O170" s="241">
        <f t="shared" si="11"/>
        <v>0</v>
      </c>
      <c r="P170" s="7"/>
      <c r="Q170" s="232"/>
      <c r="R170" s="7"/>
      <c r="S170" s="243">
        <f>N170/(1-CMSResumen!H21)</f>
        <v>0</v>
      </c>
      <c r="T170" s="244">
        <f t="shared" si="12"/>
        <v>0</v>
      </c>
      <c r="U170" s="244">
        <f t="shared" si="13"/>
        <v>0</v>
      </c>
      <c r="V170" s="242">
        <f t="shared" si="14"/>
        <v>0</v>
      </c>
      <c r="W170" s="247"/>
      <c r="X170" s="224"/>
    </row>
    <row r="171" spans="1:24" ht="15" customHeight="1">
      <c r="A171" s="5"/>
      <c r="B171" s="238"/>
      <c r="C171" s="239"/>
      <c r="D171" s="139"/>
      <c r="E171" s="215"/>
      <c r="F171" s="240" t="str">
        <f>IF(E171="AWS",IFERROR(INDEX(CMSAzureAWS!C:C,MATCH(CMSRecursos!G171,CMSAzureAWS!E:E,0)),0),IF(E171="Azure",IFERROR(INDEX(CMSAzureAWS!C:C,MATCH(CMSRecursos!G171,CMSAzureAWS!G:G,0)),0),"Seleccione un Vendor"))</f>
        <v>Seleccione un Vendor</v>
      </c>
      <c r="G171" s="215"/>
      <c r="H171" s="241" t="str">
        <f>IF(E171="AWS",IFERROR(INDEX(CMSAzureAWS!D:D,MATCH(CMSRecursos!G171,CMSAzureAWS!E:E,0)),0),IF(E171="Azure",IFERROR(INDEX(CMSAzureAWS!D:D,MATCH(CMSRecursos!G171,CMSAzureAWS!G:G,0)),0),"Seleccione un Vendor"))</f>
        <v>Seleccione un Vendor</v>
      </c>
      <c r="I171" s="245" t="s">
        <v>1009</v>
      </c>
      <c r="J171" s="245" t="s">
        <v>1009</v>
      </c>
      <c r="K171" s="246">
        <v>0</v>
      </c>
      <c r="L171" s="242" cm="1">
        <f t="array" ref="L171">IFERROR(IF(I171="Si", INDEX(CMSDescuento!$E$23:$E$26, MATCH(1, (CMSDescuento!$C$23:$C$26&lt;=CMSRecursos!K171) * (CMSDescuento!$D$23:$D$26&gt;=CMSRecursos!K171), 0)), 0),0)</f>
        <v>0</v>
      </c>
      <c r="M171" s="241" cm="1">
        <f t="array" ref="M171">IFERROR(INDEX(CMSDescuento!$D$2:$D$7, MATCH(1, (CMSDescuento!$B$2:$B$7=CMSRecursos!F171) * (CMSDescuento!$C$2:$C$7=CMSRecursos!I171), 0)),0)</f>
        <v>0</v>
      </c>
      <c r="N171" s="241">
        <f t="shared" si="15"/>
        <v>0</v>
      </c>
      <c r="O171" s="241">
        <f t="shared" si="11"/>
        <v>0</v>
      </c>
      <c r="P171" s="7"/>
      <c r="Q171" s="232"/>
      <c r="R171" s="7"/>
      <c r="S171" s="243">
        <f>N171/(1-CMSResumen!H21)</f>
        <v>0</v>
      </c>
      <c r="T171" s="244">
        <f t="shared" si="12"/>
        <v>0</v>
      </c>
      <c r="U171" s="244">
        <f t="shared" si="13"/>
        <v>0</v>
      </c>
      <c r="V171" s="242">
        <f t="shared" si="14"/>
        <v>0</v>
      </c>
      <c r="W171" s="247"/>
      <c r="X171" s="224"/>
    </row>
    <row r="172" spans="1:24" ht="15" customHeight="1">
      <c r="A172" s="5"/>
      <c r="B172" s="238"/>
      <c r="C172" s="239"/>
      <c r="D172" s="139"/>
      <c r="E172" s="215"/>
      <c r="F172" s="240" t="str">
        <f>IF(E172="AWS",IFERROR(INDEX(CMSAzureAWS!C:C,MATCH(CMSRecursos!G172,CMSAzureAWS!E:E,0)),0),IF(E172="Azure",IFERROR(INDEX(CMSAzureAWS!C:C,MATCH(CMSRecursos!G172,CMSAzureAWS!G:G,0)),0),"Seleccione un Vendor"))</f>
        <v>Seleccione un Vendor</v>
      </c>
      <c r="G172" s="215"/>
      <c r="H172" s="241" t="str">
        <f>IF(E172="AWS",IFERROR(INDEX(CMSAzureAWS!D:D,MATCH(CMSRecursos!G172,CMSAzureAWS!E:E,0)),0),IF(E172="Azure",IFERROR(INDEX(CMSAzureAWS!D:D,MATCH(CMSRecursos!G172,CMSAzureAWS!G:G,0)),0),"Seleccione un Vendor"))</f>
        <v>Seleccione un Vendor</v>
      </c>
      <c r="I172" s="245" t="s">
        <v>1009</v>
      </c>
      <c r="J172" s="245" t="s">
        <v>1009</v>
      </c>
      <c r="K172" s="246">
        <v>0</v>
      </c>
      <c r="L172" s="242" cm="1">
        <f t="array" ref="L172">IFERROR(IF(I172="Si", INDEX(CMSDescuento!$E$23:$E$26, MATCH(1, (CMSDescuento!$C$23:$C$26&lt;=CMSRecursos!K172) * (CMSDescuento!$D$23:$D$26&gt;=CMSRecursos!K172), 0)), 0),0)</f>
        <v>0</v>
      </c>
      <c r="M172" s="241" cm="1">
        <f t="array" ref="M172">IFERROR(INDEX(CMSDescuento!$D$2:$D$7, MATCH(1, (CMSDescuento!$B$2:$B$7=CMSRecursos!F172) * (CMSDescuento!$C$2:$C$7=CMSRecursos!I172), 0)),0)</f>
        <v>0</v>
      </c>
      <c r="N172" s="241">
        <f t="shared" si="15"/>
        <v>0</v>
      </c>
      <c r="O172" s="241">
        <f t="shared" si="11"/>
        <v>0</v>
      </c>
      <c r="P172" s="7"/>
      <c r="Q172" s="232"/>
      <c r="R172" s="7"/>
      <c r="S172" s="243">
        <f>N172/(1-CMSResumen!H21)</f>
        <v>0</v>
      </c>
      <c r="T172" s="244">
        <f t="shared" si="12"/>
        <v>0</v>
      </c>
      <c r="U172" s="244">
        <f t="shared" si="13"/>
        <v>0</v>
      </c>
      <c r="V172" s="242">
        <f t="shared" si="14"/>
        <v>0</v>
      </c>
      <c r="W172" s="247"/>
      <c r="X172" s="224"/>
    </row>
    <row r="173" spans="1:24" ht="15" customHeight="1">
      <c r="A173" s="5"/>
      <c r="B173" s="238"/>
      <c r="C173" s="239"/>
      <c r="D173" s="139"/>
      <c r="E173" s="215"/>
      <c r="F173" s="240" t="str">
        <f>IF(E173="AWS",IFERROR(INDEX(CMSAzureAWS!C:C,MATCH(CMSRecursos!G173,CMSAzureAWS!E:E,0)),0),IF(E173="Azure",IFERROR(INDEX(CMSAzureAWS!C:C,MATCH(CMSRecursos!G173,CMSAzureAWS!G:G,0)),0),"Seleccione un Vendor"))</f>
        <v>Seleccione un Vendor</v>
      </c>
      <c r="G173" s="215"/>
      <c r="H173" s="241" t="str">
        <f>IF(E173="AWS",IFERROR(INDEX(CMSAzureAWS!D:D,MATCH(CMSRecursos!G173,CMSAzureAWS!E:E,0)),0),IF(E173="Azure",IFERROR(INDEX(CMSAzureAWS!D:D,MATCH(CMSRecursos!G173,CMSAzureAWS!G:G,0)),0),"Seleccione un Vendor"))</f>
        <v>Seleccione un Vendor</v>
      </c>
      <c r="I173" s="245" t="s">
        <v>1009</v>
      </c>
      <c r="J173" s="245" t="s">
        <v>1009</v>
      </c>
      <c r="K173" s="246">
        <v>0</v>
      </c>
      <c r="L173" s="242" cm="1">
        <f t="array" ref="L173">IFERROR(IF(I173="Si", INDEX(CMSDescuento!$E$23:$E$26, MATCH(1, (CMSDescuento!$C$23:$C$26&lt;=CMSRecursos!K173) * (CMSDescuento!$D$23:$D$26&gt;=CMSRecursos!K173), 0)), 0),0)</f>
        <v>0</v>
      </c>
      <c r="M173" s="241" cm="1">
        <f t="array" ref="M173">IFERROR(INDEX(CMSDescuento!$D$2:$D$7, MATCH(1, (CMSDescuento!$B$2:$B$7=CMSRecursos!F173) * (CMSDescuento!$C$2:$C$7=CMSRecursos!I173), 0)),0)</f>
        <v>0</v>
      </c>
      <c r="N173" s="241">
        <f t="shared" si="15"/>
        <v>0</v>
      </c>
      <c r="O173" s="241">
        <f t="shared" si="11"/>
        <v>0</v>
      </c>
      <c r="P173" s="7"/>
      <c r="Q173" s="232"/>
      <c r="R173" s="7"/>
      <c r="S173" s="243">
        <f>N173/(1-CMSResumen!H21)</f>
        <v>0</v>
      </c>
      <c r="T173" s="244">
        <f t="shared" si="12"/>
        <v>0</v>
      </c>
      <c r="U173" s="244">
        <f t="shared" si="13"/>
        <v>0</v>
      </c>
      <c r="V173" s="242">
        <f t="shared" si="14"/>
        <v>0</v>
      </c>
      <c r="W173" s="247"/>
      <c r="X173" s="224"/>
    </row>
    <row r="174" spans="1:24" ht="15" customHeight="1">
      <c r="A174" s="5"/>
      <c r="B174" s="238"/>
      <c r="C174" s="239"/>
      <c r="D174" s="139"/>
      <c r="E174" s="215"/>
      <c r="F174" s="240" t="str">
        <f>IF(E174="AWS",IFERROR(INDEX(CMSAzureAWS!C:C,MATCH(CMSRecursos!G174,CMSAzureAWS!E:E,0)),0),IF(E174="Azure",IFERROR(INDEX(CMSAzureAWS!C:C,MATCH(CMSRecursos!G174,CMSAzureAWS!G:G,0)),0),"Seleccione un Vendor"))</f>
        <v>Seleccione un Vendor</v>
      </c>
      <c r="G174" s="215"/>
      <c r="H174" s="241" t="str">
        <f>IF(E174="AWS",IFERROR(INDEX(CMSAzureAWS!D:D,MATCH(CMSRecursos!G174,CMSAzureAWS!E:E,0)),0),IF(E174="Azure",IFERROR(INDEX(CMSAzureAWS!D:D,MATCH(CMSRecursos!G174,CMSAzureAWS!G:G,0)),0),"Seleccione un Vendor"))</f>
        <v>Seleccione un Vendor</v>
      </c>
      <c r="I174" s="245" t="s">
        <v>1009</v>
      </c>
      <c r="J174" s="245" t="s">
        <v>1009</v>
      </c>
      <c r="K174" s="246">
        <v>0</v>
      </c>
      <c r="L174" s="242" cm="1">
        <f t="array" ref="L174">IFERROR(IF(I174="Si", INDEX(CMSDescuento!$E$23:$E$26, MATCH(1, (CMSDescuento!$C$23:$C$26&lt;=CMSRecursos!K174) * (CMSDescuento!$D$23:$D$26&gt;=CMSRecursos!K174), 0)), 0),0)</f>
        <v>0</v>
      </c>
      <c r="M174" s="241" cm="1">
        <f t="array" ref="M174">IFERROR(INDEX(CMSDescuento!$D$2:$D$7, MATCH(1, (CMSDescuento!$B$2:$B$7=CMSRecursos!F174) * (CMSDescuento!$C$2:$C$7=CMSRecursos!I174), 0)),0)</f>
        <v>0</v>
      </c>
      <c r="N174" s="241">
        <f t="shared" si="15"/>
        <v>0</v>
      </c>
      <c r="O174" s="241">
        <f t="shared" si="11"/>
        <v>0</v>
      </c>
      <c r="P174" s="7"/>
      <c r="Q174" s="232"/>
      <c r="R174" s="7"/>
      <c r="S174" s="243">
        <f>N174/(1-CMSResumen!H21)</f>
        <v>0</v>
      </c>
      <c r="T174" s="244">
        <f t="shared" si="12"/>
        <v>0</v>
      </c>
      <c r="U174" s="244">
        <f t="shared" si="13"/>
        <v>0</v>
      </c>
      <c r="V174" s="242">
        <f t="shared" si="14"/>
        <v>0</v>
      </c>
      <c r="W174" s="247"/>
      <c r="X174" s="224"/>
    </row>
    <row r="175" spans="1:24" ht="15" customHeight="1">
      <c r="A175" s="5"/>
      <c r="B175" s="238"/>
      <c r="C175" s="239"/>
      <c r="D175" s="139"/>
      <c r="E175" s="215"/>
      <c r="F175" s="240" t="str">
        <f>IF(E175="AWS",IFERROR(INDEX(CMSAzureAWS!C:C,MATCH(CMSRecursos!G175,CMSAzureAWS!E:E,0)),0),IF(E175="Azure",IFERROR(INDEX(CMSAzureAWS!C:C,MATCH(CMSRecursos!G175,CMSAzureAWS!G:G,0)),0),"Seleccione un Vendor"))</f>
        <v>Seleccione un Vendor</v>
      </c>
      <c r="G175" s="215"/>
      <c r="H175" s="241" t="str">
        <f>IF(E175="AWS",IFERROR(INDEX(CMSAzureAWS!D:D,MATCH(CMSRecursos!G175,CMSAzureAWS!E:E,0)),0),IF(E175="Azure",IFERROR(INDEX(CMSAzureAWS!D:D,MATCH(CMSRecursos!G175,CMSAzureAWS!G:G,0)),0),"Seleccione un Vendor"))</f>
        <v>Seleccione un Vendor</v>
      </c>
      <c r="I175" s="245" t="s">
        <v>1009</v>
      </c>
      <c r="J175" s="245" t="s">
        <v>1009</v>
      </c>
      <c r="K175" s="246">
        <v>0</v>
      </c>
      <c r="L175" s="242" cm="1">
        <f t="array" ref="L175">IFERROR(IF(I175="Si", INDEX(CMSDescuento!$E$23:$E$26, MATCH(1, (CMSDescuento!$C$23:$C$26&lt;=CMSRecursos!K175) * (CMSDescuento!$D$23:$D$26&gt;=CMSRecursos!K175), 0)), 0),0)</f>
        <v>0</v>
      </c>
      <c r="M175" s="241" cm="1">
        <f t="array" ref="M175">IFERROR(INDEX(CMSDescuento!$D$2:$D$7, MATCH(1, (CMSDescuento!$B$2:$B$7=CMSRecursos!F175) * (CMSDescuento!$C$2:$C$7=CMSRecursos!I175), 0)),0)</f>
        <v>0</v>
      </c>
      <c r="N175" s="241">
        <f t="shared" si="15"/>
        <v>0</v>
      </c>
      <c r="O175" s="241">
        <f t="shared" si="11"/>
        <v>0</v>
      </c>
      <c r="P175" s="7"/>
      <c r="Q175" s="232"/>
      <c r="R175" s="7"/>
      <c r="S175" s="243">
        <f>N175/(1-CMSResumen!H21)</f>
        <v>0</v>
      </c>
      <c r="T175" s="244">
        <f t="shared" si="12"/>
        <v>0</v>
      </c>
      <c r="U175" s="244">
        <f t="shared" si="13"/>
        <v>0</v>
      </c>
      <c r="V175" s="242">
        <f t="shared" si="14"/>
        <v>0</v>
      </c>
      <c r="W175" s="247"/>
      <c r="X175" s="224"/>
    </row>
    <row r="176" spans="1:24" ht="15" customHeight="1">
      <c r="A176" s="5"/>
      <c r="B176" s="238"/>
      <c r="C176" s="239"/>
      <c r="D176" s="139"/>
      <c r="E176" s="215"/>
      <c r="F176" s="240" t="str">
        <f>IF(E176="AWS",IFERROR(INDEX(CMSAzureAWS!C:C,MATCH(CMSRecursos!G176,CMSAzureAWS!E:E,0)),0),IF(E176="Azure",IFERROR(INDEX(CMSAzureAWS!C:C,MATCH(CMSRecursos!G176,CMSAzureAWS!G:G,0)),0),"Seleccione un Vendor"))</f>
        <v>Seleccione un Vendor</v>
      </c>
      <c r="G176" s="215"/>
      <c r="H176" s="241" t="str">
        <f>IF(E176="AWS",IFERROR(INDEX(CMSAzureAWS!D:D,MATCH(CMSRecursos!G176,CMSAzureAWS!E:E,0)),0),IF(E176="Azure",IFERROR(INDEX(CMSAzureAWS!D:D,MATCH(CMSRecursos!G176,CMSAzureAWS!G:G,0)),0),"Seleccione un Vendor"))</f>
        <v>Seleccione un Vendor</v>
      </c>
      <c r="I176" s="245" t="s">
        <v>1009</v>
      </c>
      <c r="J176" s="245" t="s">
        <v>1009</v>
      </c>
      <c r="K176" s="246">
        <v>0</v>
      </c>
      <c r="L176" s="242" cm="1">
        <f t="array" ref="L176">IFERROR(IF(I176="Si", INDEX(CMSDescuento!$E$23:$E$26, MATCH(1, (CMSDescuento!$C$23:$C$26&lt;=CMSRecursos!K176) * (CMSDescuento!$D$23:$D$26&gt;=CMSRecursos!K176), 0)), 0),0)</f>
        <v>0</v>
      </c>
      <c r="M176" s="241" cm="1">
        <f t="array" ref="M176">IFERROR(INDEX(CMSDescuento!$D$2:$D$7, MATCH(1, (CMSDescuento!$B$2:$B$7=CMSRecursos!F176) * (CMSDescuento!$C$2:$C$7=CMSRecursos!I176), 0)),0)</f>
        <v>0</v>
      </c>
      <c r="N176" s="241">
        <f t="shared" si="15"/>
        <v>0</v>
      </c>
      <c r="O176" s="241">
        <f t="shared" si="11"/>
        <v>0</v>
      </c>
      <c r="P176" s="7"/>
      <c r="Q176" s="232"/>
      <c r="R176" s="7"/>
      <c r="S176" s="243">
        <f>N176/(1-CMSResumen!H21)</f>
        <v>0</v>
      </c>
      <c r="T176" s="244">
        <f t="shared" si="12"/>
        <v>0</v>
      </c>
      <c r="U176" s="244">
        <f t="shared" si="13"/>
        <v>0</v>
      </c>
      <c r="V176" s="242">
        <f t="shared" si="14"/>
        <v>0</v>
      </c>
      <c r="W176" s="247"/>
      <c r="X176" s="224"/>
    </row>
    <row r="177" spans="1:24" ht="15" customHeight="1">
      <c r="A177" s="5"/>
      <c r="B177" s="238"/>
      <c r="C177" s="239"/>
      <c r="D177" s="139"/>
      <c r="E177" s="215"/>
      <c r="F177" s="240" t="str">
        <f>IF(E177="AWS",IFERROR(INDEX(CMSAzureAWS!C:C,MATCH(CMSRecursos!G177,CMSAzureAWS!E:E,0)),0),IF(E177="Azure",IFERROR(INDEX(CMSAzureAWS!C:C,MATCH(CMSRecursos!G177,CMSAzureAWS!G:G,0)),0),"Seleccione un Vendor"))</f>
        <v>Seleccione un Vendor</v>
      </c>
      <c r="G177" s="215"/>
      <c r="H177" s="241" t="str">
        <f>IF(E177="AWS",IFERROR(INDEX(CMSAzureAWS!D:D,MATCH(CMSRecursos!G177,CMSAzureAWS!E:E,0)),0),IF(E177="Azure",IFERROR(INDEX(CMSAzureAWS!D:D,MATCH(CMSRecursos!G177,CMSAzureAWS!G:G,0)),0),"Seleccione un Vendor"))</f>
        <v>Seleccione un Vendor</v>
      </c>
      <c r="I177" s="245" t="s">
        <v>1009</v>
      </c>
      <c r="J177" s="245" t="s">
        <v>1009</v>
      </c>
      <c r="K177" s="246">
        <v>0</v>
      </c>
      <c r="L177" s="242" cm="1">
        <f t="array" ref="L177">IFERROR(IF(I177="Si", INDEX(CMSDescuento!$E$23:$E$26, MATCH(1, (CMSDescuento!$C$23:$C$26&lt;=CMSRecursos!K177) * (CMSDescuento!$D$23:$D$26&gt;=CMSRecursos!K177), 0)), 0),0)</f>
        <v>0</v>
      </c>
      <c r="M177" s="241" cm="1">
        <f t="array" ref="M177">IFERROR(INDEX(CMSDescuento!$D$2:$D$7, MATCH(1, (CMSDescuento!$B$2:$B$7=CMSRecursos!F177) * (CMSDescuento!$C$2:$C$7=CMSRecursos!I177), 0)),0)</f>
        <v>0</v>
      </c>
      <c r="N177" s="241">
        <f t="shared" si="15"/>
        <v>0</v>
      </c>
      <c r="O177" s="241">
        <f t="shared" si="11"/>
        <v>0</v>
      </c>
      <c r="P177" s="7"/>
      <c r="Q177" s="232"/>
      <c r="R177" s="7"/>
      <c r="S177" s="243">
        <f>N177/(1-CMSResumen!H21)</f>
        <v>0</v>
      </c>
      <c r="T177" s="244">
        <f t="shared" si="12"/>
        <v>0</v>
      </c>
      <c r="U177" s="244">
        <f t="shared" si="13"/>
        <v>0</v>
      </c>
      <c r="V177" s="242">
        <f t="shared" si="14"/>
        <v>0</v>
      </c>
      <c r="W177" s="247"/>
      <c r="X177" s="224"/>
    </row>
    <row r="178" spans="1:24" ht="15" customHeight="1">
      <c r="A178" s="5"/>
      <c r="B178" s="238"/>
      <c r="C178" s="239"/>
      <c r="D178" s="139"/>
      <c r="E178" s="215"/>
      <c r="F178" s="240" t="str">
        <f>IF(E178="AWS",IFERROR(INDEX(CMSAzureAWS!C:C,MATCH(CMSRecursos!G178,CMSAzureAWS!E:E,0)),0),IF(E178="Azure",IFERROR(INDEX(CMSAzureAWS!C:C,MATCH(CMSRecursos!G178,CMSAzureAWS!G:G,0)),0),"Seleccione un Vendor"))</f>
        <v>Seleccione un Vendor</v>
      </c>
      <c r="G178" s="215"/>
      <c r="H178" s="241" t="str">
        <f>IF(E178="AWS",IFERROR(INDEX(CMSAzureAWS!D:D,MATCH(CMSRecursos!G178,CMSAzureAWS!E:E,0)),0),IF(E178="Azure",IFERROR(INDEX(CMSAzureAWS!D:D,MATCH(CMSRecursos!G178,CMSAzureAWS!G:G,0)),0),"Seleccione un Vendor"))</f>
        <v>Seleccione un Vendor</v>
      </c>
      <c r="I178" s="245" t="s">
        <v>1009</v>
      </c>
      <c r="J178" s="245" t="s">
        <v>1009</v>
      </c>
      <c r="K178" s="246">
        <v>0</v>
      </c>
      <c r="L178" s="242" cm="1">
        <f t="array" ref="L178">IFERROR(IF(I178="Si", INDEX(CMSDescuento!$E$23:$E$26, MATCH(1, (CMSDescuento!$C$23:$C$26&lt;=CMSRecursos!K178) * (CMSDescuento!$D$23:$D$26&gt;=CMSRecursos!K178), 0)), 0),0)</f>
        <v>0</v>
      </c>
      <c r="M178" s="241" cm="1">
        <f t="array" ref="M178">IFERROR(INDEX(CMSDescuento!$D$2:$D$7, MATCH(1, (CMSDescuento!$B$2:$B$7=CMSRecursos!F178) * (CMSDescuento!$C$2:$C$7=CMSRecursos!I178), 0)),0)</f>
        <v>0</v>
      </c>
      <c r="N178" s="241">
        <f t="shared" si="15"/>
        <v>0</v>
      </c>
      <c r="O178" s="241">
        <f t="shared" si="11"/>
        <v>0</v>
      </c>
      <c r="P178" s="7"/>
      <c r="Q178" s="232"/>
      <c r="R178" s="7"/>
      <c r="S178" s="243">
        <f>N178/(1-CMSResumen!H21)</f>
        <v>0</v>
      </c>
      <c r="T178" s="244">
        <f t="shared" si="12"/>
        <v>0</v>
      </c>
      <c r="U178" s="244">
        <f t="shared" si="13"/>
        <v>0</v>
      </c>
      <c r="V178" s="242">
        <f t="shared" si="14"/>
        <v>0</v>
      </c>
      <c r="W178" s="247"/>
      <c r="X178" s="224"/>
    </row>
    <row r="179" spans="1:24" ht="15" customHeight="1">
      <c r="A179" s="5"/>
      <c r="B179" s="238"/>
      <c r="C179" s="239"/>
      <c r="D179" s="139"/>
      <c r="E179" s="215"/>
      <c r="F179" s="240" t="str">
        <f>IF(E179="AWS",IFERROR(INDEX(CMSAzureAWS!C:C,MATCH(CMSRecursos!G179,CMSAzureAWS!E:E,0)),0),IF(E179="Azure",IFERROR(INDEX(CMSAzureAWS!C:C,MATCH(CMSRecursos!G179,CMSAzureAWS!G:G,0)),0),"Seleccione un Vendor"))</f>
        <v>Seleccione un Vendor</v>
      </c>
      <c r="G179" s="215"/>
      <c r="H179" s="241" t="str">
        <f>IF(E179="AWS",IFERROR(INDEX(CMSAzureAWS!D:D,MATCH(CMSRecursos!G179,CMSAzureAWS!E:E,0)),0),IF(E179="Azure",IFERROR(INDEX(CMSAzureAWS!D:D,MATCH(CMSRecursos!G179,CMSAzureAWS!G:G,0)),0),"Seleccione un Vendor"))</f>
        <v>Seleccione un Vendor</v>
      </c>
      <c r="I179" s="245" t="s">
        <v>1009</v>
      </c>
      <c r="J179" s="245" t="s">
        <v>1009</v>
      </c>
      <c r="K179" s="246">
        <v>0</v>
      </c>
      <c r="L179" s="242" cm="1">
        <f t="array" ref="L179">IFERROR(IF(I179="Si", INDEX(CMSDescuento!$E$23:$E$26, MATCH(1, (CMSDescuento!$C$23:$C$26&lt;=CMSRecursos!K179) * (CMSDescuento!$D$23:$D$26&gt;=CMSRecursos!K179), 0)), 0),0)</f>
        <v>0</v>
      </c>
      <c r="M179" s="241" cm="1">
        <f t="array" ref="M179">IFERROR(INDEX(CMSDescuento!$D$2:$D$7, MATCH(1, (CMSDescuento!$B$2:$B$7=CMSRecursos!F179) * (CMSDescuento!$C$2:$C$7=CMSRecursos!I179), 0)),0)</f>
        <v>0</v>
      </c>
      <c r="N179" s="241">
        <f t="shared" si="15"/>
        <v>0</v>
      </c>
      <c r="O179" s="241">
        <f t="shared" si="11"/>
        <v>0</v>
      </c>
      <c r="P179" s="7"/>
      <c r="Q179" s="232"/>
      <c r="R179" s="7"/>
      <c r="S179" s="243">
        <f>N179/(1-CMSResumen!H21)</f>
        <v>0</v>
      </c>
      <c r="T179" s="244">
        <f t="shared" si="12"/>
        <v>0</v>
      </c>
      <c r="U179" s="244">
        <f t="shared" si="13"/>
        <v>0</v>
      </c>
      <c r="V179" s="242">
        <f t="shared" si="14"/>
        <v>0</v>
      </c>
      <c r="W179" s="247"/>
      <c r="X179" s="224"/>
    </row>
    <row r="180" spans="1:24" ht="15" customHeight="1">
      <c r="A180" s="5"/>
      <c r="B180" s="238"/>
      <c r="C180" s="239"/>
      <c r="D180" s="139"/>
      <c r="E180" s="215"/>
      <c r="F180" s="240" t="str">
        <f>IF(E180="AWS",IFERROR(INDEX(CMSAzureAWS!C:C,MATCH(CMSRecursos!G180,CMSAzureAWS!E:E,0)),0),IF(E180="Azure",IFERROR(INDEX(CMSAzureAWS!C:C,MATCH(CMSRecursos!G180,CMSAzureAWS!G:G,0)),0),"Seleccione un Vendor"))</f>
        <v>Seleccione un Vendor</v>
      </c>
      <c r="G180" s="215"/>
      <c r="H180" s="241" t="str">
        <f>IF(E180="AWS",IFERROR(INDEX(CMSAzureAWS!D:D,MATCH(CMSRecursos!G180,CMSAzureAWS!E:E,0)),0),IF(E180="Azure",IFERROR(INDEX(CMSAzureAWS!D:D,MATCH(CMSRecursos!G180,CMSAzureAWS!G:G,0)),0),"Seleccione un Vendor"))</f>
        <v>Seleccione un Vendor</v>
      </c>
      <c r="I180" s="245" t="s">
        <v>1009</v>
      </c>
      <c r="J180" s="245" t="s">
        <v>1009</v>
      </c>
      <c r="K180" s="246">
        <v>0</v>
      </c>
      <c r="L180" s="242" cm="1">
        <f t="array" ref="L180">IFERROR(IF(I180="Si", INDEX(CMSDescuento!$E$23:$E$26, MATCH(1, (CMSDescuento!$C$23:$C$26&lt;=CMSRecursos!K180) * (CMSDescuento!$D$23:$D$26&gt;=CMSRecursos!K180), 0)), 0),0)</f>
        <v>0</v>
      </c>
      <c r="M180" s="241" cm="1">
        <f t="array" ref="M180">IFERROR(INDEX(CMSDescuento!$D$2:$D$7, MATCH(1, (CMSDescuento!$B$2:$B$7=CMSRecursos!F180) * (CMSDescuento!$C$2:$C$7=CMSRecursos!I180), 0)),0)</f>
        <v>0</v>
      </c>
      <c r="N180" s="241">
        <f t="shared" si="15"/>
        <v>0</v>
      </c>
      <c r="O180" s="241">
        <f t="shared" si="11"/>
        <v>0</v>
      </c>
      <c r="P180" s="7"/>
      <c r="Q180" s="232"/>
      <c r="R180" s="7"/>
      <c r="S180" s="243">
        <f>N180/(1-CMSResumen!H21)</f>
        <v>0</v>
      </c>
      <c r="T180" s="244">
        <f t="shared" si="12"/>
        <v>0</v>
      </c>
      <c r="U180" s="244">
        <f t="shared" si="13"/>
        <v>0</v>
      </c>
      <c r="V180" s="242">
        <f t="shared" si="14"/>
        <v>0</v>
      </c>
      <c r="W180" s="247"/>
      <c r="X180" s="224"/>
    </row>
    <row r="181" spans="1:24" ht="15" customHeight="1">
      <c r="A181" s="5"/>
      <c r="B181" s="238"/>
      <c r="C181" s="239"/>
      <c r="D181" s="139"/>
      <c r="E181" s="215"/>
      <c r="F181" s="240" t="str">
        <f>IF(E181="AWS",IFERROR(INDEX(CMSAzureAWS!C:C,MATCH(CMSRecursos!G181,CMSAzureAWS!E:E,0)),0),IF(E181="Azure",IFERROR(INDEX(CMSAzureAWS!C:C,MATCH(CMSRecursos!G181,CMSAzureAWS!G:G,0)),0),"Seleccione un Vendor"))</f>
        <v>Seleccione un Vendor</v>
      </c>
      <c r="G181" s="215"/>
      <c r="H181" s="241" t="str">
        <f>IF(E181="AWS",IFERROR(INDEX(CMSAzureAWS!D:D,MATCH(CMSRecursos!G181,CMSAzureAWS!E:E,0)),0),IF(E181="Azure",IFERROR(INDEX(CMSAzureAWS!D:D,MATCH(CMSRecursos!G181,CMSAzureAWS!G:G,0)),0),"Seleccione un Vendor"))</f>
        <v>Seleccione un Vendor</v>
      </c>
      <c r="I181" s="245" t="s">
        <v>1009</v>
      </c>
      <c r="J181" s="245" t="s">
        <v>1009</v>
      </c>
      <c r="K181" s="246">
        <v>0</v>
      </c>
      <c r="L181" s="242" cm="1">
        <f t="array" ref="L181">IFERROR(IF(I181="Si", INDEX(CMSDescuento!$E$23:$E$26, MATCH(1, (CMSDescuento!$C$23:$C$26&lt;=CMSRecursos!K181) * (CMSDescuento!$D$23:$D$26&gt;=CMSRecursos!K181), 0)), 0),0)</f>
        <v>0</v>
      </c>
      <c r="M181" s="241" cm="1">
        <f t="array" ref="M181">IFERROR(INDEX(CMSDescuento!$D$2:$D$7, MATCH(1, (CMSDescuento!$B$2:$B$7=CMSRecursos!F181) * (CMSDescuento!$C$2:$C$7=CMSRecursos!I181), 0)),0)</f>
        <v>0</v>
      </c>
      <c r="N181" s="241">
        <f t="shared" si="15"/>
        <v>0</v>
      </c>
      <c r="O181" s="241">
        <f t="shared" si="11"/>
        <v>0</v>
      </c>
      <c r="P181" s="7"/>
      <c r="Q181" s="232"/>
      <c r="R181" s="7"/>
      <c r="S181" s="243">
        <f>N181/(1-CMSResumen!H21)</f>
        <v>0</v>
      </c>
      <c r="T181" s="244">
        <f t="shared" si="12"/>
        <v>0</v>
      </c>
      <c r="U181" s="244">
        <f t="shared" si="13"/>
        <v>0</v>
      </c>
      <c r="V181" s="242">
        <f t="shared" si="14"/>
        <v>0</v>
      </c>
      <c r="W181" s="247"/>
      <c r="X181" s="224"/>
    </row>
    <row r="182" spans="1:24" ht="15" customHeight="1">
      <c r="A182" s="5"/>
      <c r="B182" s="238"/>
      <c r="C182" s="239"/>
      <c r="D182" s="139"/>
      <c r="E182" s="215"/>
      <c r="F182" s="240" t="str">
        <f>IF(E182="AWS",IFERROR(INDEX(CMSAzureAWS!C:C,MATCH(CMSRecursos!G182,CMSAzureAWS!E:E,0)),0),IF(E182="Azure",IFERROR(INDEX(CMSAzureAWS!C:C,MATCH(CMSRecursos!G182,CMSAzureAWS!G:G,0)),0),"Seleccione un Vendor"))</f>
        <v>Seleccione un Vendor</v>
      </c>
      <c r="G182" s="215"/>
      <c r="H182" s="241" t="str">
        <f>IF(E182="AWS",IFERROR(INDEX(CMSAzureAWS!D:D,MATCH(CMSRecursos!G182,CMSAzureAWS!E:E,0)),0),IF(E182="Azure",IFERROR(INDEX(CMSAzureAWS!D:D,MATCH(CMSRecursos!G182,CMSAzureAWS!G:G,0)),0),"Seleccione un Vendor"))</f>
        <v>Seleccione un Vendor</v>
      </c>
      <c r="I182" s="245" t="s">
        <v>1009</v>
      </c>
      <c r="J182" s="245" t="s">
        <v>1009</v>
      </c>
      <c r="K182" s="246">
        <v>0</v>
      </c>
      <c r="L182" s="242" cm="1">
        <f t="array" ref="L182">IFERROR(IF(I182="Si", INDEX(CMSDescuento!$E$23:$E$26, MATCH(1, (CMSDescuento!$C$23:$C$26&lt;=CMSRecursos!K182) * (CMSDescuento!$D$23:$D$26&gt;=CMSRecursos!K182), 0)), 0),0)</f>
        <v>0</v>
      </c>
      <c r="M182" s="241" cm="1">
        <f t="array" ref="M182">IFERROR(INDEX(CMSDescuento!$D$2:$D$7, MATCH(1, (CMSDescuento!$B$2:$B$7=CMSRecursos!F182) * (CMSDescuento!$C$2:$C$7=CMSRecursos!I182), 0)),0)</f>
        <v>0</v>
      </c>
      <c r="N182" s="241">
        <f t="shared" si="15"/>
        <v>0</v>
      </c>
      <c r="O182" s="241">
        <f t="shared" si="11"/>
        <v>0</v>
      </c>
      <c r="P182" s="7"/>
      <c r="Q182" s="232"/>
      <c r="R182" s="7"/>
      <c r="S182" s="243">
        <f>N182/(1-CMSResumen!H21)</f>
        <v>0</v>
      </c>
      <c r="T182" s="244">
        <f t="shared" si="12"/>
        <v>0</v>
      </c>
      <c r="U182" s="244">
        <f t="shared" si="13"/>
        <v>0</v>
      </c>
      <c r="V182" s="242">
        <f t="shared" si="14"/>
        <v>0</v>
      </c>
      <c r="W182" s="247"/>
      <c r="X182" s="224"/>
    </row>
    <row r="183" spans="1:24" ht="15" customHeight="1">
      <c r="A183" s="5"/>
      <c r="B183" s="238"/>
      <c r="C183" s="239"/>
      <c r="D183" s="139"/>
      <c r="E183" s="215"/>
      <c r="F183" s="240" t="str">
        <f>IF(E183="AWS",IFERROR(INDEX(CMSAzureAWS!C:C,MATCH(CMSRecursos!G183,CMSAzureAWS!E:E,0)),0),IF(E183="Azure",IFERROR(INDEX(CMSAzureAWS!C:C,MATCH(CMSRecursos!G183,CMSAzureAWS!G:G,0)),0),"Seleccione un Vendor"))</f>
        <v>Seleccione un Vendor</v>
      </c>
      <c r="G183" s="215"/>
      <c r="H183" s="241" t="str">
        <f>IF(E183="AWS",IFERROR(INDEX(CMSAzureAWS!D:D,MATCH(CMSRecursos!G183,CMSAzureAWS!E:E,0)),0),IF(E183="Azure",IFERROR(INDEX(CMSAzureAWS!D:D,MATCH(CMSRecursos!G183,CMSAzureAWS!G:G,0)),0),"Seleccione un Vendor"))</f>
        <v>Seleccione un Vendor</v>
      </c>
      <c r="I183" s="245" t="s">
        <v>1009</v>
      </c>
      <c r="J183" s="245" t="s">
        <v>1009</v>
      </c>
      <c r="K183" s="246">
        <v>0</v>
      </c>
      <c r="L183" s="242" cm="1">
        <f t="array" ref="L183">IFERROR(IF(I183="Si", INDEX(CMSDescuento!$E$23:$E$26, MATCH(1, (CMSDescuento!$C$23:$C$26&lt;=CMSRecursos!K183) * (CMSDescuento!$D$23:$D$26&gt;=CMSRecursos!K183), 0)), 0),0)</f>
        <v>0</v>
      </c>
      <c r="M183" s="241" cm="1">
        <f t="array" ref="M183">IFERROR(INDEX(CMSDescuento!$D$2:$D$7, MATCH(1, (CMSDescuento!$B$2:$B$7=CMSRecursos!F183) * (CMSDescuento!$C$2:$C$7=CMSRecursos!I183), 0)),0)</f>
        <v>0</v>
      </c>
      <c r="N183" s="241">
        <f t="shared" si="15"/>
        <v>0</v>
      </c>
      <c r="O183" s="241">
        <f t="shared" si="11"/>
        <v>0</v>
      </c>
      <c r="P183" s="7"/>
      <c r="Q183" s="232"/>
      <c r="R183" s="7"/>
      <c r="S183" s="243">
        <f>N183/(1-CMSResumen!H21)</f>
        <v>0</v>
      </c>
      <c r="T183" s="244">
        <f t="shared" si="12"/>
        <v>0</v>
      </c>
      <c r="U183" s="244">
        <f t="shared" si="13"/>
        <v>0</v>
      </c>
      <c r="V183" s="242">
        <f t="shared" si="14"/>
        <v>0</v>
      </c>
      <c r="W183" s="247"/>
      <c r="X183" s="224"/>
    </row>
    <row r="184" spans="1:24" ht="15" customHeight="1">
      <c r="A184" s="5"/>
      <c r="B184" s="238"/>
      <c r="C184" s="239"/>
      <c r="D184" s="139"/>
      <c r="E184" s="215"/>
      <c r="F184" s="240" t="str">
        <f>IF(E184="AWS",IFERROR(INDEX(CMSAzureAWS!C:C,MATCH(CMSRecursos!G184,CMSAzureAWS!E:E,0)),0),IF(E184="Azure",IFERROR(INDEX(CMSAzureAWS!C:C,MATCH(CMSRecursos!G184,CMSAzureAWS!G:G,0)),0),"Seleccione un Vendor"))</f>
        <v>Seleccione un Vendor</v>
      </c>
      <c r="G184" s="215"/>
      <c r="H184" s="241" t="str">
        <f>IF(E184="AWS",IFERROR(INDEX(CMSAzureAWS!D:D,MATCH(CMSRecursos!G184,CMSAzureAWS!E:E,0)),0),IF(E184="Azure",IFERROR(INDEX(CMSAzureAWS!D:D,MATCH(CMSRecursos!G184,CMSAzureAWS!G:G,0)),0),"Seleccione un Vendor"))</f>
        <v>Seleccione un Vendor</v>
      </c>
      <c r="I184" s="245" t="s">
        <v>1009</v>
      </c>
      <c r="J184" s="245" t="s">
        <v>1009</v>
      </c>
      <c r="K184" s="246">
        <v>0</v>
      </c>
      <c r="L184" s="242" cm="1">
        <f t="array" ref="L184">IFERROR(IF(I184="Si", INDEX(CMSDescuento!$E$23:$E$26, MATCH(1, (CMSDescuento!$C$23:$C$26&lt;=CMSRecursos!K184) * (CMSDescuento!$D$23:$D$26&gt;=CMSRecursos!K184), 0)), 0),0)</f>
        <v>0</v>
      </c>
      <c r="M184" s="241" cm="1">
        <f t="array" ref="M184">IFERROR(INDEX(CMSDescuento!$D$2:$D$7, MATCH(1, (CMSDescuento!$B$2:$B$7=CMSRecursos!F184) * (CMSDescuento!$C$2:$C$7=CMSRecursos!I184), 0)),0)</f>
        <v>0</v>
      </c>
      <c r="N184" s="241">
        <f t="shared" si="15"/>
        <v>0</v>
      </c>
      <c r="O184" s="241">
        <f t="shared" si="11"/>
        <v>0</v>
      </c>
      <c r="P184" s="7"/>
      <c r="Q184" s="232"/>
      <c r="R184" s="7"/>
      <c r="S184" s="243">
        <f>N184/(1-CMSResumen!H21)</f>
        <v>0</v>
      </c>
      <c r="T184" s="244">
        <f t="shared" si="12"/>
        <v>0</v>
      </c>
      <c r="U184" s="244">
        <f t="shared" si="13"/>
        <v>0</v>
      </c>
      <c r="V184" s="242">
        <f t="shared" si="14"/>
        <v>0</v>
      </c>
      <c r="W184" s="247"/>
      <c r="X184" s="224"/>
    </row>
    <row r="185" spans="1:24" ht="15" customHeight="1">
      <c r="A185" s="5"/>
      <c r="B185" s="238"/>
      <c r="C185" s="239"/>
      <c r="D185" s="139"/>
      <c r="E185" s="215"/>
      <c r="F185" s="240" t="str">
        <f>IF(E185="AWS",IFERROR(INDEX(CMSAzureAWS!C:C,MATCH(CMSRecursos!G185,CMSAzureAWS!E:E,0)),0),IF(E185="Azure",IFERROR(INDEX(CMSAzureAWS!C:C,MATCH(CMSRecursos!G185,CMSAzureAWS!G:G,0)),0),"Seleccione un Vendor"))</f>
        <v>Seleccione un Vendor</v>
      </c>
      <c r="G185" s="215"/>
      <c r="H185" s="241" t="str">
        <f>IF(E185="AWS",IFERROR(INDEX(CMSAzureAWS!D:D,MATCH(CMSRecursos!G185,CMSAzureAWS!E:E,0)),0),IF(E185="Azure",IFERROR(INDEX(CMSAzureAWS!D:D,MATCH(CMSRecursos!G185,CMSAzureAWS!G:G,0)),0),"Seleccione un Vendor"))</f>
        <v>Seleccione un Vendor</v>
      </c>
      <c r="I185" s="245" t="s">
        <v>1009</v>
      </c>
      <c r="J185" s="245" t="s">
        <v>1009</v>
      </c>
      <c r="K185" s="246">
        <v>0</v>
      </c>
      <c r="L185" s="242" cm="1">
        <f t="array" ref="L185">IFERROR(IF(I185="Si", INDEX(CMSDescuento!$E$23:$E$26, MATCH(1, (CMSDescuento!$C$23:$C$26&lt;=CMSRecursos!K185) * (CMSDescuento!$D$23:$D$26&gt;=CMSRecursos!K185), 0)), 0),0)</f>
        <v>0</v>
      </c>
      <c r="M185" s="241" cm="1">
        <f t="array" ref="M185">IFERROR(INDEX(CMSDescuento!$D$2:$D$7, MATCH(1, (CMSDescuento!$B$2:$B$7=CMSRecursos!F185) * (CMSDescuento!$C$2:$C$7=CMSRecursos!I185), 0)),0)</f>
        <v>0</v>
      </c>
      <c r="N185" s="241">
        <f t="shared" si="15"/>
        <v>0</v>
      </c>
      <c r="O185" s="241">
        <f t="shared" si="11"/>
        <v>0</v>
      </c>
      <c r="P185" s="7"/>
      <c r="Q185" s="232"/>
      <c r="R185" s="7"/>
      <c r="S185" s="243">
        <f>N185/(1-CMSResumen!H21)</f>
        <v>0</v>
      </c>
      <c r="T185" s="244">
        <f t="shared" si="12"/>
        <v>0</v>
      </c>
      <c r="U185" s="244">
        <f t="shared" si="13"/>
        <v>0</v>
      </c>
      <c r="V185" s="242">
        <f t="shared" si="14"/>
        <v>0</v>
      </c>
      <c r="W185" s="247"/>
      <c r="X185" s="224"/>
    </row>
    <row r="186" spans="1:24" ht="15" customHeight="1">
      <c r="A186" s="5"/>
      <c r="B186" s="238"/>
      <c r="C186" s="239"/>
      <c r="D186" s="139"/>
      <c r="E186" s="215"/>
      <c r="F186" s="240" t="str">
        <f>IF(E186="AWS",IFERROR(INDEX(CMSAzureAWS!C:C,MATCH(CMSRecursos!G186,CMSAzureAWS!E:E,0)),0),IF(E186="Azure",IFERROR(INDEX(CMSAzureAWS!C:C,MATCH(CMSRecursos!G186,CMSAzureAWS!G:G,0)),0),"Seleccione un Vendor"))</f>
        <v>Seleccione un Vendor</v>
      </c>
      <c r="G186" s="215"/>
      <c r="H186" s="241" t="str">
        <f>IF(E186="AWS",IFERROR(INDEX(CMSAzureAWS!D:D,MATCH(CMSRecursos!G186,CMSAzureAWS!E:E,0)),0),IF(E186="Azure",IFERROR(INDEX(CMSAzureAWS!D:D,MATCH(CMSRecursos!G186,CMSAzureAWS!G:G,0)),0),"Seleccione un Vendor"))</f>
        <v>Seleccione un Vendor</v>
      </c>
      <c r="I186" s="245" t="s">
        <v>1009</v>
      </c>
      <c r="J186" s="245" t="s">
        <v>1009</v>
      </c>
      <c r="K186" s="246">
        <v>0</v>
      </c>
      <c r="L186" s="242" cm="1">
        <f t="array" ref="L186">IFERROR(IF(I186="Si", INDEX(CMSDescuento!$E$23:$E$26, MATCH(1, (CMSDescuento!$C$23:$C$26&lt;=CMSRecursos!K186) * (CMSDescuento!$D$23:$D$26&gt;=CMSRecursos!K186), 0)), 0),0)</f>
        <v>0</v>
      </c>
      <c r="M186" s="241" cm="1">
        <f t="array" ref="M186">IFERROR(INDEX(CMSDescuento!$D$2:$D$7, MATCH(1, (CMSDescuento!$B$2:$B$7=CMSRecursos!F186) * (CMSDescuento!$C$2:$C$7=CMSRecursos!I186), 0)),0)</f>
        <v>0</v>
      </c>
      <c r="N186" s="241">
        <f t="shared" si="15"/>
        <v>0</v>
      </c>
      <c r="O186" s="241">
        <f t="shared" si="11"/>
        <v>0</v>
      </c>
      <c r="P186" s="7"/>
      <c r="Q186" s="232"/>
      <c r="R186" s="7"/>
      <c r="S186" s="243">
        <f>N186/(1-CMSResumen!H21)</f>
        <v>0</v>
      </c>
      <c r="T186" s="244">
        <f t="shared" si="12"/>
        <v>0</v>
      </c>
      <c r="U186" s="244">
        <f t="shared" si="13"/>
        <v>0</v>
      </c>
      <c r="V186" s="242">
        <f t="shared" si="14"/>
        <v>0</v>
      </c>
      <c r="W186" s="247"/>
      <c r="X186" s="224"/>
    </row>
    <row r="187" spans="1:24" ht="15" customHeight="1">
      <c r="A187" s="5"/>
      <c r="B187" s="238"/>
      <c r="C187" s="239"/>
      <c r="D187" s="139"/>
      <c r="E187" s="215"/>
      <c r="F187" s="240" t="str">
        <f>IF(E187="AWS",IFERROR(INDEX(CMSAzureAWS!C:C,MATCH(CMSRecursos!G187,CMSAzureAWS!E:E,0)),0),IF(E187="Azure",IFERROR(INDEX(CMSAzureAWS!C:C,MATCH(CMSRecursos!G187,CMSAzureAWS!G:G,0)),0),"Seleccione un Vendor"))</f>
        <v>Seleccione un Vendor</v>
      </c>
      <c r="G187" s="215"/>
      <c r="H187" s="241" t="str">
        <f>IF(E187="AWS",IFERROR(INDEX(CMSAzureAWS!D:D,MATCH(CMSRecursos!G187,CMSAzureAWS!E:E,0)),0),IF(E187="Azure",IFERROR(INDEX(CMSAzureAWS!D:D,MATCH(CMSRecursos!G187,CMSAzureAWS!G:G,0)),0),"Seleccione un Vendor"))</f>
        <v>Seleccione un Vendor</v>
      </c>
      <c r="I187" s="245" t="s">
        <v>1009</v>
      </c>
      <c r="J187" s="245" t="s">
        <v>1009</v>
      </c>
      <c r="K187" s="246">
        <v>0</v>
      </c>
      <c r="L187" s="242" cm="1">
        <f t="array" ref="L187">IFERROR(IF(I187="Si", INDEX(CMSDescuento!$E$23:$E$26, MATCH(1, (CMSDescuento!$C$23:$C$26&lt;=CMSRecursos!K187) * (CMSDescuento!$D$23:$D$26&gt;=CMSRecursos!K187), 0)), 0),0)</f>
        <v>0</v>
      </c>
      <c r="M187" s="241" cm="1">
        <f t="array" ref="M187">IFERROR(INDEX(CMSDescuento!$D$2:$D$7, MATCH(1, (CMSDescuento!$B$2:$B$7=CMSRecursos!F187) * (CMSDescuento!$C$2:$C$7=CMSRecursos!I187), 0)),0)</f>
        <v>0</v>
      </c>
      <c r="N187" s="241">
        <f t="shared" si="15"/>
        <v>0</v>
      </c>
      <c r="O187" s="241">
        <f t="shared" si="11"/>
        <v>0</v>
      </c>
      <c r="P187" s="7"/>
      <c r="Q187" s="232"/>
      <c r="R187" s="7"/>
      <c r="S187" s="243">
        <f>N187/(1-CMSResumen!H21)</f>
        <v>0</v>
      </c>
      <c r="T187" s="244">
        <f t="shared" si="12"/>
        <v>0</v>
      </c>
      <c r="U187" s="244">
        <f t="shared" si="13"/>
        <v>0</v>
      </c>
      <c r="V187" s="242">
        <f t="shared" si="14"/>
        <v>0</v>
      </c>
      <c r="W187" s="247"/>
      <c r="X187" s="224"/>
    </row>
    <row r="188" spans="1:24" ht="15" customHeight="1">
      <c r="A188" s="5"/>
      <c r="B188" s="238"/>
      <c r="C188" s="239"/>
      <c r="D188" s="139"/>
      <c r="E188" s="215"/>
      <c r="F188" s="240" t="str">
        <f>IF(E188="AWS",IFERROR(INDEX(CMSAzureAWS!C:C,MATCH(CMSRecursos!G188,CMSAzureAWS!E:E,0)),0),IF(E188="Azure",IFERROR(INDEX(CMSAzureAWS!C:C,MATCH(CMSRecursos!G188,CMSAzureAWS!G:G,0)),0),"Seleccione un Vendor"))</f>
        <v>Seleccione un Vendor</v>
      </c>
      <c r="G188" s="215"/>
      <c r="H188" s="241" t="str">
        <f>IF(E188="AWS",IFERROR(INDEX(CMSAzureAWS!D:D,MATCH(CMSRecursos!G188,CMSAzureAWS!E:E,0)),0),IF(E188="Azure",IFERROR(INDEX(CMSAzureAWS!D:D,MATCH(CMSRecursos!G188,CMSAzureAWS!G:G,0)),0),"Seleccione un Vendor"))</f>
        <v>Seleccione un Vendor</v>
      </c>
      <c r="I188" s="245" t="s">
        <v>1009</v>
      </c>
      <c r="J188" s="245" t="s">
        <v>1009</v>
      </c>
      <c r="K188" s="246">
        <v>0</v>
      </c>
      <c r="L188" s="242" cm="1">
        <f t="array" ref="L188">IFERROR(IF(I188="Si", INDEX(CMSDescuento!$E$23:$E$26, MATCH(1, (CMSDescuento!$C$23:$C$26&lt;=CMSRecursos!K188) * (CMSDescuento!$D$23:$D$26&gt;=CMSRecursos!K188), 0)), 0),0)</f>
        <v>0</v>
      </c>
      <c r="M188" s="241" cm="1">
        <f t="array" ref="M188">IFERROR(INDEX(CMSDescuento!$D$2:$D$7, MATCH(1, (CMSDescuento!$B$2:$B$7=CMSRecursos!F188) * (CMSDescuento!$C$2:$C$7=CMSRecursos!I188), 0)),0)</f>
        <v>0</v>
      </c>
      <c r="N188" s="241">
        <f t="shared" si="15"/>
        <v>0</v>
      </c>
      <c r="O188" s="241">
        <f t="shared" si="11"/>
        <v>0</v>
      </c>
      <c r="P188" s="7"/>
      <c r="Q188" s="232"/>
      <c r="R188" s="7"/>
      <c r="S188" s="243">
        <f>N188/(1-CMSResumen!H21)</f>
        <v>0</v>
      </c>
      <c r="T188" s="244">
        <f t="shared" si="12"/>
        <v>0</v>
      </c>
      <c r="U188" s="244">
        <f t="shared" si="13"/>
        <v>0</v>
      </c>
      <c r="V188" s="242">
        <f t="shared" si="14"/>
        <v>0</v>
      </c>
      <c r="W188" s="247"/>
      <c r="X188" s="224"/>
    </row>
    <row r="189" spans="1:24" ht="15" customHeight="1">
      <c r="A189" s="5"/>
      <c r="B189" s="238"/>
      <c r="C189" s="239"/>
      <c r="D189" s="139"/>
      <c r="E189" s="215"/>
      <c r="F189" s="240" t="str">
        <f>IF(E189="AWS",IFERROR(INDEX(CMSAzureAWS!C:C,MATCH(CMSRecursos!G189,CMSAzureAWS!E:E,0)),0),IF(E189="Azure",IFERROR(INDEX(CMSAzureAWS!C:C,MATCH(CMSRecursos!G189,CMSAzureAWS!G:G,0)),0),"Seleccione un Vendor"))</f>
        <v>Seleccione un Vendor</v>
      </c>
      <c r="G189" s="215"/>
      <c r="H189" s="241" t="str">
        <f>IF(E189="AWS",IFERROR(INDEX(CMSAzureAWS!D:D,MATCH(CMSRecursos!G189,CMSAzureAWS!E:E,0)),0),IF(E189="Azure",IFERROR(INDEX(CMSAzureAWS!D:D,MATCH(CMSRecursos!G189,CMSAzureAWS!G:G,0)),0),"Seleccione un Vendor"))</f>
        <v>Seleccione un Vendor</v>
      </c>
      <c r="I189" s="245" t="s">
        <v>1009</v>
      </c>
      <c r="J189" s="245" t="s">
        <v>1009</v>
      </c>
      <c r="K189" s="246">
        <v>0</v>
      </c>
      <c r="L189" s="242" cm="1">
        <f t="array" ref="L189">IFERROR(IF(I189="Si", INDEX(CMSDescuento!$E$23:$E$26, MATCH(1, (CMSDescuento!$C$23:$C$26&lt;=CMSRecursos!K189) * (CMSDescuento!$D$23:$D$26&gt;=CMSRecursos!K189), 0)), 0),0)</f>
        <v>0</v>
      </c>
      <c r="M189" s="241" cm="1">
        <f t="array" ref="M189">IFERROR(INDEX(CMSDescuento!$D$2:$D$7, MATCH(1, (CMSDescuento!$B$2:$B$7=CMSRecursos!F189) * (CMSDescuento!$C$2:$C$7=CMSRecursos!I189), 0)),0)</f>
        <v>0</v>
      </c>
      <c r="N189" s="241">
        <f t="shared" si="15"/>
        <v>0</v>
      </c>
      <c r="O189" s="241">
        <f t="shared" si="11"/>
        <v>0</v>
      </c>
      <c r="P189" s="7"/>
      <c r="Q189" s="232"/>
      <c r="R189" s="7"/>
      <c r="S189" s="243">
        <f>N189/(1-CMSResumen!H21)</f>
        <v>0</v>
      </c>
      <c r="T189" s="244">
        <f t="shared" si="12"/>
        <v>0</v>
      </c>
      <c r="U189" s="244">
        <f t="shared" si="13"/>
        <v>0</v>
      </c>
      <c r="V189" s="242">
        <f t="shared" si="14"/>
        <v>0</v>
      </c>
      <c r="W189" s="247"/>
      <c r="X189" s="224"/>
    </row>
    <row r="190" spans="1:24" ht="15" customHeight="1">
      <c r="A190" s="5"/>
      <c r="B190" s="238"/>
      <c r="C190" s="239"/>
      <c r="D190" s="139"/>
      <c r="E190" s="215"/>
      <c r="F190" s="240" t="str">
        <f>IF(E190="AWS",IFERROR(INDEX(CMSAzureAWS!C:C,MATCH(CMSRecursos!G190,CMSAzureAWS!E:E,0)),0),IF(E190="Azure",IFERROR(INDEX(CMSAzureAWS!C:C,MATCH(CMSRecursos!G190,CMSAzureAWS!G:G,0)),0),"Seleccione un Vendor"))</f>
        <v>Seleccione un Vendor</v>
      </c>
      <c r="G190" s="215"/>
      <c r="H190" s="241" t="str">
        <f>IF(E190="AWS",IFERROR(INDEX(CMSAzureAWS!D:D,MATCH(CMSRecursos!G190,CMSAzureAWS!E:E,0)),0),IF(E190="Azure",IFERROR(INDEX(CMSAzureAWS!D:D,MATCH(CMSRecursos!G190,CMSAzureAWS!G:G,0)),0),"Seleccione un Vendor"))</f>
        <v>Seleccione un Vendor</v>
      </c>
      <c r="I190" s="245" t="s">
        <v>1009</v>
      </c>
      <c r="J190" s="245" t="s">
        <v>1009</v>
      </c>
      <c r="K190" s="246">
        <v>0</v>
      </c>
      <c r="L190" s="242" cm="1">
        <f t="array" ref="L190">IFERROR(IF(I190="Si", INDEX(CMSDescuento!$E$23:$E$26, MATCH(1, (CMSDescuento!$C$23:$C$26&lt;=CMSRecursos!K190) * (CMSDescuento!$D$23:$D$26&gt;=CMSRecursos!K190), 0)), 0),0)</f>
        <v>0</v>
      </c>
      <c r="M190" s="241" cm="1">
        <f t="array" ref="M190">IFERROR(INDEX(CMSDescuento!$D$2:$D$7, MATCH(1, (CMSDescuento!$B$2:$B$7=CMSRecursos!F190) * (CMSDescuento!$C$2:$C$7=CMSRecursos!I190), 0)),0)</f>
        <v>0</v>
      </c>
      <c r="N190" s="241">
        <f t="shared" si="15"/>
        <v>0</v>
      </c>
      <c r="O190" s="241">
        <f t="shared" si="11"/>
        <v>0</v>
      </c>
      <c r="P190" s="7"/>
      <c r="Q190" s="232"/>
      <c r="R190" s="7"/>
      <c r="S190" s="243">
        <f>N190/(1-CMSResumen!H21)</f>
        <v>0</v>
      </c>
      <c r="T190" s="244">
        <f t="shared" si="12"/>
        <v>0</v>
      </c>
      <c r="U190" s="244">
        <f t="shared" si="13"/>
        <v>0</v>
      </c>
      <c r="V190" s="242">
        <f t="shared" si="14"/>
        <v>0</v>
      </c>
      <c r="W190" s="247"/>
      <c r="X190" s="224"/>
    </row>
    <row r="191" spans="1:24" ht="15" customHeight="1">
      <c r="A191" s="5"/>
      <c r="B191" s="238"/>
      <c r="C191" s="239"/>
      <c r="D191" s="139"/>
      <c r="E191" s="215"/>
      <c r="F191" s="240" t="str">
        <f>IF(E191="AWS",IFERROR(INDEX(CMSAzureAWS!C:C,MATCH(CMSRecursos!G191,CMSAzureAWS!E:E,0)),0),IF(E191="Azure",IFERROR(INDEX(CMSAzureAWS!C:C,MATCH(CMSRecursos!G191,CMSAzureAWS!G:G,0)),0),"Seleccione un Vendor"))</f>
        <v>Seleccione un Vendor</v>
      </c>
      <c r="G191" s="215"/>
      <c r="H191" s="241" t="str">
        <f>IF(E191="AWS",IFERROR(INDEX(CMSAzureAWS!D:D,MATCH(CMSRecursos!G191,CMSAzureAWS!E:E,0)),0),IF(E191="Azure",IFERROR(INDEX(CMSAzureAWS!D:D,MATCH(CMSRecursos!G191,CMSAzureAWS!G:G,0)),0),"Seleccione un Vendor"))</f>
        <v>Seleccione un Vendor</v>
      </c>
      <c r="I191" s="245" t="s">
        <v>1009</v>
      </c>
      <c r="J191" s="245" t="s">
        <v>1009</v>
      </c>
      <c r="K191" s="246">
        <v>0</v>
      </c>
      <c r="L191" s="242" cm="1">
        <f t="array" ref="L191">IFERROR(IF(I191="Si", INDEX(CMSDescuento!$E$23:$E$26, MATCH(1, (CMSDescuento!$C$23:$C$26&lt;=CMSRecursos!K191) * (CMSDescuento!$D$23:$D$26&gt;=CMSRecursos!K191), 0)), 0),0)</f>
        <v>0</v>
      </c>
      <c r="M191" s="241" cm="1">
        <f t="array" ref="M191">IFERROR(INDEX(CMSDescuento!$D$2:$D$7, MATCH(1, (CMSDescuento!$B$2:$B$7=CMSRecursos!F191) * (CMSDescuento!$C$2:$C$7=CMSRecursos!I191), 0)),0)</f>
        <v>0</v>
      </c>
      <c r="N191" s="241">
        <f t="shared" si="15"/>
        <v>0</v>
      </c>
      <c r="O191" s="241">
        <f t="shared" si="11"/>
        <v>0</v>
      </c>
      <c r="P191" s="7"/>
      <c r="Q191" s="232"/>
      <c r="R191" s="7"/>
      <c r="S191" s="243">
        <f>N191/(1-CMSResumen!H21)</f>
        <v>0</v>
      </c>
      <c r="T191" s="244">
        <f t="shared" si="12"/>
        <v>0</v>
      </c>
      <c r="U191" s="244">
        <f t="shared" si="13"/>
        <v>0</v>
      </c>
      <c r="V191" s="242">
        <f t="shared" si="14"/>
        <v>0</v>
      </c>
      <c r="W191" s="247"/>
      <c r="X191" s="224"/>
    </row>
    <row r="192" spans="1:24" ht="15" customHeight="1">
      <c r="A192" s="5"/>
      <c r="B192" s="238"/>
      <c r="C192" s="239"/>
      <c r="D192" s="139"/>
      <c r="E192" s="215"/>
      <c r="F192" s="240" t="str">
        <f>IF(E192="AWS",IFERROR(INDEX(CMSAzureAWS!C:C,MATCH(CMSRecursos!G192,CMSAzureAWS!E:E,0)),0),IF(E192="Azure",IFERROR(INDEX(CMSAzureAWS!C:C,MATCH(CMSRecursos!G192,CMSAzureAWS!G:G,0)),0),"Seleccione un Vendor"))</f>
        <v>Seleccione un Vendor</v>
      </c>
      <c r="G192" s="215"/>
      <c r="H192" s="241" t="str">
        <f>IF(E192="AWS",IFERROR(INDEX(CMSAzureAWS!D:D,MATCH(CMSRecursos!G192,CMSAzureAWS!E:E,0)),0),IF(E192="Azure",IFERROR(INDEX(CMSAzureAWS!D:D,MATCH(CMSRecursos!G192,CMSAzureAWS!G:G,0)),0),"Seleccione un Vendor"))</f>
        <v>Seleccione un Vendor</v>
      </c>
      <c r="I192" s="245" t="s">
        <v>1009</v>
      </c>
      <c r="J192" s="245" t="s">
        <v>1009</v>
      </c>
      <c r="K192" s="246">
        <v>0</v>
      </c>
      <c r="L192" s="242" cm="1">
        <f t="array" ref="L192">IFERROR(IF(I192="Si", INDEX(CMSDescuento!$E$23:$E$26, MATCH(1, (CMSDescuento!$C$23:$C$26&lt;=CMSRecursos!K192) * (CMSDescuento!$D$23:$D$26&gt;=CMSRecursos!K192), 0)), 0),0)</f>
        <v>0</v>
      </c>
      <c r="M192" s="241" cm="1">
        <f t="array" ref="M192">IFERROR(INDEX(CMSDescuento!$D$2:$D$7, MATCH(1, (CMSDescuento!$B$2:$B$7=CMSRecursos!F192) * (CMSDescuento!$C$2:$C$7=CMSRecursos!I192), 0)),0)</f>
        <v>0</v>
      </c>
      <c r="N192" s="241">
        <f t="shared" si="15"/>
        <v>0</v>
      </c>
      <c r="O192" s="241">
        <f t="shared" si="11"/>
        <v>0</v>
      </c>
      <c r="P192" s="7"/>
      <c r="Q192" s="232"/>
      <c r="R192" s="7"/>
      <c r="S192" s="243">
        <f>N192/(1-CMSResumen!H21)</f>
        <v>0</v>
      </c>
      <c r="T192" s="244">
        <f t="shared" si="12"/>
        <v>0</v>
      </c>
      <c r="U192" s="244">
        <f t="shared" si="13"/>
        <v>0</v>
      </c>
      <c r="V192" s="242">
        <f t="shared" si="14"/>
        <v>0</v>
      </c>
      <c r="W192" s="247"/>
      <c r="X192" s="224"/>
    </row>
    <row r="193" spans="1:26" ht="15" customHeight="1">
      <c r="A193" s="5"/>
      <c r="B193" s="238"/>
      <c r="C193" s="239"/>
      <c r="D193" s="139"/>
      <c r="E193" s="215"/>
      <c r="F193" s="240" t="str">
        <f>IF(E193="AWS",IFERROR(INDEX(CMSAzureAWS!C:C,MATCH(CMSRecursos!G193,CMSAzureAWS!E:E,0)),0),IF(E193="Azure",IFERROR(INDEX(CMSAzureAWS!C:C,MATCH(CMSRecursos!G193,CMSAzureAWS!G:G,0)),0),"Seleccione un Vendor"))</f>
        <v>Seleccione un Vendor</v>
      </c>
      <c r="G193" s="215"/>
      <c r="H193" s="241" t="str">
        <f>IF(E193="AWS",IFERROR(INDEX(CMSAzureAWS!D:D,MATCH(CMSRecursos!G193,CMSAzureAWS!E:E,0)),0),IF(E193="Azure",IFERROR(INDEX(CMSAzureAWS!D:D,MATCH(CMSRecursos!G193,CMSAzureAWS!G:G,0)),0),"Seleccione un Vendor"))</f>
        <v>Seleccione un Vendor</v>
      </c>
      <c r="I193" s="245" t="s">
        <v>1009</v>
      </c>
      <c r="J193" s="245" t="s">
        <v>1009</v>
      </c>
      <c r="K193" s="246">
        <v>0</v>
      </c>
      <c r="L193" s="242" cm="1">
        <f t="array" ref="L193">IFERROR(IF(I193="Si", INDEX(CMSDescuento!$E$23:$E$26, MATCH(1, (CMSDescuento!$C$23:$C$26&lt;=CMSRecursos!K193) * (CMSDescuento!$D$23:$D$26&gt;=CMSRecursos!K193), 0)), 0),0)</f>
        <v>0</v>
      </c>
      <c r="M193" s="241" cm="1">
        <f t="array" ref="M193">IFERROR(INDEX(CMSDescuento!$D$2:$D$7, MATCH(1, (CMSDescuento!$B$2:$B$7=CMSRecursos!F193) * (CMSDescuento!$C$2:$C$7=CMSRecursos!I193), 0)),0)</f>
        <v>0</v>
      </c>
      <c r="N193" s="241">
        <f t="shared" si="15"/>
        <v>0</v>
      </c>
      <c r="O193" s="241">
        <f t="shared" si="11"/>
        <v>0</v>
      </c>
      <c r="P193" s="7"/>
      <c r="Q193" s="232"/>
      <c r="R193" s="7"/>
      <c r="S193" s="243">
        <f>N193/(1-CMSResumen!H21)</f>
        <v>0</v>
      </c>
      <c r="T193" s="244">
        <f t="shared" si="12"/>
        <v>0</v>
      </c>
      <c r="U193" s="244">
        <f t="shared" si="13"/>
        <v>0</v>
      </c>
      <c r="V193" s="242">
        <f t="shared" si="14"/>
        <v>0</v>
      </c>
      <c r="W193" s="247"/>
      <c r="X193" s="224"/>
    </row>
    <row r="194" spans="1:26" ht="15" customHeight="1">
      <c r="A194" s="5"/>
      <c r="B194" s="238"/>
      <c r="C194" s="239"/>
      <c r="D194" s="139"/>
      <c r="E194" s="215"/>
      <c r="F194" s="240" t="str">
        <f>IF(E194="AWS",IFERROR(INDEX(CMSAzureAWS!C:C,MATCH(CMSRecursos!G194,CMSAzureAWS!E:E,0)),0),IF(E194="Azure",IFERROR(INDEX(CMSAzureAWS!C:C,MATCH(CMSRecursos!G194,CMSAzureAWS!G:G,0)),0),"Seleccione un Vendor"))</f>
        <v>Seleccione un Vendor</v>
      </c>
      <c r="G194" s="215"/>
      <c r="H194" s="241" t="str">
        <f>IF(E194="AWS",IFERROR(INDEX(CMSAzureAWS!D:D,MATCH(CMSRecursos!G194,CMSAzureAWS!E:E,0)),0),IF(E194="Azure",IFERROR(INDEX(CMSAzureAWS!D:D,MATCH(CMSRecursos!G194,CMSAzureAWS!G:G,0)),0),"Seleccione un Vendor"))</f>
        <v>Seleccione un Vendor</v>
      </c>
      <c r="I194" s="245" t="s">
        <v>1009</v>
      </c>
      <c r="J194" s="245" t="s">
        <v>1009</v>
      </c>
      <c r="K194" s="246">
        <v>0</v>
      </c>
      <c r="L194" s="242" cm="1">
        <f t="array" ref="L194">IFERROR(IF(I194="Si", INDEX(CMSDescuento!$E$23:$E$26, MATCH(1, (CMSDescuento!$C$23:$C$26&lt;=CMSRecursos!K194) * (CMSDescuento!$D$23:$D$26&gt;=CMSRecursos!K194), 0)), 0),0)</f>
        <v>0</v>
      </c>
      <c r="M194" s="241" cm="1">
        <f t="array" ref="M194">IFERROR(INDEX(CMSDescuento!$D$2:$D$7, MATCH(1, (CMSDescuento!$B$2:$B$7=CMSRecursos!F194) * (CMSDescuento!$C$2:$C$7=CMSRecursos!I194), 0)),0)</f>
        <v>0</v>
      </c>
      <c r="N194" s="241">
        <f t="shared" si="15"/>
        <v>0</v>
      </c>
      <c r="O194" s="241">
        <f t="shared" si="11"/>
        <v>0</v>
      </c>
      <c r="P194" s="7"/>
      <c r="Q194" s="232"/>
      <c r="R194" s="7"/>
      <c r="S194" s="243">
        <f>N194/(1-CMSResumen!H21)</f>
        <v>0</v>
      </c>
      <c r="T194" s="244">
        <f t="shared" si="12"/>
        <v>0</v>
      </c>
      <c r="U194" s="244">
        <f t="shared" si="13"/>
        <v>0</v>
      </c>
      <c r="V194" s="242">
        <f t="shared" si="14"/>
        <v>0</v>
      </c>
      <c r="W194" s="247"/>
      <c r="X194" s="224"/>
    </row>
    <row r="195" spans="1:26" ht="15" customHeight="1">
      <c r="A195" s="5"/>
      <c r="B195" s="238"/>
      <c r="C195" s="239"/>
      <c r="D195" s="139"/>
      <c r="E195" s="215"/>
      <c r="F195" s="240" t="str">
        <f>IF(E195="AWS",IFERROR(INDEX(CMSAzureAWS!C:C,MATCH(CMSRecursos!G195,CMSAzureAWS!E:E,0)),0),IF(E195="Azure",IFERROR(INDEX(CMSAzureAWS!C:C,MATCH(CMSRecursos!G195,CMSAzureAWS!G:G,0)),0),"Seleccione un Vendor"))</f>
        <v>Seleccione un Vendor</v>
      </c>
      <c r="G195" s="215"/>
      <c r="H195" s="241" t="str">
        <f>IF(E195="AWS",IFERROR(INDEX(CMSAzureAWS!D:D,MATCH(CMSRecursos!G195,CMSAzureAWS!E:E,0)),0),IF(E195="Azure",IFERROR(INDEX(CMSAzureAWS!D:D,MATCH(CMSRecursos!G195,CMSAzureAWS!G:G,0)),0),"Seleccione un Vendor"))</f>
        <v>Seleccione un Vendor</v>
      </c>
      <c r="I195" s="245" t="s">
        <v>1009</v>
      </c>
      <c r="J195" s="245" t="s">
        <v>1009</v>
      </c>
      <c r="K195" s="246">
        <v>0</v>
      </c>
      <c r="L195" s="242" cm="1">
        <f t="array" ref="L195">IFERROR(IF(I195="Si", INDEX(CMSDescuento!$E$23:$E$26, MATCH(1, (CMSDescuento!$C$23:$C$26&lt;=CMSRecursos!K195) * (CMSDescuento!$D$23:$D$26&gt;=CMSRecursos!K195), 0)), 0),0)</f>
        <v>0</v>
      </c>
      <c r="M195" s="241" cm="1">
        <f t="array" ref="M195">IFERROR(INDEX(CMSDescuento!$D$2:$D$7, MATCH(1, (CMSDescuento!$B$2:$B$7=CMSRecursos!F195) * (CMSDescuento!$C$2:$C$7=CMSRecursos!I195), 0)),0)</f>
        <v>0</v>
      </c>
      <c r="N195" s="241">
        <f t="shared" si="15"/>
        <v>0</v>
      </c>
      <c r="O195" s="241">
        <f t="shared" si="11"/>
        <v>0</v>
      </c>
      <c r="P195" s="7"/>
      <c r="Q195" s="232"/>
      <c r="R195" s="7"/>
      <c r="S195" s="243">
        <f>N195/(1-CMSResumen!H21)</f>
        <v>0</v>
      </c>
      <c r="T195" s="244">
        <f t="shared" si="12"/>
        <v>0</v>
      </c>
      <c r="U195" s="244">
        <f t="shared" si="13"/>
        <v>0</v>
      </c>
      <c r="V195" s="242">
        <f t="shared" si="14"/>
        <v>0</v>
      </c>
      <c r="W195" s="247"/>
      <c r="X195" s="224"/>
    </row>
    <row r="196" spans="1:26" ht="15" customHeight="1">
      <c r="A196" s="5"/>
      <c r="B196" s="238"/>
      <c r="C196" s="239"/>
      <c r="D196" s="139"/>
      <c r="E196" s="215"/>
      <c r="F196" s="240" t="str">
        <f>IF(E196="AWS",IFERROR(INDEX(CMSAzureAWS!C:C,MATCH(CMSRecursos!G196,CMSAzureAWS!E:E,0)),0),IF(E196="Azure",IFERROR(INDEX(CMSAzureAWS!C:C,MATCH(CMSRecursos!G196,CMSAzureAWS!G:G,0)),0),"Seleccione un Vendor"))</f>
        <v>Seleccione un Vendor</v>
      </c>
      <c r="G196" s="215"/>
      <c r="H196" s="241" t="str">
        <f>IF(E196="AWS",IFERROR(INDEX(CMSAzureAWS!D:D,MATCH(CMSRecursos!G196,CMSAzureAWS!E:E,0)),0),IF(E196="Azure",IFERROR(INDEX(CMSAzureAWS!D:D,MATCH(CMSRecursos!G196,CMSAzureAWS!G:G,0)),0),"Seleccione un Vendor"))</f>
        <v>Seleccione un Vendor</v>
      </c>
      <c r="I196" s="245" t="s">
        <v>1009</v>
      </c>
      <c r="J196" s="245" t="s">
        <v>1009</v>
      </c>
      <c r="K196" s="246">
        <v>0</v>
      </c>
      <c r="L196" s="242" cm="1">
        <f t="array" ref="L196">IFERROR(IF(I196="Si", INDEX(CMSDescuento!$E$23:$E$26, MATCH(1, (CMSDescuento!$C$23:$C$26&lt;=CMSRecursos!K196) * (CMSDescuento!$D$23:$D$26&gt;=CMSRecursos!K196), 0)), 0),0)</f>
        <v>0</v>
      </c>
      <c r="M196" s="241" cm="1">
        <f t="array" ref="M196">IFERROR(INDEX(CMSDescuento!$D$2:$D$7, MATCH(1, (CMSDescuento!$B$2:$B$7=CMSRecursos!F196) * (CMSDescuento!$C$2:$C$7=CMSRecursos!I196), 0)),0)</f>
        <v>0</v>
      </c>
      <c r="N196" s="241">
        <f t="shared" si="15"/>
        <v>0</v>
      </c>
      <c r="O196" s="241">
        <f t="shared" si="11"/>
        <v>0</v>
      </c>
      <c r="P196" s="7"/>
      <c r="Q196" s="232"/>
      <c r="R196" s="7"/>
      <c r="S196" s="243">
        <f>N196/(1-CMSResumen!H21)</f>
        <v>0</v>
      </c>
      <c r="T196" s="244">
        <f t="shared" si="12"/>
        <v>0</v>
      </c>
      <c r="U196" s="244">
        <f t="shared" si="13"/>
        <v>0</v>
      </c>
      <c r="V196" s="242">
        <f t="shared" si="14"/>
        <v>0</v>
      </c>
      <c r="W196" s="247"/>
      <c r="X196" s="224"/>
    </row>
    <row r="197" spans="1:26" ht="15" customHeight="1">
      <c r="A197" s="5"/>
      <c r="B197" s="238"/>
      <c r="C197" s="239" t="str">
        <f t="shared" ref="C197:C203" si="16">_xlfn.CONCAT(F197,I197,"-",IF(AND(K197&gt;=10,K197&lt;50),10,IF(AND(K197&gt;=50,K197&lt;100),50,IF(AND(K197&gt;=100),100,0))))</f>
        <v>Seleccione un VendorNo-0</v>
      </c>
      <c r="D197" s="139"/>
      <c r="E197" s="215"/>
      <c r="F197" s="240" t="str">
        <f>IF(E197="AWS",IFERROR(INDEX(CMSAzureAWS!C:C,MATCH(CMSRecursos!G197,CMSAzureAWS!E:E,0)),0),IF(E197="Azure",IFERROR(INDEX(CMSAzureAWS!C:C,MATCH(CMSRecursos!G197,CMSAzureAWS!G:G,0)),0),"Seleccione un Vendor"))</f>
        <v>Seleccione un Vendor</v>
      </c>
      <c r="G197" s="215"/>
      <c r="H197" s="241" t="str">
        <f>IF(E197="AWS",IFERROR(INDEX(CMSAzureAWS!D:D,MATCH(CMSRecursos!G197,CMSAzureAWS!E:E,0)),0),IF(E197="Azure",IFERROR(INDEX(CMSAzureAWS!D:D,MATCH(CMSRecursos!G197,CMSAzureAWS!G:G,0)),0),"Seleccione un Vendor"))</f>
        <v>Seleccione un Vendor</v>
      </c>
      <c r="I197" s="245" t="s">
        <v>1009</v>
      </c>
      <c r="J197" s="245" t="s">
        <v>1009</v>
      </c>
      <c r="K197" s="246">
        <v>0</v>
      </c>
      <c r="L197" s="242" cm="1">
        <f t="array" ref="L197">IFERROR(IF(I197="Si", INDEX(CMSDescuento!$E$23:$E$26, MATCH(1, (CMSDescuento!$C$23:$C$26&lt;=CMSRecursos!K197) * (CMSDescuento!$D$23:$D$26&gt;=CMSRecursos!K197), 0)), 0),0)</f>
        <v>0</v>
      </c>
      <c r="M197" s="241" cm="1">
        <f t="array" ref="M197">IFERROR(INDEX(CMSDescuento!$D$2:$D$7, MATCH(1, (CMSDescuento!$B$2:$B$7=CMSRecursos!F197) * (CMSDescuento!$C$2:$C$7=CMSRecursos!I197), 0)),0)</f>
        <v>0</v>
      </c>
      <c r="N197" s="241">
        <f t="shared" si="15"/>
        <v>0</v>
      </c>
      <c r="O197" s="241">
        <f t="shared" ref="O197:O203" si="17">IF(OR(H197="Base",J197="No"),0,K197*N197)</f>
        <v>0</v>
      </c>
      <c r="P197" s="7"/>
      <c r="Q197" s="232"/>
      <c r="R197" s="7"/>
      <c r="S197" s="243">
        <f>N197/(1-CMSResumen!H21)</f>
        <v>0</v>
      </c>
      <c r="T197" s="244">
        <f t="shared" ref="T197:T203" si="18">IF(OR(H197="Base",J197="No"),0,K197*S197)</f>
        <v>0</v>
      </c>
      <c r="U197" s="244">
        <f t="shared" ref="U197:U203" si="19">T197-O197</f>
        <v>0</v>
      </c>
      <c r="V197" s="242">
        <f t="shared" ref="V197:V203" si="20">IFERROR(1-O197/T197,0)</f>
        <v>0</v>
      </c>
      <c r="W197" s="247"/>
      <c r="X197" s="224"/>
    </row>
    <row r="198" spans="1:26" ht="15" customHeight="1">
      <c r="A198" s="5"/>
      <c r="B198" s="238"/>
      <c r="C198" s="239" t="str">
        <f t="shared" si="16"/>
        <v>Seleccione un VendorNo-0</v>
      </c>
      <c r="D198" s="139"/>
      <c r="E198" s="215"/>
      <c r="F198" s="240" t="str">
        <f>IF(E198="AWS",IFERROR(INDEX(CMSAzureAWS!C:C,MATCH(CMSRecursos!G198,CMSAzureAWS!E:E,0)),0),IF(E198="Azure",IFERROR(INDEX(CMSAzureAWS!C:C,MATCH(CMSRecursos!G198,CMSAzureAWS!G:G,0)),0),"Seleccione un Vendor"))</f>
        <v>Seleccione un Vendor</v>
      </c>
      <c r="G198" s="215"/>
      <c r="H198" s="241" t="str">
        <f>IF(E198="AWS",IFERROR(INDEX(CMSAzureAWS!D:D,MATCH(CMSRecursos!G198,CMSAzureAWS!E:E,0)),0),IF(E198="Azure",IFERROR(INDEX(CMSAzureAWS!D:D,MATCH(CMSRecursos!G198,CMSAzureAWS!G:G,0)),0),"Seleccione un Vendor"))</f>
        <v>Seleccione un Vendor</v>
      </c>
      <c r="I198" s="245" t="s">
        <v>1009</v>
      </c>
      <c r="J198" s="245" t="s">
        <v>1009</v>
      </c>
      <c r="K198" s="246">
        <v>0</v>
      </c>
      <c r="L198" s="242" cm="1">
        <f t="array" ref="L198">IFERROR(IF(I198="Si", INDEX(CMSDescuento!$E$23:$E$26, MATCH(1, (CMSDescuento!$C$23:$C$26&lt;=CMSRecursos!K198) * (CMSDescuento!$D$23:$D$26&gt;=CMSRecursos!K198), 0)), 0),0)</f>
        <v>0</v>
      </c>
      <c r="M198" s="241" cm="1">
        <f t="array" ref="M198">IFERROR(INDEX(CMSDescuento!$D$2:$D$7, MATCH(1, (CMSDescuento!$B$2:$B$7=CMSRecursos!F198) * (CMSDescuento!$C$2:$C$7=CMSRecursos!I198), 0)),0)</f>
        <v>0</v>
      </c>
      <c r="N198" s="241">
        <f t="shared" ref="N198:N203" si="21">M198*(1-L198)</f>
        <v>0</v>
      </c>
      <c r="O198" s="241">
        <f t="shared" si="17"/>
        <v>0</v>
      </c>
      <c r="P198" s="7"/>
      <c r="Q198" s="232"/>
      <c r="R198" s="7"/>
      <c r="S198" s="243">
        <f>N198/(1-CMSResumen!H21)</f>
        <v>0</v>
      </c>
      <c r="T198" s="244">
        <f t="shared" si="18"/>
        <v>0</v>
      </c>
      <c r="U198" s="244">
        <f t="shared" si="19"/>
        <v>0</v>
      </c>
      <c r="V198" s="242">
        <f t="shared" si="20"/>
        <v>0</v>
      </c>
      <c r="W198" s="247"/>
      <c r="X198" s="224"/>
    </row>
    <row r="199" spans="1:26" ht="15" customHeight="1">
      <c r="A199" s="5"/>
      <c r="B199" s="238"/>
      <c r="C199" s="239" t="str">
        <f t="shared" si="16"/>
        <v>Seleccione un VendorNo-0</v>
      </c>
      <c r="D199" s="139"/>
      <c r="E199" s="215"/>
      <c r="F199" s="240" t="str">
        <f>IF(E199="AWS",IFERROR(INDEX(CMSAzureAWS!C:C,MATCH(CMSRecursos!G199,CMSAzureAWS!E:E,0)),0),IF(E199="Azure",IFERROR(INDEX(CMSAzureAWS!C:C,MATCH(CMSRecursos!G199,CMSAzureAWS!G:G,0)),0),"Seleccione un Vendor"))</f>
        <v>Seleccione un Vendor</v>
      </c>
      <c r="G199" s="215"/>
      <c r="H199" s="241" t="str">
        <f>IF(E199="AWS",IFERROR(INDEX(CMSAzureAWS!D:D,MATCH(CMSRecursos!G199,CMSAzureAWS!E:E,0)),0),IF(E199="Azure",IFERROR(INDEX(CMSAzureAWS!D:D,MATCH(CMSRecursos!G199,CMSAzureAWS!G:G,0)),0),"Seleccione un Vendor"))</f>
        <v>Seleccione un Vendor</v>
      </c>
      <c r="I199" s="245" t="s">
        <v>1009</v>
      </c>
      <c r="J199" s="245" t="s">
        <v>1009</v>
      </c>
      <c r="K199" s="246">
        <v>0</v>
      </c>
      <c r="L199" s="242" cm="1">
        <f t="array" ref="L199">IFERROR(IF(I199="Si", INDEX(CMSDescuento!$E$23:$E$26, MATCH(1, (CMSDescuento!$C$23:$C$26&lt;=CMSRecursos!K199) * (CMSDescuento!$D$23:$D$26&gt;=CMSRecursos!K199), 0)), 0),0)</f>
        <v>0</v>
      </c>
      <c r="M199" s="241" cm="1">
        <f t="array" ref="M199">IFERROR(INDEX(CMSDescuento!$D$2:$D$7, MATCH(1, (CMSDescuento!$B$2:$B$7=CMSRecursos!F199) * (CMSDescuento!$C$2:$C$7=CMSRecursos!I199), 0)),0)</f>
        <v>0</v>
      </c>
      <c r="N199" s="241">
        <f t="shared" si="21"/>
        <v>0</v>
      </c>
      <c r="O199" s="241">
        <f t="shared" si="17"/>
        <v>0</v>
      </c>
      <c r="P199" s="7"/>
      <c r="Q199" s="232"/>
      <c r="R199" s="7"/>
      <c r="S199" s="243">
        <f>N199/(1-CMSResumen!H21)</f>
        <v>0</v>
      </c>
      <c r="T199" s="244">
        <f t="shared" si="18"/>
        <v>0</v>
      </c>
      <c r="U199" s="244">
        <f t="shared" si="19"/>
        <v>0</v>
      </c>
      <c r="V199" s="242">
        <f t="shared" si="20"/>
        <v>0</v>
      </c>
      <c r="W199" s="247"/>
      <c r="X199" s="224"/>
    </row>
    <row r="200" spans="1:26" ht="15" customHeight="1">
      <c r="A200" s="5"/>
      <c r="B200" s="238"/>
      <c r="C200" s="239" t="str">
        <f t="shared" si="16"/>
        <v>Seleccione un VendorNo-0</v>
      </c>
      <c r="D200" s="139"/>
      <c r="E200" s="215"/>
      <c r="F200" s="240" t="str">
        <f>IF(E200="AWS",IFERROR(INDEX(CMSAzureAWS!C:C,MATCH(CMSRecursos!G200,CMSAzureAWS!E:E,0)),0),IF(E200="Azure",IFERROR(INDEX(CMSAzureAWS!C:C,MATCH(CMSRecursos!G200,CMSAzureAWS!G:G,0)),0),"Seleccione un Vendor"))</f>
        <v>Seleccione un Vendor</v>
      </c>
      <c r="G200" s="215"/>
      <c r="H200" s="241" t="str">
        <f>IF(E200="AWS",IFERROR(INDEX(CMSAzureAWS!D:D,MATCH(CMSRecursos!G200,CMSAzureAWS!E:E,0)),0),IF(E200="Azure",IFERROR(INDEX(CMSAzureAWS!D:D,MATCH(CMSRecursos!G200,CMSAzureAWS!G:G,0)),0),"Seleccione un Vendor"))</f>
        <v>Seleccione un Vendor</v>
      </c>
      <c r="I200" s="245" t="s">
        <v>1009</v>
      </c>
      <c r="J200" s="245" t="s">
        <v>1009</v>
      </c>
      <c r="K200" s="246">
        <v>0</v>
      </c>
      <c r="L200" s="242" cm="1">
        <f t="array" ref="L200">IFERROR(IF(I200="Si", INDEX(CMSDescuento!$E$23:$E$26, MATCH(1, (CMSDescuento!$C$23:$C$26&lt;=CMSRecursos!K200) * (CMSDescuento!$D$23:$D$26&gt;=CMSRecursos!K200), 0)), 0),0)</f>
        <v>0</v>
      </c>
      <c r="M200" s="241" cm="1">
        <f t="array" ref="M200">IFERROR(INDEX(CMSDescuento!$D$2:$D$7, MATCH(1, (CMSDescuento!$B$2:$B$7=CMSRecursos!F200) * (CMSDescuento!$C$2:$C$7=CMSRecursos!I200), 0)),0)</f>
        <v>0</v>
      </c>
      <c r="N200" s="241">
        <f t="shared" si="21"/>
        <v>0</v>
      </c>
      <c r="O200" s="241">
        <f t="shared" si="17"/>
        <v>0</v>
      </c>
      <c r="P200" s="7"/>
      <c r="Q200" s="232"/>
      <c r="R200" s="7"/>
      <c r="S200" s="243">
        <f>N200/(1-CMSResumen!H21)</f>
        <v>0</v>
      </c>
      <c r="T200" s="244">
        <f t="shared" si="18"/>
        <v>0</v>
      </c>
      <c r="U200" s="244">
        <f t="shared" si="19"/>
        <v>0</v>
      </c>
      <c r="V200" s="242">
        <f t="shared" si="20"/>
        <v>0</v>
      </c>
      <c r="W200" s="247"/>
      <c r="X200" s="224"/>
    </row>
    <row r="201" spans="1:26" ht="15" customHeight="1">
      <c r="A201" s="5"/>
      <c r="B201" s="238"/>
      <c r="C201" s="239" t="str">
        <f t="shared" si="16"/>
        <v>Seleccione un VendorNo-0</v>
      </c>
      <c r="D201" s="139"/>
      <c r="E201" s="215"/>
      <c r="F201" s="240" t="str">
        <f>IF(E201="AWS",IFERROR(INDEX(CMSAzureAWS!C:C,MATCH(CMSRecursos!G201,CMSAzureAWS!E:E,0)),0),IF(E201="Azure",IFERROR(INDEX(CMSAzureAWS!C:C,MATCH(CMSRecursos!G201,CMSAzureAWS!G:G,0)),0),"Seleccione un Vendor"))</f>
        <v>Seleccione un Vendor</v>
      </c>
      <c r="G201" s="215"/>
      <c r="H201" s="241" t="str">
        <f>IF(E201="AWS",IFERROR(INDEX(CMSAzureAWS!D:D,MATCH(CMSRecursos!G201,CMSAzureAWS!E:E,0)),0),IF(E201="Azure",IFERROR(INDEX(CMSAzureAWS!D:D,MATCH(CMSRecursos!G201,CMSAzureAWS!G:G,0)),0),"Seleccione un Vendor"))</f>
        <v>Seleccione un Vendor</v>
      </c>
      <c r="I201" s="245" t="s">
        <v>1009</v>
      </c>
      <c r="J201" s="245" t="s">
        <v>1009</v>
      </c>
      <c r="K201" s="246">
        <v>0</v>
      </c>
      <c r="L201" s="242" cm="1">
        <f t="array" ref="L201">IFERROR(IF(I201="Si", INDEX(CMSDescuento!$E$23:$E$26, MATCH(1, (CMSDescuento!$C$23:$C$26&lt;=CMSRecursos!K201) * (CMSDescuento!$D$23:$D$26&gt;=CMSRecursos!K201), 0)), 0),0)</f>
        <v>0</v>
      </c>
      <c r="M201" s="241" cm="1">
        <f t="array" ref="M201">IFERROR(INDEX(CMSDescuento!$D$2:$D$7, MATCH(1, (CMSDescuento!$B$2:$B$7=CMSRecursos!F201) * (CMSDescuento!$C$2:$C$7=CMSRecursos!I201), 0)),0)</f>
        <v>0</v>
      </c>
      <c r="N201" s="241">
        <f t="shared" si="21"/>
        <v>0</v>
      </c>
      <c r="O201" s="241">
        <f t="shared" si="17"/>
        <v>0</v>
      </c>
      <c r="P201" s="7"/>
      <c r="Q201" s="232"/>
      <c r="R201" s="7"/>
      <c r="S201" s="243">
        <f>N201/(1-CMSResumen!H21)</f>
        <v>0</v>
      </c>
      <c r="T201" s="244">
        <f t="shared" si="18"/>
        <v>0</v>
      </c>
      <c r="U201" s="244">
        <f t="shared" si="19"/>
        <v>0</v>
      </c>
      <c r="V201" s="242">
        <f t="shared" si="20"/>
        <v>0</v>
      </c>
      <c r="W201" s="247"/>
      <c r="X201" s="224"/>
    </row>
    <row r="202" spans="1:26" ht="15" customHeight="1">
      <c r="A202" s="5"/>
      <c r="B202" s="238"/>
      <c r="C202" s="239" t="str">
        <f t="shared" si="16"/>
        <v>Seleccione un VendorNo-0</v>
      </c>
      <c r="D202" s="139"/>
      <c r="E202" s="215"/>
      <c r="F202" s="240" t="str">
        <f>IF(E202="AWS",IFERROR(INDEX(CMSAzureAWS!C:C,MATCH(CMSRecursos!G202,CMSAzureAWS!E:E,0)),0),IF(E202="Azure",IFERROR(INDEX(CMSAzureAWS!C:C,MATCH(CMSRecursos!G202,CMSAzureAWS!G:G,0)),0),"Seleccione un Vendor"))</f>
        <v>Seleccione un Vendor</v>
      </c>
      <c r="G202" s="215"/>
      <c r="H202" s="241" t="str">
        <f>IF(E202="AWS",IFERROR(INDEX(CMSAzureAWS!D:D,MATCH(CMSRecursos!G202,CMSAzureAWS!E:E,0)),0),IF(E202="Azure",IFERROR(INDEX(CMSAzureAWS!D:D,MATCH(CMSRecursos!G202,CMSAzureAWS!G:G,0)),0),"Seleccione un Vendor"))</f>
        <v>Seleccione un Vendor</v>
      </c>
      <c r="I202" s="245" t="s">
        <v>1009</v>
      </c>
      <c r="J202" s="245" t="s">
        <v>1009</v>
      </c>
      <c r="K202" s="246">
        <v>0</v>
      </c>
      <c r="L202" s="242" cm="1">
        <f t="array" ref="L202">IFERROR(IF(I202="Si", INDEX(CMSDescuento!$E$23:$E$26, MATCH(1, (CMSDescuento!$C$23:$C$26&lt;=CMSRecursos!K202) * (CMSDescuento!$D$23:$D$26&gt;=CMSRecursos!K202), 0)), 0),0)</f>
        <v>0</v>
      </c>
      <c r="M202" s="241" cm="1">
        <f t="array" ref="M202">IFERROR(INDEX(CMSDescuento!$D$2:$D$7, MATCH(1, (CMSDescuento!$B$2:$B$7=CMSRecursos!F202) * (CMSDescuento!$C$2:$C$7=CMSRecursos!I202), 0)),0)</f>
        <v>0</v>
      </c>
      <c r="N202" s="241">
        <f t="shared" si="21"/>
        <v>0</v>
      </c>
      <c r="O202" s="241">
        <f t="shared" si="17"/>
        <v>0</v>
      </c>
      <c r="P202" s="7"/>
      <c r="Q202" s="232"/>
      <c r="R202" s="7"/>
      <c r="S202" s="243">
        <f>N202/(1-CMSResumen!H21)</f>
        <v>0</v>
      </c>
      <c r="T202" s="244">
        <f t="shared" si="18"/>
        <v>0</v>
      </c>
      <c r="U202" s="244">
        <f t="shared" si="19"/>
        <v>0</v>
      </c>
      <c r="V202" s="242">
        <f t="shared" si="20"/>
        <v>0</v>
      </c>
      <c r="W202" s="247"/>
      <c r="X202" s="224"/>
    </row>
    <row r="203" spans="1:26" ht="15" customHeight="1">
      <c r="A203" s="5"/>
      <c r="B203" s="238"/>
      <c r="C203" s="239" t="str">
        <f t="shared" si="16"/>
        <v>Seleccione un VendorNo-0</v>
      </c>
      <c r="D203" s="139"/>
      <c r="E203" s="215"/>
      <c r="F203" s="240" t="str">
        <f>IF(E203="AWS",IFERROR(INDEX(CMSAzureAWS!C:C,MATCH(CMSRecursos!G203,CMSAzureAWS!E:E,0)),0),IF(E203="Azure",IFERROR(INDEX(CMSAzureAWS!C:C,MATCH(CMSRecursos!G203,CMSAzureAWS!G:G,0)),0),"Seleccione un Vendor"))</f>
        <v>Seleccione un Vendor</v>
      </c>
      <c r="G203" s="215"/>
      <c r="H203" s="241" t="str">
        <f>IF(E203="AWS",IFERROR(INDEX(CMSAzureAWS!D:D,MATCH(CMSRecursos!G203,CMSAzureAWS!E:E,0)),0),IF(E203="Azure",IFERROR(INDEX(CMSAzureAWS!D:D,MATCH(CMSRecursos!G203,CMSAzureAWS!G:G,0)),0),"Seleccione un Vendor"))</f>
        <v>Seleccione un Vendor</v>
      </c>
      <c r="I203" s="245" t="s">
        <v>1009</v>
      </c>
      <c r="J203" s="245" t="s">
        <v>1009</v>
      </c>
      <c r="K203" s="246">
        <v>0</v>
      </c>
      <c r="L203" s="242" cm="1">
        <f t="array" ref="L203">IFERROR(IF(I203="Si", INDEX(CMSDescuento!$E$23:$E$26, MATCH(1, (CMSDescuento!$C$23:$C$26&lt;=CMSRecursos!K203) * (CMSDescuento!$D$23:$D$26&gt;=CMSRecursos!K203), 0)), 0),0)</f>
        <v>0</v>
      </c>
      <c r="M203" s="241" cm="1">
        <f t="array" ref="M203">IFERROR(INDEX(CMSDescuento!$D$2:$D$7, MATCH(1, (CMSDescuento!$B$2:$B$7=CMSRecursos!F203) * (CMSDescuento!$C$2:$C$7=CMSRecursos!I203), 0)),0)</f>
        <v>0</v>
      </c>
      <c r="N203" s="241">
        <f t="shared" si="21"/>
        <v>0</v>
      </c>
      <c r="O203" s="241">
        <f t="shared" si="17"/>
        <v>0</v>
      </c>
      <c r="P203" s="7"/>
      <c r="Q203" s="232"/>
      <c r="R203" s="7"/>
      <c r="S203" s="243">
        <f>N203/(1-CMSResumen!H21)</f>
        <v>0</v>
      </c>
      <c r="T203" s="244">
        <f t="shared" si="18"/>
        <v>0</v>
      </c>
      <c r="U203" s="244">
        <f t="shared" si="19"/>
        <v>0</v>
      </c>
      <c r="V203" s="242">
        <f t="shared" si="20"/>
        <v>0</v>
      </c>
      <c r="W203" s="247"/>
      <c r="X203" s="224"/>
    </row>
    <row r="204" spans="1:26" ht="15" customHeight="1">
      <c r="A204" s="5"/>
      <c r="B204" s="5"/>
      <c r="C204" s="121"/>
      <c r="D204" s="121"/>
      <c r="E204" s="121"/>
      <c r="F204" s="206"/>
      <c r="G204" s="121"/>
      <c r="H204" s="121"/>
      <c r="I204" s="28"/>
      <c r="J204" s="28"/>
      <c r="K204" s="5"/>
      <c r="L204" s="5"/>
      <c r="M204" s="5"/>
      <c r="N204" s="5"/>
      <c r="O204" s="5"/>
      <c r="P204" s="5"/>
      <c r="Q204" s="220"/>
      <c r="R204" s="5"/>
      <c r="S204" s="223"/>
      <c r="T204" s="223"/>
      <c r="U204" s="223"/>
      <c r="V204" s="224"/>
      <c r="W204" s="224"/>
      <c r="X204" s="224"/>
    </row>
    <row r="205" spans="1:26">
      <c r="A205" s="96"/>
      <c r="B205" s="96"/>
      <c r="C205" s="96"/>
      <c r="D205" s="96"/>
      <c r="E205" s="96"/>
      <c r="F205" s="97"/>
      <c r="G205" s="96"/>
      <c r="H205" s="96"/>
      <c r="I205" s="97"/>
      <c r="J205" s="97"/>
      <c r="K205" s="96"/>
      <c r="L205" s="96"/>
      <c r="M205" s="96"/>
      <c r="N205" s="96"/>
      <c r="O205" s="96"/>
      <c r="P205" s="96"/>
      <c r="Q205" s="96"/>
      <c r="R205" s="96"/>
      <c r="S205" s="96"/>
      <c r="T205" s="96"/>
      <c r="U205" s="96"/>
      <c r="V205" s="96"/>
      <c r="W205" s="96"/>
      <c r="X205" s="96"/>
      <c r="Y205" s="96"/>
      <c r="Z205" s="96"/>
    </row>
  </sheetData>
  <sheetProtection algorithmName="SHA-512" hashValue="+S6DxJX4JEuXMOv7w2X2feeMrc+AIKDlqY9xMTLgeh7KisSQtIgTMezy2Lu9lM4mS3fODluznnpJ+8Y6yObgrQ==" saltValue="Vko7Go3PDH+rdABgPoc1nQ==" spinCount="100000" sheet="1" objects="1" scenarios="1" autoFilter="0"/>
  <conditionalFormatting sqref="F2">
    <cfRule type="containsText" dxfId="0" priority="4" operator="containsText" text="ATENCION">
      <formula>NOT(ISERROR(SEARCH("ATENCION",F2)))</formula>
    </cfRule>
  </conditionalFormatting>
  <dataValidations count="2">
    <dataValidation type="list" allowBlank="1" showInputMessage="1" showErrorMessage="1" sqref="E4:E203" xr:uid="{815AB47A-179A-4E3B-9948-47C692157033}">
      <formula1>"Azure, AWS"</formula1>
    </dataValidation>
    <dataValidation type="list" allowBlank="1" showInputMessage="1" showErrorMessage="1" sqref="I4:J203" xr:uid="{083BA573-7E2E-4BCE-B6EB-406D42B79A5A}">
      <formula1>"Si, No"</formula1>
    </dataValidation>
  </dataValidation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F11C-0ED4-404B-85F4-804348B0DD67}">
  <sheetPr codeName="Sheet20"/>
  <dimension ref="A1:R344"/>
  <sheetViews>
    <sheetView showGridLines="0" zoomScaleNormal="100" workbookViewId="0">
      <selection activeCell="B10" sqref="B10"/>
    </sheetView>
  </sheetViews>
  <sheetFormatPr defaultColWidth="8.7109375" defaultRowHeight="14.45"/>
  <cols>
    <col min="1" max="1" width="3.28515625" style="18" customWidth="1"/>
    <col min="2" max="2" width="30.42578125" style="18" customWidth="1"/>
    <col min="3" max="3" width="12.42578125" style="18" customWidth="1"/>
    <col min="4" max="4" width="18.7109375" style="18" customWidth="1"/>
    <col min="5" max="5" width="17.7109375" style="18" customWidth="1"/>
    <col min="6" max="6" width="31.28515625" style="18" customWidth="1"/>
    <col min="7" max="7" width="12.28515625" style="18" customWidth="1"/>
    <col min="8" max="8" width="21.42578125" style="18" customWidth="1"/>
    <col min="9" max="9" width="18.42578125" style="18" bestFit="1" customWidth="1"/>
    <col min="10" max="10" width="17.140625" style="18" customWidth="1"/>
    <col min="11" max="11" width="16.42578125" style="18" customWidth="1"/>
    <col min="12" max="12" width="1.42578125" style="18" customWidth="1"/>
    <col min="13" max="13" width="17.42578125" style="18" customWidth="1"/>
    <col min="14" max="14" width="21.42578125" style="18" customWidth="1"/>
    <col min="15" max="15" width="1.42578125" style="18" customWidth="1"/>
    <col min="16" max="17" width="21.42578125" style="18" customWidth="1"/>
    <col min="18" max="18" width="3.28515625" style="18" customWidth="1"/>
    <col min="19" max="16384" width="8.7109375" style="18"/>
  </cols>
  <sheetData>
    <row r="1" spans="1:18" ht="21">
      <c r="A1" s="46"/>
      <c r="B1" s="46" t="s">
        <v>1010</v>
      </c>
      <c r="C1" s="46"/>
      <c r="D1" s="46"/>
      <c r="E1" s="46"/>
      <c r="F1" s="46"/>
      <c r="G1" s="46"/>
      <c r="H1" s="46"/>
      <c r="I1" s="46"/>
      <c r="J1" s="46"/>
      <c r="K1" s="46"/>
      <c r="L1" s="46"/>
      <c r="M1" s="46"/>
      <c r="N1" s="46"/>
      <c r="O1" s="46"/>
      <c r="P1" s="46"/>
      <c r="Q1" s="46"/>
      <c r="R1" s="46"/>
    </row>
    <row r="2" spans="1:18" ht="12" customHeight="1">
      <c r="A2" s="7"/>
      <c r="B2" s="7"/>
      <c r="C2" s="7"/>
      <c r="D2" s="381"/>
      <c r="E2" s="7"/>
      <c r="F2" s="7"/>
      <c r="G2" s="7"/>
      <c r="H2" s="7"/>
      <c r="I2" s="7"/>
      <c r="J2" s="7"/>
      <c r="K2" s="7"/>
      <c r="L2" s="7"/>
      <c r="M2" s="7"/>
      <c r="N2" s="7"/>
      <c r="O2" s="7"/>
      <c r="P2" s="7"/>
      <c r="Q2" s="7"/>
      <c r="R2" s="7"/>
    </row>
    <row r="3" spans="1:18" ht="21">
      <c r="A3" s="7"/>
      <c r="B3" s="382" t="s">
        <v>1011</v>
      </c>
      <c r="C3" s="382"/>
      <c r="D3" s="382"/>
      <c r="E3" s="382"/>
      <c r="F3" s="382"/>
      <c r="G3" s="382"/>
      <c r="H3" s="382"/>
      <c r="I3" s="382"/>
      <c r="J3" s="382"/>
      <c r="K3" s="382"/>
      <c r="L3" s="382"/>
      <c r="M3" s="382"/>
      <c r="N3" s="382"/>
      <c r="O3" s="382"/>
      <c r="P3" s="382"/>
      <c r="Q3" s="382"/>
      <c r="R3" s="7"/>
    </row>
    <row r="4" spans="1:18" ht="12" customHeight="1">
      <c r="A4" s="7"/>
      <c r="B4" s="7"/>
      <c r="C4" s="7"/>
      <c r="D4" s="381"/>
      <c r="E4" s="7"/>
      <c r="F4" s="7"/>
      <c r="G4" s="7"/>
      <c r="H4" s="7"/>
      <c r="I4" s="7"/>
      <c r="J4" s="7"/>
      <c r="K4" s="7"/>
      <c r="L4" s="7"/>
      <c r="M4" s="7"/>
      <c r="N4" s="7"/>
      <c r="O4" s="7"/>
      <c r="P4" s="7"/>
      <c r="Q4" s="7"/>
      <c r="R4" s="7"/>
    </row>
    <row r="5" spans="1:18">
      <c r="A5" s="7"/>
      <c r="B5" s="383" t="s">
        <v>1012</v>
      </c>
      <c r="C5" s="383" t="s">
        <v>417</v>
      </c>
      <c r="D5" s="383" t="s">
        <v>1013</v>
      </c>
      <c r="E5" s="383" t="s">
        <v>422</v>
      </c>
      <c r="F5" s="383" t="s">
        <v>1014</v>
      </c>
      <c r="G5" s="383" t="s">
        <v>423</v>
      </c>
      <c r="H5" s="383" t="s">
        <v>424</v>
      </c>
      <c r="I5" s="383" t="s">
        <v>1015</v>
      </c>
      <c r="J5" s="383" t="s">
        <v>1016</v>
      </c>
      <c r="K5" s="383" t="s">
        <v>1017</v>
      </c>
      <c r="L5" s="7"/>
      <c r="M5" s="383" t="s">
        <v>424</v>
      </c>
      <c r="N5" s="383" t="s">
        <v>425</v>
      </c>
      <c r="O5" s="7"/>
      <c r="P5" s="383" t="s">
        <v>1018</v>
      </c>
      <c r="Q5" s="383" t="s">
        <v>429</v>
      </c>
      <c r="R5" s="7"/>
    </row>
    <row r="6" spans="1:18">
      <c r="A6" s="7"/>
      <c r="B6" s="384"/>
      <c r="C6" s="384"/>
      <c r="D6" s="384"/>
      <c r="E6" s="384"/>
      <c r="F6" s="384"/>
      <c r="G6" s="385"/>
      <c r="H6" s="386">
        <v>0</v>
      </c>
      <c r="I6" s="386"/>
      <c r="J6" s="385"/>
      <c r="K6" s="387">
        <v>1</v>
      </c>
      <c r="L6" s="7"/>
      <c r="M6" s="387">
        <f>H6*K6</f>
        <v>0</v>
      </c>
      <c r="N6" s="114">
        <f>G6*M6</f>
        <v>0</v>
      </c>
      <c r="O6" s="7"/>
      <c r="P6" s="386">
        <v>0</v>
      </c>
      <c r="Q6" s="114">
        <f>G6*P6</f>
        <v>0</v>
      </c>
      <c r="R6" s="7"/>
    </row>
    <row r="7" spans="1:18">
      <c r="A7" s="7"/>
      <c r="B7" s="384"/>
      <c r="C7" s="384"/>
      <c r="D7" s="384"/>
      <c r="E7" s="384"/>
      <c r="F7" s="384"/>
      <c r="G7" s="385"/>
      <c r="H7" s="386">
        <v>0</v>
      </c>
      <c r="I7" s="386"/>
      <c r="J7" s="385"/>
      <c r="K7" s="387">
        <v>1</v>
      </c>
      <c r="L7" s="7"/>
      <c r="M7" s="387">
        <f t="shared" ref="M7:M8" si="0">H7*K7</f>
        <v>0</v>
      </c>
      <c r="N7" s="114">
        <f>G7*M7</f>
        <v>0</v>
      </c>
      <c r="O7" s="7"/>
      <c r="P7" s="386">
        <v>0</v>
      </c>
      <c r="Q7" s="114">
        <f>G7*P7</f>
        <v>0</v>
      </c>
      <c r="R7" s="7"/>
    </row>
    <row r="8" spans="1:18">
      <c r="A8" s="7"/>
      <c r="B8" s="384"/>
      <c r="C8" s="384"/>
      <c r="D8" s="384"/>
      <c r="E8" s="384"/>
      <c r="F8" s="384"/>
      <c r="G8" s="385"/>
      <c r="H8" s="386">
        <v>0</v>
      </c>
      <c r="I8" s="386"/>
      <c r="J8" s="385"/>
      <c r="K8" s="387">
        <v>1</v>
      </c>
      <c r="L8" s="7"/>
      <c r="M8" s="387">
        <f t="shared" si="0"/>
        <v>0</v>
      </c>
      <c r="N8" s="114">
        <f>G8*M8</f>
        <v>0</v>
      </c>
      <c r="O8" s="7"/>
      <c r="P8" s="386">
        <v>0</v>
      </c>
      <c r="Q8" s="114">
        <f>G8*P8</f>
        <v>0</v>
      </c>
      <c r="R8" s="7"/>
    </row>
    <row r="9" spans="1:18">
      <c r="A9" s="7"/>
      <c r="B9" s="7"/>
      <c r="C9" s="7"/>
      <c r="D9" s="7"/>
      <c r="E9" s="7"/>
      <c r="F9" s="7"/>
      <c r="G9" s="7"/>
      <c r="H9" s="7"/>
      <c r="I9" s="7"/>
      <c r="J9" s="7"/>
      <c r="K9" s="388" t="s">
        <v>35</v>
      </c>
      <c r="L9" s="7"/>
      <c r="M9" s="7"/>
      <c r="N9" s="115">
        <f>SUM(N6:N8)</f>
        <v>0</v>
      </c>
      <c r="O9" s="7"/>
      <c r="P9" s="388" t="s">
        <v>35</v>
      </c>
      <c r="Q9" s="115">
        <f>SUM(Q6:Q8)</f>
        <v>0</v>
      </c>
      <c r="R9" s="7"/>
    </row>
    <row r="10" spans="1:18">
      <c r="A10" s="7"/>
      <c r="B10" s="7"/>
      <c r="C10" s="7"/>
      <c r="D10" s="7"/>
      <c r="E10" s="7"/>
      <c r="F10" s="7"/>
      <c r="G10" s="7"/>
      <c r="H10" s="7"/>
      <c r="I10" s="7"/>
      <c r="J10" s="7"/>
      <c r="K10" s="7"/>
      <c r="L10" s="7"/>
      <c r="M10" s="7"/>
      <c r="N10" s="7"/>
      <c r="O10" s="7"/>
      <c r="P10" s="287"/>
      <c r="Q10" s="287"/>
      <c r="R10" s="7"/>
    </row>
    <row r="11" spans="1:18" ht="10.9" customHeight="1">
      <c r="P11" s="389"/>
      <c r="Q11" s="389"/>
    </row>
    <row r="12" spans="1:18" ht="13.9" customHeight="1">
      <c r="A12" s="7"/>
      <c r="B12" s="7"/>
      <c r="C12" s="7"/>
      <c r="D12" s="7"/>
      <c r="E12" s="7"/>
      <c r="F12" s="7"/>
      <c r="G12" s="7"/>
      <c r="H12" s="7"/>
      <c r="I12" s="7"/>
      <c r="J12" s="7"/>
      <c r="K12" s="7"/>
      <c r="L12" s="7"/>
      <c r="M12" s="7"/>
      <c r="N12" s="7"/>
      <c r="O12" s="7"/>
      <c r="P12" s="7"/>
      <c r="Q12" s="7"/>
      <c r="R12" s="7"/>
    </row>
    <row r="13" spans="1:18" ht="21">
      <c r="A13" s="7"/>
      <c r="B13" s="382" t="s">
        <v>1019</v>
      </c>
      <c r="C13" s="382"/>
      <c r="D13" s="382"/>
      <c r="E13" s="382"/>
      <c r="F13" s="382"/>
      <c r="G13" s="382"/>
      <c r="H13" s="382"/>
      <c r="I13" s="382"/>
      <c r="J13" s="382"/>
      <c r="K13" s="382"/>
      <c r="L13" s="382"/>
      <c r="M13" s="382"/>
      <c r="N13" s="382"/>
      <c r="O13" s="382"/>
      <c r="P13" s="382"/>
      <c r="Q13" s="382"/>
      <c r="R13" s="7"/>
    </row>
    <row r="14" spans="1:18" ht="13.9" customHeight="1">
      <c r="A14" s="7"/>
      <c r="B14" s="7"/>
      <c r="C14" s="7"/>
      <c r="D14" s="7"/>
      <c r="E14" s="7"/>
      <c r="F14" s="7"/>
      <c r="G14" s="7"/>
      <c r="H14" s="7"/>
      <c r="I14" s="7"/>
      <c r="J14" s="7"/>
      <c r="K14" s="7"/>
      <c r="L14" s="7"/>
      <c r="M14" s="7"/>
      <c r="N14" s="7"/>
      <c r="O14" s="7"/>
      <c r="P14" s="7"/>
      <c r="Q14" s="7"/>
      <c r="R14" s="7"/>
    </row>
    <row r="15" spans="1:18">
      <c r="A15" s="7"/>
      <c r="B15" s="383" t="s">
        <v>419</v>
      </c>
      <c r="C15" s="383" t="s">
        <v>417</v>
      </c>
      <c r="D15" s="383" t="s">
        <v>420</v>
      </c>
      <c r="E15" s="383" t="s">
        <v>421</v>
      </c>
      <c r="F15" s="383" t="s">
        <v>408</v>
      </c>
      <c r="G15" s="383" t="s">
        <v>423</v>
      </c>
      <c r="H15" s="383" t="s">
        <v>424</v>
      </c>
      <c r="I15" s="383" t="s">
        <v>1015</v>
      </c>
      <c r="J15" s="383" t="s">
        <v>1016</v>
      </c>
      <c r="K15" s="383" t="s">
        <v>1017</v>
      </c>
      <c r="L15" s="7"/>
      <c r="M15" s="383" t="s">
        <v>424</v>
      </c>
      <c r="N15" s="383" t="s">
        <v>425</v>
      </c>
      <c r="O15" s="7"/>
      <c r="P15" s="595" t="s">
        <v>1020</v>
      </c>
      <c r="Q15" s="596"/>
      <c r="R15" s="7"/>
    </row>
    <row r="16" spans="1:18">
      <c r="A16" s="7"/>
      <c r="B16" s="112" t="str" cm="1">
        <f t="array" ref="B16">_xlfn._xlws.FILTER(OtherCosts!B:B,(OtherCosts!A:A&lt;&gt;"")*(OtherCosts!B:B="Hardware/Software"),"")</f>
        <v/>
      </c>
      <c r="C16" s="112" t="str" cm="1">
        <f t="array" ref="C16">_xlfn._xlws.FILTER(OtherCosts!U:U,(OtherCosts!A:A&lt;&gt;"")*(OtherCosts!B:B="Hardware/Software"),"")</f>
        <v/>
      </c>
      <c r="D16" s="112" t="str" cm="1">
        <f t="array" ref="D16">_xlfn._xlws.FILTER(OtherCosts!C:C,(OtherCosts!A:A&lt;&gt;"")*(OtherCosts!B:B="Hardware/Software"),"")</f>
        <v/>
      </c>
      <c r="E16" s="112" t="str" cm="1">
        <f t="array" ref="E16">_xlfn._xlws.FILTER(OtherCosts!D:D,(OtherCosts!A:A&lt;&gt;"")*(OtherCosts!B:B="Hardware/Software"),"")</f>
        <v/>
      </c>
      <c r="F16" s="112" t="str" cm="1">
        <f t="array" ref="F16">_xlfn._xlws.FILTER(OtherCosts!F:F,(OtherCosts!A:A&lt;&gt;"")*(OtherCosts!B:B="Hardware/Software"),"")</f>
        <v/>
      </c>
      <c r="G16" s="116" t="str" cm="1">
        <f t="array" ref="G16">_xlfn._xlws.FILTER(OtherCosts!G:G, (OtherCosts!A:A&lt;&gt;"")*(OtherCosts!B:B="Hardware/Software"),"")</f>
        <v/>
      </c>
      <c r="H16" s="114" t="str" cm="1">
        <f t="array" ref="H16">_xlfn._xlws.FILTER(OtherCosts!H:H, (OtherCosts!A:A&lt;&gt;"")*(OtherCosts!B:B="Hardware/Software"),"")</f>
        <v/>
      </c>
      <c r="I16" s="116" t="str" cm="1">
        <f t="array" ref="I16">_xlfn._xlws.FILTER(OtherCosts!J:J,(OtherCosts!A:A&lt;&gt;"")*(OtherCosts!B:B="Hardware/Software"),"")</f>
        <v/>
      </c>
      <c r="J16" s="385"/>
      <c r="K16" s="387">
        <v>1</v>
      </c>
      <c r="L16" s="7"/>
      <c r="M16" s="387">
        <f>IFERROR(H16*K16,0)</f>
        <v>0</v>
      </c>
      <c r="N16" s="114">
        <f>IFERROR(G16*M16,0)</f>
        <v>0</v>
      </c>
      <c r="O16" s="7"/>
      <c r="P16" s="597"/>
      <c r="Q16" s="598"/>
      <c r="R16" s="7"/>
    </row>
    <row r="17" spans="1:18">
      <c r="A17" s="7"/>
      <c r="B17" s="112"/>
      <c r="C17" s="112"/>
      <c r="D17" s="112"/>
      <c r="E17" s="112"/>
      <c r="F17" s="112"/>
      <c r="G17" s="116"/>
      <c r="H17" s="114"/>
      <c r="I17" s="116"/>
      <c r="J17" s="385"/>
      <c r="K17" s="387">
        <v>1</v>
      </c>
      <c r="L17" s="7"/>
      <c r="M17" s="387">
        <f t="shared" ref="M17:M80" si="1">IFERROR(H17*K17,0)</f>
        <v>0</v>
      </c>
      <c r="N17" s="114">
        <f t="shared" ref="N17:N80" si="2">IFERROR(G17*M17,0)</f>
        <v>0</v>
      </c>
      <c r="O17" s="7"/>
      <c r="P17" s="597"/>
      <c r="Q17" s="598"/>
      <c r="R17" s="7"/>
    </row>
    <row r="18" spans="1:18">
      <c r="A18" s="7"/>
      <c r="B18" s="112"/>
      <c r="C18" s="112"/>
      <c r="D18" s="112"/>
      <c r="E18" s="112"/>
      <c r="F18" s="112"/>
      <c r="G18" s="116"/>
      <c r="H18" s="114"/>
      <c r="I18" s="116"/>
      <c r="J18" s="385"/>
      <c r="K18" s="387">
        <v>1</v>
      </c>
      <c r="L18" s="7"/>
      <c r="M18" s="387">
        <f t="shared" si="1"/>
        <v>0</v>
      </c>
      <c r="N18" s="114">
        <f t="shared" si="2"/>
        <v>0</v>
      </c>
      <c r="O18" s="7"/>
      <c r="P18" s="597"/>
      <c r="Q18" s="598"/>
      <c r="R18" s="7"/>
    </row>
    <row r="19" spans="1:18">
      <c r="A19" s="7"/>
      <c r="B19" s="112"/>
      <c r="C19" s="112"/>
      <c r="D19" s="112"/>
      <c r="E19" s="112"/>
      <c r="F19" s="112"/>
      <c r="G19" s="116"/>
      <c r="H19" s="114"/>
      <c r="I19" s="116"/>
      <c r="J19" s="385"/>
      <c r="K19" s="387">
        <v>1</v>
      </c>
      <c r="L19" s="7"/>
      <c r="M19" s="387">
        <f t="shared" si="1"/>
        <v>0</v>
      </c>
      <c r="N19" s="114">
        <f t="shared" si="2"/>
        <v>0</v>
      </c>
      <c r="O19" s="7"/>
      <c r="P19" s="597"/>
      <c r="Q19" s="598"/>
      <c r="R19" s="7"/>
    </row>
    <row r="20" spans="1:18">
      <c r="A20" s="7"/>
      <c r="B20" s="112"/>
      <c r="C20" s="112"/>
      <c r="D20" s="112"/>
      <c r="E20" s="112"/>
      <c r="F20" s="112"/>
      <c r="G20" s="116"/>
      <c r="H20" s="114"/>
      <c r="I20" s="116"/>
      <c r="J20" s="385"/>
      <c r="K20" s="387">
        <v>1</v>
      </c>
      <c r="L20" s="7"/>
      <c r="M20" s="387">
        <f t="shared" si="1"/>
        <v>0</v>
      </c>
      <c r="N20" s="114">
        <f t="shared" si="2"/>
        <v>0</v>
      </c>
      <c r="O20" s="7"/>
      <c r="P20" s="597"/>
      <c r="Q20" s="598"/>
      <c r="R20" s="7"/>
    </row>
    <row r="21" spans="1:18">
      <c r="A21" s="7"/>
      <c r="B21" s="112"/>
      <c r="C21" s="112"/>
      <c r="D21" s="112"/>
      <c r="E21" s="112"/>
      <c r="F21" s="112"/>
      <c r="G21" s="116"/>
      <c r="H21" s="114"/>
      <c r="I21" s="116"/>
      <c r="J21" s="385"/>
      <c r="K21" s="387">
        <v>1</v>
      </c>
      <c r="L21" s="7"/>
      <c r="M21" s="387">
        <f t="shared" si="1"/>
        <v>0</v>
      </c>
      <c r="N21" s="114">
        <f t="shared" si="2"/>
        <v>0</v>
      </c>
      <c r="O21" s="7"/>
      <c r="P21" s="597"/>
      <c r="Q21" s="598"/>
      <c r="R21" s="7"/>
    </row>
    <row r="22" spans="1:18">
      <c r="A22" s="7"/>
      <c r="B22" s="112"/>
      <c r="C22" s="112"/>
      <c r="D22" s="112"/>
      <c r="E22" s="112"/>
      <c r="F22" s="112"/>
      <c r="G22" s="116"/>
      <c r="H22" s="114"/>
      <c r="I22" s="116"/>
      <c r="J22" s="385"/>
      <c r="K22" s="387">
        <v>1</v>
      </c>
      <c r="L22" s="7"/>
      <c r="M22" s="387">
        <f t="shared" si="1"/>
        <v>0</v>
      </c>
      <c r="N22" s="114">
        <f t="shared" si="2"/>
        <v>0</v>
      </c>
      <c r="O22" s="7"/>
      <c r="P22" s="597"/>
      <c r="Q22" s="598"/>
      <c r="R22" s="7"/>
    </row>
    <row r="23" spans="1:18">
      <c r="A23" s="7"/>
      <c r="B23" s="112"/>
      <c r="C23" s="112"/>
      <c r="D23" s="112"/>
      <c r="E23" s="112"/>
      <c r="F23" s="112"/>
      <c r="G23" s="116"/>
      <c r="H23" s="114"/>
      <c r="I23" s="116"/>
      <c r="J23" s="385"/>
      <c r="K23" s="387">
        <v>1</v>
      </c>
      <c r="L23" s="7"/>
      <c r="M23" s="387">
        <f t="shared" si="1"/>
        <v>0</v>
      </c>
      <c r="N23" s="114">
        <f t="shared" si="2"/>
        <v>0</v>
      </c>
      <c r="O23" s="7"/>
      <c r="P23" s="597"/>
      <c r="Q23" s="598"/>
      <c r="R23" s="7"/>
    </row>
    <row r="24" spans="1:18">
      <c r="A24" s="7"/>
      <c r="B24" s="112"/>
      <c r="C24" s="112"/>
      <c r="D24" s="112"/>
      <c r="E24" s="112"/>
      <c r="F24" s="112"/>
      <c r="G24" s="116"/>
      <c r="H24" s="114"/>
      <c r="I24" s="116"/>
      <c r="J24" s="385"/>
      <c r="K24" s="387">
        <v>1</v>
      </c>
      <c r="L24" s="7"/>
      <c r="M24" s="387">
        <f t="shared" si="1"/>
        <v>0</v>
      </c>
      <c r="N24" s="114">
        <f t="shared" si="2"/>
        <v>0</v>
      </c>
      <c r="O24" s="7"/>
      <c r="P24" s="597"/>
      <c r="Q24" s="598"/>
      <c r="R24" s="7"/>
    </row>
    <row r="25" spans="1:18">
      <c r="A25" s="7"/>
      <c r="B25" s="112"/>
      <c r="C25" s="112"/>
      <c r="D25" s="112"/>
      <c r="E25" s="112"/>
      <c r="F25" s="112"/>
      <c r="G25" s="116"/>
      <c r="H25" s="114"/>
      <c r="I25" s="116"/>
      <c r="J25" s="385"/>
      <c r="K25" s="387">
        <v>1</v>
      </c>
      <c r="L25" s="7"/>
      <c r="M25" s="387">
        <f t="shared" si="1"/>
        <v>0</v>
      </c>
      <c r="N25" s="114">
        <f t="shared" si="2"/>
        <v>0</v>
      </c>
      <c r="O25" s="7"/>
      <c r="P25" s="597"/>
      <c r="Q25" s="598"/>
      <c r="R25" s="7"/>
    </row>
    <row r="26" spans="1:18">
      <c r="A26" s="7"/>
      <c r="B26" s="112"/>
      <c r="C26" s="112"/>
      <c r="D26" s="112"/>
      <c r="E26" s="112"/>
      <c r="F26" s="112"/>
      <c r="G26" s="116"/>
      <c r="H26" s="114"/>
      <c r="I26" s="116"/>
      <c r="J26" s="385"/>
      <c r="K26" s="387">
        <v>1</v>
      </c>
      <c r="L26" s="7"/>
      <c r="M26" s="387">
        <f t="shared" si="1"/>
        <v>0</v>
      </c>
      <c r="N26" s="114">
        <f t="shared" si="2"/>
        <v>0</v>
      </c>
      <c r="O26" s="7"/>
      <c r="P26" s="597"/>
      <c r="Q26" s="598"/>
      <c r="R26" s="7"/>
    </row>
    <row r="27" spans="1:18">
      <c r="A27" s="7"/>
      <c r="B27" s="112"/>
      <c r="C27" s="112"/>
      <c r="D27" s="112"/>
      <c r="E27" s="112"/>
      <c r="F27" s="112"/>
      <c r="G27" s="116"/>
      <c r="H27" s="114"/>
      <c r="I27" s="116"/>
      <c r="J27" s="385"/>
      <c r="K27" s="387">
        <v>1</v>
      </c>
      <c r="L27" s="7"/>
      <c r="M27" s="387">
        <f t="shared" si="1"/>
        <v>0</v>
      </c>
      <c r="N27" s="114">
        <f t="shared" si="2"/>
        <v>0</v>
      </c>
      <c r="O27" s="7"/>
      <c r="P27" s="597"/>
      <c r="Q27" s="598"/>
      <c r="R27" s="7"/>
    </row>
    <row r="28" spans="1:18">
      <c r="A28" s="7"/>
      <c r="B28" s="112"/>
      <c r="C28" s="112"/>
      <c r="D28" s="112"/>
      <c r="E28" s="112"/>
      <c r="F28" s="112"/>
      <c r="G28" s="116"/>
      <c r="H28" s="114"/>
      <c r="I28" s="116"/>
      <c r="J28" s="385"/>
      <c r="K28" s="387">
        <v>1</v>
      </c>
      <c r="L28" s="7"/>
      <c r="M28" s="387">
        <f t="shared" si="1"/>
        <v>0</v>
      </c>
      <c r="N28" s="114">
        <f t="shared" si="2"/>
        <v>0</v>
      </c>
      <c r="O28" s="7"/>
      <c r="P28" s="597"/>
      <c r="Q28" s="598"/>
      <c r="R28" s="7"/>
    </row>
    <row r="29" spans="1:18">
      <c r="A29" s="7"/>
      <c r="B29" s="112"/>
      <c r="C29" s="112"/>
      <c r="D29" s="112"/>
      <c r="E29" s="112"/>
      <c r="F29" s="112"/>
      <c r="G29" s="116"/>
      <c r="H29" s="114"/>
      <c r="I29" s="116"/>
      <c r="J29" s="385"/>
      <c r="K29" s="387">
        <v>1</v>
      </c>
      <c r="L29" s="7"/>
      <c r="M29" s="387">
        <f t="shared" si="1"/>
        <v>0</v>
      </c>
      <c r="N29" s="114">
        <f t="shared" si="2"/>
        <v>0</v>
      </c>
      <c r="O29" s="7"/>
      <c r="P29" s="597"/>
      <c r="Q29" s="598"/>
      <c r="R29" s="7"/>
    </row>
    <row r="30" spans="1:18">
      <c r="A30" s="7"/>
      <c r="B30" s="112"/>
      <c r="C30" s="112"/>
      <c r="D30" s="112"/>
      <c r="E30" s="112"/>
      <c r="F30" s="112"/>
      <c r="G30" s="116"/>
      <c r="H30" s="114"/>
      <c r="I30" s="116"/>
      <c r="J30" s="385"/>
      <c r="K30" s="387">
        <v>1</v>
      </c>
      <c r="L30" s="7"/>
      <c r="M30" s="387">
        <f t="shared" si="1"/>
        <v>0</v>
      </c>
      <c r="N30" s="114">
        <f t="shared" si="2"/>
        <v>0</v>
      </c>
      <c r="O30" s="7"/>
      <c r="P30" s="597"/>
      <c r="Q30" s="598"/>
      <c r="R30" s="7"/>
    </row>
    <row r="31" spans="1:18">
      <c r="A31" s="7"/>
      <c r="B31" s="112"/>
      <c r="C31" s="112"/>
      <c r="D31" s="112"/>
      <c r="E31" s="112"/>
      <c r="F31" s="112"/>
      <c r="G31" s="116"/>
      <c r="H31" s="114"/>
      <c r="I31" s="116"/>
      <c r="J31" s="385"/>
      <c r="K31" s="387">
        <v>1</v>
      </c>
      <c r="L31" s="7"/>
      <c r="M31" s="387">
        <f t="shared" si="1"/>
        <v>0</v>
      </c>
      <c r="N31" s="114">
        <f t="shared" si="2"/>
        <v>0</v>
      </c>
      <c r="O31" s="7"/>
      <c r="P31" s="597"/>
      <c r="Q31" s="598"/>
      <c r="R31" s="7"/>
    </row>
    <row r="32" spans="1:18">
      <c r="A32" s="7"/>
      <c r="B32" s="112"/>
      <c r="C32" s="112"/>
      <c r="D32" s="112"/>
      <c r="E32" s="112"/>
      <c r="F32" s="112"/>
      <c r="G32" s="116"/>
      <c r="H32" s="114"/>
      <c r="I32" s="116"/>
      <c r="J32" s="385"/>
      <c r="K32" s="387">
        <v>1</v>
      </c>
      <c r="L32" s="7"/>
      <c r="M32" s="387">
        <f t="shared" si="1"/>
        <v>0</v>
      </c>
      <c r="N32" s="114">
        <f t="shared" si="2"/>
        <v>0</v>
      </c>
      <c r="O32" s="7"/>
      <c r="P32" s="597"/>
      <c r="Q32" s="598"/>
      <c r="R32" s="7"/>
    </row>
    <row r="33" spans="1:18">
      <c r="A33" s="7"/>
      <c r="B33" s="112"/>
      <c r="C33" s="112"/>
      <c r="D33" s="112"/>
      <c r="E33" s="112"/>
      <c r="F33" s="112"/>
      <c r="G33" s="116"/>
      <c r="H33" s="114"/>
      <c r="I33" s="116"/>
      <c r="J33" s="385"/>
      <c r="K33" s="387">
        <v>1</v>
      </c>
      <c r="L33" s="7"/>
      <c r="M33" s="387">
        <f t="shared" si="1"/>
        <v>0</v>
      </c>
      <c r="N33" s="114">
        <f t="shared" si="2"/>
        <v>0</v>
      </c>
      <c r="O33" s="7"/>
      <c r="P33" s="597"/>
      <c r="Q33" s="598"/>
      <c r="R33" s="7"/>
    </row>
    <row r="34" spans="1:18">
      <c r="A34" s="7"/>
      <c r="B34" s="112"/>
      <c r="C34" s="112"/>
      <c r="D34" s="112"/>
      <c r="E34" s="112"/>
      <c r="F34" s="112"/>
      <c r="G34" s="116"/>
      <c r="H34" s="114"/>
      <c r="I34" s="116"/>
      <c r="J34" s="385"/>
      <c r="K34" s="387">
        <v>1</v>
      </c>
      <c r="L34" s="7"/>
      <c r="M34" s="387">
        <f t="shared" si="1"/>
        <v>0</v>
      </c>
      <c r="N34" s="114">
        <f t="shared" si="2"/>
        <v>0</v>
      </c>
      <c r="O34" s="7"/>
      <c r="P34" s="597"/>
      <c r="Q34" s="598"/>
      <c r="R34" s="7"/>
    </row>
    <row r="35" spans="1:18">
      <c r="A35" s="7"/>
      <c r="B35" s="112"/>
      <c r="C35" s="112"/>
      <c r="D35" s="112"/>
      <c r="E35" s="112"/>
      <c r="F35" s="112"/>
      <c r="G35" s="116"/>
      <c r="H35" s="114"/>
      <c r="I35" s="116"/>
      <c r="J35" s="385"/>
      <c r="K35" s="387">
        <v>1</v>
      </c>
      <c r="L35" s="7"/>
      <c r="M35" s="387">
        <f t="shared" si="1"/>
        <v>0</v>
      </c>
      <c r="N35" s="114">
        <f t="shared" si="2"/>
        <v>0</v>
      </c>
      <c r="O35" s="7"/>
      <c r="P35" s="597"/>
      <c r="Q35" s="598"/>
      <c r="R35" s="7"/>
    </row>
    <row r="36" spans="1:18">
      <c r="A36" s="7"/>
      <c r="B36" s="112"/>
      <c r="C36" s="112"/>
      <c r="D36" s="112"/>
      <c r="E36" s="112"/>
      <c r="F36" s="112"/>
      <c r="G36" s="116"/>
      <c r="H36" s="114"/>
      <c r="I36" s="116"/>
      <c r="J36" s="385"/>
      <c r="K36" s="387">
        <v>1</v>
      </c>
      <c r="L36" s="7"/>
      <c r="M36" s="387">
        <f t="shared" si="1"/>
        <v>0</v>
      </c>
      <c r="N36" s="114">
        <f t="shared" si="2"/>
        <v>0</v>
      </c>
      <c r="O36" s="7"/>
      <c r="P36" s="597"/>
      <c r="Q36" s="598"/>
      <c r="R36" s="7"/>
    </row>
    <row r="37" spans="1:18">
      <c r="A37" s="7"/>
      <c r="B37" s="112"/>
      <c r="C37" s="112"/>
      <c r="D37" s="112"/>
      <c r="E37" s="112"/>
      <c r="F37" s="112"/>
      <c r="G37" s="116"/>
      <c r="H37" s="114"/>
      <c r="I37" s="116"/>
      <c r="J37" s="385"/>
      <c r="K37" s="387">
        <v>1</v>
      </c>
      <c r="L37" s="7"/>
      <c r="M37" s="387">
        <f t="shared" si="1"/>
        <v>0</v>
      </c>
      <c r="N37" s="114">
        <f t="shared" si="2"/>
        <v>0</v>
      </c>
      <c r="O37" s="7"/>
      <c r="P37" s="597"/>
      <c r="Q37" s="598"/>
      <c r="R37" s="7"/>
    </row>
    <row r="38" spans="1:18">
      <c r="A38" s="7"/>
      <c r="B38" s="112"/>
      <c r="C38" s="112"/>
      <c r="D38" s="112"/>
      <c r="E38" s="112"/>
      <c r="F38" s="112"/>
      <c r="G38" s="116"/>
      <c r="H38" s="114"/>
      <c r="I38" s="116"/>
      <c r="J38" s="385"/>
      <c r="K38" s="387">
        <v>1</v>
      </c>
      <c r="L38" s="7"/>
      <c r="M38" s="387">
        <f t="shared" si="1"/>
        <v>0</v>
      </c>
      <c r="N38" s="114">
        <f t="shared" si="2"/>
        <v>0</v>
      </c>
      <c r="O38" s="7"/>
      <c r="P38" s="597"/>
      <c r="Q38" s="598"/>
      <c r="R38" s="7"/>
    </row>
    <row r="39" spans="1:18">
      <c r="A39" s="7"/>
      <c r="B39" s="112"/>
      <c r="C39" s="112"/>
      <c r="D39" s="112"/>
      <c r="E39" s="112"/>
      <c r="F39" s="112"/>
      <c r="G39" s="116"/>
      <c r="H39" s="114"/>
      <c r="I39" s="116"/>
      <c r="J39" s="385"/>
      <c r="K39" s="387">
        <v>1</v>
      </c>
      <c r="L39" s="7"/>
      <c r="M39" s="387">
        <f t="shared" si="1"/>
        <v>0</v>
      </c>
      <c r="N39" s="114">
        <f t="shared" si="2"/>
        <v>0</v>
      </c>
      <c r="O39" s="7"/>
      <c r="P39" s="597"/>
      <c r="Q39" s="598"/>
      <c r="R39" s="7"/>
    </row>
    <row r="40" spans="1:18">
      <c r="A40" s="7"/>
      <c r="B40" s="112"/>
      <c r="C40" s="112"/>
      <c r="D40" s="112"/>
      <c r="E40" s="112"/>
      <c r="F40" s="112"/>
      <c r="G40" s="116"/>
      <c r="H40" s="114"/>
      <c r="I40" s="116"/>
      <c r="J40" s="385"/>
      <c r="K40" s="387">
        <v>1</v>
      </c>
      <c r="L40" s="7"/>
      <c r="M40" s="387">
        <f t="shared" si="1"/>
        <v>0</v>
      </c>
      <c r="N40" s="114">
        <f t="shared" si="2"/>
        <v>0</v>
      </c>
      <c r="O40" s="7"/>
      <c r="P40" s="597"/>
      <c r="Q40" s="598"/>
      <c r="R40" s="7"/>
    </row>
    <row r="41" spans="1:18">
      <c r="A41" s="7"/>
      <c r="B41" s="112"/>
      <c r="C41" s="112"/>
      <c r="D41" s="112"/>
      <c r="E41" s="112"/>
      <c r="F41" s="112"/>
      <c r="G41" s="116"/>
      <c r="H41" s="114"/>
      <c r="I41" s="116"/>
      <c r="J41" s="385"/>
      <c r="K41" s="387">
        <v>1</v>
      </c>
      <c r="L41" s="7"/>
      <c r="M41" s="387">
        <f t="shared" si="1"/>
        <v>0</v>
      </c>
      <c r="N41" s="114">
        <f t="shared" si="2"/>
        <v>0</v>
      </c>
      <c r="O41" s="7"/>
      <c r="P41" s="597"/>
      <c r="Q41" s="598"/>
      <c r="R41" s="7"/>
    </row>
    <row r="42" spans="1:18">
      <c r="A42" s="7"/>
      <c r="B42" s="112"/>
      <c r="C42" s="112"/>
      <c r="D42" s="112"/>
      <c r="E42" s="112"/>
      <c r="F42" s="112"/>
      <c r="G42" s="116"/>
      <c r="H42" s="114"/>
      <c r="I42" s="116"/>
      <c r="J42" s="385"/>
      <c r="K42" s="387">
        <v>1</v>
      </c>
      <c r="L42" s="7"/>
      <c r="M42" s="387">
        <f t="shared" si="1"/>
        <v>0</v>
      </c>
      <c r="N42" s="114">
        <f t="shared" si="2"/>
        <v>0</v>
      </c>
      <c r="O42" s="7"/>
      <c r="P42" s="597"/>
      <c r="Q42" s="598"/>
      <c r="R42" s="7"/>
    </row>
    <row r="43" spans="1:18">
      <c r="A43" s="7"/>
      <c r="B43" s="112"/>
      <c r="C43" s="112"/>
      <c r="D43" s="112"/>
      <c r="E43" s="112"/>
      <c r="F43" s="112"/>
      <c r="G43" s="116"/>
      <c r="H43" s="114"/>
      <c r="I43" s="116"/>
      <c r="J43" s="385"/>
      <c r="K43" s="387">
        <v>1</v>
      </c>
      <c r="L43" s="7"/>
      <c r="M43" s="387">
        <f t="shared" si="1"/>
        <v>0</v>
      </c>
      <c r="N43" s="114">
        <f t="shared" si="2"/>
        <v>0</v>
      </c>
      <c r="O43" s="7"/>
      <c r="P43" s="597"/>
      <c r="Q43" s="598"/>
      <c r="R43" s="7"/>
    </row>
    <row r="44" spans="1:18">
      <c r="A44" s="7"/>
      <c r="B44" s="112"/>
      <c r="C44" s="112"/>
      <c r="D44" s="112"/>
      <c r="E44" s="112"/>
      <c r="F44" s="112"/>
      <c r="G44" s="116"/>
      <c r="H44" s="114"/>
      <c r="I44" s="116"/>
      <c r="J44" s="385"/>
      <c r="K44" s="387">
        <v>1</v>
      </c>
      <c r="L44" s="7"/>
      <c r="M44" s="387">
        <f t="shared" si="1"/>
        <v>0</v>
      </c>
      <c r="N44" s="114">
        <f t="shared" si="2"/>
        <v>0</v>
      </c>
      <c r="O44" s="7"/>
      <c r="P44" s="597"/>
      <c r="Q44" s="598"/>
      <c r="R44" s="7"/>
    </row>
    <row r="45" spans="1:18">
      <c r="A45" s="7"/>
      <c r="B45" s="112"/>
      <c r="C45" s="112"/>
      <c r="D45" s="112"/>
      <c r="E45" s="112"/>
      <c r="F45" s="112"/>
      <c r="G45" s="116"/>
      <c r="H45" s="114"/>
      <c r="I45" s="116"/>
      <c r="J45" s="385"/>
      <c r="K45" s="387">
        <v>1</v>
      </c>
      <c r="L45" s="7"/>
      <c r="M45" s="387">
        <f t="shared" si="1"/>
        <v>0</v>
      </c>
      <c r="N45" s="114">
        <f t="shared" si="2"/>
        <v>0</v>
      </c>
      <c r="O45" s="7"/>
      <c r="P45" s="597"/>
      <c r="Q45" s="598"/>
      <c r="R45" s="7"/>
    </row>
    <row r="46" spans="1:18">
      <c r="A46" s="7"/>
      <c r="B46" s="112"/>
      <c r="C46" s="112"/>
      <c r="D46" s="112"/>
      <c r="E46" s="112"/>
      <c r="F46" s="112"/>
      <c r="G46" s="116"/>
      <c r="H46" s="114"/>
      <c r="I46" s="116"/>
      <c r="J46" s="385"/>
      <c r="K46" s="387">
        <v>1</v>
      </c>
      <c r="L46" s="7"/>
      <c r="M46" s="387">
        <f t="shared" si="1"/>
        <v>0</v>
      </c>
      <c r="N46" s="114">
        <f t="shared" si="2"/>
        <v>0</v>
      </c>
      <c r="O46" s="7"/>
      <c r="P46" s="597"/>
      <c r="Q46" s="598"/>
      <c r="R46" s="7"/>
    </row>
    <row r="47" spans="1:18">
      <c r="A47" s="7"/>
      <c r="B47" s="112"/>
      <c r="C47" s="112"/>
      <c r="D47" s="112"/>
      <c r="E47" s="112"/>
      <c r="F47" s="112"/>
      <c r="G47" s="116"/>
      <c r="H47" s="114"/>
      <c r="I47" s="116"/>
      <c r="J47" s="385"/>
      <c r="K47" s="387">
        <v>1</v>
      </c>
      <c r="L47" s="7"/>
      <c r="M47" s="387">
        <f t="shared" si="1"/>
        <v>0</v>
      </c>
      <c r="N47" s="114">
        <f t="shared" si="2"/>
        <v>0</v>
      </c>
      <c r="O47" s="7"/>
      <c r="P47" s="597"/>
      <c r="Q47" s="598"/>
      <c r="R47" s="7"/>
    </row>
    <row r="48" spans="1:18">
      <c r="A48" s="7"/>
      <c r="B48" s="112"/>
      <c r="C48" s="112"/>
      <c r="D48" s="112"/>
      <c r="E48" s="112"/>
      <c r="F48" s="112"/>
      <c r="G48" s="116"/>
      <c r="H48" s="114"/>
      <c r="I48" s="116"/>
      <c r="J48" s="385"/>
      <c r="K48" s="387">
        <v>1</v>
      </c>
      <c r="L48" s="7"/>
      <c r="M48" s="387">
        <f t="shared" si="1"/>
        <v>0</v>
      </c>
      <c r="N48" s="114">
        <f t="shared" si="2"/>
        <v>0</v>
      </c>
      <c r="O48" s="7"/>
      <c r="P48" s="597"/>
      <c r="Q48" s="598"/>
      <c r="R48" s="7"/>
    </row>
    <row r="49" spans="1:18">
      <c r="A49" s="7"/>
      <c r="B49" s="112"/>
      <c r="C49" s="112"/>
      <c r="D49" s="112"/>
      <c r="E49" s="112"/>
      <c r="F49" s="112"/>
      <c r="G49" s="116"/>
      <c r="H49" s="114"/>
      <c r="I49" s="116"/>
      <c r="J49" s="385"/>
      <c r="K49" s="387">
        <v>1</v>
      </c>
      <c r="L49" s="7"/>
      <c r="M49" s="387">
        <f t="shared" si="1"/>
        <v>0</v>
      </c>
      <c r="N49" s="114">
        <f t="shared" si="2"/>
        <v>0</v>
      </c>
      <c r="O49" s="7"/>
      <c r="P49" s="597"/>
      <c r="Q49" s="598"/>
      <c r="R49" s="7"/>
    </row>
    <row r="50" spans="1:18">
      <c r="A50" s="7"/>
      <c r="B50" s="112"/>
      <c r="C50" s="112"/>
      <c r="D50" s="112"/>
      <c r="E50" s="112"/>
      <c r="F50" s="112"/>
      <c r="G50" s="116"/>
      <c r="H50" s="114"/>
      <c r="I50" s="116"/>
      <c r="J50" s="385"/>
      <c r="K50" s="387">
        <v>1</v>
      </c>
      <c r="L50" s="7"/>
      <c r="M50" s="387">
        <f t="shared" si="1"/>
        <v>0</v>
      </c>
      <c r="N50" s="114">
        <f t="shared" si="2"/>
        <v>0</v>
      </c>
      <c r="O50" s="7"/>
      <c r="P50" s="597"/>
      <c r="Q50" s="598"/>
      <c r="R50" s="7"/>
    </row>
    <row r="51" spans="1:18">
      <c r="A51" s="7"/>
      <c r="B51" s="112"/>
      <c r="C51" s="112"/>
      <c r="D51" s="112"/>
      <c r="E51" s="112"/>
      <c r="F51" s="112"/>
      <c r="G51" s="116"/>
      <c r="H51" s="114"/>
      <c r="I51" s="116"/>
      <c r="J51" s="385"/>
      <c r="K51" s="387">
        <v>1</v>
      </c>
      <c r="L51" s="7"/>
      <c r="M51" s="387">
        <f t="shared" si="1"/>
        <v>0</v>
      </c>
      <c r="N51" s="114">
        <f t="shared" si="2"/>
        <v>0</v>
      </c>
      <c r="O51" s="7"/>
      <c r="P51" s="597"/>
      <c r="Q51" s="598"/>
      <c r="R51" s="7"/>
    </row>
    <row r="52" spans="1:18">
      <c r="A52" s="7"/>
      <c r="B52" s="112"/>
      <c r="C52" s="112"/>
      <c r="D52" s="112"/>
      <c r="E52" s="112"/>
      <c r="F52" s="112"/>
      <c r="G52" s="116"/>
      <c r="H52" s="114"/>
      <c r="I52" s="116"/>
      <c r="J52" s="385"/>
      <c r="K52" s="387">
        <v>1</v>
      </c>
      <c r="L52" s="7"/>
      <c r="M52" s="387">
        <f t="shared" si="1"/>
        <v>0</v>
      </c>
      <c r="N52" s="114">
        <f t="shared" si="2"/>
        <v>0</v>
      </c>
      <c r="O52" s="7"/>
      <c r="P52" s="597"/>
      <c r="Q52" s="598"/>
      <c r="R52" s="7"/>
    </row>
    <row r="53" spans="1:18">
      <c r="A53" s="7"/>
      <c r="B53" s="112"/>
      <c r="C53" s="112"/>
      <c r="D53" s="112"/>
      <c r="E53" s="112"/>
      <c r="F53" s="112"/>
      <c r="G53" s="116"/>
      <c r="H53" s="114"/>
      <c r="I53" s="116"/>
      <c r="J53" s="385"/>
      <c r="K53" s="387">
        <v>1</v>
      </c>
      <c r="L53" s="7"/>
      <c r="M53" s="387">
        <f t="shared" si="1"/>
        <v>0</v>
      </c>
      <c r="N53" s="114">
        <f t="shared" si="2"/>
        <v>0</v>
      </c>
      <c r="O53" s="7"/>
      <c r="P53" s="597"/>
      <c r="Q53" s="598"/>
      <c r="R53" s="7"/>
    </row>
    <row r="54" spans="1:18">
      <c r="A54" s="7"/>
      <c r="B54" s="112"/>
      <c r="C54" s="112"/>
      <c r="D54" s="112"/>
      <c r="E54" s="112"/>
      <c r="F54" s="112"/>
      <c r="G54" s="116"/>
      <c r="H54" s="114"/>
      <c r="I54" s="116"/>
      <c r="J54" s="385"/>
      <c r="K54" s="387">
        <v>1</v>
      </c>
      <c r="L54" s="7"/>
      <c r="M54" s="387">
        <f t="shared" si="1"/>
        <v>0</v>
      </c>
      <c r="N54" s="114">
        <f t="shared" si="2"/>
        <v>0</v>
      </c>
      <c r="O54" s="7"/>
      <c r="P54" s="597"/>
      <c r="Q54" s="598"/>
      <c r="R54" s="7"/>
    </row>
    <row r="55" spans="1:18">
      <c r="A55" s="7"/>
      <c r="B55" s="112"/>
      <c r="C55" s="112"/>
      <c r="D55" s="112"/>
      <c r="E55" s="112"/>
      <c r="F55" s="112"/>
      <c r="G55" s="116"/>
      <c r="H55" s="114"/>
      <c r="I55" s="116"/>
      <c r="J55" s="385"/>
      <c r="K55" s="387">
        <v>1</v>
      </c>
      <c r="L55" s="7"/>
      <c r="M55" s="387">
        <f t="shared" si="1"/>
        <v>0</v>
      </c>
      <c r="N55" s="114">
        <f t="shared" si="2"/>
        <v>0</v>
      </c>
      <c r="O55" s="7"/>
      <c r="P55" s="597"/>
      <c r="Q55" s="598"/>
      <c r="R55" s="7"/>
    </row>
    <row r="56" spans="1:18">
      <c r="A56" s="7"/>
      <c r="B56" s="112"/>
      <c r="C56" s="112"/>
      <c r="D56" s="112"/>
      <c r="E56" s="112"/>
      <c r="F56" s="112"/>
      <c r="G56" s="116"/>
      <c r="H56" s="114"/>
      <c r="I56" s="116"/>
      <c r="J56" s="385"/>
      <c r="K56" s="387">
        <v>1</v>
      </c>
      <c r="L56" s="7"/>
      <c r="M56" s="387">
        <f t="shared" si="1"/>
        <v>0</v>
      </c>
      <c r="N56" s="114">
        <f t="shared" si="2"/>
        <v>0</v>
      </c>
      <c r="O56" s="7"/>
      <c r="P56" s="597"/>
      <c r="Q56" s="598"/>
      <c r="R56" s="7"/>
    </row>
    <row r="57" spans="1:18">
      <c r="A57" s="7"/>
      <c r="B57" s="112"/>
      <c r="C57" s="112"/>
      <c r="D57" s="112"/>
      <c r="E57" s="112"/>
      <c r="F57" s="112"/>
      <c r="G57" s="116"/>
      <c r="H57" s="114"/>
      <c r="I57" s="116"/>
      <c r="J57" s="385"/>
      <c r="K57" s="387">
        <v>1</v>
      </c>
      <c r="L57" s="7"/>
      <c r="M57" s="387">
        <f t="shared" si="1"/>
        <v>0</v>
      </c>
      <c r="N57" s="114">
        <f t="shared" si="2"/>
        <v>0</v>
      </c>
      <c r="O57" s="7"/>
      <c r="P57" s="597"/>
      <c r="Q57" s="598"/>
      <c r="R57" s="7"/>
    </row>
    <row r="58" spans="1:18">
      <c r="A58" s="7"/>
      <c r="B58" s="112"/>
      <c r="C58" s="112"/>
      <c r="D58" s="112"/>
      <c r="E58" s="112"/>
      <c r="F58" s="112"/>
      <c r="G58" s="116"/>
      <c r="H58" s="114"/>
      <c r="I58" s="116"/>
      <c r="J58" s="385"/>
      <c r="K58" s="387">
        <v>1</v>
      </c>
      <c r="L58" s="7"/>
      <c r="M58" s="387">
        <f t="shared" si="1"/>
        <v>0</v>
      </c>
      <c r="N58" s="114">
        <f t="shared" si="2"/>
        <v>0</v>
      </c>
      <c r="O58" s="7"/>
      <c r="P58" s="597"/>
      <c r="Q58" s="598"/>
      <c r="R58" s="7"/>
    </row>
    <row r="59" spans="1:18">
      <c r="A59" s="7"/>
      <c r="B59" s="112"/>
      <c r="C59" s="112"/>
      <c r="D59" s="112"/>
      <c r="E59" s="112"/>
      <c r="F59" s="112"/>
      <c r="G59" s="116"/>
      <c r="H59" s="114"/>
      <c r="I59" s="116"/>
      <c r="J59" s="385"/>
      <c r="K59" s="387">
        <v>1</v>
      </c>
      <c r="L59" s="7"/>
      <c r="M59" s="387">
        <f t="shared" si="1"/>
        <v>0</v>
      </c>
      <c r="N59" s="114">
        <f t="shared" si="2"/>
        <v>0</v>
      </c>
      <c r="O59" s="7"/>
      <c r="P59" s="597"/>
      <c r="Q59" s="598"/>
      <c r="R59" s="7"/>
    </row>
    <row r="60" spans="1:18">
      <c r="A60" s="7"/>
      <c r="B60" s="112"/>
      <c r="C60" s="112"/>
      <c r="D60" s="112"/>
      <c r="E60" s="112"/>
      <c r="F60" s="112"/>
      <c r="G60" s="116"/>
      <c r="H60" s="114"/>
      <c r="I60" s="116"/>
      <c r="J60" s="385"/>
      <c r="K60" s="387">
        <v>1</v>
      </c>
      <c r="L60" s="7"/>
      <c r="M60" s="387">
        <f t="shared" si="1"/>
        <v>0</v>
      </c>
      <c r="N60" s="114">
        <f t="shared" si="2"/>
        <v>0</v>
      </c>
      <c r="O60" s="7"/>
      <c r="P60" s="597"/>
      <c r="Q60" s="598"/>
      <c r="R60" s="7"/>
    </row>
    <row r="61" spans="1:18">
      <c r="A61" s="7"/>
      <c r="B61" s="112"/>
      <c r="C61" s="112"/>
      <c r="D61" s="112"/>
      <c r="E61" s="112"/>
      <c r="F61" s="112"/>
      <c r="G61" s="116"/>
      <c r="H61" s="114"/>
      <c r="I61" s="116"/>
      <c r="J61" s="385"/>
      <c r="K61" s="387">
        <v>1</v>
      </c>
      <c r="L61" s="7"/>
      <c r="M61" s="387">
        <f t="shared" si="1"/>
        <v>0</v>
      </c>
      <c r="N61" s="114">
        <f t="shared" si="2"/>
        <v>0</v>
      </c>
      <c r="O61" s="7"/>
      <c r="P61" s="597"/>
      <c r="Q61" s="598"/>
      <c r="R61" s="7"/>
    </row>
    <row r="62" spans="1:18">
      <c r="A62" s="7"/>
      <c r="B62" s="112"/>
      <c r="C62" s="112"/>
      <c r="D62" s="112"/>
      <c r="E62" s="112"/>
      <c r="F62" s="112"/>
      <c r="G62" s="116"/>
      <c r="H62" s="114"/>
      <c r="I62" s="116"/>
      <c r="J62" s="385"/>
      <c r="K62" s="387">
        <v>1</v>
      </c>
      <c r="L62" s="7"/>
      <c r="M62" s="387">
        <f t="shared" si="1"/>
        <v>0</v>
      </c>
      <c r="N62" s="114">
        <f t="shared" si="2"/>
        <v>0</v>
      </c>
      <c r="O62" s="7"/>
      <c r="P62" s="597"/>
      <c r="Q62" s="598"/>
      <c r="R62" s="7"/>
    </row>
    <row r="63" spans="1:18">
      <c r="A63" s="7"/>
      <c r="B63" s="112"/>
      <c r="C63" s="112"/>
      <c r="D63" s="112"/>
      <c r="E63" s="112"/>
      <c r="F63" s="112"/>
      <c r="G63" s="116"/>
      <c r="H63" s="114"/>
      <c r="I63" s="116"/>
      <c r="J63" s="385"/>
      <c r="K63" s="387">
        <v>1</v>
      </c>
      <c r="L63" s="7"/>
      <c r="M63" s="387">
        <f t="shared" si="1"/>
        <v>0</v>
      </c>
      <c r="N63" s="114">
        <f t="shared" si="2"/>
        <v>0</v>
      </c>
      <c r="O63" s="7"/>
      <c r="P63" s="597"/>
      <c r="Q63" s="598"/>
      <c r="R63" s="7"/>
    </row>
    <row r="64" spans="1:18">
      <c r="A64" s="7"/>
      <c r="B64" s="112"/>
      <c r="C64" s="112"/>
      <c r="D64" s="112"/>
      <c r="E64" s="112"/>
      <c r="F64" s="112"/>
      <c r="G64" s="116"/>
      <c r="H64" s="114"/>
      <c r="I64" s="116"/>
      <c r="J64" s="385"/>
      <c r="K64" s="387">
        <v>1</v>
      </c>
      <c r="L64" s="7"/>
      <c r="M64" s="387">
        <f t="shared" si="1"/>
        <v>0</v>
      </c>
      <c r="N64" s="114">
        <f t="shared" si="2"/>
        <v>0</v>
      </c>
      <c r="O64" s="7"/>
      <c r="P64" s="597"/>
      <c r="Q64" s="598"/>
      <c r="R64" s="7"/>
    </row>
    <row r="65" spans="1:18">
      <c r="A65" s="7"/>
      <c r="B65" s="112"/>
      <c r="C65" s="112"/>
      <c r="D65" s="112"/>
      <c r="E65" s="112"/>
      <c r="F65" s="112"/>
      <c r="G65" s="116"/>
      <c r="H65" s="114"/>
      <c r="I65" s="116"/>
      <c r="J65" s="385"/>
      <c r="K65" s="387">
        <v>1</v>
      </c>
      <c r="L65" s="7"/>
      <c r="M65" s="387">
        <f t="shared" si="1"/>
        <v>0</v>
      </c>
      <c r="N65" s="114">
        <f t="shared" si="2"/>
        <v>0</v>
      </c>
      <c r="O65" s="7"/>
      <c r="P65" s="597"/>
      <c r="Q65" s="598"/>
      <c r="R65" s="7"/>
    </row>
    <row r="66" spans="1:18">
      <c r="A66" s="7"/>
      <c r="B66" s="112"/>
      <c r="C66" s="112"/>
      <c r="D66" s="112"/>
      <c r="E66" s="112"/>
      <c r="F66" s="112"/>
      <c r="G66" s="116"/>
      <c r="H66" s="114"/>
      <c r="I66" s="116"/>
      <c r="J66" s="385"/>
      <c r="K66" s="387">
        <v>1</v>
      </c>
      <c r="L66" s="7"/>
      <c r="M66" s="387">
        <f t="shared" si="1"/>
        <v>0</v>
      </c>
      <c r="N66" s="114">
        <f t="shared" si="2"/>
        <v>0</v>
      </c>
      <c r="O66" s="7"/>
      <c r="P66" s="597"/>
      <c r="Q66" s="598"/>
      <c r="R66" s="7"/>
    </row>
    <row r="67" spans="1:18">
      <c r="A67" s="7"/>
      <c r="B67" s="112"/>
      <c r="C67" s="112"/>
      <c r="D67" s="112"/>
      <c r="E67" s="112"/>
      <c r="F67" s="112"/>
      <c r="G67" s="116"/>
      <c r="H67" s="114"/>
      <c r="I67" s="116"/>
      <c r="J67" s="385"/>
      <c r="K67" s="387">
        <v>1</v>
      </c>
      <c r="L67" s="7"/>
      <c r="M67" s="387">
        <f t="shared" si="1"/>
        <v>0</v>
      </c>
      <c r="N67" s="114">
        <f t="shared" si="2"/>
        <v>0</v>
      </c>
      <c r="O67" s="7"/>
      <c r="P67" s="597"/>
      <c r="Q67" s="598"/>
      <c r="R67" s="7"/>
    </row>
    <row r="68" spans="1:18">
      <c r="A68" s="7"/>
      <c r="B68" s="112"/>
      <c r="C68" s="112"/>
      <c r="D68" s="112"/>
      <c r="E68" s="112"/>
      <c r="F68" s="112"/>
      <c r="G68" s="116"/>
      <c r="H68" s="114"/>
      <c r="I68" s="116"/>
      <c r="J68" s="385"/>
      <c r="K68" s="387">
        <v>1</v>
      </c>
      <c r="L68" s="7"/>
      <c r="M68" s="387">
        <f t="shared" si="1"/>
        <v>0</v>
      </c>
      <c r="N68" s="114">
        <f t="shared" si="2"/>
        <v>0</v>
      </c>
      <c r="O68" s="7"/>
      <c r="P68" s="597"/>
      <c r="Q68" s="598"/>
      <c r="R68" s="7"/>
    </row>
    <row r="69" spans="1:18">
      <c r="A69" s="7"/>
      <c r="B69" s="112"/>
      <c r="C69" s="112"/>
      <c r="D69" s="112"/>
      <c r="E69" s="112"/>
      <c r="F69" s="112"/>
      <c r="G69" s="116"/>
      <c r="H69" s="114"/>
      <c r="I69" s="116"/>
      <c r="J69" s="385"/>
      <c r="K69" s="387">
        <v>1</v>
      </c>
      <c r="L69" s="7"/>
      <c r="M69" s="387">
        <f t="shared" si="1"/>
        <v>0</v>
      </c>
      <c r="N69" s="114">
        <f t="shared" si="2"/>
        <v>0</v>
      </c>
      <c r="O69" s="7"/>
      <c r="P69" s="597"/>
      <c r="Q69" s="598"/>
      <c r="R69" s="7"/>
    </row>
    <row r="70" spans="1:18">
      <c r="A70" s="7"/>
      <c r="B70" s="112"/>
      <c r="C70" s="112"/>
      <c r="D70" s="112"/>
      <c r="E70" s="112"/>
      <c r="F70" s="112"/>
      <c r="G70" s="116"/>
      <c r="H70" s="114"/>
      <c r="I70" s="116"/>
      <c r="J70" s="385"/>
      <c r="K70" s="387">
        <v>1</v>
      </c>
      <c r="L70" s="7"/>
      <c r="M70" s="387">
        <f t="shared" si="1"/>
        <v>0</v>
      </c>
      <c r="N70" s="114">
        <f t="shared" si="2"/>
        <v>0</v>
      </c>
      <c r="O70" s="7"/>
      <c r="P70" s="597"/>
      <c r="Q70" s="598"/>
      <c r="R70" s="7"/>
    </row>
    <row r="71" spans="1:18">
      <c r="A71" s="7"/>
      <c r="B71" s="112"/>
      <c r="C71" s="112"/>
      <c r="D71" s="112"/>
      <c r="E71" s="112"/>
      <c r="F71" s="112"/>
      <c r="G71" s="116"/>
      <c r="H71" s="114"/>
      <c r="I71" s="116"/>
      <c r="J71" s="385"/>
      <c r="K71" s="387">
        <v>1</v>
      </c>
      <c r="L71" s="7"/>
      <c r="M71" s="387">
        <f t="shared" si="1"/>
        <v>0</v>
      </c>
      <c r="N71" s="114">
        <f t="shared" si="2"/>
        <v>0</v>
      </c>
      <c r="O71" s="7"/>
      <c r="P71" s="597"/>
      <c r="Q71" s="598"/>
      <c r="R71" s="7"/>
    </row>
    <row r="72" spans="1:18">
      <c r="A72" s="7"/>
      <c r="B72" s="112"/>
      <c r="C72" s="112"/>
      <c r="D72" s="112"/>
      <c r="E72" s="112"/>
      <c r="F72" s="112"/>
      <c r="G72" s="116"/>
      <c r="H72" s="114"/>
      <c r="I72" s="116"/>
      <c r="J72" s="385"/>
      <c r="K72" s="387">
        <v>1</v>
      </c>
      <c r="L72" s="7"/>
      <c r="M72" s="387">
        <f t="shared" si="1"/>
        <v>0</v>
      </c>
      <c r="N72" s="114">
        <f t="shared" si="2"/>
        <v>0</v>
      </c>
      <c r="O72" s="7"/>
      <c r="P72" s="597"/>
      <c r="Q72" s="598"/>
      <c r="R72" s="7"/>
    </row>
    <row r="73" spans="1:18">
      <c r="A73" s="7"/>
      <c r="B73" s="112"/>
      <c r="C73" s="112"/>
      <c r="D73" s="112"/>
      <c r="E73" s="112"/>
      <c r="F73" s="112"/>
      <c r="G73" s="116"/>
      <c r="H73" s="114"/>
      <c r="I73" s="116"/>
      <c r="J73" s="385"/>
      <c r="K73" s="387">
        <v>1</v>
      </c>
      <c r="L73" s="7"/>
      <c r="M73" s="387">
        <f t="shared" si="1"/>
        <v>0</v>
      </c>
      <c r="N73" s="114">
        <f t="shared" si="2"/>
        <v>0</v>
      </c>
      <c r="O73" s="7"/>
      <c r="P73" s="597"/>
      <c r="Q73" s="598"/>
      <c r="R73" s="7"/>
    </row>
    <row r="74" spans="1:18">
      <c r="A74" s="7"/>
      <c r="B74" s="112"/>
      <c r="C74" s="112"/>
      <c r="D74" s="112"/>
      <c r="E74" s="112"/>
      <c r="F74" s="112"/>
      <c r="G74" s="116"/>
      <c r="H74" s="114"/>
      <c r="I74" s="116"/>
      <c r="J74" s="385"/>
      <c r="K74" s="387">
        <v>1</v>
      </c>
      <c r="L74" s="7"/>
      <c r="M74" s="387">
        <f t="shared" si="1"/>
        <v>0</v>
      </c>
      <c r="N74" s="114">
        <f t="shared" si="2"/>
        <v>0</v>
      </c>
      <c r="O74" s="7"/>
      <c r="P74" s="597"/>
      <c r="Q74" s="598"/>
      <c r="R74" s="7"/>
    </row>
    <row r="75" spans="1:18">
      <c r="A75" s="7"/>
      <c r="B75" s="112"/>
      <c r="C75" s="112"/>
      <c r="D75" s="112"/>
      <c r="E75" s="112"/>
      <c r="F75" s="112"/>
      <c r="G75" s="116"/>
      <c r="H75" s="114"/>
      <c r="I75" s="116"/>
      <c r="J75" s="385"/>
      <c r="K75" s="387">
        <v>1</v>
      </c>
      <c r="L75" s="7"/>
      <c r="M75" s="387">
        <f t="shared" si="1"/>
        <v>0</v>
      </c>
      <c r="N75" s="114">
        <f t="shared" si="2"/>
        <v>0</v>
      </c>
      <c r="O75" s="7"/>
      <c r="P75" s="597"/>
      <c r="Q75" s="598"/>
      <c r="R75" s="7"/>
    </row>
    <row r="76" spans="1:18">
      <c r="A76" s="7"/>
      <c r="B76" s="112"/>
      <c r="C76" s="112"/>
      <c r="D76" s="112"/>
      <c r="E76" s="112"/>
      <c r="F76" s="112"/>
      <c r="G76" s="116"/>
      <c r="H76" s="114"/>
      <c r="I76" s="116"/>
      <c r="J76" s="385"/>
      <c r="K76" s="387">
        <v>1</v>
      </c>
      <c r="L76" s="7"/>
      <c r="M76" s="387">
        <f t="shared" si="1"/>
        <v>0</v>
      </c>
      <c r="N76" s="114">
        <f t="shared" si="2"/>
        <v>0</v>
      </c>
      <c r="O76" s="7"/>
      <c r="P76" s="597"/>
      <c r="Q76" s="598"/>
      <c r="R76" s="7"/>
    </row>
    <row r="77" spans="1:18">
      <c r="A77" s="7"/>
      <c r="B77" s="112"/>
      <c r="C77" s="112"/>
      <c r="D77" s="112"/>
      <c r="E77" s="112"/>
      <c r="F77" s="112"/>
      <c r="G77" s="116"/>
      <c r="H77" s="114"/>
      <c r="I77" s="116"/>
      <c r="J77" s="385"/>
      <c r="K77" s="387">
        <v>1</v>
      </c>
      <c r="L77" s="7"/>
      <c r="M77" s="387">
        <f t="shared" si="1"/>
        <v>0</v>
      </c>
      <c r="N77" s="114">
        <f t="shared" si="2"/>
        <v>0</v>
      </c>
      <c r="O77" s="7"/>
      <c r="P77" s="597"/>
      <c r="Q77" s="598"/>
      <c r="R77" s="7"/>
    </row>
    <row r="78" spans="1:18">
      <c r="A78" s="7"/>
      <c r="B78" s="112"/>
      <c r="C78" s="112"/>
      <c r="D78" s="112"/>
      <c r="E78" s="112"/>
      <c r="F78" s="112"/>
      <c r="G78" s="116"/>
      <c r="H78" s="114"/>
      <c r="I78" s="116"/>
      <c r="J78" s="385"/>
      <c r="K78" s="387">
        <v>1</v>
      </c>
      <c r="L78" s="7"/>
      <c r="M78" s="387">
        <f t="shared" si="1"/>
        <v>0</v>
      </c>
      <c r="N78" s="114">
        <f t="shared" si="2"/>
        <v>0</v>
      </c>
      <c r="O78" s="7"/>
      <c r="P78" s="597"/>
      <c r="Q78" s="598"/>
      <c r="R78" s="7"/>
    </row>
    <row r="79" spans="1:18">
      <c r="A79" s="7"/>
      <c r="B79" s="112"/>
      <c r="C79" s="112"/>
      <c r="D79" s="112"/>
      <c r="E79" s="112"/>
      <c r="F79" s="112"/>
      <c r="G79" s="116"/>
      <c r="H79" s="114"/>
      <c r="I79" s="116"/>
      <c r="J79" s="385"/>
      <c r="K79" s="387">
        <v>1</v>
      </c>
      <c r="L79" s="7"/>
      <c r="M79" s="387">
        <f t="shared" si="1"/>
        <v>0</v>
      </c>
      <c r="N79" s="114">
        <f t="shared" si="2"/>
        <v>0</v>
      </c>
      <c r="O79" s="7"/>
      <c r="P79" s="597"/>
      <c r="Q79" s="598"/>
      <c r="R79" s="7"/>
    </row>
    <row r="80" spans="1:18">
      <c r="A80" s="7"/>
      <c r="B80" s="112"/>
      <c r="C80" s="112"/>
      <c r="D80" s="112"/>
      <c r="E80" s="112"/>
      <c r="F80" s="112"/>
      <c r="G80" s="116"/>
      <c r="H80" s="114"/>
      <c r="I80" s="116"/>
      <c r="J80" s="385"/>
      <c r="K80" s="387">
        <v>1</v>
      </c>
      <c r="L80" s="7"/>
      <c r="M80" s="387">
        <f t="shared" si="1"/>
        <v>0</v>
      </c>
      <c r="N80" s="114">
        <f t="shared" si="2"/>
        <v>0</v>
      </c>
      <c r="O80" s="7"/>
      <c r="P80" s="597"/>
      <c r="Q80" s="598"/>
      <c r="R80" s="7"/>
    </row>
    <row r="81" spans="1:18">
      <c r="A81" s="7"/>
      <c r="B81" s="112"/>
      <c r="C81" s="112"/>
      <c r="D81" s="112"/>
      <c r="E81" s="112"/>
      <c r="F81" s="112"/>
      <c r="G81" s="116"/>
      <c r="H81" s="114"/>
      <c r="I81" s="116"/>
      <c r="J81" s="385"/>
      <c r="K81" s="387">
        <v>1</v>
      </c>
      <c r="L81" s="7"/>
      <c r="M81" s="387">
        <f t="shared" ref="M81:M144" si="3">IFERROR(H81*K81,0)</f>
        <v>0</v>
      </c>
      <c r="N81" s="114">
        <f t="shared" ref="N81:N144" si="4">IFERROR(G81*M81,0)</f>
        <v>0</v>
      </c>
      <c r="O81" s="7"/>
      <c r="P81" s="597"/>
      <c r="Q81" s="598"/>
      <c r="R81" s="7"/>
    </row>
    <row r="82" spans="1:18">
      <c r="A82" s="7"/>
      <c r="B82" s="112"/>
      <c r="C82" s="112"/>
      <c r="D82" s="112"/>
      <c r="E82" s="112"/>
      <c r="F82" s="112"/>
      <c r="G82" s="116"/>
      <c r="H82" s="114"/>
      <c r="I82" s="116"/>
      <c r="J82" s="385"/>
      <c r="K82" s="387">
        <v>1</v>
      </c>
      <c r="L82" s="7"/>
      <c r="M82" s="387">
        <f t="shared" si="3"/>
        <v>0</v>
      </c>
      <c r="N82" s="114">
        <f t="shared" si="4"/>
        <v>0</v>
      </c>
      <c r="O82" s="7"/>
      <c r="P82" s="597"/>
      <c r="Q82" s="598"/>
      <c r="R82" s="7"/>
    </row>
    <row r="83" spans="1:18">
      <c r="A83" s="7"/>
      <c r="B83" s="112"/>
      <c r="C83" s="112"/>
      <c r="D83" s="112"/>
      <c r="E83" s="112"/>
      <c r="F83" s="112"/>
      <c r="G83" s="116"/>
      <c r="H83" s="114"/>
      <c r="I83" s="116"/>
      <c r="J83" s="385"/>
      <c r="K83" s="387">
        <v>1</v>
      </c>
      <c r="L83" s="7"/>
      <c r="M83" s="387">
        <f t="shared" si="3"/>
        <v>0</v>
      </c>
      <c r="N83" s="114">
        <f t="shared" si="4"/>
        <v>0</v>
      </c>
      <c r="O83" s="7"/>
      <c r="P83" s="597"/>
      <c r="Q83" s="598"/>
      <c r="R83" s="7"/>
    </row>
    <row r="84" spans="1:18">
      <c r="A84" s="7"/>
      <c r="B84" s="112"/>
      <c r="C84" s="112"/>
      <c r="D84" s="112"/>
      <c r="E84" s="112"/>
      <c r="F84" s="112"/>
      <c r="G84" s="116"/>
      <c r="H84" s="114"/>
      <c r="I84" s="116"/>
      <c r="J84" s="385"/>
      <c r="K84" s="387">
        <v>1</v>
      </c>
      <c r="L84" s="7"/>
      <c r="M84" s="387">
        <f t="shared" si="3"/>
        <v>0</v>
      </c>
      <c r="N84" s="114">
        <f t="shared" si="4"/>
        <v>0</v>
      </c>
      <c r="O84" s="7"/>
      <c r="P84" s="597"/>
      <c r="Q84" s="598"/>
      <c r="R84" s="7"/>
    </row>
    <row r="85" spans="1:18">
      <c r="A85" s="7"/>
      <c r="B85" s="112"/>
      <c r="C85" s="112"/>
      <c r="D85" s="112"/>
      <c r="E85" s="112"/>
      <c r="F85" s="112"/>
      <c r="G85" s="116"/>
      <c r="H85" s="114"/>
      <c r="I85" s="116"/>
      <c r="J85" s="385"/>
      <c r="K85" s="387">
        <v>1</v>
      </c>
      <c r="L85" s="7"/>
      <c r="M85" s="387">
        <f t="shared" si="3"/>
        <v>0</v>
      </c>
      <c r="N85" s="114">
        <f t="shared" si="4"/>
        <v>0</v>
      </c>
      <c r="O85" s="7"/>
      <c r="P85" s="597"/>
      <c r="Q85" s="598"/>
      <c r="R85" s="7"/>
    </row>
    <row r="86" spans="1:18">
      <c r="A86" s="7"/>
      <c r="B86" s="112"/>
      <c r="C86" s="112"/>
      <c r="D86" s="112"/>
      <c r="E86" s="112"/>
      <c r="F86" s="112"/>
      <c r="G86" s="116"/>
      <c r="H86" s="114"/>
      <c r="I86" s="116"/>
      <c r="J86" s="385"/>
      <c r="K86" s="387">
        <v>1</v>
      </c>
      <c r="L86" s="7"/>
      <c r="M86" s="387">
        <f t="shared" si="3"/>
        <v>0</v>
      </c>
      <c r="N86" s="114">
        <f t="shared" si="4"/>
        <v>0</v>
      </c>
      <c r="O86" s="7"/>
      <c r="P86" s="597"/>
      <c r="Q86" s="598"/>
      <c r="R86" s="7"/>
    </row>
    <row r="87" spans="1:18">
      <c r="A87" s="7"/>
      <c r="B87" s="112"/>
      <c r="C87" s="112"/>
      <c r="D87" s="112"/>
      <c r="E87" s="112"/>
      <c r="F87" s="112"/>
      <c r="G87" s="116"/>
      <c r="H87" s="114"/>
      <c r="I87" s="116"/>
      <c r="J87" s="385"/>
      <c r="K87" s="387">
        <v>1</v>
      </c>
      <c r="L87" s="7"/>
      <c r="M87" s="387">
        <f t="shared" si="3"/>
        <v>0</v>
      </c>
      <c r="N87" s="114">
        <f t="shared" si="4"/>
        <v>0</v>
      </c>
      <c r="O87" s="7"/>
      <c r="P87" s="597"/>
      <c r="Q87" s="598"/>
      <c r="R87" s="7"/>
    </row>
    <row r="88" spans="1:18">
      <c r="A88" s="7"/>
      <c r="B88" s="112"/>
      <c r="C88" s="112"/>
      <c r="D88" s="112"/>
      <c r="E88" s="112"/>
      <c r="F88" s="112"/>
      <c r="G88" s="116"/>
      <c r="H88" s="114"/>
      <c r="I88" s="116"/>
      <c r="J88" s="385"/>
      <c r="K88" s="387">
        <v>1</v>
      </c>
      <c r="L88" s="7"/>
      <c r="M88" s="387">
        <f t="shared" si="3"/>
        <v>0</v>
      </c>
      <c r="N88" s="114">
        <f t="shared" si="4"/>
        <v>0</v>
      </c>
      <c r="O88" s="7"/>
      <c r="P88" s="597"/>
      <c r="Q88" s="598"/>
      <c r="R88" s="7"/>
    </row>
    <row r="89" spans="1:18">
      <c r="A89" s="7"/>
      <c r="B89" s="112"/>
      <c r="C89" s="112"/>
      <c r="D89" s="112"/>
      <c r="E89" s="112"/>
      <c r="F89" s="112"/>
      <c r="G89" s="116"/>
      <c r="H89" s="114"/>
      <c r="I89" s="116"/>
      <c r="J89" s="385"/>
      <c r="K89" s="387">
        <v>1</v>
      </c>
      <c r="L89" s="7"/>
      <c r="M89" s="387">
        <f t="shared" si="3"/>
        <v>0</v>
      </c>
      <c r="N89" s="114">
        <f t="shared" si="4"/>
        <v>0</v>
      </c>
      <c r="O89" s="7"/>
      <c r="P89" s="597"/>
      <c r="Q89" s="598"/>
      <c r="R89" s="7"/>
    </row>
    <row r="90" spans="1:18">
      <c r="A90" s="7"/>
      <c r="B90" s="112"/>
      <c r="C90" s="112"/>
      <c r="D90" s="112"/>
      <c r="E90" s="112"/>
      <c r="F90" s="112"/>
      <c r="G90" s="116"/>
      <c r="H90" s="114"/>
      <c r="I90" s="116"/>
      <c r="J90" s="385"/>
      <c r="K90" s="387">
        <v>1</v>
      </c>
      <c r="L90" s="7"/>
      <c r="M90" s="387">
        <f t="shared" si="3"/>
        <v>0</v>
      </c>
      <c r="N90" s="114">
        <f t="shared" si="4"/>
        <v>0</v>
      </c>
      <c r="O90" s="7"/>
      <c r="P90" s="597"/>
      <c r="Q90" s="598"/>
      <c r="R90" s="7"/>
    </row>
    <row r="91" spans="1:18">
      <c r="A91" s="7"/>
      <c r="B91" s="112"/>
      <c r="C91" s="112"/>
      <c r="D91" s="112"/>
      <c r="E91" s="112"/>
      <c r="F91" s="112"/>
      <c r="G91" s="116"/>
      <c r="H91" s="114"/>
      <c r="I91" s="116"/>
      <c r="J91" s="385"/>
      <c r="K91" s="387">
        <v>1</v>
      </c>
      <c r="L91" s="7"/>
      <c r="M91" s="387">
        <f t="shared" si="3"/>
        <v>0</v>
      </c>
      <c r="N91" s="114">
        <f t="shared" si="4"/>
        <v>0</v>
      </c>
      <c r="O91" s="7"/>
      <c r="P91" s="597"/>
      <c r="Q91" s="598"/>
      <c r="R91" s="7"/>
    </row>
    <row r="92" spans="1:18">
      <c r="A92" s="7"/>
      <c r="B92" s="112"/>
      <c r="C92" s="112"/>
      <c r="D92" s="112"/>
      <c r="E92" s="112"/>
      <c r="F92" s="112"/>
      <c r="G92" s="116"/>
      <c r="H92" s="114"/>
      <c r="I92" s="116"/>
      <c r="J92" s="385"/>
      <c r="K92" s="387">
        <v>1</v>
      </c>
      <c r="L92" s="7"/>
      <c r="M92" s="387">
        <f t="shared" si="3"/>
        <v>0</v>
      </c>
      <c r="N92" s="114">
        <f t="shared" si="4"/>
        <v>0</v>
      </c>
      <c r="O92" s="7"/>
      <c r="P92" s="597"/>
      <c r="Q92" s="598"/>
      <c r="R92" s="7"/>
    </row>
    <row r="93" spans="1:18">
      <c r="A93" s="7"/>
      <c r="B93" s="112"/>
      <c r="C93" s="112"/>
      <c r="D93" s="112"/>
      <c r="E93" s="112"/>
      <c r="F93" s="112"/>
      <c r="G93" s="116"/>
      <c r="H93" s="114"/>
      <c r="I93" s="116"/>
      <c r="J93" s="385"/>
      <c r="K93" s="387">
        <v>1</v>
      </c>
      <c r="L93" s="7"/>
      <c r="M93" s="387">
        <f t="shared" si="3"/>
        <v>0</v>
      </c>
      <c r="N93" s="114">
        <f t="shared" si="4"/>
        <v>0</v>
      </c>
      <c r="O93" s="7"/>
      <c r="P93" s="597"/>
      <c r="Q93" s="598"/>
      <c r="R93" s="7"/>
    </row>
    <row r="94" spans="1:18">
      <c r="A94" s="7"/>
      <c r="B94" s="112"/>
      <c r="C94" s="112"/>
      <c r="D94" s="112"/>
      <c r="E94" s="112"/>
      <c r="F94" s="112"/>
      <c r="G94" s="116"/>
      <c r="H94" s="114"/>
      <c r="I94" s="116"/>
      <c r="J94" s="385"/>
      <c r="K94" s="387">
        <v>1</v>
      </c>
      <c r="L94" s="7"/>
      <c r="M94" s="387">
        <f t="shared" si="3"/>
        <v>0</v>
      </c>
      <c r="N94" s="114">
        <f t="shared" si="4"/>
        <v>0</v>
      </c>
      <c r="O94" s="7"/>
      <c r="P94" s="597"/>
      <c r="Q94" s="598"/>
      <c r="R94" s="7"/>
    </row>
    <row r="95" spans="1:18">
      <c r="A95" s="7"/>
      <c r="B95" s="112"/>
      <c r="C95" s="112"/>
      <c r="D95" s="112"/>
      <c r="E95" s="112"/>
      <c r="F95" s="112"/>
      <c r="G95" s="116"/>
      <c r="H95" s="114"/>
      <c r="I95" s="116"/>
      <c r="J95" s="385"/>
      <c r="K95" s="387">
        <v>1</v>
      </c>
      <c r="L95" s="7"/>
      <c r="M95" s="387">
        <f t="shared" si="3"/>
        <v>0</v>
      </c>
      <c r="N95" s="114">
        <f t="shared" si="4"/>
        <v>0</v>
      </c>
      <c r="O95" s="7"/>
      <c r="P95" s="597"/>
      <c r="Q95" s="598"/>
      <c r="R95" s="7"/>
    </row>
    <row r="96" spans="1:18">
      <c r="A96" s="7"/>
      <c r="B96" s="112"/>
      <c r="C96" s="112"/>
      <c r="D96" s="112"/>
      <c r="E96" s="112"/>
      <c r="F96" s="112"/>
      <c r="G96" s="116"/>
      <c r="H96" s="114"/>
      <c r="I96" s="116"/>
      <c r="J96" s="385"/>
      <c r="K96" s="387">
        <v>1</v>
      </c>
      <c r="L96" s="7"/>
      <c r="M96" s="387">
        <f t="shared" si="3"/>
        <v>0</v>
      </c>
      <c r="N96" s="114">
        <f t="shared" si="4"/>
        <v>0</v>
      </c>
      <c r="O96" s="7"/>
      <c r="P96" s="597"/>
      <c r="Q96" s="598"/>
      <c r="R96" s="7"/>
    </row>
    <row r="97" spans="1:18">
      <c r="A97" s="7"/>
      <c r="B97" s="112"/>
      <c r="C97" s="112"/>
      <c r="D97" s="112"/>
      <c r="E97" s="112"/>
      <c r="F97" s="112"/>
      <c r="G97" s="116"/>
      <c r="H97" s="114"/>
      <c r="I97" s="116"/>
      <c r="J97" s="385"/>
      <c r="K97" s="387">
        <v>1</v>
      </c>
      <c r="L97" s="7"/>
      <c r="M97" s="387">
        <f t="shared" si="3"/>
        <v>0</v>
      </c>
      <c r="N97" s="114">
        <f t="shared" si="4"/>
        <v>0</v>
      </c>
      <c r="O97" s="7"/>
      <c r="P97" s="597"/>
      <c r="Q97" s="598"/>
      <c r="R97" s="7"/>
    </row>
    <row r="98" spans="1:18">
      <c r="A98" s="7"/>
      <c r="B98" s="112"/>
      <c r="C98" s="112"/>
      <c r="D98" s="112"/>
      <c r="E98" s="112"/>
      <c r="F98" s="112"/>
      <c r="G98" s="116"/>
      <c r="H98" s="114"/>
      <c r="I98" s="116"/>
      <c r="J98" s="385"/>
      <c r="K98" s="387">
        <v>1</v>
      </c>
      <c r="L98" s="7"/>
      <c r="M98" s="387">
        <f t="shared" si="3"/>
        <v>0</v>
      </c>
      <c r="N98" s="114">
        <f t="shared" si="4"/>
        <v>0</v>
      </c>
      <c r="O98" s="7"/>
      <c r="P98" s="597"/>
      <c r="Q98" s="598"/>
      <c r="R98" s="7"/>
    </row>
    <row r="99" spans="1:18">
      <c r="A99" s="7"/>
      <c r="B99" s="112"/>
      <c r="C99" s="112"/>
      <c r="D99" s="112"/>
      <c r="E99" s="112"/>
      <c r="F99" s="112"/>
      <c r="G99" s="116"/>
      <c r="H99" s="114"/>
      <c r="I99" s="116"/>
      <c r="J99" s="385"/>
      <c r="K99" s="387">
        <v>1</v>
      </c>
      <c r="L99" s="7"/>
      <c r="M99" s="387">
        <f t="shared" si="3"/>
        <v>0</v>
      </c>
      <c r="N99" s="114">
        <f t="shared" si="4"/>
        <v>0</v>
      </c>
      <c r="O99" s="7"/>
      <c r="P99" s="597"/>
      <c r="Q99" s="598"/>
      <c r="R99" s="7"/>
    </row>
    <row r="100" spans="1:18">
      <c r="A100" s="7"/>
      <c r="B100" s="112"/>
      <c r="C100" s="112"/>
      <c r="D100" s="112"/>
      <c r="E100" s="112"/>
      <c r="F100" s="112"/>
      <c r="G100" s="116"/>
      <c r="H100" s="114"/>
      <c r="I100" s="116"/>
      <c r="J100" s="385"/>
      <c r="K100" s="387">
        <v>1</v>
      </c>
      <c r="L100" s="7"/>
      <c r="M100" s="387">
        <f t="shared" si="3"/>
        <v>0</v>
      </c>
      <c r="N100" s="114">
        <f t="shared" si="4"/>
        <v>0</v>
      </c>
      <c r="O100" s="7"/>
      <c r="P100" s="597"/>
      <c r="Q100" s="598"/>
      <c r="R100" s="7"/>
    </row>
    <row r="101" spans="1:18">
      <c r="A101" s="7"/>
      <c r="B101" s="112"/>
      <c r="C101" s="112"/>
      <c r="D101" s="112"/>
      <c r="E101" s="112"/>
      <c r="F101" s="112"/>
      <c r="G101" s="116"/>
      <c r="H101" s="114"/>
      <c r="I101" s="116"/>
      <c r="J101" s="385"/>
      <c r="K101" s="387">
        <v>1</v>
      </c>
      <c r="L101" s="7"/>
      <c r="M101" s="387">
        <f t="shared" si="3"/>
        <v>0</v>
      </c>
      <c r="N101" s="114">
        <f t="shared" si="4"/>
        <v>0</v>
      </c>
      <c r="O101" s="7"/>
      <c r="P101" s="597"/>
      <c r="Q101" s="598"/>
      <c r="R101" s="7"/>
    </row>
    <row r="102" spans="1:18">
      <c r="A102" s="7"/>
      <c r="B102" s="112"/>
      <c r="C102" s="112"/>
      <c r="D102" s="112"/>
      <c r="E102" s="112"/>
      <c r="F102" s="112"/>
      <c r="G102" s="116"/>
      <c r="H102" s="114"/>
      <c r="I102" s="116"/>
      <c r="J102" s="385"/>
      <c r="K102" s="387">
        <v>1</v>
      </c>
      <c r="L102" s="7"/>
      <c r="M102" s="387">
        <f t="shared" si="3"/>
        <v>0</v>
      </c>
      <c r="N102" s="114">
        <f t="shared" si="4"/>
        <v>0</v>
      </c>
      <c r="O102" s="7"/>
      <c r="P102" s="597"/>
      <c r="Q102" s="598"/>
      <c r="R102" s="7"/>
    </row>
    <row r="103" spans="1:18">
      <c r="A103" s="7"/>
      <c r="B103" s="112"/>
      <c r="C103" s="112"/>
      <c r="D103" s="112"/>
      <c r="E103" s="112"/>
      <c r="F103" s="112"/>
      <c r="G103" s="116"/>
      <c r="H103" s="114"/>
      <c r="I103" s="116"/>
      <c r="J103" s="385"/>
      <c r="K103" s="387">
        <v>1</v>
      </c>
      <c r="L103" s="7"/>
      <c r="M103" s="387">
        <f t="shared" si="3"/>
        <v>0</v>
      </c>
      <c r="N103" s="114">
        <f t="shared" si="4"/>
        <v>0</v>
      </c>
      <c r="O103" s="7"/>
      <c r="P103" s="597"/>
      <c r="Q103" s="598"/>
      <c r="R103" s="7"/>
    </row>
    <row r="104" spans="1:18">
      <c r="A104" s="7"/>
      <c r="B104" s="112"/>
      <c r="C104" s="112"/>
      <c r="D104" s="112"/>
      <c r="E104" s="112"/>
      <c r="F104" s="112"/>
      <c r="G104" s="116"/>
      <c r="H104" s="114"/>
      <c r="I104" s="116"/>
      <c r="J104" s="385"/>
      <c r="K104" s="387">
        <v>1</v>
      </c>
      <c r="L104" s="7"/>
      <c r="M104" s="387">
        <f t="shared" si="3"/>
        <v>0</v>
      </c>
      <c r="N104" s="114">
        <f t="shared" si="4"/>
        <v>0</v>
      </c>
      <c r="O104" s="7"/>
      <c r="P104" s="597"/>
      <c r="Q104" s="598"/>
      <c r="R104" s="7"/>
    </row>
    <row r="105" spans="1:18">
      <c r="A105" s="7"/>
      <c r="B105" s="112"/>
      <c r="C105" s="112"/>
      <c r="D105" s="112"/>
      <c r="E105" s="112"/>
      <c r="F105" s="112"/>
      <c r="G105" s="116"/>
      <c r="H105" s="114"/>
      <c r="I105" s="116"/>
      <c r="J105" s="385"/>
      <c r="K105" s="387">
        <v>1</v>
      </c>
      <c r="L105" s="7"/>
      <c r="M105" s="387">
        <f t="shared" si="3"/>
        <v>0</v>
      </c>
      <c r="N105" s="114">
        <f t="shared" si="4"/>
        <v>0</v>
      </c>
      <c r="O105" s="7"/>
      <c r="P105" s="597"/>
      <c r="Q105" s="598"/>
      <c r="R105" s="7"/>
    </row>
    <row r="106" spans="1:18">
      <c r="A106" s="7"/>
      <c r="B106" s="112"/>
      <c r="C106" s="112"/>
      <c r="D106" s="112"/>
      <c r="E106" s="112"/>
      <c r="F106" s="112"/>
      <c r="G106" s="116"/>
      <c r="H106" s="114"/>
      <c r="I106" s="116"/>
      <c r="J106" s="385"/>
      <c r="K106" s="387">
        <v>1</v>
      </c>
      <c r="L106" s="7"/>
      <c r="M106" s="387">
        <f t="shared" si="3"/>
        <v>0</v>
      </c>
      <c r="N106" s="114">
        <f t="shared" si="4"/>
        <v>0</v>
      </c>
      <c r="O106" s="7"/>
      <c r="P106" s="597"/>
      <c r="Q106" s="598"/>
      <c r="R106" s="7"/>
    </row>
    <row r="107" spans="1:18">
      <c r="A107" s="7"/>
      <c r="B107" s="112"/>
      <c r="C107" s="112"/>
      <c r="D107" s="112"/>
      <c r="E107" s="112"/>
      <c r="F107" s="112"/>
      <c r="G107" s="116"/>
      <c r="H107" s="114"/>
      <c r="I107" s="116"/>
      <c r="J107" s="385"/>
      <c r="K107" s="387">
        <v>1</v>
      </c>
      <c r="L107" s="7"/>
      <c r="M107" s="387">
        <f t="shared" si="3"/>
        <v>0</v>
      </c>
      <c r="N107" s="114">
        <f t="shared" si="4"/>
        <v>0</v>
      </c>
      <c r="O107" s="7"/>
      <c r="P107" s="597"/>
      <c r="Q107" s="598"/>
      <c r="R107" s="7"/>
    </row>
    <row r="108" spans="1:18">
      <c r="A108" s="7"/>
      <c r="B108" s="112"/>
      <c r="C108" s="112"/>
      <c r="D108" s="112"/>
      <c r="E108" s="112"/>
      <c r="F108" s="112"/>
      <c r="G108" s="116"/>
      <c r="H108" s="114"/>
      <c r="I108" s="116"/>
      <c r="J108" s="385"/>
      <c r="K108" s="387">
        <v>1</v>
      </c>
      <c r="L108" s="7"/>
      <c r="M108" s="387">
        <f t="shared" si="3"/>
        <v>0</v>
      </c>
      <c r="N108" s="114">
        <f t="shared" si="4"/>
        <v>0</v>
      </c>
      <c r="O108" s="7"/>
      <c r="P108" s="597"/>
      <c r="Q108" s="598"/>
      <c r="R108" s="7"/>
    </row>
    <row r="109" spans="1:18">
      <c r="A109" s="7"/>
      <c r="B109" s="112"/>
      <c r="C109" s="112"/>
      <c r="D109" s="112"/>
      <c r="E109" s="112"/>
      <c r="F109" s="112"/>
      <c r="G109" s="116"/>
      <c r="H109" s="114"/>
      <c r="I109" s="116"/>
      <c r="J109" s="385"/>
      <c r="K109" s="387">
        <v>1</v>
      </c>
      <c r="L109" s="7"/>
      <c r="M109" s="387">
        <f t="shared" si="3"/>
        <v>0</v>
      </c>
      <c r="N109" s="114">
        <f t="shared" si="4"/>
        <v>0</v>
      </c>
      <c r="O109" s="7"/>
      <c r="P109" s="597"/>
      <c r="Q109" s="598"/>
      <c r="R109" s="7"/>
    </row>
    <row r="110" spans="1:18">
      <c r="A110" s="7"/>
      <c r="B110" s="112"/>
      <c r="C110" s="112"/>
      <c r="D110" s="112"/>
      <c r="E110" s="112"/>
      <c r="F110" s="112"/>
      <c r="G110" s="116"/>
      <c r="H110" s="114"/>
      <c r="I110" s="116"/>
      <c r="J110" s="385"/>
      <c r="K110" s="387">
        <v>1</v>
      </c>
      <c r="L110" s="7"/>
      <c r="M110" s="387">
        <f t="shared" si="3"/>
        <v>0</v>
      </c>
      <c r="N110" s="114">
        <f t="shared" si="4"/>
        <v>0</v>
      </c>
      <c r="O110" s="7"/>
      <c r="P110" s="597"/>
      <c r="Q110" s="598"/>
      <c r="R110" s="7"/>
    </row>
    <row r="111" spans="1:18">
      <c r="A111" s="7"/>
      <c r="B111" s="112"/>
      <c r="C111" s="112"/>
      <c r="D111" s="112"/>
      <c r="E111" s="112"/>
      <c r="F111" s="112"/>
      <c r="G111" s="116"/>
      <c r="H111" s="114"/>
      <c r="I111" s="116"/>
      <c r="J111" s="385"/>
      <c r="K111" s="387">
        <v>1</v>
      </c>
      <c r="L111" s="7"/>
      <c r="M111" s="387">
        <f t="shared" si="3"/>
        <v>0</v>
      </c>
      <c r="N111" s="114">
        <f t="shared" si="4"/>
        <v>0</v>
      </c>
      <c r="O111" s="7"/>
      <c r="P111" s="597"/>
      <c r="Q111" s="598"/>
      <c r="R111" s="7"/>
    </row>
    <row r="112" spans="1:18">
      <c r="A112" s="7"/>
      <c r="B112" s="112"/>
      <c r="C112" s="112"/>
      <c r="D112" s="112"/>
      <c r="E112" s="112"/>
      <c r="F112" s="112"/>
      <c r="G112" s="116"/>
      <c r="H112" s="114"/>
      <c r="I112" s="116"/>
      <c r="J112" s="385"/>
      <c r="K112" s="387">
        <v>1</v>
      </c>
      <c r="L112" s="7"/>
      <c r="M112" s="387">
        <f t="shared" si="3"/>
        <v>0</v>
      </c>
      <c r="N112" s="114">
        <f t="shared" si="4"/>
        <v>0</v>
      </c>
      <c r="O112" s="7"/>
      <c r="P112" s="597"/>
      <c r="Q112" s="598"/>
      <c r="R112" s="7"/>
    </row>
    <row r="113" spans="1:18">
      <c r="A113" s="7"/>
      <c r="B113" s="112"/>
      <c r="C113" s="112"/>
      <c r="D113" s="112"/>
      <c r="E113" s="112"/>
      <c r="F113" s="112"/>
      <c r="G113" s="116"/>
      <c r="H113" s="114"/>
      <c r="I113" s="116"/>
      <c r="J113" s="385"/>
      <c r="K113" s="387">
        <v>1</v>
      </c>
      <c r="L113" s="7"/>
      <c r="M113" s="387">
        <f t="shared" si="3"/>
        <v>0</v>
      </c>
      <c r="N113" s="114">
        <f t="shared" si="4"/>
        <v>0</v>
      </c>
      <c r="O113" s="7"/>
      <c r="P113" s="597"/>
      <c r="Q113" s="598"/>
      <c r="R113" s="7"/>
    </row>
    <row r="114" spans="1:18">
      <c r="A114" s="7"/>
      <c r="B114" s="112"/>
      <c r="C114" s="112"/>
      <c r="D114" s="112"/>
      <c r="E114" s="112"/>
      <c r="F114" s="112"/>
      <c r="G114" s="116"/>
      <c r="H114" s="114"/>
      <c r="I114" s="116"/>
      <c r="J114" s="385"/>
      <c r="K114" s="387">
        <v>1</v>
      </c>
      <c r="L114" s="7"/>
      <c r="M114" s="387">
        <f t="shared" si="3"/>
        <v>0</v>
      </c>
      <c r="N114" s="114">
        <f t="shared" si="4"/>
        <v>0</v>
      </c>
      <c r="O114" s="7"/>
      <c r="P114" s="597"/>
      <c r="Q114" s="598"/>
      <c r="R114" s="7"/>
    </row>
    <row r="115" spans="1:18">
      <c r="A115" s="7"/>
      <c r="B115" s="112"/>
      <c r="C115" s="112"/>
      <c r="D115" s="112"/>
      <c r="E115" s="112"/>
      <c r="F115" s="112"/>
      <c r="G115" s="116"/>
      <c r="H115" s="114"/>
      <c r="I115" s="116"/>
      <c r="J115" s="385"/>
      <c r="K115" s="387">
        <v>1</v>
      </c>
      <c r="L115" s="7"/>
      <c r="M115" s="387">
        <f t="shared" si="3"/>
        <v>0</v>
      </c>
      <c r="N115" s="114">
        <f t="shared" si="4"/>
        <v>0</v>
      </c>
      <c r="O115" s="7"/>
      <c r="P115" s="597"/>
      <c r="Q115" s="598"/>
      <c r="R115" s="7"/>
    </row>
    <row r="116" spans="1:18">
      <c r="A116" s="7"/>
      <c r="B116" s="112"/>
      <c r="C116" s="112"/>
      <c r="D116" s="112"/>
      <c r="E116" s="112"/>
      <c r="F116" s="112"/>
      <c r="G116" s="116"/>
      <c r="H116" s="114"/>
      <c r="I116" s="116"/>
      <c r="J116" s="385"/>
      <c r="K116" s="387">
        <v>1</v>
      </c>
      <c r="L116" s="7"/>
      <c r="M116" s="387">
        <f t="shared" si="3"/>
        <v>0</v>
      </c>
      <c r="N116" s="114">
        <f t="shared" si="4"/>
        <v>0</v>
      </c>
      <c r="O116" s="7"/>
      <c r="P116" s="597"/>
      <c r="Q116" s="598"/>
      <c r="R116" s="7"/>
    </row>
    <row r="117" spans="1:18">
      <c r="A117" s="7"/>
      <c r="B117" s="112"/>
      <c r="C117" s="112"/>
      <c r="D117" s="112"/>
      <c r="E117" s="112"/>
      <c r="F117" s="112"/>
      <c r="G117" s="116"/>
      <c r="H117" s="114"/>
      <c r="I117" s="116"/>
      <c r="J117" s="385"/>
      <c r="K117" s="387">
        <v>1</v>
      </c>
      <c r="L117" s="7"/>
      <c r="M117" s="387">
        <f t="shared" si="3"/>
        <v>0</v>
      </c>
      <c r="N117" s="114">
        <f t="shared" si="4"/>
        <v>0</v>
      </c>
      <c r="O117" s="7"/>
      <c r="P117" s="597"/>
      <c r="Q117" s="598"/>
      <c r="R117" s="7"/>
    </row>
    <row r="118" spans="1:18">
      <c r="A118" s="7"/>
      <c r="B118" s="112"/>
      <c r="C118" s="112"/>
      <c r="D118" s="112"/>
      <c r="E118" s="112"/>
      <c r="F118" s="112"/>
      <c r="G118" s="116"/>
      <c r="H118" s="114"/>
      <c r="I118" s="116"/>
      <c r="J118" s="385"/>
      <c r="K118" s="387">
        <v>1</v>
      </c>
      <c r="L118" s="7"/>
      <c r="M118" s="387">
        <f t="shared" si="3"/>
        <v>0</v>
      </c>
      <c r="N118" s="114">
        <f t="shared" si="4"/>
        <v>0</v>
      </c>
      <c r="O118" s="7"/>
      <c r="P118" s="597"/>
      <c r="Q118" s="598"/>
      <c r="R118" s="7"/>
    </row>
    <row r="119" spans="1:18">
      <c r="A119" s="7"/>
      <c r="B119" s="112"/>
      <c r="C119" s="112"/>
      <c r="D119" s="112"/>
      <c r="E119" s="112"/>
      <c r="F119" s="112"/>
      <c r="G119" s="116"/>
      <c r="H119" s="114"/>
      <c r="I119" s="116"/>
      <c r="J119" s="385"/>
      <c r="K119" s="387">
        <v>1</v>
      </c>
      <c r="L119" s="7"/>
      <c r="M119" s="387">
        <f t="shared" si="3"/>
        <v>0</v>
      </c>
      <c r="N119" s="114">
        <f t="shared" si="4"/>
        <v>0</v>
      </c>
      <c r="O119" s="7"/>
      <c r="P119" s="597"/>
      <c r="Q119" s="598"/>
      <c r="R119" s="7"/>
    </row>
    <row r="120" spans="1:18">
      <c r="A120" s="7"/>
      <c r="B120" s="112"/>
      <c r="C120" s="112"/>
      <c r="D120" s="112"/>
      <c r="E120" s="112"/>
      <c r="F120" s="112"/>
      <c r="G120" s="116"/>
      <c r="H120" s="114"/>
      <c r="I120" s="116"/>
      <c r="J120" s="385"/>
      <c r="K120" s="387">
        <v>1</v>
      </c>
      <c r="L120" s="7"/>
      <c r="M120" s="387">
        <f t="shared" si="3"/>
        <v>0</v>
      </c>
      <c r="N120" s="114">
        <f t="shared" si="4"/>
        <v>0</v>
      </c>
      <c r="O120" s="7"/>
      <c r="P120" s="597"/>
      <c r="Q120" s="598"/>
      <c r="R120" s="7"/>
    </row>
    <row r="121" spans="1:18">
      <c r="A121" s="7"/>
      <c r="B121" s="112"/>
      <c r="C121" s="112"/>
      <c r="D121" s="112"/>
      <c r="E121" s="112"/>
      <c r="F121" s="112"/>
      <c r="G121" s="116"/>
      <c r="H121" s="114"/>
      <c r="I121" s="116"/>
      <c r="J121" s="385"/>
      <c r="K121" s="387">
        <v>1</v>
      </c>
      <c r="L121" s="7"/>
      <c r="M121" s="387">
        <f t="shared" si="3"/>
        <v>0</v>
      </c>
      <c r="N121" s="114">
        <f t="shared" si="4"/>
        <v>0</v>
      </c>
      <c r="O121" s="7"/>
      <c r="P121" s="597"/>
      <c r="Q121" s="598"/>
      <c r="R121" s="7"/>
    </row>
    <row r="122" spans="1:18">
      <c r="A122" s="7"/>
      <c r="B122" s="112"/>
      <c r="C122" s="112"/>
      <c r="D122" s="112"/>
      <c r="E122" s="112"/>
      <c r="F122" s="112"/>
      <c r="G122" s="116"/>
      <c r="H122" s="114"/>
      <c r="I122" s="116"/>
      <c r="J122" s="385"/>
      <c r="K122" s="387">
        <v>1</v>
      </c>
      <c r="L122" s="7"/>
      <c r="M122" s="387">
        <f t="shared" si="3"/>
        <v>0</v>
      </c>
      <c r="N122" s="114">
        <f t="shared" si="4"/>
        <v>0</v>
      </c>
      <c r="O122" s="7"/>
      <c r="P122" s="597"/>
      <c r="Q122" s="598"/>
      <c r="R122" s="7"/>
    </row>
    <row r="123" spans="1:18">
      <c r="A123" s="7"/>
      <c r="B123" s="112"/>
      <c r="C123" s="112"/>
      <c r="D123" s="112"/>
      <c r="E123" s="112"/>
      <c r="F123" s="112"/>
      <c r="G123" s="116"/>
      <c r="H123" s="114"/>
      <c r="I123" s="116"/>
      <c r="J123" s="385"/>
      <c r="K123" s="387">
        <v>1</v>
      </c>
      <c r="L123" s="7"/>
      <c r="M123" s="387">
        <f t="shared" si="3"/>
        <v>0</v>
      </c>
      <c r="N123" s="114">
        <f t="shared" si="4"/>
        <v>0</v>
      </c>
      <c r="O123" s="7"/>
      <c r="P123" s="597"/>
      <c r="Q123" s="598"/>
      <c r="R123" s="7"/>
    </row>
    <row r="124" spans="1:18">
      <c r="A124" s="7"/>
      <c r="B124" s="112"/>
      <c r="C124" s="112"/>
      <c r="D124" s="112"/>
      <c r="E124" s="112"/>
      <c r="F124" s="112"/>
      <c r="G124" s="116"/>
      <c r="H124" s="114"/>
      <c r="I124" s="116"/>
      <c r="J124" s="385"/>
      <c r="K124" s="387">
        <v>1</v>
      </c>
      <c r="L124" s="7"/>
      <c r="M124" s="387">
        <f t="shared" si="3"/>
        <v>0</v>
      </c>
      <c r="N124" s="114">
        <f t="shared" si="4"/>
        <v>0</v>
      </c>
      <c r="O124" s="7"/>
      <c r="P124" s="597"/>
      <c r="Q124" s="598"/>
      <c r="R124" s="7"/>
    </row>
    <row r="125" spans="1:18">
      <c r="A125" s="7"/>
      <c r="B125" s="112"/>
      <c r="C125" s="112"/>
      <c r="D125" s="112"/>
      <c r="E125" s="112"/>
      <c r="F125" s="112"/>
      <c r="G125" s="116"/>
      <c r="H125" s="114"/>
      <c r="I125" s="116"/>
      <c r="J125" s="385"/>
      <c r="K125" s="387">
        <v>1</v>
      </c>
      <c r="L125" s="7"/>
      <c r="M125" s="387">
        <f t="shared" si="3"/>
        <v>0</v>
      </c>
      <c r="N125" s="114">
        <f t="shared" si="4"/>
        <v>0</v>
      </c>
      <c r="O125" s="7"/>
      <c r="P125" s="597"/>
      <c r="Q125" s="598"/>
      <c r="R125" s="7"/>
    </row>
    <row r="126" spans="1:18">
      <c r="A126" s="7"/>
      <c r="B126" s="112"/>
      <c r="C126" s="112"/>
      <c r="D126" s="112"/>
      <c r="E126" s="112"/>
      <c r="F126" s="112"/>
      <c r="G126" s="116"/>
      <c r="H126" s="114"/>
      <c r="I126" s="116"/>
      <c r="J126" s="385"/>
      <c r="K126" s="387">
        <v>1</v>
      </c>
      <c r="L126" s="7"/>
      <c r="M126" s="387">
        <f t="shared" si="3"/>
        <v>0</v>
      </c>
      <c r="N126" s="114">
        <f t="shared" si="4"/>
        <v>0</v>
      </c>
      <c r="O126" s="7"/>
      <c r="P126" s="597"/>
      <c r="Q126" s="598"/>
      <c r="R126" s="7"/>
    </row>
    <row r="127" spans="1:18">
      <c r="A127" s="7"/>
      <c r="B127" s="112"/>
      <c r="C127" s="112"/>
      <c r="D127" s="112"/>
      <c r="E127" s="112"/>
      <c r="F127" s="112"/>
      <c r="G127" s="116"/>
      <c r="H127" s="114"/>
      <c r="I127" s="116"/>
      <c r="J127" s="385"/>
      <c r="K127" s="387">
        <v>1</v>
      </c>
      <c r="L127" s="7"/>
      <c r="M127" s="387">
        <f t="shared" si="3"/>
        <v>0</v>
      </c>
      <c r="N127" s="114">
        <f t="shared" si="4"/>
        <v>0</v>
      </c>
      <c r="O127" s="7"/>
      <c r="P127" s="597"/>
      <c r="Q127" s="598"/>
      <c r="R127" s="7"/>
    </row>
    <row r="128" spans="1:18">
      <c r="A128" s="7"/>
      <c r="B128" s="112"/>
      <c r="C128" s="112"/>
      <c r="D128" s="112"/>
      <c r="E128" s="112"/>
      <c r="F128" s="112"/>
      <c r="G128" s="116"/>
      <c r="H128" s="114"/>
      <c r="I128" s="116"/>
      <c r="J128" s="385"/>
      <c r="K128" s="387">
        <v>1</v>
      </c>
      <c r="L128" s="7"/>
      <c r="M128" s="387">
        <f t="shared" si="3"/>
        <v>0</v>
      </c>
      <c r="N128" s="114">
        <f t="shared" si="4"/>
        <v>0</v>
      </c>
      <c r="O128" s="7"/>
      <c r="P128" s="597"/>
      <c r="Q128" s="598"/>
      <c r="R128" s="7"/>
    </row>
    <row r="129" spans="1:18">
      <c r="A129" s="7"/>
      <c r="B129" s="112"/>
      <c r="C129" s="112"/>
      <c r="D129" s="112"/>
      <c r="E129" s="112"/>
      <c r="F129" s="112"/>
      <c r="G129" s="116"/>
      <c r="H129" s="114"/>
      <c r="I129" s="116"/>
      <c r="J129" s="385"/>
      <c r="K129" s="387">
        <v>1</v>
      </c>
      <c r="L129" s="7"/>
      <c r="M129" s="387">
        <f t="shared" si="3"/>
        <v>0</v>
      </c>
      <c r="N129" s="114">
        <f t="shared" si="4"/>
        <v>0</v>
      </c>
      <c r="O129" s="7"/>
      <c r="P129" s="597"/>
      <c r="Q129" s="598"/>
      <c r="R129" s="7"/>
    </row>
    <row r="130" spans="1:18">
      <c r="A130" s="7"/>
      <c r="B130" s="112"/>
      <c r="C130" s="112"/>
      <c r="D130" s="112"/>
      <c r="E130" s="112"/>
      <c r="F130" s="112"/>
      <c r="G130" s="116"/>
      <c r="H130" s="114"/>
      <c r="I130" s="116"/>
      <c r="J130" s="385"/>
      <c r="K130" s="387">
        <v>1</v>
      </c>
      <c r="L130" s="7"/>
      <c r="M130" s="387">
        <f t="shared" si="3"/>
        <v>0</v>
      </c>
      <c r="N130" s="114">
        <f t="shared" si="4"/>
        <v>0</v>
      </c>
      <c r="O130" s="7"/>
      <c r="P130" s="597"/>
      <c r="Q130" s="598"/>
      <c r="R130" s="7"/>
    </row>
    <row r="131" spans="1:18">
      <c r="A131" s="7"/>
      <c r="B131" s="112"/>
      <c r="C131" s="112"/>
      <c r="D131" s="112"/>
      <c r="E131" s="112"/>
      <c r="F131" s="112"/>
      <c r="G131" s="116"/>
      <c r="H131" s="114"/>
      <c r="I131" s="116"/>
      <c r="J131" s="385"/>
      <c r="K131" s="387">
        <v>1</v>
      </c>
      <c r="L131" s="7"/>
      <c r="M131" s="387">
        <f t="shared" si="3"/>
        <v>0</v>
      </c>
      <c r="N131" s="114">
        <f t="shared" si="4"/>
        <v>0</v>
      </c>
      <c r="O131" s="7"/>
      <c r="P131" s="597"/>
      <c r="Q131" s="598"/>
      <c r="R131" s="7"/>
    </row>
    <row r="132" spans="1:18">
      <c r="A132" s="7"/>
      <c r="B132" s="112"/>
      <c r="C132" s="112"/>
      <c r="D132" s="112"/>
      <c r="E132" s="112"/>
      <c r="F132" s="112"/>
      <c r="G132" s="116"/>
      <c r="H132" s="114"/>
      <c r="I132" s="116"/>
      <c r="J132" s="385"/>
      <c r="K132" s="387">
        <v>1</v>
      </c>
      <c r="L132" s="7"/>
      <c r="M132" s="387">
        <f t="shared" si="3"/>
        <v>0</v>
      </c>
      <c r="N132" s="114">
        <f t="shared" si="4"/>
        <v>0</v>
      </c>
      <c r="O132" s="7"/>
      <c r="P132" s="597"/>
      <c r="Q132" s="598"/>
      <c r="R132" s="7"/>
    </row>
    <row r="133" spans="1:18">
      <c r="A133" s="7"/>
      <c r="B133" s="112"/>
      <c r="C133" s="112"/>
      <c r="D133" s="112"/>
      <c r="E133" s="112"/>
      <c r="F133" s="112"/>
      <c r="G133" s="116"/>
      <c r="H133" s="114"/>
      <c r="I133" s="116"/>
      <c r="J133" s="385"/>
      <c r="K133" s="387">
        <v>1</v>
      </c>
      <c r="L133" s="7"/>
      <c r="M133" s="387">
        <f t="shared" si="3"/>
        <v>0</v>
      </c>
      <c r="N133" s="114">
        <f t="shared" si="4"/>
        <v>0</v>
      </c>
      <c r="O133" s="7"/>
      <c r="P133" s="597"/>
      <c r="Q133" s="598"/>
      <c r="R133" s="7"/>
    </row>
    <row r="134" spans="1:18">
      <c r="A134" s="7"/>
      <c r="B134" s="112"/>
      <c r="C134" s="112"/>
      <c r="D134" s="112"/>
      <c r="E134" s="112"/>
      <c r="F134" s="112"/>
      <c r="G134" s="116"/>
      <c r="H134" s="114"/>
      <c r="I134" s="116"/>
      <c r="J134" s="385"/>
      <c r="K134" s="387">
        <v>1</v>
      </c>
      <c r="L134" s="7"/>
      <c r="M134" s="387">
        <f t="shared" si="3"/>
        <v>0</v>
      </c>
      <c r="N134" s="114">
        <f t="shared" si="4"/>
        <v>0</v>
      </c>
      <c r="O134" s="7"/>
      <c r="P134" s="597"/>
      <c r="Q134" s="598"/>
      <c r="R134" s="7"/>
    </row>
    <row r="135" spans="1:18">
      <c r="A135" s="7"/>
      <c r="B135" s="112"/>
      <c r="C135" s="112"/>
      <c r="D135" s="112"/>
      <c r="E135" s="112"/>
      <c r="F135" s="112"/>
      <c r="G135" s="116"/>
      <c r="H135" s="114"/>
      <c r="I135" s="116"/>
      <c r="J135" s="385"/>
      <c r="K135" s="387">
        <v>1</v>
      </c>
      <c r="L135" s="7"/>
      <c r="M135" s="387">
        <f t="shared" si="3"/>
        <v>0</v>
      </c>
      <c r="N135" s="114">
        <f t="shared" si="4"/>
        <v>0</v>
      </c>
      <c r="O135" s="7"/>
      <c r="P135" s="597"/>
      <c r="Q135" s="598"/>
      <c r="R135" s="7"/>
    </row>
    <row r="136" spans="1:18">
      <c r="A136" s="7"/>
      <c r="B136" s="112"/>
      <c r="C136" s="112"/>
      <c r="D136" s="112"/>
      <c r="E136" s="112"/>
      <c r="F136" s="112"/>
      <c r="G136" s="116"/>
      <c r="H136" s="114"/>
      <c r="I136" s="116"/>
      <c r="J136" s="385"/>
      <c r="K136" s="387">
        <v>1</v>
      </c>
      <c r="L136" s="7"/>
      <c r="M136" s="387">
        <f t="shared" si="3"/>
        <v>0</v>
      </c>
      <c r="N136" s="114">
        <f t="shared" si="4"/>
        <v>0</v>
      </c>
      <c r="O136" s="7"/>
      <c r="P136" s="597"/>
      <c r="Q136" s="598"/>
      <c r="R136" s="7"/>
    </row>
    <row r="137" spans="1:18">
      <c r="A137" s="7"/>
      <c r="B137" s="112"/>
      <c r="C137" s="112"/>
      <c r="D137" s="112"/>
      <c r="E137" s="112"/>
      <c r="F137" s="112"/>
      <c r="G137" s="116"/>
      <c r="H137" s="114"/>
      <c r="I137" s="116"/>
      <c r="J137" s="385"/>
      <c r="K137" s="387">
        <v>1</v>
      </c>
      <c r="L137" s="7"/>
      <c r="M137" s="387">
        <f t="shared" si="3"/>
        <v>0</v>
      </c>
      <c r="N137" s="114">
        <f t="shared" si="4"/>
        <v>0</v>
      </c>
      <c r="O137" s="7"/>
      <c r="P137" s="597"/>
      <c r="Q137" s="598"/>
      <c r="R137" s="7"/>
    </row>
    <row r="138" spans="1:18">
      <c r="A138" s="7"/>
      <c r="B138" s="112"/>
      <c r="C138" s="112"/>
      <c r="D138" s="112"/>
      <c r="E138" s="112"/>
      <c r="F138" s="112"/>
      <c r="G138" s="116"/>
      <c r="H138" s="114"/>
      <c r="I138" s="116"/>
      <c r="J138" s="385"/>
      <c r="K138" s="387">
        <v>1</v>
      </c>
      <c r="L138" s="7"/>
      <c r="M138" s="387">
        <f t="shared" si="3"/>
        <v>0</v>
      </c>
      <c r="N138" s="114">
        <f t="shared" si="4"/>
        <v>0</v>
      </c>
      <c r="O138" s="7"/>
      <c r="P138" s="597"/>
      <c r="Q138" s="598"/>
      <c r="R138" s="7"/>
    </row>
    <row r="139" spans="1:18">
      <c r="A139" s="7"/>
      <c r="B139" s="112"/>
      <c r="C139" s="112"/>
      <c r="D139" s="112"/>
      <c r="E139" s="112"/>
      <c r="F139" s="112"/>
      <c r="G139" s="116"/>
      <c r="H139" s="114"/>
      <c r="I139" s="116"/>
      <c r="J139" s="385"/>
      <c r="K139" s="387">
        <v>1</v>
      </c>
      <c r="L139" s="7"/>
      <c r="M139" s="387">
        <f t="shared" si="3"/>
        <v>0</v>
      </c>
      <c r="N139" s="114">
        <f t="shared" si="4"/>
        <v>0</v>
      </c>
      <c r="O139" s="7"/>
      <c r="P139" s="597"/>
      <c r="Q139" s="598"/>
      <c r="R139" s="7"/>
    </row>
    <row r="140" spans="1:18">
      <c r="A140" s="7"/>
      <c r="B140" s="112"/>
      <c r="C140" s="112"/>
      <c r="D140" s="112"/>
      <c r="E140" s="112"/>
      <c r="F140" s="112"/>
      <c r="G140" s="116"/>
      <c r="H140" s="114"/>
      <c r="I140" s="116"/>
      <c r="J140" s="385"/>
      <c r="K140" s="387">
        <v>1</v>
      </c>
      <c r="L140" s="7"/>
      <c r="M140" s="387">
        <f t="shared" si="3"/>
        <v>0</v>
      </c>
      <c r="N140" s="114">
        <f t="shared" si="4"/>
        <v>0</v>
      </c>
      <c r="O140" s="7"/>
      <c r="P140" s="597"/>
      <c r="Q140" s="598"/>
      <c r="R140" s="7"/>
    </row>
    <row r="141" spans="1:18">
      <c r="A141" s="7"/>
      <c r="B141" s="112"/>
      <c r="C141" s="112"/>
      <c r="D141" s="112"/>
      <c r="E141" s="112"/>
      <c r="F141" s="112"/>
      <c r="G141" s="116"/>
      <c r="H141" s="114"/>
      <c r="I141" s="116"/>
      <c r="J141" s="385"/>
      <c r="K141" s="387">
        <v>1</v>
      </c>
      <c r="L141" s="7"/>
      <c r="M141" s="387">
        <f t="shared" si="3"/>
        <v>0</v>
      </c>
      <c r="N141" s="114">
        <f t="shared" si="4"/>
        <v>0</v>
      </c>
      <c r="O141" s="7"/>
      <c r="P141" s="597"/>
      <c r="Q141" s="598"/>
      <c r="R141" s="7"/>
    </row>
    <row r="142" spans="1:18">
      <c r="A142" s="7"/>
      <c r="B142" s="112"/>
      <c r="C142" s="112"/>
      <c r="D142" s="112"/>
      <c r="E142" s="112"/>
      <c r="F142" s="112"/>
      <c r="G142" s="116"/>
      <c r="H142" s="114"/>
      <c r="I142" s="116"/>
      <c r="J142" s="385"/>
      <c r="K142" s="387">
        <v>1</v>
      </c>
      <c r="L142" s="7"/>
      <c r="M142" s="387">
        <f t="shared" si="3"/>
        <v>0</v>
      </c>
      <c r="N142" s="114">
        <f t="shared" si="4"/>
        <v>0</v>
      </c>
      <c r="O142" s="7"/>
      <c r="P142" s="597"/>
      <c r="Q142" s="598"/>
      <c r="R142" s="7"/>
    </row>
    <row r="143" spans="1:18">
      <c r="A143" s="7"/>
      <c r="B143" s="112"/>
      <c r="C143" s="112"/>
      <c r="D143" s="112"/>
      <c r="E143" s="112"/>
      <c r="F143" s="112"/>
      <c r="G143" s="116"/>
      <c r="H143" s="114"/>
      <c r="I143" s="116"/>
      <c r="J143" s="385"/>
      <c r="K143" s="387">
        <v>1</v>
      </c>
      <c r="L143" s="7"/>
      <c r="M143" s="387">
        <f t="shared" si="3"/>
        <v>0</v>
      </c>
      <c r="N143" s="114">
        <f t="shared" si="4"/>
        <v>0</v>
      </c>
      <c r="O143" s="7"/>
      <c r="P143" s="597"/>
      <c r="Q143" s="598"/>
      <c r="R143" s="7"/>
    </row>
    <row r="144" spans="1:18">
      <c r="A144" s="7"/>
      <c r="B144" s="112"/>
      <c r="C144" s="112"/>
      <c r="D144" s="112"/>
      <c r="E144" s="112"/>
      <c r="F144" s="112"/>
      <c r="G144" s="116"/>
      <c r="H144" s="114"/>
      <c r="I144" s="116"/>
      <c r="J144" s="385"/>
      <c r="K144" s="387">
        <v>1</v>
      </c>
      <c r="L144" s="7"/>
      <c r="M144" s="387">
        <f t="shared" si="3"/>
        <v>0</v>
      </c>
      <c r="N144" s="114">
        <f t="shared" si="4"/>
        <v>0</v>
      </c>
      <c r="O144" s="7"/>
      <c r="P144" s="597"/>
      <c r="Q144" s="598"/>
      <c r="R144" s="7"/>
    </row>
    <row r="145" spans="1:18">
      <c r="A145" s="7"/>
      <c r="B145" s="112"/>
      <c r="C145" s="112"/>
      <c r="D145" s="112"/>
      <c r="E145" s="112"/>
      <c r="F145" s="112"/>
      <c r="G145" s="116"/>
      <c r="H145" s="114"/>
      <c r="I145" s="116"/>
      <c r="J145" s="385"/>
      <c r="K145" s="387">
        <v>1</v>
      </c>
      <c r="L145" s="7"/>
      <c r="M145" s="387">
        <f t="shared" ref="M145:M175" si="5">IFERROR(H145*K145,0)</f>
        <v>0</v>
      </c>
      <c r="N145" s="114">
        <f t="shared" ref="N145:N175" si="6">IFERROR(G145*M145,0)</f>
        <v>0</v>
      </c>
      <c r="O145" s="7"/>
      <c r="P145" s="597"/>
      <c r="Q145" s="598"/>
      <c r="R145" s="7"/>
    </row>
    <row r="146" spans="1:18">
      <c r="A146" s="7"/>
      <c r="B146" s="112"/>
      <c r="C146" s="112"/>
      <c r="D146" s="112"/>
      <c r="E146" s="112"/>
      <c r="F146" s="112"/>
      <c r="G146" s="116"/>
      <c r="H146" s="114"/>
      <c r="I146" s="116"/>
      <c r="J146" s="385"/>
      <c r="K146" s="387">
        <v>1</v>
      </c>
      <c r="L146" s="7"/>
      <c r="M146" s="387">
        <f t="shared" si="5"/>
        <v>0</v>
      </c>
      <c r="N146" s="114">
        <f t="shared" si="6"/>
        <v>0</v>
      </c>
      <c r="O146" s="7"/>
      <c r="P146" s="597"/>
      <c r="Q146" s="598"/>
      <c r="R146" s="7"/>
    </row>
    <row r="147" spans="1:18">
      <c r="A147" s="7"/>
      <c r="B147" s="112"/>
      <c r="C147" s="112"/>
      <c r="D147" s="112"/>
      <c r="E147" s="112"/>
      <c r="F147" s="112"/>
      <c r="G147" s="116"/>
      <c r="H147" s="114"/>
      <c r="I147" s="116"/>
      <c r="J147" s="385"/>
      <c r="K147" s="387">
        <v>1</v>
      </c>
      <c r="L147" s="7"/>
      <c r="M147" s="387">
        <f t="shared" si="5"/>
        <v>0</v>
      </c>
      <c r="N147" s="114">
        <f t="shared" si="6"/>
        <v>0</v>
      </c>
      <c r="O147" s="7"/>
      <c r="P147" s="597"/>
      <c r="Q147" s="598"/>
      <c r="R147" s="7"/>
    </row>
    <row r="148" spans="1:18">
      <c r="A148" s="7"/>
      <c r="B148" s="112"/>
      <c r="C148" s="112"/>
      <c r="D148" s="112"/>
      <c r="E148" s="112"/>
      <c r="F148" s="112"/>
      <c r="G148" s="116"/>
      <c r="H148" s="114"/>
      <c r="I148" s="116"/>
      <c r="J148" s="385"/>
      <c r="K148" s="387">
        <v>1</v>
      </c>
      <c r="L148" s="7"/>
      <c r="M148" s="387">
        <f t="shared" si="5"/>
        <v>0</v>
      </c>
      <c r="N148" s="114">
        <f t="shared" si="6"/>
        <v>0</v>
      </c>
      <c r="O148" s="7"/>
      <c r="P148" s="597"/>
      <c r="Q148" s="598"/>
      <c r="R148" s="7"/>
    </row>
    <row r="149" spans="1:18">
      <c r="A149" s="7"/>
      <c r="B149" s="112"/>
      <c r="C149" s="112"/>
      <c r="D149" s="112"/>
      <c r="E149" s="112"/>
      <c r="F149" s="112"/>
      <c r="G149" s="116"/>
      <c r="H149" s="114"/>
      <c r="I149" s="116"/>
      <c r="J149" s="385"/>
      <c r="K149" s="387">
        <v>1</v>
      </c>
      <c r="L149" s="7"/>
      <c r="M149" s="387">
        <f t="shared" si="5"/>
        <v>0</v>
      </c>
      <c r="N149" s="114">
        <f t="shared" si="6"/>
        <v>0</v>
      </c>
      <c r="O149" s="7"/>
      <c r="P149" s="597"/>
      <c r="Q149" s="598"/>
      <c r="R149" s="7"/>
    </row>
    <row r="150" spans="1:18">
      <c r="A150" s="7"/>
      <c r="B150" s="112"/>
      <c r="C150" s="112"/>
      <c r="D150" s="112"/>
      <c r="E150" s="112"/>
      <c r="F150" s="112"/>
      <c r="G150" s="116"/>
      <c r="H150" s="114"/>
      <c r="I150" s="116"/>
      <c r="J150" s="385"/>
      <c r="K150" s="387">
        <v>1</v>
      </c>
      <c r="L150" s="7"/>
      <c r="M150" s="387">
        <f t="shared" si="5"/>
        <v>0</v>
      </c>
      <c r="N150" s="114">
        <f t="shared" si="6"/>
        <v>0</v>
      </c>
      <c r="O150" s="7"/>
      <c r="P150" s="597"/>
      <c r="Q150" s="598"/>
      <c r="R150" s="7"/>
    </row>
    <row r="151" spans="1:18">
      <c r="A151" s="7"/>
      <c r="B151" s="112"/>
      <c r="C151" s="112"/>
      <c r="D151" s="112"/>
      <c r="E151" s="112"/>
      <c r="F151" s="112"/>
      <c r="G151" s="116"/>
      <c r="H151" s="114"/>
      <c r="I151" s="116"/>
      <c r="J151" s="385"/>
      <c r="K151" s="387">
        <v>1</v>
      </c>
      <c r="L151" s="7"/>
      <c r="M151" s="387">
        <f t="shared" si="5"/>
        <v>0</v>
      </c>
      <c r="N151" s="114">
        <f t="shared" si="6"/>
        <v>0</v>
      </c>
      <c r="O151" s="7"/>
      <c r="P151" s="597"/>
      <c r="Q151" s="598"/>
      <c r="R151" s="7"/>
    </row>
    <row r="152" spans="1:18">
      <c r="A152" s="7"/>
      <c r="B152" s="112"/>
      <c r="C152" s="112"/>
      <c r="D152" s="112"/>
      <c r="E152" s="112"/>
      <c r="F152" s="112"/>
      <c r="G152" s="116"/>
      <c r="H152" s="114"/>
      <c r="I152" s="116"/>
      <c r="J152" s="385"/>
      <c r="K152" s="387">
        <v>1</v>
      </c>
      <c r="L152" s="7"/>
      <c r="M152" s="387">
        <f t="shared" si="5"/>
        <v>0</v>
      </c>
      <c r="N152" s="114">
        <f t="shared" si="6"/>
        <v>0</v>
      </c>
      <c r="O152" s="7"/>
      <c r="P152" s="597"/>
      <c r="Q152" s="598"/>
      <c r="R152" s="7"/>
    </row>
    <row r="153" spans="1:18">
      <c r="A153" s="7"/>
      <c r="B153" s="112"/>
      <c r="C153" s="112"/>
      <c r="D153" s="112"/>
      <c r="E153" s="112"/>
      <c r="F153" s="112"/>
      <c r="G153" s="116"/>
      <c r="H153" s="114"/>
      <c r="I153" s="116"/>
      <c r="J153" s="385"/>
      <c r="K153" s="387">
        <v>1</v>
      </c>
      <c r="L153" s="7"/>
      <c r="M153" s="387">
        <f t="shared" si="5"/>
        <v>0</v>
      </c>
      <c r="N153" s="114">
        <f t="shared" si="6"/>
        <v>0</v>
      </c>
      <c r="O153" s="7"/>
      <c r="P153" s="597"/>
      <c r="Q153" s="598"/>
      <c r="R153" s="7"/>
    </row>
    <row r="154" spans="1:18">
      <c r="A154" s="7"/>
      <c r="B154" s="112"/>
      <c r="C154" s="112"/>
      <c r="D154" s="112"/>
      <c r="E154" s="112"/>
      <c r="F154" s="112"/>
      <c r="G154" s="116"/>
      <c r="H154" s="114"/>
      <c r="I154" s="116"/>
      <c r="J154" s="385"/>
      <c r="K154" s="387">
        <v>1</v>
      </c>
      <c r="L154" s="7"/>
      <c r="M154" s="387">
        <f t="shared" si="5"/>
        <v>0</v>
      </c>
      <c r="N154" s="114">
        <f t="shared" si="6"/>
        <v>0</v>
      </c>
      <c r="O154" s="7"/>
      <c r="P154" s="597"/>
      <c r="Q154" s="598"/>
      <c r="R154" s="7"/>
    </row>
    <row r="155" spans="1:18">
      <c r="A155" s="7"/>
      <c r="B155" s="112"/>
      <c r="C155" s="112"/>
      <c r="D155" s="112"/>
      <c r="E155" s="112"/>
      <c r="F155" s="112"/>
      <c r="G155" s="116"/>
      <c r="H155" s="114"/>
      <c r="I155" s="116"/>
      <c r="J155" s="385"/>
      <c r="K155" s="387">
        <v>1</v>
      </c>
      <c r="L155" s="7"/>
      <c r="M155" s="387">
        <f t="shared" si="5"/>
        <v>0</v>
      </c>
      <c r="N155" s="114">
        <f t="shared" si="6"/>
        <v>0</v>
      </c>
      <c r="O155" s="7"/>
      <c r="P155" s="597"/>
      <c r="Q155" s="598"/>
      <c r="R155" s="7"/>
    </row>
    <row r="156" spans="1:18">
      <c r="A156" s="7"/>
      <c r="B156" s="112"/>
      <c r="C156" s="112"/>
      <c r="D156" s="112"/>
      <c r="E156" s="112"/>
      <c r="F156" s="112"/>
      <c r="G156" s="116"/>
      <c r="H156" s="114"/>
      <c r="I156" s="116"/>
      <c r="J156" s="385"/>
      <c r="K156" s="387">
        <v>1</v>
      </c>
      <c r="L156" s="7"/>
      <c r="M156" s="387">
        <f t="shared" si="5"/>
        <v>0</v>
      </c>
      <c r="N156" s="114">
        <f t="shared" si="6"/>
        <v>0</v>
      </c>
      <c r="O156" s="7"/>
      <c r="P156" s="597"/>
      <c r="Q156" s="598"/>
      <c r="R156" s="7"/>
    </row>
    <row r="157" spans="1:18">
      <c r="A157" s="7"/>
      <c r="B157" s="112"/>
      <c r="C157" s="112"/>
      <c r="D157" s="112"/>
      <c r="E157" s="112"/>
      <c r="F157" s="112"/>
      <c r="G157" s="116"/>
      <c r="H157" s="114"/>
      <c r="I157" s="116"/>
      <c r="J157" s="385"/>
      <c r="K157" s="387">
        <v>1</v>
      </c>
      <c r="L157" s="7"/>
      <c r="M157" s="387">
        <f t="shared" si="5"/>
        <v>0</v>
      </c>
      <c r="N157" s="114">
        <f t="shared" si="6"/>
        <v>0</v>
      </c>
      <c r="O157" s="7"/>
      <c r="P157" s="597"/>
      <c r="Q157" s="598"/>
      <c r="R157" s="7"/>
    </row>
    <row r="158" spans="1:18">
      <c r="A158" s="7"/>
      <c r="B158" s="112"/>
      <c r="C158" s="112"/>
      <c r="D158" s="112"/>
      <c r="E158" s="112"/>
      <c r="F158" s="112"/>
      <c r="G158" s="116"/>
      <c r="H158" s="114"/>
      <c r="I158" s="116"/>
      <c r="J158" s="385"/>
      <c r="K158" s="387">
        <v>1</v>
      </c>
      <c r="L158" s="7"/>
      <c r="M158" s="387">
        <f t="shared" si="5"/>
        <v>0</v>
      </c>
      <c r="N158" s="114">
        <f t="shared" si="6"/>
        <v>0</v>
      </c>
      <c r="O158" s="7"/>
      <c r="P158" s="597"/>
      <c r="Q158" s="598"/>
      <c r="R158" s="7"/>
    </row>
    <row r="159" spans="1:18">
      <c r="A159" s="7"/>
      <c r="B159" s="112"/>
      <c r="C159" s="112"/>
      <c r="D159" s="112"/>
      <c r="E159" s="112"/>
      <c r="F159" s="112"/>
      <c r="G159" s="116"/>
      <c r="H159" s="114"/>
      <c r="I159" s="116"/>
      <c r="J159" s="385"/>
      <c r="K159" s="387">
        <v>1</v>
      </c>
      <c r="L159" s="7"/>
      <c r="M159" s="387">
        <f t="shared" si="5"/>
        <v>0</v>
      </c>
      <c r="N159" s="114">
        <f t="shared" si="6"/>
        <v>0</v>
      </c>
      <c r="O159" s="7"/>
      <c r="P159" s="597"/>
      <c r="Q159" s="598"/>
      <c r="R159" s="7"/>
    </row>
    <row r="160" spans="1:18">
      <c r="A160" s="7"/>
      <c r="B160" s="112"/>
      <c r="C160" s="112"/>
      <c r="D160" s="112"/>
      <c r="E160" s="112"/>
      <c r="F160" s="112"/>
      <c r="G160" s="116"/>
      <c r="H160" s="114"/>
      <c r="I160" s="116"/>
      <c r="J160" s="385"/>
      <c r="K160" s="387">
        <v>1</v>
      </c>
      <c r="L160" s="7"/>
      <c r="M160" s="387">
        <f t="shared" si="5"/>
        <v>0</v>
      </c>
      <c r="N160" s="114">
        <f t="shared" si="6"/>
        <v>0</v>
      </c>
      <c r="O160" s="7"/>
      <c r="P160" s="597"/>
      <c r="Q160" s="598"/>
      <c r="R160" s="7"/>
    </row>
    <row r="161" spans="1:18">
      <c r="A161" s="7"/>
      <c r="B161" s="112"/>
      <c r="C161" s="112"/>
      <c r="D161" s="112"/>
      <c r="E161" s="112"/>
      <c r="F161" s="112"/>
      <c r="G161" s="116"/>
      <c r="H161" s="114"/>
      <c r="I161" s="116"/>
      <c r="J161" s="385"/>
      <c r="K161" s="387">
        <v>1</v>
      </c>
      <c r="L161" s="7"/>
      <c r="M161" s="387">
        <f t="shared" si="5"/>
        <v>0</v>
      </c>
      <c r="N161" s="114">
        <f t="shared" si="6"/>
        <v>0</v>
      </c>
      <c r="O161" s="7"/>
      <c r="P161" s="597"/>
      <c r="Q161" s="598"/>
      <c r="R161" s="7"/>
    </row>
    <row r="162" spans="1:18">
      <c r="A162" s="7"/>
      <c r="B162" s="112"/>
      <c r="C162" s="112"/>
      <c r="D162" s="112"/>
      <c r="E162" s="112"/>
      <c r="F162" s="112"/>
      <c r="G162" s="116"/>
      <c r="H162" s="114"/>
      <c r="I162" s="116"/>
      <c r="J162" s="385"/>
      <c r="K162" s="387">
        <v>1</v>
      </c>
      <c r="L162" s="7"/>
      <c r="M162" s="387">
        <f t="shared" si="5"/>
        <v>0</v>
      </c>
      <c r="N162" s="114">
        <f t="shared" si="6"/>
        <v>0</v>
      </c>
      <c r="O162" s="7"/>
      <c r="P162" s="597"/>
      <c r="Q162" s="598"/>
      <c r="R162" s="7"/>
    </row>
    <row r="163" spans="1:18">
      <c r="A163" s="7"/>
      <c r="B163" s="112"/>
      <c r="C163" s="112"/>
      <c r="D163" s="112"/>
      <c r="E163" s="112"/>
      <c r="F163" s="112"/>
      <c r="G163" s="116"/>
      <c r="H163" s="114"/>
      <c r="I163" s="116"/>
      <c r="J163" s="385"/>
      <c r="K163" s="387">
        <v>1</v>
      </c>
      <c r="L163" s="7"/>
      <c r="M163" s="387">
        <f t="shared" si="5"/>
        <v>0</v>
      </c>
      <c r="N163" s="114">
        <f t="shared" si="6"/>
        <v>0</v>
      </c>
      <c r="O163" s="7"/>
      <c r="P163" s="597"/>
      <c r="Q163" s="598"/>
      <c r="R163" s="7"/>
    </row>
    <row r="164" spans="1:18">
      <c r="A164" s="7"/>
      <c r="B164" s="112"/>
      <c r="C164" s="112"/>
      <c r="D164" s="112"/>
      <c r="E164" s="112"/>
      <c r="F164" s="112"/>
      <c r="G164" s="116"/>
      <c r="H164" s="114"/>
      <c r="I164" s="116"/>
      <c r="J164" s="385"/>
      <c r="K164" s="387">
        <v>1</v>
      </c>
      <c r="L164" s="7"/>
      <c r="M164" s="387">
        <f t="shared" si="5"/>
        <v>0</v>
      </c>
      <c r="N164" s="114">
        <f t="shared" si="6"/>
        <v>0</v>
      </c>
      <c r="O164" s="7"/>
      <c r="P164" s="597"/>
      <c r="Q164" s="598"/>
      <c r="R164" s="7"/>
    </row>
    <row r="165" spans="1:18">
      <c r="A165" s="7"/>
      <c r="B165" s="112"/>
      <c r="C165" s="112"/>
      <c r="D165" s="112"/>
      <c r="E165" s="112"/>
      <c r="F165" s="112"/>
      <c r="G165" s="116"/>
      <c r="H165" s="114"/>
      <c r="I165" s="116"/>
      <c r="J165" s="385"/>
      <c r="K165" s="387">
        <v>1</v>
      </c>
      <c r="L165" s="7"/>
      <c r="M165" s="387">
        <f t="shared" si="5"/>
        <v>0</v>
      </c>
      <c r="N165" s="114">
        <f t="shared" si="6"/>
        <v>0</v>
      </c>
      <c r="O165" s="7"/>
      <c r="P165" s="597"/>
      <c r="Q165" s="598"/>
      <c r="R165" s="7"/>
    </row>
    <row r="166" spans="1:18">
      <c r="A166" s="7"/>
      <c r="B166" s="112"/>
      <c r="C166" s="112"/>
      <c r="D166" s="112"/>
      <c r="E166" s="112"/>
      <c r="F166" s="112"/>
      <c r="G166" s="116"/>
      <c r="H166" s="114"/>
      <c r="I166" s="116"/>
      <c r="J166" s="385"/>
      <c r="K166" s="387">
        <v>1</v>
      </c>
      <c r="L166" s="7"/>
      <c r="M166" s="387">
        <f t="shared" si="5"/>
        <v>0</v>
      </c>
      <c r="N166" s="114">
        <f t="shared" si="6"/>
        <v>0</v>
      </c>
      <c r="O166" s="7"/>
      <c r="P166" s="597"/>
      <c r="Q166" s="598"/>
      <c r="R166" s="7"/>
    </row>
    <row r="167" spans="1:18">
      <c r="A167" s="7"/>
      <c r="B167" s="112"/>
      <c r="C167" s="112"/>
      <c r="D167" s="112"/>
      <c r="E167" s="112"/>
      <c r="F167" s="112"/>
      <c r="G167" s="116"/>
      <c r="H167" s="114"/>
      <c r="I167" s="116"/>
      <c r="J167" s="385"/>
      <c r="K167" s="387">
        <v>1</v>
      </c>
      <c r="L167" s="7"/>
      <c r="M167" s="387">
        <f t="shared" si="5"/>
        <v>0</v>
      </c>
      <c r="N167" s="114">
        <f t="shared" si="6"/>
        <v>0</v>
      </c>
      <c r="O167" s="7"/>
      <c r="P167" s="597"/>
      <c r="Q167" s="598"/>
      <c r="R167" s="7"/>
    </row>
    <row r="168" spans="1:18">
      <c r="A168" s="7"/>
      <c r="B168" s="112"/>
      <c r="C168" s="112"/>
      <c r="D168" s="112"/>
      <c r="E168" s="112"/>
      <c r="F168" s="112"/>
      <c r="G168" s="116"/>
      <c r="H168" s="114"/>
      <c r="I168" s="116"/>
      <c r="J168" s="385"/>
      <c r="K168" s="387">
        <v>1</v>
      </c>
      <c r="L168" s="7"/>
      <c r="M168" s="387">
        <f t="shared" si="5"/>
        <v>0</v>
      </c>
      <c r="N168" s="114">
        <f t="shared" si="6"/>
        <v>0</v>
      </c>
      <c r="O168" s="7"/>
      <c r="P168" s="597"/>
      <c r="Q168" s="598"/>
      <c r="R168" s="7"/>
    </row>
    <row r="169" spans="1:18">
      <c r="A169" s="7"/>
      <c r="B169" s="112"/>
      <c r="C169" s="112"/>
      <c r="D169" s="112"/>
      <c r="E169" s="112"/>
      <c r="F169" s="112"/>
      <c r="G169" s="116"/>
      <c r="H169" s="114"/>
      <c r="I169" s="116"/>
      <c r="J169" s="385"/>
      <c r="K169" s="387">
        <v>1</v>
      </c>
      <c r="L169" s="7"/>
      <c r="M169" s="387">
        <f t="shared" si="5"/>
        <v>0</v>
      </c>
      <c r="N169" s="114">
        <f t="shared" si="6"/>
        <v>0</v>
      </c>
      <c r="O169" s="7"/>
      <c r="P169" s="597"/>
      <c r="Q169" s="598"/>
      <c r="R169" s="7"/>
    </row>
    <row r="170" spans="1:18">
      <c r="A170" s="7"/>
      <c r="B170" s="112"/>
      <c r="C170" s="112"/>
      <c r="D170" s="112"/>
      <c r="E170" s="112"/>
      <c r="F170" s="112"/>
      <c r="G170" s="116"/>
      <c r="H170" s="114"/>
      <c r="I170" s="116"/>
      <c r="J170" s="385"/>
      <c r="K170" s="387">
        <v>1</v>
      </c>
      <c r="L170" s="7"/>
      <c r="M170" s="387">
        <f t="shared" si="5"/>
        <v>0</v>
      </c>
      <c r="N170" s="114">
        <f t="shared" si="6"/>
        <v>0</v>
      </c>
      <c r="O170" s="7"/>
      <c r="P170" s="597"/>
      <c r="Q170" s="598"/>
      <c r="R170" s="7"/>
    </row>
    <row r="171" spans="1:18">
      <c r="A171" s="7"/>
      <c r="B171" s="112"/>
      <c r="C171" s="112"/>
      <c r="D171" s="112"/>
      <c r="E171" s="112"/>
      <c r="F171" s="112"/>
      <c r="G171" s="116"/>
      <c r="H171" s="114"/>
      <c r="I171" s="116"/>
      <c r="J171" s="385"/>
      <c r="K171" s="387">
        <v>1</v>
      </c>
      <c r="L171" s="7"/>
      <c r="M171" s="387">
        <f t="shared" si="5"/>
        <v>0</v>
      </c>
      <c r="N171" s="114">
        <f t="shared" si="6"/>
        <v>0</v>
      </c>
      <c r="O171" s="7"/>
      <c r="P171" s="597"/>
      <c r="Q171" s="598"/>
      <c r="R171" s="7"/>
    </row>
    <row r="172" spans="1:18">
      <c r="A172" s="7"/>
      <c r="B172" s="112"/>
      <c r="C172" s="112"/>
      <c r="D172" s="112"/>
      <c r="E172" s="112"/>
      <c r="F172" s="112"/>
      <c r="G172" s="116"/>
      <c r="H172" s="114"/>
      <c r="I172" s="116"/>
      <c r="J172" s="385"/>
      <c r="K172" s="387">
        <v>1</v>
      </c>
      <c r="L172" s="7"/>
      <c r="M172" s="387">
        <f t="shared" si="5"/>
        <v>0</v>
      </c>
      <c r="N172" s="114">
        <f t="shared" si="6"/>
        <v>0</v>
      </c>
      <c r="O172" s="7"/>
      <c r="P172" s="597"/>
      <c r="Q172" s="598"/>
      <c r="R172" s="7"/>
    </row>
    <row r="173" spans="1:18">
      <c r="A173" s="7"/>
      <c r="B173" s="112"/>
      <c r="C173" s="112"/>
      <c r="D173" s="112"/>
      <c r="E173" s="112"/>
      <c r="F173" s="112"/>
      <c r="G173" s="116"/>
      <c r="H173" s="114"/>
      <c r="I173" s="116"/>
      <c r="J173" s="385"/>
      <c r="K173" s="387">
        <v>1</v>
      </c>
      <c r="L173" s="7"/>
      <c r="M173" s="387">
        <f t="shared" si="5"/>
        <v>0</v>
      </c>
      <c r="N173" s="114">
        <f t="shared" si="6"/>
        <v>0</v>
      </c>
      <c r="O173" s="7"/>
      <c r="P173" s="597"/>
      <c r="Q173" s="598"/>
      <c r="R173" s="7"/>
    </row>
    <row r="174" spans="1:18">
      <c r="A174" s="7"/>
      <c r="B174" s="112"/>
      <c r="C174" s="112"/>
      <c r="D174" s="112"/>
      <c r="E174" s="112"/>
      <c r="F174" s="112"/>
      <c r="G174" s="116"/>
      <c r="H174" s="114"/>
      <c r="I174" s="116"/>
      <c r="J174" s="385"/>
      <c r="K174" s="387">
        <v>1</v>
      </c>
      <c r="L174" s="7"/>
      <c r="M174" s="387">
        <f t="shared" si="5"/>
        <v>0</v>
      </c>
      <c r="N174" s="114">
        <f t="shared" si="6"/>
        <v>0</v>
      </c>
      <c r="O174" s="7"/>
      <c r="P174" s="597"/>
      <c r="Q174" s="598"/>
      <c r="R174" s="7"/>
    </row>
    <row r="175" spans="1:18">
      <c r="A175" s="7"/>
      <c r="B175" s="112"/>
      <c r="C175" s="112"/>
      <c r="D175" s="112"/>
      <c r="E175" s="112"/>
      <c r="F175" s="112"/>
      <c r="G175" s="116"/>
      <c r="H175" s="114"/>
      <c r="I175" s="116"/>
      <c r="J175" s="385"/>
      <c r="K175" s="387">
        <v>1</v>
      </c>
      <c r="L175" s="7"/>
      <c r="M175" s="387">
        <f t="shared" si="5"/>
        <v>0</v>
      </c>
      <c r="N175" s="114">
        <f t="shared" si="6"/>
        <v>0</v>
      </c>
      <c r="O175" s="7"/>
      <c r="P175" s="597"/>
      <c r="Q175" s="598"/>
      <c r="R175" s="7"/>
    </row>
    <row r="176" spans="1:18">
      <c r="A176" s="7"/>
      <c r="B176" s="7"/>
      <c r="C176" s="7"/>
      <c r="D176" s="7"/>
      <c r="E176" s="7"/>
      <c r="F176" s="7"/>
      <c r="G176" s="7"/>
      <c r="H176" s="7"/>
      <c r="I176" s="7"/>
      <c r="J176" s="7"/>
      <c r="K176" s="388" t="s">
        <v>35</v>
      </c>
      <c r="L176" s="7"/>
      <c r="M176" s="7"/>
      <c r="N176" s="115">
        <f>SUM(N16:N175)</f>
        <v>0</v>
      </c>
      <c r="O176" s="7"/>
      <c r="P176" s="599"/>
      <c r="Q176" s="600"/>
      <c r="R176" s="7"/>
    </row>
    <row r="177" spans="1:18">
      <c r="A177" s="7"/>
      <c r="B177" s="7"/>
      <c r="C177" s="7"/>
      <c r="D177" s="7"/>
      <c r="E177" s="7"/>
      <c r="F177" s="7"/>
      <c r="G177" s="7"/>
      <c r="H177" s="7"/>
      <c r="I177" s="7"/>
      <c r="J177" s="7"/>
      <c r="K177" s="7"/>
      <c r="L177" s="7"/>
      <c r="M177" s="7"/>
      <c r="N177" s="7"/>
      <c r="O177" s="7"/>
      <c r="P177" s="7"/>
      <c r="Q177" s="7"/>
      <c r="R177" s="7"/>
    </row>
    <row r="178" spans="1:18" ht="10.9" customHeight="1">
      <c r="P178" s="389"/>
      <c r="Q178" s="389"/>
    </row>
    <row r="179" spans="1:18" ht="13.9" customHeight="1">
      <c r="A179" s="7"/>
      <c r="B179" s="7"/>
      <c r="C179" s="7"/>
      <c r="D179" s="7"/>
      <c r="E179" s="7"/>
      <c r="F179" s="7"/>
      <c r="G179" s="7"/>
      <c r="H179" s="7"/>
      <c r="I179" s="7"/>
      <c r="J179" s="7"/>
      <c r="K179" s="7"/>
      <c r="L179" s="7"/>
      <c r="M179" s="7"/>
      <c r="N179" s="7"/>
      <c r="O179" s="7"/>
      <c r="P179" s="7"/>
      <c r="Q179" s="7"/>
      <c r="R179" s="7"/>
    </row>
    <row r="180" spans="1:18" ht="21">
      <c r="A180" s="7"/>
      <c r="B180" s="382" t="s">
        <v>58</v>
      </c>
      <c r="C180" s="382"/>
      <c r="D180" s="382"/>
      <c r="E180" s="382"/>
      <c r="F180" s="382"/>
      <c r="G180" s="382"/>
      <c r="H180" s="382"/>
      <c r="I180" s="382"/>
      <c r="J180" s="382"/>
      <c r="K180" s="382"/>
      <c r="L180" s="382"/>
      <c r="M180" s="382"/>
      <c r="N180" s="382"/>
      <c r="O180" s="382"/>
      <c r="P180" s="382"/>
      <c r="Q180" s="382"/>
      <c r="R180" s="7"/>
    </row>
    <row r="181" spans="1:18" ht="13.9" customHeight="1">
      <c r="A181" s="7"/>
      <c r="B181" s="7"/>
      <c r="C181" s="7"/>
      <c r="D181" s="7"/>
      <c r="E181" s="7"/>
      <c r="F181" s="7"/>
      <c r="G181" s="7"/>
      <c r="H181" s="7"/>
      <c r="I181" s="7"/>
      <c r="J181" s="7"/>
      <c r="K181" s="7"/>
      <c r="L181" s="7"/>
      <c r="M181" s="7"/>
      <c r="N181" s="7"/>
      <c r="O181" s="7"/>
      <c r="P181" s="7"/>
      <c r="Q181" s="7"/>
      <c r="R181" s="7"/>
    </row>
    <row r="182" spans="1:18" ht="15" customHeight="1">
      <c r="A182" s="7"/>
      <c r="B182" s="383" t="s">
        <v>419</v>
      </c>
      <c r="C182" s="383" t="s">
        <v>417</v>
      </c>
      <c r="D182" s="383" t="s">
        <v>420</v>
      </c>
      <c r="E182" s="383" t="s">
        <v>421</v>
      </c>
      <c r="F182" s="383" t="s">
        <v>408</v>
      </c>
      <c r="G182" s="383" t="s">
        <v>423</v>
      </c>
      <c r="H182" s="383" t="s">
        <v>424</v>
      </c>
      <c r="I182" s="383" t="s">
        <v>1015</v>
      </c>
      <c r="J182" s="383" t="s">
        <v>1016</v>
      </c>
      <c r="K182" s="383" t="s">
        <v>1017</v>
      </c>
      <c r="L182" s="7"/>
      <c r="M182" s="383" t="s">
        <v>424</v>
      </c>
      <c r="N182" s="383" t="s">
        <v>425</v>
      </c>
      <c r="O182" s="7"/>
      <c r="P182" s="595" t="s">
        <v>1021</v>
      </c>
      <c r="Q182" s="596"/>
      <c r="R182" s="7"/>
    </row>
    <row r="183" spans="1:18" ht="15" customHeight="1">
      <c r="A183" s="7"/>
      <c r="B183" s="112" t="str" cm="1">
        <f t="array" ref="B183">_xlfn._xlws.FILTER(OtherCosts!B:B,(OtherCosts!A:A&lt;&gt;"")*(OtherCosts!B:B="Vendor"),"")</f>
        <v/>
      </c>
      <c r="C183" s="112" t="str" cm="1">
        <f t="array" ref="C183">_xlfn._xlws.FILTER(OtherCosts!U:U,(OtherCosts!A:A&lt;&gt;"")*(OtherCosts!B:B="Vendor"),"")</f>
        <v/>
      </c>
      <c r="D183" s="112" t="str" cm="1">
        <f t="array" ref="D183">_xlfn._xlws.FILTER(OtherCosts!C:C,(OtherCosts!A:A&lt;&gt;"")*(OtherCosts!B:B="Vendor"),"")</f>
        <v/>
      </c>
      <c r="E183" s="112" t="str" cm="1">
        <f t="array" ref="E183">_xlfn._xlws.FILTER(OtherCosts!D:D,(OtherCosts!A:A&lt;&gt;"")*(OtherCosts!B:B="Vendor"),"")</f>
        <v/>
      </c>
      <c r="F183" s="112" t="str" cm="1">
        <f t="array" ref="F183">_xlfn._xlws.FILTER(OtherCosts!F:F,(OtherCosts!A:A&lt;&gt;"")*(OtherCosts!B:B="Vendor"),"")</f>
        <v/>
      </c>
      <c r="G183" s="116" t="str" cm="1">
        <f t="array" ref="G183">_xlfn._xlws.FILTER(OtherCosts!G:G, (OtherCosts!A:A&lt;&gt;"")*(OtherCosts!B:B="Vendor"),"")</f>
        <v/>
      </c>
      <c r="H183" s="114" t="str" cm="1">
        <f t="array" ref="H183">_xlfn._xlws.FILTER(OtherCosts!H:H, (OtherCosts!A:A&lt;&gt;"")*(OtherCosts!B:B="Vendor"),"")</f>
        <v/>
      </c>
      <c r="I183" s="116" t="str" cm="1">
        <f t="array" ref="I183">_xlfn._xlws.FILTER(OtherCosts!J:J,(OtherCosts!A:A&lt;&gt;"")*(OtherCosts!B:B="Vendor"),"")</f>
        <v/>
      </c>
      <c r="J183" s="385"/>
      <c r="K183" s="387">
        <v>1</v>
      </c>
      <c r="L183" s="7"/>
      <c r="M183" s="387">
        <f t="shared" ref="M183:M188" si="7">IFERROR(H183*K183,0)</f>
        <v>0</v>
      </c>
      <c r="N183" s="114">
        <f>IFERROR(G183*M183,0)</f>
        <v>0</v>
      </c>
      <c r="O183" s="7"/>
      <c r="P183" s="597"/>
      <c r="Q183" s="598"/>
      <c r="R183" s="7"/>
    </row>
    <row r="184" spans="1:18" ht="15" customHeight="1">
      <c r="A184" s="7"/>
      <c r="B184" s="117"/>
      <c r="C184" s="117"/>
      <c r="D184" s="117"/>
      <c r="E184" s="117"/>
      <c r="F184" s="117"/>
      <c r="G184" s="113"/>
      <c r="H184" s="114"/>
      <c r="I184" s="113"/>
      <c r="J184" s="385"/>
      <c r="K184" s="387">
        <v>1</v>
      </c>
      <c r="L184" s="7"/>
      <c r="M184" s="387">
        <f t="shared" si="7"/>
        <v>0</v>
      </c>
      <c r="N184" s="114">
        <f t="shared" ref="N184:N247" si="8">IFERROR(G184*M184,0)</f>
        <v>0</v>
      </c>
      <c r="O184" s="7"/>
      <c r="P184" s="597"/>
      <c r="Q184" s="598"/>
      <c r="R184" s="7"/>
    </row>
    <row r="185" spans="1:18" ht="15" customHeight="1">
      <c r="A185" s="7"/>
      <c r="B185" s="117"/>
      <c r="C185" s="117"/>
      <c r="D185" s="117"/>
      <c r="E185" s="117"/>
      <c r="F185" s="117"/>
      <c r="G185" s="113"/>
      <c r="H185" s="114"/>
      <c r="I185" s="113"/>
      <c r="J185" s="385"/>
      <c r="K185" s="387">
        <v>1</v>
      </c>
      <c r="L185" s="7"/>
      <c r="M185" s="387">
        <f t="shared" si="7"/>
        <v>0</v>
      </c>
      <c r="N185" s="114">
        <f t="shared" si="8"/>
        <v>0</v>
      </c>
      <c r="O185" s="7"/>
      <c r="P185" s="597"/>
      <c r="Q185" s="598"/>
      <c r="R185" s="7"/>
    </row>
    <row r="186" spans="1:18" ht="15" customHeight="1">
      <c r="A186" s="7"/>
      <c r="B186" s="117"/>
      <c r="C186" s="117"/>
      <c r="D186" s="117"/>
      <c r="E186" s="117"/>
      <c r="F186" s="117"/>
      <c r="G186" s="113"/>
      <c r="H186" s="114"/>
      <c r="I186" s="113"/>
      <c r="J186" s="385"/>
      <c r="K186" s="387">
        <v>1</v>
      </c>
      <c r="L186" s="7"/>
      <c r="M186" s="387">
        <f t="shared" si="7"/>
        <v>0</v>
      </c>
      <c r="N186" s="114">
        <f t="shared" si="8"/>
        <v>0</v>
      </c>
      <c r="O186" s="7"/>
      <c r="P186" s="597"/>
      <c r="Q186" s="598"/>
      <c r="R186" s="7"/>
    </row>
    <row r="187" spans="1:18" ht="15" customHeight="1">
      <c r="A187" s="7"/>
      <c r="B187" s="117"/>
      <c r="C187" s="117"/>
      <c r="D187" s="117"/>
      <c r="E187" s="117"/>
      <c r="F187" s="117"/>
      <c r="G187" s="113"/>
      <c r="H187" s="114"/>
      <c r="I187" s="113"/>
      <c r="J187" s="385"/>
      <c r="K187" s="387">
        <v>1</v>
      </c>
      <c r="L187" s="7"/>
      <c r="M187" s="387">
        <f t="shared" si="7"/>
        <v>0</v>
      </c>
      <c r="N187" s="114">
        <f t="shared" si="8"/>
        <v>0</v>
      </c>
      <c r="O187" s="7"/>
      <c r="P187" s="597"/>
      <c r="Q187" s="598"/>
      <c r="R187" s="7"/>
    </row>
    <row r="188" spans="1:18" ht="15" customHeight="1">
      <c r="A188" s="7"/>
      <c r="B188" s="117"/>
      <c r="C188" s="117"/>
      <c r="D188" s="117"/>
      <c r="E188" s="117"/>
      <c r="F188" s="117"/>
      <c r="G188" s="113"/>
      <c r="H188" s="114"/>
      <c r="I188" s="113"/>
      <c r="J188" s="385"/>
      <c r="K188" s="387">
        <v>1</v>
      </c>
      <c r="L188" s="7"/>
      <c r="M188" s="387">
        <f t="shared" si="7"/>
        <v>0</v>
      </c>
      <c r="N188" s="114">
        <f t="shared" si="8"/>
        <v>0</v>
      </c>
      <c r="O188" s="7"/>
      <c r="P188" s="597"/>
      <c r="Q188" s="598"/>
      <c r="R188" s="7"/>
    </row>
    <row r="189" spans="1:18" ht="15" customHeight="1">
      <c r="A189" s="7"/>
      <c r="B189" s="117"/>
      <c r="C189" s="117"/>
      <c r="D189" s="117"/>
      <c r="E189" s="117"/>
      <c r="F189" s="117"/>
      <c r="G189" s="113"/>
      <c r="H189" s="114"/>
      <c r="I189" s="113"/>
      <c r="J189" s="385"/>
      <c r="K189" s="387">
        <v>1</v>
      </c>
      <c r="L189" s="7"/>
      <c r="M189" s="387">
        <f t="shared" ref="M189:M247" si="9">IFERROR(H189*K189,0)</f>
        <v>0</v>
      </c>
      <c r="N189" s="114">
        <f t="shared" si="8"/>
        <v>0</v>
      </c>
      <c r="O189" s="7"/>
      <c r="P189" s="597"/>
      <c r="Q189" s="598"/>
      <c r="R189" s="7"/>
    </row>
    <row r="190" spans="1:18" ht="15" customHeight="1">
      <c r="A190" s="7"/>
      <c r="B190" s="117"/>
      <c r="C190" s="117"/>
      <c r="D190" s="117"/>
      <c r="E190" s="117"/>
      <c r="F190" s="117"/>
      <c r="G190" s="113"/>
      <c r="H190" s="114"/>
      <c r="I190" s="113"/>
      <c r="J190" s="385"/>
      <c r="K190" s="387">
        <v>1</v>
      </c>
      <c r="L190" s="7"/>
      <c r="M190" s="387">
        <f t="shared" si="9"/>
        <v>0</v>
      </c>
      <c r="N190" s="114">
        <f t="shared" si="8"/>
        <v>0</v>
      </c>
      <c r="O190" s="7"/>
      <c r="P190" s="597"/>
      <c r="Q190" s="598"/>
      <c r="R190" s="7"/>
    </row>
    <row r="191" spans="1:18" ht="15" customHeight="1">
      <c r="A191" s="7"/>
      <c r="B191" s="117"/>
      <c r="C191" s="117"/>
      <c r="D191" s="117"/>
      <c r="E191" s="117"/>
      <c r="F191" s="117"/>
      <c r="G191" s="113"/>
      <c r="H191" s="114"/>
      <c r="I191" s="113"/>
      <c r="J191" s="385"/>
      <c r="K191" s="387">
        <v>1</v>
      </c>
      <c r="L191" s="7"/>
      <c r="M191" s="387">
        <f t="shared" si="9"/>
        <v>0</v>
      </c>
      <c r="N191" s="114">
        <f t="shared" si="8"/>
        <v>0</v>
      </c>
      <c r="O191" s="7"/>
      <c r="P191" s="597"/>
      <c r="Q191" s="598"/>
      <c r="R191" s="7"/>
    </row>
    <row r="192" spans="1:18" ht="15" customHeight="1">
      <c r="A192" s="7"/>
      <c r="B192" s="117"/>
      <c r="C192" s="117"/>
      <c r="D192" s="117"/>
      <c r="E192" s="117"/>
      <c r="F192" s="117"/>
      <c r="G192" s="113"/>
      <c r="H192" s="114"/>
      <c r="I192" s="113"/>
      <c r="J192" s="385"/>
      <c r="K192" s="387">
        <v>1</v>
      </c>
      <c r="L192" s="7"/>
      <c r="M192" s="387">
        <f t="shared" si="9"/>
        <v>0</v>
      </c>
      <c r="N192" s="114">
        <f t="shared" si="8"/>
        <v>0</v>
      </c>
      <c r="O192" s="7"/>
      <c r="P192" s="597"/>
      <c r="Q192" s="598"/>
      <c r="R192" s="7"/>
    </row>
    <row r="193" spans="1:18" ht="15" customHeight="1">
      <c r="A193" s="7"/>
      <c r="B193" s="117"/>
      <c r="C193" s="117"/>
      <c r="D193" s="117"/>
      <c r="E193" s="117"/>
      <c r="F193" s="117"/>
      <c r="G193" s="113"/>
      <c r="H193" s="114"/>
      <c r="I193" s="113"/>
      <c r="J193" s="385"/>
      <c r="K193" s="387">
        <v>1</v>
      </c>
      <c r="L193" s="7"/>
      <c r="M193" s="387">
        <f t="shared" si="9"/>
        <v>0</v>
      </c>
      <c r="N193" s="114">
        <f t="shared" si="8"/>
        <v>0</v>
      </c>
      <c r="O193" s="7"/>
      <c r="P193" s="597"/>
      <c r="Q193" s="598"/>
      <c r="R193" s="7"/>
    </row>
    <row r="194" spans="1:18" ht="15" customHeight="1">
      <c r="A194" s="7"/>
      <c r="B194" s="117"/>
      <c r="C194" s="117"/>
      <c r="D194" s="117"/>
      <c r="E194" s="117"/>
      <c r="F194" s="117"/>
      <c r="G194" s="113"/>
      <c r="H194" s="114"/>
      <c r="I194" s="113"/>
      <c r="J194" s="385"/>
      <c r="K194" s="387">
        <v>1</v>
      </c>
      <c r="L194" s="7"/>
      <c r="M194" s="387">
        <f t="shared" si="9"/>
        <v>0</v>
      </c>
      <c r="N194" s="114">
        <f t="shared" si="8"/>
        <v>0</v>
      </c>
      <c r="O194" s="7"/>
      <c r="P194" s="597"/>
      <c r="Q194" s="598"/>
      <c r="R194" s="7"/>
    </row>
    <row r="195" spans="1:18" ht="15" customHeight="1">
      <c r="A195" s="7"/>
      <c r="B195" s="117"/>
      <c r="C195" s="117"/>
      <c r="D195" s="117"/>
      <c r="E195" s="117"/>
      <c r="F195" s="117"/>
      <c r="G195" s="113"/>
      <c r="H195" s="114"/>
      <c r="I195" s="113"/>
      <c r="J195" s="385"/>
      <c r="K195" s="387">
        <v>1</v>
      </c>
      <c r="L195" s="7"/>
      <c r="M195" s="387">
        <f t="shared" si="9"/>
        <v>0</v>
      </c>
      <c r="N195" s="114">
        <f t="shared" si="8"/>
        <v>0</v>
      </c>
      <c r="O195" s="7"/>
      <c r="P195" s="597"/>
      <c r="Q195" s="598"/>
      <c r="R195" s="7"/>
    </row>
    <row r="196" spans="1:18" ht="15" customHeight="1">
      <c r="A196" s="7"/>
      <c r="B196" s="117"/>
      <c r="C196" s="117"/>
      <c r="D196" s="117"/>
      <c r="E196" s="117"/>
      <c r="F196" s="117"/>
      <c r="G196" s="113"/>
      <c r="H196" s="114"/>
      <c r="I196" s="113"/>
      <c r="J196" s="385"/>
      <c r="K196" s="387">
        <v>1</v>
      </c>
      <c r="L196" s="7"/>
      <c r="M196" s="387">
        <f t="shared" si="9"/>
        <v>0</v>
      </c>
      <c r="N196" s="114">
        <f t="shared" si="8"/>
        <v>0</v>
      </c>
      <c r="O196" s="7"/>
      <c r="P196" s="597"/>
      <c r="Q196" s="598"/>
      <c r="R196" s="7"/>
    </row>
    <row r="197" spans="1:18" ht="15" customHeight="1">
      <c r="A197" s="7"/>
      <c r="B197" s="117"/>
      <c r="C197" s="117"/>
      <c r="D197" s="117"/>
      <c r="E197" s="117"/>
      <c r="F197" s="117"/>
      <c r="G197" s="113"/>
      <c r="H197" s="114"/>
      <c r="I197" s="113"/>
      <c r="J197" s="385"/>
      <c r="K197" s="387">
        <v>1</v>
      </c>
      <c r="L197" s="7"/>
      <c r="M197" s="387">
        <f t="shared" si="9"/>
        <v>0</v>
      </c>
      <c r="N197" s="114">
        <f t="shared" si="8"/>
        <v>0</v>
      </c>
      <c r="O197" s="7"/>
      <c r="P197" s="597"/>
      <c r="Q197" s="598"/>
      <c r="R197" s="7"/>
    </row>
    <row r="198" spans="1:18" ht="15" customHeight="1">
      <c r="A198" s="7"/>
      <c r="B198" s="117"/>
      <c r="C198" s="117"/>
      <c r="D198" s="117"/>
      <c r="E198" s="117"/>
      <c r="F198" s="117"/>
      <c r="G198" s="113"/>
      <c r="H198" s="114"/>
      <c r="I198" s="113"/>
      <c r="J198" s="385"/>
      <c r="K198" s="387">
        <v>1</v>
      </c>
      <c r="L198" s="7"/>
      <c r="M198" s="387">
        <f t="shared" si="9"/>
        <v>0</v>
      </c>
      <c r="N198" s="114">
        <f t="shared" si="8"/>
        <v>0</v>
      </c>
      <c r="O198" s="7"/>
      <c r="P198" s="597"/>
      <c r="Q198" s="598"/>
      <c r="R198" s="7"/>
    </row>
    <row r="199" spans="1:18" ht="15" customHeight="1">
      <c r="A199" s="7"/>
      <c r="B199" s="117"/>
      <c r="C199" s="117"/>
      <c r="D199" s="117"/>
      <c r="E199" s="117"/>
      <c r="F199" s="117"/>
      <c r="G199" s="113"/>
      <c r="H199" s="114"/>
      <c r="I199" s="113"/>
      <c r="J199" s="385"/>
      <c r="K199" s="387">
        <v>1</v>
      </c>
      <c r="L199" s="7"/>
      <c r="M199" s="387">
        <f t="shared" si="9"/>
        <v>0</v>
      </c>
      <c r="N199" s="114">
        <f t="shared" si="8"/>
        <v>0</v>
      </c>
      <c r="O199" s="7"/>
      <c r="P199" s="597"/>
      <c r="Q199" s="598"/>
      <c r="R199" s="7"/>
    </row>
    <row r="200" spans="1:18" ht="15" customHeight="1">
      <c r="A200" s="7"/>
      <c r="B200" s="117"/>
      <c r="C200" s="117"/>
      <c r="D200" s="117"/>
      <c r="E200" s="117"/>
      <c r="F200" s="117"/>
      <c r="G200" s="113"/>
      <c r="H200" s="114"/>
      <c r="I200" s="113"/>
      <c r="J200" s="385"/>
      <c r="K200" s="387">
        <v>1</v>
      </c>
      <c r="L200" s="7"/>
      <c r="M200" s="387">
        <f t="shared" si="9"/>
        <v>0</v>
      </c>
      <c r="N200" s="114">
        <f t="shared" si="8"/>
        <v>0</v>
      </c>
      <c r="O200" s="7"/>
      <c r="P200" s="597"/>
      <c r="Q200" s="598"/>
      <c r="R200" s="7"/>
    </row>
    <row r="201" spans="1:18" ht="15" customHeight="1">
      <c r="A201" s="7"/>
      <c r="B201" s="117"/>
      <c r="C201" s="117"/>
      <c r="D201" s="117"/>
      <c r="E201" s="117"/>
      <c r="F201" s="117"/>
      <c r="G201" s="113"/>
      <c r="H201" s="114"/>
      <c r="I201" s="113"/>
      <c r="J201" s="385"/>
      <c r="K201" s="387">
        <v>1</v>
      </c>
      <c r="L201" s="7"/>
      <c r="M201" s="387">
        <f t="shared" si="9"/>
        <v>0</v>
      </c>
      <c r="N201" s="114">
        <f t="shared" si="8"/>
        <v>0</v>
      </c>
      <c r="O201" s="7"/>
      <c r="P201" s="597"/>
      <c r="Q201" s="598"/>
      <c r="R201" s="7"/>
    </row>
    <row r="202" spans="1:18" ht="15" customHeight="1">
      <c r="A202" s="7"/>
      <c r="B202" s="117"/>
      <c r="C202" s="117"/>
      <c r="D202" s="117"/>
      <c r="E202" s="117"/>
      <c r="F202" s="117"/>
      <c r="G202" s="113"/>
      <c r="H202" s="114"/>
      <c r="I202" s="113"/>
      <c r="J202" s="385"/>
      <c r="K202" s="387">
        <v>1</v>
      </c>
      <c r="L202" s="7"/>
      <c r="M202" s="387">
        <f t="shared" si="9"/>
        <v>0</v>
      </c>
      <c r="N202" s="114">
        <f t="shared" si="8"/>
        <v>0</v>
      </c>
      <c r="O202" s="7"/>
      <c r="P202" s="597"/>
      <c r="Q202" s="598"/>
      <c r="R202" s="7"/>
    </row>
    <row r="203" spans="1:18" ht="15" customHeight="1">
      <c r="A203" s="7"/>
      <c r="B203" s="117"/>
      <c r="C203" s="117"/>
      <c r="D203" s="117"/>
      <c r="E203" s="117"/>
      <c r="F203" s="117"/>
      <c r="G203" s="113"/>
      <c r="H203" s="114"/>
      <c r="I203" s="113"/>
      <c r="J203" s="385"/>
      <c r="K203" s="387">
        <v>1</v>
      </c>
      <c r="L203" s="7"/>
      <c r="M203" s="387">
        <f t="shared" si="9"/>
        <v>0</v>
      </c>
      <c r="N203" s="114">
        <f t="shared" si="8"/>
        <v>0</v>
      </c>
      <c r="O203" s="7"/>
      <c r="P203" s="597"/>
      <c r="Q203" s="598"/>
      <c r="R203" s="7"/>
    </row>
    <row r="204" spans="1:18" ht="15" customHeight="1">
      <c r="A204" s="7"/>
      <c r="B204" s="117"/>
      <c r="C204" s="117"/>
      <c r="D204" s="117"/>
      <c r="E204" s="117"/>
      <c r="F204" s="117"/>
      <c r="G204" s="113"/>
      <c r="H204" s="114"/>
      <c r="I204" s="113"/>
      <c r="J204" s="385"/>
      <c r="K204" s="387">
        <v>1</v>
      </c>
      <c r="L204" s="7"/>
      <c r="M204" s="387">
        <f t="shared" si="9"/>
        <v>0</v>
      </c>
      <c r="N204" s="114">
        <f t="shared" si="8"/>
        <v>0</v>
      </c>
      <c r="O204" s="7"/>
      <c r="P204" s="597"/>
      <c r="Q204" s="598"/>
      <c r="R204" s="7"/>
    </row>
    <row r="205" spans="1:18" ht="15" customHeight="1">
      <c r="A205" s="7"/>
      <c r="B205" s="117"/>
      <c r="C205" s="117"/>
      <c r="D205" s="117"/>
      <c r="E205" s="117"/>
      <c r="F205" s="117"/>
      <c r="G205" s="113"/>
      <c r="H205" s="114"/>
      <c r="I205" s="113"/>
      <c r="J205" s="385"/>
      <c r="K205" s="387">
        <v>1</v>
      </c>
      <c r="L205" s="7"/>
      <c r="M205" s="387">
        <f t="shared" si="9"/>
        <v>0</v>
      </c>
      <c r="N205" s="114">
        <f t="shared" si="8"/>
        <v>0</v>
      </c>
      <c r="O205" s="7"/>
      <c r="P205" s="597"/>
      <c r="Q205" s="598"/>
      <c r="R205" s="7"/>
    </row>
    <row r="206" spans="1:18" ht="15" customHeight="1">
      <c r="A206" s="7"/>
      <c r="B206" s="117"/>
      <c r="C206" s="117"/>
      <c r="D206" s="117"/>
      <c r="E206" s="117"/>
      <c r="F206" s="117"/>
      <c r="G206" s="113"/>
      <c r="H206" s="114"/>
      <c r="I206" s="113"/>
      <c r="J206" s="385"/>
      <c r="K206" s="387">
        <v>1</v>
      </c>
      <c r="L206" s="7"/>
      <c r="M206" s="387">
        <f t="shared" si="9"/>
        <v>0</v>
      </c>
      <c r="N206" s="114">
        <f t="shared" si="8"/>
        <v>0</v>
      </c>
      <c r="O206" s="7"/>
      <c r="P206" s="597"/>
      <c r="Q206" s="598"/>
      <c r="R206" s="7"/>
    </row>
    <row r="207" spans="1:18" ht="15" customHeight="1">
      <c r="A207" s="7"/>
      <c r="B207" s="117"/>
      <c r="C207" s="117"/>
      <c r="D207" s="117"/>
      <c r="E207" s="117"/>
      <c r="F207" s="117"/>
      <c r="G207" s="113"/>
      <c r="H207" s="114"/>
      <c r="I207" s="113"/>
      <c r="J207" s="385"/>
      <c r="K207" s="387">
        <v>1</v>
      </c>
      <c r="L207" s="7"/>
      <c r="M207" s="387">
        <f t="shared" si="9"/>
        <v>0</v>
      </c>
      <c r="N207" s="114">
        <f t="shared" si="8"/>
        <v>0</v>
      </c>
      <c r="O207" s="7"/>
      <c r="P207" s="597"/>
      <c r="Q207" s="598"/>
      <c r="R207" s="7"/>
    </row>
    <row r="208" spans="1:18" ht="15" customHeight="1">
      <c r="A208" s="7"/>
      <c r="B208" s="117"/>
      <c r="C208" s="117"/>
      <c r="D208" s="117"/>
      <c r="E208" s="117"/>
      <c r="F208" s="117"/>
      <c r="G208" s="113"/>
      <c r="H208" s="114"/>
      <c r="I208" s="113"/>
      <c r="J208" s="385"/>
      <c r="K208" s="387">
        <v>1</v>
      </c>
      <c r="L208" s="7"/>
      <c r="M208" s="387">
        <f t="shared" si="9"/>
        <v>0</v>
      </c>
      <c r="N208" s="114">
        <f t="shared" si="8"/>
        <v>0</v>
      </c>
      <c r="O208" s="7"/>
      <c r="P208" s="597"/>
      <c r="Q208" s="598"/>
      <c r="R208" s="7"/>
    </row>
    <row r="209" spans="1:18" ht="15" customHeight="1">
      <c r="A209" s="7"/>
      <c r="B209" s="117"/>
      <c r="C209" s="117"/>
      <c r="D209" s="117"/>
      <c r="E209" s="117"/>
      <c r="F209" s="117"/>
      <c r="G209" s="113"/>
      <c r="H209" s="114"/>
      <c r="I209" s="113"/>
      <c r="J209" s="385"/>
      <c r="K209" s="387">
        <v>1</v>
      </c>
      <c r="L209" s="7"/>
      <c r="M209" s="387">
        <f t="shared" si="9"/>
        <v>0</v>
      </c>
      <c r="N209" s="114">
        <f t="shared" si="8"/>
        <v>0</v>
      </c>
      <c r="O209" s="7"/>
      <c r="P209" s="597"/>
      <c r="Q209" s="598"/>
      <c r="R209" s="7"/>
    </row>
    <row r="210" spans="1:18" ht="15" customHeight="1">
      <c r="A210" s="7"/>
      <c r="B210" s="117"/>
      <c r="C210" s="117"/>
      <c r="D210" s="117"/>
      <c r="E210" s="117"/>
      <c r="F210" s="117"/>
      <c r="G210" s="113"/>
      <c r="H210" s="114"/>
      <c r="I210" s="113"/>
      <c r="J210" s="385"/>
      <c r="K210" s="387">
        <v>1</v>
      </c>
      <c r="L210" s="7"/>
      <c r="M210" s="387">
        <f t="shared" si="9"/>
        <v>0</v>
      </c>
      <c r="N210" s="114">
        <f t="shared" si="8"/>
        <v>0</v>
      </c>
      <c r="O210" s="7"/>
      <c r="P210" s="597"/>
      <c r="Q210" s="598"/>
      <c r="R210" s="7"/>
    </row>
    <row r="211" spans="1:18" ht="15" customHeight="1">
      <c r="A211" s="7"/>
      <c r="B211" s="117"/>
      <c r="C211" s="117"/>
      <c r="D211" s="117"/>
      <c r="E211" s="117"/>
      <c r="F211" s="117"/>
      <c r="G211" s="113"/>
      <c r="H211" s="114"/>
      <c r="I211" s="113"/>
      <c r="J211" s="385"/>
      <c r="K211" s="387">
        <v>1</v>
      </c>
      <c r="L211" s="7"/>
      <c r="M211" s="387">
        <f t="shared" si="9"/>
        <v>0</v>
      </c>
      <c r="N211" s="114">
        <f t="shared" si="8"/>
        <v>0</v>
      </c>
      <c r="O211" s="7"/>
      <c r="P211" s="597"/>
      <c r="Q211" s="598"/>
      <c r="R211" s="7"/>
    </row>
    <row r="212" spans="1:18" ht="15" customHeight="1">
      <c r="A212" s="7"/>
      <c r="B212" s="117"/>
      <c r="C212" s="117"/>
      <c r="D212" s="117"/>
      <c r="E212" s="117"/>
      <c r="F212" s="117"/>
      <c r="G212" s="113"/>
      <c r="H212" s="114"/>
      <c r="I212" s="113"/>
      <c r="J212" s="385"/>
      <c r="K212" s="387">
        <v>1</v>
      </c>
      <c r="L212" s="7"/>
      <c r="M212" s="387">
        <f t="shared" si="9"/>
        <v>0</v>
      </c>
      <c r="N212" s="114">
        <f t="shared" si="8"/>
        <v>0</v>
      </c>
      <c r="O212" s="7"/>
      <c r="P212" s="597"/>
      <c r="Q212" s="598"/>
      <c r="R212" s="7"/>
    </row>
    <row r="213" spans="1:18" ht="15" customHeight="1">
      <c r="A213" s="7"/>
      <c r="B213" s="117"/>
      <c r="C213" s="117"/>
      <c r="D213" s="117"/>
      <c r="E213" s="117"/>
      <c r="F213" s="117"/>
      <c r="G213" s="113"/>
      <c r="H213" s="114"/>
      <c r="I213" s="113"/>
      <c r="J213" s="385"/>
      <c r="K213" s="387">
        <v>1</v>
      </c>
      <c r="L213" s="7"/>
      <c r="M213" s="387">
        <f t="shared" si="9"/>
        <v>0</v>
      </c>
      <c r="N213" s="114">
        <f t="shared" si="8"/>
        <v>0</v>
      </c>
      <c r="O213" s="7"/>
      <c r="P213" s="597"/>
      <c r="Q213" s="598"/>
      <c r="R213" s="7"/>
    </row>
    <row r="214" spans="1:18" ht="15" customHeight="1">
      <c r="A214" s="7"/>
      <c r="B214" s="117"/>
      <c r="C214" s="117"/>
      <c r="D214" s="117"/>
      <c r="E214" s="117"/>
      <c r="F214" s="117"/>
      <c r="G214" s="113"/>
      <c r="H214" s="114"/>
      <c r="I214" s="113"/>
      <c r="J214" s="385"/>
      <c r="K214" s="387">
        <v>1</v>
      </c>
      <c r="L214" s="7"/>
      <c r="M214" s="387">
        <f t="shared" si="9"/>
        <v>0</v>
      </c>
      <c r="N214" s="114">
        <f t="shared" si="8"/>
        <v>0</v>
      </c>
      <c r="O214" s="7"/>
      <c r="P214" s="597"/>
      <c r="Q214" s="598"/>
      <c r="R214" s="7"/>
    </row>
    <row r="215" spans="1:18" ht="15" customHeight="1">
      <c r="A215" s="7"/>
      <c r="B215" s="117"/>
      <c r="C215" s="117"/>
      <c r="D215" s="117"/>
      <c r="E215" s="117"/>
      <c r="F215" s="117"/>
      <c r="G215" s="113"/>
      <c r="H215" s="114"/>
      <c r="I215" s="113"/>
      <c r="J215" s="385"/>
      <c r="K215" s="387">
        <v>1</v>
      </c>
      <c r="L215" s="7"/>
      <c r="M215" s="387">
        <f t="shared" si="9"/>
        <v>0</v>
      </c>
      <c r="N215" s="114">
        <f t="shared" si="8"/>
        <v>0</v>
      </c>
      <c r="O215" s="7"/>
      <c r="P215" s="597"/>
      <c r="Q215" s="598"/>
      <c r="R215" s="7"/>
    </row>
    <row r="216" spans="1:18" ht="15" customHeight="1">
      <c r="A216" s="7"/>
      <c r="B216" s="117"/>
      <c r="C216" s="117"/>
      <c r="D216" s="117"/>
      <c r="E216" s="117"/>
      <c r="F216" s="117"/>
      <c r="G216" s="113"/>
      <c r="H216" s="114"/>
      <c r="I216" s="113"/>
      <c r="J216" s="385"/>
      <c r="K216" s="387">
        <v>1</v>
      </c>
      <c r="L216" s="7"/>
      <c r="M216" s="387">
        <f t="shared" si="9"/>
        <v>0</v>
      </c>
      <c r="N216" s="114">
        <f t="shared" si="8"/>
        <v>0</v>
      </c>
      <c r="O216" s="7"/>
      <c r="P216" s="597"/>
      <c r="Q216" s="598"/>
      <c r="R216" s="7"/>
    </row>
    <row r="217" spans="1:18" ht="15" customHeight="1">
      <c r="A217" s="7"/>
      <c r="B217" s="117"/>
      <c r="C217" s="117"/>
      <c r="D217" s="117"/>
      <c r="E217" s="117"/>
      <c r="F217" s="117"/>
      <c r="G217" s="113"/>
      <c r="H217" s="114"/>
      <c r="I217" s="113"/>
      <c r="J217" s="385"/>
      <c r="K217" s="387">
        <v>1</v>
      </c>
      <c r="L217" s="7"/>
      <c r="M217" s="387">
        <f t="shared" si="9"/>
        <v>0</v>
      </c>
      <c r="N217" s="114">
        <f t="shared" si="8"/>
        <v>0</v>
      </c>
      <c r="O217" s="7"/>
      <c r="P217" s="597"/>
      <c r="Q217" s="598"/>
      <c r="R217" s="7"/>
    </row>
    <row r="218" spans="1:18" ht="15" customHeight="1">
      <c r="A218" s="7"/>
      <c r="B218" s="117"/>
      <c r="C218" s="117"/>
      <c r="D218" s="117"/>
      <c r="E218" s="117"/>
      <c r="F218" s="117"/>
      <c r="G218" s="113"/>
      <c r="H218" s="114"/>
      <c r="I218" s="113"/>
      <c r="J218" s="385"/>
      <c r="K218" s="387">
        <v>1</v>
      </c>
      <c r="L218" s="7"/>
      <c r="M218" s="387">
        <f t="shared" si="9"/>
        <v>0</v>
      </c>
      <c r="N218" s="114">
        <f t="shared" si="8"/>
        <v>0</v>
      </c>
      <c r="O218" s="7"/>
      <c r="P218" s="597"/>
      <c r="Q218" s="598"/>
      <c r="R218" s="7"/>
    </row>
    <row r="219" spans="1:18" ht="15" customHeight="1">
      <c r="A219" s="7"/>
      <c r="B219" s="117"/>
      <c r="C219" s="117"/>
      <c r="D219" s="117"/>
      <c r="E219" s="117"/>
      <c r="F219" s="117"/>
      <c r="G219" s="113"/>
      <c r="H219" s="114"/>
      <c r="I219" s="113"/>
      <c r="J219" s="385"/>
      <c r="K219" s="387">
        <v>1</v>
      </c>
      <c r="L219" s="7"/>
      <c r="M219" s="387">
        <f t="shared" si="9"/>
        <v>0</v>
      </c>
      <c r="N219" s="114">
        <f t="shared" si="8"/>
        <v>0</v>
      </c>
      <c r="O219" s="7"/>
      <c r="P219" s="597"/>
      <c r="Q219" s="598"/>
      <c r="R219" s="7"/>
    </row>
    <row r="220" spans="1:18" ht="15" customHeight="1">
      <c r="A220" s="7"/>
      <c r="B220" s="117"/>
      <c r="C220" s="117"/>
      <c r="D220" s="117"/>
      <c r="E220" s="117"/>
      <c r="F220" s="117"/>
      <c r="G220" s="113"/>
      <c r="H220" s="114"/>
      <c r="I220" s="113"/>
      <c r="J220" s="385"/>
      <c r="K220" s="387">
        <v>1</v>
      </c>
      <c r="L220" s="7"/>
      <c r="M220" s="387">
        <f t="shared" si="9"/>
        <v>0</v>
      </c>
      <c r="N220" s="114">
        <f t="shared" si="8"/>
        <v>0</v>
      </c>
      <c r="O220" s="7"/>
      <c r="P220" s="597"/>
      <c r="Q220" s="598"/>
      <c r="R220" s="7"/>
    </row>
    <row r="221" spans="1:18" ht="15" customHeight="1">
      <c r="A221" s="7"/>
      <c r="B221" s="117"/>
      <c r="C221" s="117"/>
      <c r="D221" s="117"/>
      <c r="E221" s="117"/>
      <c r="F221" s="117"/>
      <c r="G221" s="113"/>
      <c r="H221" s="114"/>
      <c r="I221" s="113"/>
      <c r="J221" s="385"/>
      <c r="K221" s="387">
        <v>1</v>
      </c>
      <c r="L221" s="7"/>
      <c r="M221" s="387">
        <f t="shared" si="9"/>
        <v>0</v>
      </c>
      <c r="N221" s="114">
        <f t="shared" si="8"/>
        <v>0</v>
      </c>
      <c r="O221" s="7"/>
      <c r="P221" s="597"/>
      <c r="Q221" s="598"/>
      <c r="R221" s="7"/>
    </row>
    <row r="222" spans="1:18" ht="15" customHeight="1">
      <c r="A222" s="7"/>
      <c r="B222" s="117"/>
      <c r="C222" s="117"/>
      <c r="D222" s="117"/>
      <c r="E222" s="117"/>
      <c r="F222" s="117"/>
      <c r="G222" s="113"/>
      <c r="H222" s="114"/>
      <c r="I222" s="113"/>
      <c r="J222" s="385"/>
      <c r="K222" s="387">
        <v>1</v>
      </c>
      <c r="L222" s="7"/>
      <c r="M222" s="387">
        <f t="shared" si="9"/>
        <v>0</v>
      </c>
      <c r="N222" s="114">
        <f t="shared" si="8"/>
        <v>0</v>
      </c>
      <c r="O222" s="7"/>
      <c r="P222" s="597"/>
      <c r="Q222" s="598"/>
      <c r="R222" s="7"/>
    </row>
    <row r="223" spans="1:18" ht="15" customHeight="1">
      <c r="A223" s="7"/>
      <c r="B223" s="117"/>
      <c r="C223" s="117"/>
      <c r="D223" s="117"/>
      <c r="E223" s="117"/>
      <c r="F223" s="117"/>
      <c r="G223" s="113"/>
      <c r="H223" s="114"/>
      <c r="I223" s="113"/>
      <c r="J223" s="385"/>
      <c r="K223" s="387">
        <v>1</v>
      </c>
      <c r="L223" s="7"/>
      <c r="M223" s="387">
        <f t="shared" si="9"/>
        <v>0</v>
      </c>
      <c r="N223" s="114">
        <f t="shared" si="8"/>
        <v>0</v>
      </c>
      <c r="O223" s="7"/>
      <c r="P223" s="597"/>
      <c r="Q223" s="598"/>
      <c r="R223" s="7"/>
    </row>
    <row r="224" spans="1:18" ht="15" customHeight="1">
      <c r="A224" s="7"/>
      <c r="B224" s="117"/>
      <c r="C224" s="117"/>
      <c r="D224" s="117"/>
      <c r="E224" s="117"/>
      <c r="F224" s="117"/>
      <c r="G224" s="113"/>
      <c r="H224" s="114"/>
      <c r="I224" s="113"/>
      <c r="J224" s="385"/>
      <c r="K224" s="387">
        <v>1</v>
      </c>
      <c r="L224" s="7"/>
      <c r="M224" s="387">
        <f t="shared" si="9"/>
        <v>0</v>
      </c>
      <c r="N224" s="114">
        <f t="shared" si="8"/>
        <v>0</v>
      </c>
      <c r="O224" s="7"/>
      <c r="P224" s="597"/>
      <c r="Q224" s="598"/>
      <c r="R224" s="7"/>
    </row>
    <row r="225" spans="1:18" ht="15" customHeight="1">
      <c r="A225" s="7"/>
      <c r="B225" s="117"/>
      <c r="C225" s="117"/>
      <c r="D225" s="117"/>
      <c r="E225" s="117"/>
      <c r="F225" s="117"/>
      <c r="G225" s="113"/>
      <c r="H225" s="114"/>
      <c r="I225" s="113"/>
      <c r="J225" s="385"/>
      <c r="K225" s="387">
        <v>1</v>
      </c>
      <c r="L225" s="7"/>
      <c r="M225" s="387">
        <f t="shared" si="9"/>
        <v>0</v>
      </c>
      <c r="N225" s="114">
        <f t="shared" si="8"/>
        <v>0</v>
      </c>
      <c r="O225" s="7"/>
      <c r="P225" s="597"/>
      <c r="Q225" s="598"/>
      <c r="R225" s="7"/>
    </row>
    <row r="226" spans="1:18" ht="15" customHeight="1">
      <c r="A226" s="7"/>
      <c r="B226" s="117"/>
      <c r="C226" s="117"/>
      <c r="D226" s="117"/>
      <c r="E226" s="117"/>
      <c r="F226" s="117"/>
      <c r="G226" s="113"/>
      <c r="H226" s="114"/>
      <c r="I226" s="113"/>
      <c r="J226" s="385"/>
      <c r="K226" s="387">
        <v>1</v>
      </c>
      <c r="L226" s="7"/>
      <c r="M226" s="387">
        <f t="shared" si="9"/>
        <v>0</v>
      </c>
      <c r="N226" s="114">
        <f t="shared" si="8"/>
        <v>0</v>
      </c>
      <c r="O226" s="7"/>
      <c r="P226" s="597"/>
      <c r="Q226" s="598"/>
      <c r="R226" s="7"/>
    </row>
    <row r="227" spans="1:18" ht="15" customHeight="1">
      <c r="A227" s="7"/>
      <c r="B227" s="117"/>
      <c r="C227" s="117"/>
      <c r="D227" s="117"/>
      <c r="E227" s="117"/>
      <c r="F227" s="117"/>
      <c r="G227" s="113"/>
      <c r="H227" s="114"/>
      <c r="I227" s="113"/>
      <c r="J227" s="385"/>
      <c r="K227" s="387">
        <v>1</v>
      </c>
      <c r="L227" s="7"/>
      <c r="M227" s="387">
        <f t="shared" si="9"/>
        <v>0</v>
      </c>
      <c r="N227" s="114">
        <f t="shared" si="8"/>
        <v>0</v>
      </c>
      <c r="O227" s="7"/>
      <c r="P227" s="597"/>
      <c r="Q227" s="598"/>
      <c r="R227" s="7"/>
    </row>
    <row r="228" spans="1:18" ht="15" customHeight="1">
      <c r="A228" s="7"/>
      <c r="B228" s="117"/>
      <c r="C228" s="117"/>
      <c r="D228" s="117"/>
      <c r="E228" s="117"/>
      <c r="F228" s="117"/>
      <c r="G228" s="113"/>
      <c r="H228" s="114"/>
      <c r="I228" s="113"/>
      <c r="J228" s="385"/>
      <c r="K228" s="387">
        <v>1</v>
      </c>
      <c r="L228" s="7"/>
      <c r="M228" s="387">
        <f t="shared" si="9"/>
        <v>0</v>
      </c>
      <c r="N228" s="114">
        <f t="shared" si="8"/>
        <v>0</v>
      </c>
      <c r="O228" s="7"/>
      <c r="P228" s="597"/>
      <c r="Q228" s="598"/>
      <c r="R228" s="7"/>
    </row>
    <row r="229" spans="1:18" ht="15" customHeight="1">
      <c r="A229" s="7"/>
      <c r="B229" s="117"/>
      <c r="C229" s="117"/>
      <c r="D229" s="117"/>
      <c r="E229" s="117"/>
      <c r="F229" s="117"/>
      <c r="G229" s="113"/>
      <c r="H229" s="114"/>
      <c r="I229" s="113"/>
      <c r="J229" s="385"/>
      <c r="K229" s="387">
        <v>1</v>
      </c>
      <c r="L229" s="7"/>
      <c r="M229" s="387">
        <f t="shared" si="9"/>
        <v>0</v>
      </c>
      <c r="N229" s="114">
        <f t="shared" si="8"/>
        <v>0</v>
      </c>
      <c r="O229" s="7"/>
      <c r="P229" s="597"/>
      <c r="Q229" s="598"/>
      <c r="R229" s="7"/>
    </row>
    <row r="230" spans="1:18" ht="15" customHeight="1">
      <c r="A230" s="7"/>
      <c r="B230" s="117"/>
      <c r="C230" s="117"/>
      <c r="D230" s="117"/>
      <c r="E230" s="117"/>
      <c r="F230" s="117"/>
      <c r="G230" s="113"/>
      <c r="H230" s="114"/>
      <c r="I230" s="113"/>
      <c r="J230" s="385"/>
      <c r="K230" s="387">
        <v>1</v>
      </c>
      <c r="L230" s="7"/>
      <c r="M230" s="387">
        <f t="shared" si="9"/>
        <v>0</v>
      </c>
      <c r="N230" s="114">
        <f t="shared" si="8"/>
        <v>0</v>
      </c>
      <c r="O230" s="7"/>
      <c r="P230" s="597"/>
      <c r="Q230" s="598"/>
      <c r="R230" s="7"/>
    </row>
    <row r="231" spans="1:18" ht="15" customHeight="1">
      <c r="A231" s="7"/>
      <c r="B231" s="117"/>
      <c r="C231" s="117"/>
      <c r="D231" s="117"/>
      <c r="E231" s="117"/>
      <c r="F231" s="117"/>
      <c r="G231" s="113"/>
      <c r="H231" s="114"/>
      <c r="I231" s="113"/>
      <c r="J231" s="385"/>
      <c r="K231" s="387">
        <v>1</v>
      </c>
      <c r="L231" s="7"/>
      <c r="M231" s="387">
        <f t="shared" si="9"/>
        <v>0</v>
      </c>
      <c r="N231" s="114">
        <f t="shared" si="8"/>
        <v>0</v>
      </c>
      <c r="O231" s="7"/>
      <c r="P231" s="597"/>
      <c r="Q231" s="598"/>
      <c r="R231" s="7"/>
    </row>
    <row r="232" spans="1:18" ht="15" customHeight="1">
      <c r="A232" s="7"/>
      <c r="B232" s="117"/>
      <c r="C232" s="117"/>
      <c r="D232" s="117"/>
      <c r="E232" s="117"/>
      <c r="F232" s="117"/>
      <c r="G232" s="113"/>
      <c r="H232" s="114"/>
      <c r="I232" s="113"/>
      <c r="J232" s="385"/>
      <c r="K232" s="387">
        <v>1</v>
      </c>
      <c r="L232" s="7"/>
      <c r="M232" s="387">
        <f t="shared" si="9"/>
        <v>0</v>
      </c>
      <c r="N232" s="114">
        <f t="shared" si="8"/>
        <v>0</v>
      </c>
      <c r="O232" s="7"/>
      <c r="P232" s="597"/>
      <c r="Q232" s="598"/>
      <c r="R232" s="7"/>
    </row>
    <row r="233" spans="1:18" ht="15" customHeight="1">
      <c r="A233" s="7"/>
      <c r="B233" s="117"/>
      <c r="C233" s="117"/>
      <c r="D233" s="117"/>
      <c r="E233" s="117"/>
      <c r="F233" s="117"/>
      <c r="G233" s="113"/>
      <c r="H233" s="114"/>
      <c r="I233" s="113"/>
      <c r="J233" s="385"/>
      <c r="K233" s="387">
        <v>1</v>
      </c>
      <c r="L233" s="7"/>
      <c r="M233" s="387">
        <f t="shared" si="9"/>
        <v>0</v>
      </c>
      <c r="N233" s="114">
        <f t="shared" si="8"/>
        <v>0</v>
      </c>
      <c r="O233" s="7"/>
      <c r="P233" s="597"/>
      <c r="Q233" s="598"/>
      <c r="R233" s="7"/>
    </row>
    <row r="234" spans="1:18" ht="15" customHeight="1">
      <c r="A234" s="7"/>
      <c r="B234" s="117"/>
      <c r="C234" s="117"/>
      <c r="D234" s="117"/>
      <c r="E234" s="117"/>
      <c r="F234" s="117"/>
      <c r="G234" s="113"/>
      <c r="H234" s="114"/>
      <c r="I234" s="113"/>
      <c r="J234" s="385"/>
      <c r="K234" s="387">
        <v>1</v>
      </c>
      <c r="L234" s="7"/>
      <c r="M234" s="387">
        <f t="shared" si="9"/>
        <v>0</v>
      </c>
      <c r="N234" s="114">
        <f t="shared" si="8"/>
        <v>0</v>
      </c>
      <c r="O234" s="7"/>
      <c r="P234" s="597"/>
      <c r="Q234" s="598"/>
      <c r="R234" s="7"/>
    </row>
    <row r="235" spans="1:18" ht="15" customHeight="1">
      <c r="A235" s="7"/>
      <c r="B235" s="117"/>
      <c r="C235" s="117"/>
      <c r="D235" s="117"/>
      <c r="E235" s="117"/>
      <c r="F235" s="117"/>
      <c r="G235" s="113"/>
      <c r="H235" s="114"/>
      <c r="I235" s="113"/>
      <c r="J235" s="385"/>
      <c r="K235" s="387">
        <v>1</v>
      </c>
      <c r="L235" s="7"/>
      <c r="M235" s="387">
        <f t="shared" si="9"/>
        <v>0</v>
      </c>
      <c r="N235" s="114">
        <f t="shared" si="8"/>
        <v>0</v>
      </c>
      <c r="O235" s="7"/>
      <c r="P235" s="597"/>
      <c r="Q235" s="598"/>
      <c r="R235" s="7"/>
    </row>
    <row r="236" spans="1:18" ht="15" customHeight="1">
      <c r="A236" s="7"/>
      <c r="B236" s="117"/>
      <c r="C236" s="117"/>
      <c r="D236" s="117"/>
      <c r="E236" s="117"/>
      <c r="F236" s="117"/>
      <c r="G236" s="113"/>
      <c r="H236" s="114"/>
      <c r="I236" s="113"/>
      <c r="J236" s="385"/>
      <c r="K236" s="387">
        <v>1</v>
      </c>
      <c r="L236" s="7"/>
      <c r="M236" s="387">
        <f t="shared" si="9"/>
        <v>0</v>
      </c>
      <c r="N236" s="114">
        <f t="shared" si="8"/>
        <v>0</v>
      </c>
      <c r="O236" s="7"/>
      <c r="P236" s="597"/>
      <c r="Q236" s="598"/>
      <c r="R236" s="7"/>
    </row>
    <row r="237" spans="1:18" ht="15" customHeight="1">
      <c r="A237" s="7"/>
      <c r="B237" s="117"/>
      <c r="C237" s="117"/>
      <c r="D237" s="117"/>
      <c r="E237" s="117"/>
      <c r="F237" s="117"/>
      <c r="G237" s="113"/>
      <c r="H237" s="114"/>
      <c r="I237" s="113"/>
      <c r="J237" s="385"/>
      <c r="K237" s="387">
        <v>1</v>
      </c>
      <c r="L237" s="7"/>
      <c r="M237" s="387">
        <f t="shared" si="9"/>
        <v>0</v>
      </c>
      <c r="N237" s="114">
        <f t="shared" si="8"/>
        <v>0</v>
      </c>
      <c r="O237" s="7"/>
      <c r="P237" s="597"/>
      <c r="Q237" s="598"/>
      <c r="R237" s="7"/>
    </row>
    <row r="238" spans="1:18" ht="15" customHeight="1">
      <c r="A238" s="7"/>
      <c r="B238" s="117"/>
      <c r="C238" s="117"/>
      <c r="D238" s="117"/>
      <c r="E238" s="117"/>
      <c r="F238" s="117"/>
      <c r="G238" s="113"/>
      <c r="H238" s="114"/>
      <c r="I238" s="113"/>
      <c r="J238" s="385"/>
      <c r="K238" s="387">
        <v>1</v>
      </c>
      <c r="L238" s="7"/>
      <c r="M238" s="387">
        <f t="shared" si="9"/>
        <v>0</v>
      </c>
      <c r="N238" s="114">
        <f t="shared" si="8"/>
        <v>0</v>
      </c>
      <c r="O238" s="7"/>
      <c r="P238" s="597"/>
      <c r="Q238" s="598"/>
      <c r="R238" s="7"/>
    </row>
    <row r="239" spans="1:18" ht="15" customHeight="1">
      <c r="A239" s="7"/>
      <c r="B239" s="117"/>
      <c r="C239" s="117"/>
      <c r="D239" s="117"/>
      <c r="E239" s="117"/>
      <c r="F239" s="117"/>
      <c r="G239" s="113"/>
      <c r="H239" s="114"/>
      <c r="I239" s="113"/>
      <c r="J239" s="385"/>
      <c r="K239" s="387">
        <v>1</v>
      </c>
      <c r="L239" s="7"/>
      <c r="M239" s="387">
        <f t="shared" si="9"/>
        <v>0</v>
      </c>
      <c r="N239" s="114">
        <f t="shared" si="8"/>
        <v>0</v>
      </c>
      <c r="O239" s="7"/>
      <c r="P239" s="597"/>
      <c r="Q239" s="598"/>
      <c r="R239" s="7"/>
    </row>
    <row r="240" spans="1:18" ht="15" customHeight="1">
      <c r="A240" s="7"/>
      <c r="B240" s="117"/>
      <c r="C240" s="117"/>
      <c r="D240" s="117"/>
      <c r="E240" s="117"/>
      <c r="F240" s="117"/>
      <c r="G240" s="113"/>
      <c r="H240" s="114"/>
      <c r="I240" s="113"/>
      <c r="J240" s="385"/>
      <c r="K240" s="387">
        <v>1</v>
      </c>
      <c r="L240" s="7"/>
      <c r="M240" s="387">
        <f t="shared" si="9"/>
        <v>0</v>
      </c>
      <c r="N240" s="114">
        <f t="shared" si="8"/>
        <v>0</v>
      </c>
      <c r="O240" s="7"/>
      <c r="P240" s="597"/>
      <c r="Q240" s="598"/>
      <c r="R240" s="7"/>
    </row>
    <row r="241" spans="1:18" ht="15" customHeight="1">
      <c r="A241" s="7"/>
      <c r="B241" s="117"/>
      <c r="C241" s="117"/>
      <c r="D241" s="117"/>
      <c r="E241" s="117"/>
      <c r="F241" s="117"/>
      <c r="G241" s="113"/>
      <c r="H241" s="114"/>
      <c r="I241" s="113"/>
      <c r="J241" s="385"/>
      <c r="K241" s="387">
        <v>1</v>
      </c>
      <c r="L241" s="7"/>
      <c r="M241" s="387">
        <f t="shared" si="9"/>
        <v>0</v>
      </c>
      <c r="N241" s="114">
        <f t="shared" si="8"/>
        <v>0</v>
      </c>
      <c r="O241" s="7"/>
      <c r="P241" s="597"/>
      <c r="Q241" s="598"/>
      <c r="R241" s="7"/>
    </row>
    <row r="242" spans="1:18" ht="15" customHeight="1">
      <c r="A242" s="7"/>
      <c r="B242" s="117"/>
      <c r="C242" s="117"/>
      <c r="D242" s="117"/>
      <c r="E242" s="117"/>
      <c r="F242" s="117"/>
      <c r="G242" s="113"/>
      <c r="H242" s="114"/>
      <c r="I242" s="113"/>
      <c r="J242" s="385"/>
      <c r="K242" s="387">
        <v>1</v>
      </c>
      <c r="L242" s="7"/>
      <c r="M242" s="387">
        <f t="shared" si="9"/>
        <v>0</v>
      </c>
      <c r="N242" s="114">
        <f t="shared" si="8"/>
        <v>0</v>
      </c>
      <c r="O242" s="7"/>
      <c r="P242" s="597"/>
      <c r="Q242" s="598"/>
      <c r="R242" s="7"/>
    </row>
    <row r="243" spans="1:18" ht="15" customHeight="1">
      <c r="A243" s="7"/>
      <c r="B243" s="117"/>
      <c r="C243" s="117"/>
      <c r="D243" s="117"/>
      <c r="E243" s="117"/>
      <c r="F243" s="117"/>
      <c r="G243" s="113"/>
      <c r="H243" s="114"/>
      <c r="I243" s="113"/>
      <c r="J243" s="385"/>
      <c r="K243" s="387">
        <v>1</v>
      </c>
      <c r="L243" s="7"/>
      <c r="M243" s="387">
        <f t="shared" si="9"/>
        <v>0</v>
      </c>
      <c r="N243" s="114">
        <f t="shared" si="8"/>
        <v>0</v>
      </c>
      <c r="O243" s="7"/>
      <c r="P243" s="597"/>
      <c r="Q243" s="598"/>
      <c r="R243" s="7"/>
    </row>
    <row r="244" spans="1:18" ht="15" customHeight="1">
      <c r="A244" s="7"/>
      <c r="B244" s="117"/>
      <c r="C244" s="117"/>
      <c r="D244" s="117"/>
      <c r="E244" s="117"/>
      <c r="F244" s="117"/>
      <c r="G244" s="113"/>
      <c r="H244" s="114"/>
      <c r="I244" s="113"/>
      <c r="J244" s="385"/>
      <c r="K244" s="387">
        <v>1</v>
      </c>
      <c r="L244" s="7"/>
      <c r="M244" s="387">
        <f t="shared" si="9"/>
        <v>0</v>
      </c>
      <c r="N244" s="114">
        <f t="shared" si="8"/>
        <v>0</v>
      </c>
      <c r="O244" s="7"/>
      <c r="P244" s="597"/>
      <c r="Q244" s="598"/>
      <c r="R244" s="7"/>
    </row>
    <row r="245" spans="1:18" ht="15" customHeight="1">
      <c r="A245" s="7"/>
      <c r="B245" s="117"/>
      <c r="C245" s="117"/>
      <c r="D245" s="117"/>
      <c r="E245" s="117"/>
      <c r="F245" s="117"/>
      <c r="G245" s="113"/>
      <c r="H245" s="114"/>
      <c r="I245" s="113"/>
      <c r="J245" s="385"/>
      <c r="K245" s="387">
        <v>1</v>
      </c>
      <c r="L245" s="7"/>
      <c r="M245" s="387">
        <f t="shared" si="9"/>
        <v>0</v>
      </c>
      <c r="N245" s="114">
        <f t="shared" si="8"/>
        <v>0</v>
      </c>
      <c r="O245" s="7"/>
      <c r="P245" s="597"/>
      <c r="Q245" s="598"/>
      <c r="R245" s="7"/>
    </row>
    <row r="246" spans="1:18" ht="15" customHeight="1">
      <c r="A246" s="7"/>
      <c r="B246" s="117"/>
      <c r="C246" s="117"/>
      <c r="D246" s="117"/>
      <c r="E246" s="117"/>
      <c r="F246" s="117"/>
      <c r="G246" s="113"/>
      <c r="H246" s="114"/>
      <c r="I246" s="113"/>
      <c r="J246" s="385"/>
      <c r="K246" s="387">
        <v>1</v>
      </c>
      <c r="L246" s="7"/>
      <c r="M246" s="387">
        <f t="shared" si="9"/>
        <v>0</v>
      </c>
      <c r="N246" s="114">
        <f t="shared" si="8"/>
        <v>0</v>
      </c>
      <c r="O246" s="7"/>
      <c r="P246" s="597"/>
      <c r="Q246" s="598"/>
      <c r="R246" s="7"/>
    </row>
    <row r="247" spans="1:18" ht="15" customHeight="1">
      <c r="A247" s="7"/>
      <c r="B247" s="117"/>
      <c r="C247" s="117"/>
      <c r="D247" s="117"/>
      <c r="E247" s="117"/>
      <c r="F247" s="117"/>
      <c r="G247" s="113"/>
      <c r="H247" s="114"/>
      <c r="I247" s="113"/>
      <c r="J247" s="385"/>
      <c r="K247" s="387">
        <v>1</v>
      </c>
      <c r="L247" s="7"/>
      <c r="M247" s="387">
        <f t="shared" si="9"/>
        <v>0</v>
      </c>
      <c r="N247" s="114">
        <f t="shared" si="8"/>
        <v>0</v>
      </c>
      <c r="O247" s="7"/>
      <c r="P247" s="597"/>
      <c r="Q247" s="598"/>
      <c r="R247" s="7"/>
    </row>
    <row r="248" spans="1:18" ht="15" customHeight="1">
      <c r="A248" s="7"/>
      <c r="B248" s="117"/>
      <c r="C248" s="117"/>
      <c r="D248" s="117"/>
      <c r="E248" s="117"/>
      <c r="F248" s="117"/>
      <c r="G248" s="113"/>
      <c r="H248" s="114"/>
      <c r="I248" s="113"/>
      <c r="J248" s="385"/>
      <c r="K248" s="387">
        <v>1</v>
      </c>
      <c r="L248" s="7"/>
      <c r="M248" s="387">
        <f t="shared" ref="M248:M311" si="10">IFERROR(H248*K248,0)</f>
        <v>0</v>
      </c>
      <c r="N248" s="114">
        <f t="shared" ref="N248:N311" si="11">IFERROR(G248*M248,0)</f>
        <v>0</v>
      </c>
      <c r="O248" s="7"/>
      <c r="P248" s="597"/>
      <c r="Q248" s="598"/>
      <c r="R248" s="7"/>
    </row>
    <row r="249" spans="1:18" ht="15" customHeight="1">
      <c r="A249" s="7"/>
      <c r="B249" s="117"/>
      <c r="C249" s="117"/>
      <c r="D249" s="117"/>
      <c r="E249" s="117"/>
      <c r="F249" s="117"/>
      <c r="G249" s="113"/>
      <c r="H249" s="114"/>
      <c r="I249" s="113"/>
      <c r="J249" s="385"/>
      <c r="K249" s="387">
        <v>1</v>
      </c>
      <c r="L249" s="7"/>
      <c r="M249" s="387">
        <f t="shared" si="10"/>
        <v>0</v>
      </c>
      <c r="N249" s="114">
        <f t="shared" si="11"/>
        <v>0</v>
      </c>
      <c r="O249" s="7"/>
      <c r="P249" s="597"/>
      <c r="Q249" s="598"/>
      <c r="R249" s="7"/>
    </row>
    <row r="250" spans="1:18" ht="15" customHeight="1">
      <c r="A250" s="7"/>
      <c r="B250" s="117"/>
      <c r="C250" s="117"/>
      <c r="D250" s="117"/>
      <c r="E250" s="117"/>
      <c r="F250" s="117"/>
      <c r="G250" s="113"/>
      <c r="H250" s="114"/>
      <c r="I250" s="113"/>
      <c r="J250" s="385"/>
      <c r="K250" s="387">
        <v>1</v>
      </c>
      <c r="L250" s="7"/>
      <c r="M250" s="387">
        <f t="shared" si="10"/>
        <v>0</v>
      </c>
      <c r="N250" s="114">
        <f t="shared" si="11"/>
        <v>0</v>
      </c>
      <c r="O250" s="7"/>
      <c r="P250" s="597"/>
      <c r="Q250" s="598"/>
      <c r="R250" s="7"/>
    </row>
    <row r="251" spans="1:18" ht="15" customHeight="1">
      <c r="A251" s="7"/>
      <c r="B251" s="117"/>
      <c r="C251" s="117"/>
      <c r="D251" s="117"/>
      <c r="E251" s="117"/>
      <c r="F251" s="117"/>
      <c r="G251" s="113"/>
      <c r="H251" s="114"/>
      <c r="I251" s="113"/>
      <c r="J251" s="385"/>
      <c r="K251" s="387">
        <v>1</v>
      </c>
      <c r="L251" s="7"/>
      <c r="M251" s="387">
        <f t="shared" si="10"/>
        <v>0</v>
      </c>
      <c r="N251" s="114">
        <f t="shared" si="11"/>
        <v>0</v>
      </c>
      <c r="O251" s="7"/>
      <c r="P251" s="597"/>
      <c r="Q251" s="598"/>
      <c r="R251" s="7"/>
    </row>
    <row r="252" spans="1:18" ht="15" customHeight="1">
      <c r="A252" s="7"/>
      <c r="B252" s="117"/>
      <c r="C252" s="117"/>
      <c r="D252" s="117"/>
      <c r="E252" s="117"/>
      <c r="F252" s="117"/>
      <c r="G252" s="113"/>
      <c r="H252" s="114"/>
      <c r="I252" s="113"/>
      <c r="J252" s="385"/>
      <c r="K252" s="387">
        <v>1</v>
      </c>
      <c r="L252" s="7"/>
      <c r="M252" s="387">
        <f t="shared" si="10"/>
        <v>0</v>
      </c>
      <c r="N252" s="114">
        <f t="shared" si="11"/>
        <v>0</v>
      </c>
      <c r="O252" s="7"/>
      <c r="P252" s="597"/>
      <c r="Q252" s="598"/>
      <c r="R252" s="7"/>
    </row>
    <row r="253" spans="1:18" ht="15" customHeight="1">
      <c r="A253" s="7"/>
      <c r="B253" s="117"/>
      <c r="C253" s="117"/>
      <c r="D253" s="117"/>
      <c r="E253" s="117"/>
      <c r="F253" s="117"/>
      <c r="G253" s="113"/>
      <c r="H253" s="114"/>
      <c r="I253" s="113"/>
      <c r="J253" s="385"/>
      <c r="K253" s="387">
        <v>1</v>
      </c>
      <c r="L253" s="7"/>
      <c r="M253" s="387">
        <f t="shared" si="10"/>
        <v>0</v>
      </c>
      <c r="N253" s="114">
        <f t="shared" si="11"/>
        <v>0</v>
      </c>
      <c r="O253" s="7"/>
      <c r="P253" s="597"/>
      <c r="Q253" s="598"/>
      <c r="R253" s="7"/>
    </row>
    <row r="254" spans="1:18" ht="15" customHeight="1">
      <c r="A254" s="7"/>
      <c r="B254" s="117"/>
      <c r="C254" s="117"/>
      <c r="D254" s="117"/>
      <c r="E254" s="117"/>
      <c r="F254" s="117"/>
      <c r="G254" s="113"/>
      <c r="H254" s="114"/>
      <c r="I254" s="113"/>
      <c r="J254" s="385"/>
      <c r="K254" s="387">
        <v>1</v>
      </c>
      <c r="L254" s="7"/>
      <c r="M254" s="387">
        <f t="shared" si="10"/>
        <v>0</v>
      </c>
      <c r="N254" s="114">
        <f t="shared" si="11"/>
        <v>0</v>
      </c>
      <c r="O254" s="7"/>
      <c r="P254" s="597"/>
      <c r="Q254" s="598"/>
      <c r="R254" s="7"/>
    </row>
    <row r="255" spans="1:18" ht="15" customHeight="1">
      <c r="A255" s="7"/>
      <c r="B255" s="117"/>
      <c r="C255" s="117"/>
      <c r="D255" s="117"/>
      <c r="E255" s="117"/>
      <c r="F255" s="117"/>
      <c r="G255" s="113"/>
      <c r="H255" s="114"/>
      <c r="I255" s="113"/>
      <c r="J255" s="385"/>
      <c r="K255" s="387">
        <v>1</v>
      </c>
      <c r="L255" s="7"/>
      <c r="M255" s="387">
        <f t="shared" si="10"/>
        <v>0</v>
      </c>
      <c r="N255" s="114">
        <f t="shared" si="11"/>
        <v>0</v>
      </c>
      <c r="O255" s="7"/>
      <c r="P255" s="597"/>
      <c r="Q255" s="598"/>
      <c r="R255" s="7"/>
    </row>
    <row r="256" spans="1:18" ht="15" customHeight="1">
      <c r="A256" s="7"/>
      <c r="B256" s="117"/>
      <c r="C256" s="117"/>
      <c r="D256" s="117"/>
      <c r="E256" s="117"/>
      <c r="F256" s="117"/>
      <c r="G256" s="113"/>
      <c r="H256" s="114"/>
      <c r="I256" s="113"/>
      <c r="J256" s="385"/>
      <c r="K256" s="387">
        <v>1</v>
      </c>
      <c r="L256" s="7"/>
      <c r="M256" s="387">
        <f t="shared" si="10"/>
        <v>0</v>
      </c>
      <c r="N256" s="114">
        <f t="shared" si="11"/>
        <v>0</v>
      </c>
      <c r="O256" s="7"/>
      <c r="P256" s="597"/>
      <c r="Q256" s="598"/>
      <c r="R256" s="7"/>
    </row>
    <row r="257" spans="1:18" ht="15" customHeight="1">
      <c r="A257" s="7"/>
      <c r="B257" s="117"/>
      <c r="C257" s="117"/>
      <c r="D257" s="117"/>
      <c r="E257" s="117"/>
      <c r="F257" s="117"/>
      <c r="G257" s="113"/>
      <c r="H257" s="114"/>
      <c r="I257" s="113"/>
      <c r="J257" s="385"/>
      <c r="K257" s="387">
        <v>1</v>
      </c>
      <c r="L257" s="7"/>
      <c r="M257" s="387">
        <f t="shared" si="10"/>
        <v>0</v>
      </c>
      <c r="N257" s="114">
        <f t="shared" si="11"/>
        <v>0</v>
      </c>
      <c r="O257" s="7"/>
      <c r="P257" s="597"/>
      <c r="Q257" s="598"/>
      <c r="R257" s="7"/>
    </row>
    <row r="258" spans="1:18" ht="15" customHeight="1">
      <c r="A258" s="7"/>
      <c r="B258" s="117"/>
      <c r="C258" s="117"/>
      <c r="D258" s="117"/>
      <c r="E258" s="117"/>
      <c r="F258" s="117"/>
      <c r="G258" s="113"/>
      <c r="H258" s="114"/>
      <c r="I258" s="113"/>
      <c r="J258" s="385"/>
      <c r="K258" s="387">
        <v>1</v>
      </c>
      <c r="L258" s="7"/>
      <c r="M258" s="387">
        <f t="shared" si="10"/>
        <v>0</v>
      </c>
      <c r="N258" s="114">
        <f t="shared" si="11"/>
        <v>0</v>
      </c>
      <c r="O258" s="7"/>
      <c r="P258" s="597"/>
      <c r="Q258" s="598"/>
      <c r="R258" s="7"/>
    </row>
    <row r="259" spans="1:18" ht="15" customHeight="1">
      <c r="A259" s="7"/>
      <c r="B259" s="117"/>
      <c r="C259" s="117"/>
      <c r="D259" s="117"/>
      <c r="E259" s="117"/>
      <c r="F259" s="117"/>
      <c r="G259" s="113"/>
      <c r="H259" s="114"/>
      <c r="I259" s="113"/>
      <c r="J259" s="385"/>
      <c r="K259" s="387">
        <v>1</v>
      </c>
      <c r="L259" s="7"/>
      <c r="M259" s="387">
        <f t="shared" si="10"/>
        <v>0</v>
      </c>
      <c r="N259" s="114">
        <f t="shared" si="11"/>
        <v>0</v>
      </c>
      <c r="O259" s="7"/>
      <c r="P259" s="597"/>
      <c r="Q259" s="598"/>
      <c r="R259" s="7"/>
    </row>
    <row r="260" spans="1:18" ht="15" customHeight="1">
      <c r="A260" s="7"/>
      <c r="B260" s="117"/>
      <c r="C260" s="117"/>
      <c r="D260" s="117"/>
      <c r="E260" s="117"/>
      <c r="F260" s="117"/>
      <c r="G260" s="113"/>
      <c r="H260" s="114"/>
      <c r="I260" s="113"/>
      <c r="J260" s="385"/>
      <c r="K260" s="387">
        <v>1</v>
      </c>
      <c r="L260" s="7"/>
      <c r="M260" s="387">
        <f t="shared" si="10"/>
        <v>0</v>
      </c>
      <c r="N260" s="114">
        <f t="shared" si="11"/>
        <v>0</v>
      </c>
      <c r="O260" s="7"/>
      <c r="P260" s="597"/>
      <c r="Q260" s="598"/>
      <c r="R260" s="7"/>
    </row>
    <row r="261" spans="1:18" ht="15" customHeight="1">
      <c r="A261" s="7"/>
      <c r="B261" s="117"/>
      <c r="C261" s="117"/>
      <c r="D261" s="117"/>
      <c r="E261" s="117"/>
      <c r="F261" s="117"/>
      <c r="G261" s="113"/>
      <c r="H261" s="114"/>
      <c r="I261" s="113"/>
      <c r="J261" s="385"/>
      <c r="K261" s="387">
        <v>1</v>
      </c>
      <c r="L261" s="7"/>
      <c r="M261" s="387">
        <f t="shared" si="10"/>
        <v>0</v>
      </c>
      <c r="N261" s="114">
        <f t="shared" si="11"/>
        <v>0</v>
      </c>
      <c r="O261" s="7"/>
      <c r="P261" s="597"/>
      <c r="Q261" s="598"/>
      <c r="R261" s="7"/>
    </row>
    <row r="262" spans="1:18" ht="15" customHeight="1">
      <c r="A262" s="7"/>
      <c r="B262" s="117"/>
      <c r="C262" s="117"/>
      <c r="D262" s="117"/>
      <c r="E262" s="117"/>
      <c r="F262" s="117"/>
      <c r="G262" s="113"/>
      <c r="H262" s="114"/>
      <c r="I262" s="113"/>
      <c r="J262" s="385"/>
      <c r="K262" s="387">
        <v>1</v>
      </c>
      <c r="L262" s="7"/>
      <c r="M262" s="387">
        <f t="shared" si="10"/>
        <v>0</v>
      </c>
      <c r="N262" s="114">
        <f t="shared" si="11"/>
        <v>0</v>
      </c>
      <c r="O262" s="7"/>
      <c r="P262" s="597"/>
      <c r="Q262" s="598"/>
      <c r="R262" s="7"/>
    </row>
    <row r="263" spans="1:18" ht="15" customHeight="1">
      <c r="A263" s="7"/>
      <c r="B263" s="117"/>
      <c r="C263" s="117"/>
      <c r="D263" s="117"/>
      <c r="E263" s="117"/>
      <c r="F263" s="117"/>
      <c r="G263" s="113"/>
      <c r="H263" s="114"/>
      <c r="I263" s="113"/>
      <c r="J263" s="385"/>
      <c r="K263" s="387">
        <v>1</v>
      </c>
      <c r="L263" s="7"/>
      <c r="M263" s="387">
        <f t="shared" si="10"/>
        <v>0</v>
      </c>
      <c r="N263" s="114">
        <f t="shared" si="11"/>
        <v>0</v>
      </c>
      <c r="O263" s="7"/>
      <c r="P263" s="597"/>
      <c r="Q263" s="598"/>
      <c r="R263" s="7"/>
    </row>
    <row r="264" spans="1:18" ht="15" customHeight="1">
      <c r="A264" s="7"/>
      <c r="B264" s="117"/>
      <c r="C264" s="117"/>
      <c r="D264" s="117"/>
      <c r="E264" s="117"/>
      <c r="F264" s="117"/>
      <c r="G264" s="113"/>
      <c r="H264" s="114"/>
      <c r="I264" s="113"/>
      <c r="J264" s="385"/>
      <c r="K264" s="387">
        <v>1</v>
      </c>
      <c r="L264" s="7"/>
      <c r="M264" s="387">
        <f t="shared" si="10"/>
        <v>0</v>
      </c>
      <c r="N264" s="114">
        <f t="shared" si="11"/>
        <v>0</v>
      </c>
      <c r="O264" s="7"/>
      <c r="P264" s="597"/>
      <c r="Q264" s="598"/>
      <c r="R264" s="7"/>
    </row>
    <row r="265" spans="1:18" ht="15" customHeight="1">
      <c r="A265" s="7"/>
      <c r="B265" s="117"/>
      <c r="C265" s="117"/>
      <c r="D265" s="117"/>
      <c r="E265" s="117"/>
      <c r="F265" s="117"/>
      <c r="G265" s="113"/>
      <c r="H265" s="114"/>
      <c r="I265" s="113"/>
      <c r="J265" s="385"/>
      <c r="K265" s="387">
        <v>1</v>
      </c>
      <c r="L265" s="7"/>
      <c r="M265" s="387">
        <f t="shared" si="10"/>
        <v>0</v>
      </c>
      <c r="N265" s="114">
        <f t="shared" si="11"/>
        <v>0</v>
      </c>
      <c r="O265" s="7"/>
      <c r="P265" s="597"/>
      <c r="Q265" s="598"/>
      <c r="R265" s="7"/>
    </row>
    <row r="266" spans="1:18" ht="15" customHeight="1">
      <c r="A266" s="7"/>
      <c r="B266" s="117"/>
      <c r="C266" s="117"/>
      <c r="D266" s="117"/>
      <c r="E266" s="117"/>
      <c r="F266" s="117"/>
      <c r="G266" s="113"/>
      <c r="H266" s="114"/>
      <c r="I266" s="113"/>
      <c r="J266" s="385"/>
      <c r="K266" s="387">
        <v>1</v>
      </c>
      <c r="L266" s="7"/>
      <c r="M266" s="387">
        <f t="shared" si="10"/>
        <v>0</v>
      </c>
      <c r="N266" s="114">
        <f t="shared" si="11"/>
        <v>0</v>
      </c>
      <c r="O266" s="7"/>
      <c r="P266" s="597"/>
      <c r="Q266" s="598"/>
      <c r="R266" s="7"/>
    </row>
    <row r="267" spans="1:18" ht="15" customHeight="1">
      <c r="A267" s="7"/>
      <c r="B267" s="117"/>
      <c r="C267" s="117"/>
      <c r="D267" s="117"/>
      <c r="E267" s="117"/>
      <c r="F267" s="117"/>
      <c r="G267" s="113"/>
      <c r="H267" s="114"/>
      <c r="I267" s="113"/>
      <c r="J267" s="385"/>
      <c r="K267" s="387">
        <v>1</v>
      </c>
      <c r="L267" s="7"/>
      <c r="M267" s="387">
        <f t="shared" si="10"/>
        <v>0</v>
      </c>
      <c r="N267" s="114">
        <f t="shared" si="11"/>
        <v>0</v>
      </c>
      <c r="O267" s="7"/>
      <c r="P267" s="597"/>
      <c r="Q267" s="598"/>
      <c r="R267" s="7"/>
    </row>
    <row r="268" spans="1:18" ht="15" customHeight="1">
      <c r="A268" s="7"/>
      <c r="B268" s="117"/>
      <c r="C268" s="117"/>
      <c r="D268" s="117"/>
      <c r="E268" s="117"/>
      <c r="F268" s="117"/>
      <c r="G268" s="113"/>
      <c r="H268" s="114"/>
      <c r="I268" s="113"/>
      <c r="J268" s="385"/>
      <c r="K268" s="387">
        <v>1</v>
      </c>
      <c r="L268" s="7"/>
      <c r="M268" s="387">
        <f t="shared" si="10"/>
        <v>0</v>
      </c>
      <c r="N268" s="114">
        <f t="shared" si="11"/>
        <v>0</v>
      </c>
      <c r="O268" s="7"/>
      <c r="P268" s="597"/>
      <c r="Q268" s="598"/>
      <c r="R268" s="7"/>
    </row>
    <row r="269" spans="1:18" ht="15" customHeight="1">
      <c r="A269" s="7"/>
      <c r="B269" s="117"/>
      <c r="C269" s="117"/>
      <c r="D269" s="117"/>
      <c r="E269" s="117"/>
      <c r="F269" s="117"/>
      <c r="G269" s="113"/>
      <c r="H269" s="114"/>
      <c r="I269" s="113"/>
      <c r="J269" s="385"/>
      <c r="K269" s="387">
        <v>1</v>
      </c>
      <c r="L269" s="7"/>
      <c r="M269" s="387">
        <f t="shared" si="10"/>
        <v>0</v>
      </c>
      <c r="N269" s="114">
        <f t="shared" si="11"/>
        <v>0</v>
      </c>
      <c r="O269" s="7"/>
      <c r="P269" s="597"/>
      <c r="Q269" s="598"/>
      <c r="R269" s="7"/>
    </row>
    <row r="270" spans="1:18" ht="15" customHeight="1">
      <c r="A270" s="7"/>
      <c r="B270" s="117"/>
      <c r="C270" s="117"/>
      <c r="D270" s="117"/>
      <c r="E270" s="117"/>
      <c r="F270" s="117"/>
      <c r="G270" s="113"/>
      <c r="H270" s="114"/>
      <c r="I270" s="113"/>
      <c r="J270" s="385"/>
      <c r="K270" s="387">
        <v>1</v>
      </c>
      <c r="L270" s="7"/>
      <c r="M270" s="387">
        <f t="shared" si="10"/>
        <v>0</v>
      </c>
      <c r="N270" s="114">
        <f t="shared" si="11"/>
        <v>0</v>
      </c>
      <c r="O270" s="7"/>
      <c r="P270" s="597"/>
      <c r="Q270" s="598"/>
      <c r="R270" s="7"/>
    </row>
    <row r="271" spans="1:18" ht="15" customHeight="1">
      <c r="A271" s="7"/>
      <c r="B271" s="117"/>
      <c r="C271" s="117"/>
      <c r="D271" s="117"/>
      <c r="E271" s="117"/>
      <c r="F271" s="117"/>
      <c r="G271" s="113"/>
      <c r="H271" s="114"/>
      <c r="I271" s="113"/>
      <c r="J271" s="385"/>
      <c r="K271" s="387">
        <v>1</v>
      </c>
      <c r="L271" s="7"/>
      <c r="M271" s="387">
        <f t="shared" si="10"/>
        <v>0</v>
      </c>
      <c r="N271" s="114">
        <f t="shared" si="11"/>
        <v>0</v>
      </c>
      <c r="O271" s="7"/>
      <c r="P271" s="597"/>
      <c r="Q271" s="598"/>
      <c r="R271" s="7"/>
    </row>
    <row r="272" spans="1:18" ht="15" customHeight="1">
      <c r="A272" s="7"/>
      <c r="B272" s="117"/>
      <c r="C272" s="117"/>
      <c r="D272" s="117"/>
      <c r="E272" s="117"/>
      <c r="F272" s="117"/>
      <c r="G272" s="113"/>
      <c r="H272" s="114"/>
      <c r="I272" s="113"/>
      <c r="J272" s="385"/>
      <c r="K272" s="387">
        <v>1</v>
      </c>
      <c r="L272" s="7"/>
      <c r="M272" s="387">
        <f t="shared" si="10"/>
        <v>0</v>
      </c>
      <c r="N272" s="114">
        <f t="shared" si="11"/>
        <v>0</v>
      </c>
      <c r="O272" s="7"/>
      <c r="P272" s="597"/>
      <c r="Q272" s="598"/>
      <c r="R272" s="7"/>
    </row>
    <row r="273" spans="1:18" ht="15" customHeight="1">
      <c r="A273" s="7"/>
      <c r="B273" s="117"/>
      <c r="C273" s="117"/>
      <c r="D273" s="117"/>
      <c r="E273" s="117"/>
      <c r="F273" s="117"/>
      <c r="G273" s="113"/>
      <c r="H273" s="114"/>
      <c r="I273" s="113"/>
      <c r="J273" s="385"/>
      <c r="K273" s="387">
        <v>1</v>
      </c>
      <c r="L273" s="7"/>
      <c r="M273" s="387">
        <f t="shared" si="10"/>
        <v>0</v>
      </c>
      <c r="N273" s="114">
        <f t="shared" si="11"/>
        <v>0</v>
      </c>
      <c r="O273" s="7"/>
      <c r="P273" s="597"/>
      <c r="Q273" s="598"/>
      <c r="R273" s="7"/>
    </row>
    <row r="274" spans="1:18" ht="15" customHeight="1">
      <c r="A274" s="7"/>
      <c r="B274" s="117"/>
      <c r="C274" s="117"/>
      <c r="D274" s="117"/>
      <c r="E274" s="117"/>
      <c r="F274" s="117"/>
      <c r="G274" s="113"/>
      <c r="H274" s="114"/>
      <c r="I274" s="113"/>
      <c r="J274" s="385"/>
      <c r="K274" s="387">
        <v>1</v>
      </c>
      <c r="L274" s="7"/>
      <c r="M274" s="387">
        <f t="shared" si="10"/>
        <v>0</v>
      </c>
      <c r="N274" s="114">
        <f t="shared" si="11"/>
        <v>0</v>
      </c>
      <c r="O274" s="7"/>
      <c r="P274" s="597"/>
      <c r="Q274" s="598"/>
      <c r="R274" s="7"/>
    </row>
    <row r="275" spans="1:18" ht="15" customHeight="1">
      <c r="A275" s="7"/>
      <c r="B275" s="117"/>
      <c r="C275" s="117"/>
      <c r="D275" s="117"/>
      <c r="E275" s="117"/>
      <c r="F275" s="117"/>
      <c r="G275" s="113"/>
      <c r="H275" s="114"/>
      <c r="I275" s="113"/>
      <c r="J275" s="385"/>
      <c r="K275" s="387">
        <v>1</v>
      </c>
      <c r="L275" s="7"/>
      <c r="M275" s="387">
        <f t="shared" si="10"/>
        <v>0</v>
      </c>
      <c r="N275" s="114">
        <f t="shared" si="11"/>
        <v>0</v>
      </c>
      <c r="O275" s="7"/>
      <c r="P275" s="597"/>
      <c r="Q275" s="598"/>
      <c r="R275" s="7"/>
    </row>
    <row r="276" spans="1:18" ht="15" customHeight="1">
      <c r="A276" s="7"/>
      <c r="B276" s="117"/>
      <c r="C276" s="117"/>
      <c r="D276" s="117"/>
      <c r="E276" s="117"/>
      <c r="F276" s="117"/>
      <c r="G276" s="113"/>
      <c r="H276" s="114"/>
      <c r="I276" s="113"/>
      <c r="J276" s="385"/>
      <c r="K276" s="387">
        <v>1</v>
      </c>
      <c r="L276" s="7"/>
      <c r="M276" s="387">
        <f t="shared" si="10"/>
        <v>0</v>
      </c>
      <c r="N276" s="114">
        <f t="shared" si="11"/>
        <v>0</v>
      </c>
      <c r="O276" s="7"/>
      <c r="P276" s="597"/>
      <c r="Q276" s="598"/>
      <c r="R276" s="7"/>
    </row>
    <row r="277" spans="1:18" ht="15" customHeight="1">
      <c r="A277" s="7"/>
      <c r="B277" s="117"/>
      <c r="C277" s="117"/>
      <c r="D277" s="117"/>
      <c r="E277" s="117"/>
      <c r="F277" s="117"/>
      <c r="G277" s="113"/>
      <c r="H277" s="114"/>
      <c r="I277" s="113"/>
      <c r="J277" s="385"/>
      <c r="K277" s="387">
        <v>1</v>
      </c>
      <c r="L277" s="7"/>
      <c r="M277" s="387">
        <f t="shared" si="10"/>
        <v>0</v>
      </c>
      <c r="N277" s="114">
        <f t="shared" si="11"/>
        <v>0</v>
      </c>
      <c r="O277" s="7"/>
      <c r="P277" s="597"/>
      <c r="Q277" s="598"/>
      <c r="R277" s="7"/>
    </row>
    <row r="278" spans="1:18" ht="15" customHeight="1">
      <c r="A278" s="7"/>
      <c r="B278" s="117"/>
      <c r="C278" s="117"/>
      <c r="D278" s="117"/>
      <c r="E278" s="117"/>
      <c r="F278" s="117"/>
      <c r="G278" s="113"/>
      <c r="H278" s="114"/>
      <c r="I278" s="113"/>
      <c r="J278" s="385"/>
      <c r="K278" s="387">
        <v>1</v>
      </c>
      <c r="L278" s="7"/>
      <c r="M278" s="387">
        <f t="shared" si="10"/>
        <v>0</v>
      </c>
      <c r="N278" s="114">
        <f t="shared" si="11"/>
        <v>0</v>
      </c>
      <c r="O278" s="7"/>
      <c r="P278" s="597"/>
      <c r="Q278" s="598"/>
      <c r="R278" s="7"/>
    </row>
    <row r="279" spans="1:18" ht="15" customHeight="1">
      <c r="A279" s="7"/>
      <c r="B279" s="117"/>
      <c r="C279" s="117"/>
      <c r="D279" s="117"/>
      <c r="E279" s="117"/>
      <c r="F279" s="117"/>
      <c r="G279" s="113"/>
      <c r="H279" s="114"/>
      <c r="I279" s="113"/>
      <c r="J279" s="385"/>
      <c r="K279" s="387">
        <v>1</v>
      </c>
      <c r="L279" s="7"/>
      <c r="M279" s="387">
        <f t="shared" si="10"/>
        <v>0</v>
      </c>
      <c r="N279" s="114">
        <f t="shared" si="11"/>
        <v>0</v>
      </c>
      <c r="O279" s="7"/>
      <c r="P279" s="597"/>
      <c r="Q279" s="598"/>
      <c r="R279" s="7"/>
    </row>
    <row r="280" spans="1:18" ht="15" customHeight="1">
      <c r="A280" s="7"/>
      <c r="B280" s="117"/>
      <c r="C280" s="117"/>
      <c r="D280" s="117"/>
      <c r="E280" s="117"/>
      <c r="F280" s="117"/>
      <c r="G280" s="113"/>
      <c r="H280" s="114"/>
      <c r="I280" s="113"/>
      <c r="J280" s="385"/>
      <c r="K280" s="387">
        <v>1</v>
      </c>
      <c r="L280" s="7"/>
      <c r="M280" s="387">
        <f t="shared" si="10"/>
        <v>0</v>
      </c>
      <c r="N280" s="114">
        <f t="shared" si="11"/>
        <v>0</v>
      </c>
      <c r="O280" s="7"/>
      <c r="P280" s="597"/>
      <c r="Q280" s="598"/>
      <c r="R280" s="7"/>
    </row>
    <row r="281" spans="1:18" ht="15" customHeight="1">
      <c r="A281" s="7"/>
      <c r="B281" s="117"/>
      <c r="C281" s="117"/>
      <c r="D281" s="117"/>
      <c r="E281" s="117"/>
      <c r="F281" s="117"/>
      <c r="G281" s="113"/>
      <c r="H281" s="114"/>
      <c r="I281" s="113"/>
      <c r="J281" s="385"/>
      <c r="K281" s="387">
        <v>1</v>
      </c>
      <c r="L281" s="7"/>
      <c r="M281" s="387">
        <f t="shared" si="10"/>
        <v>0</v>
      </c>
      <c r="N281" s="114">
        <f t="shared" si="11"/>
        <v>0</v>
      </c>
      <c r="O281" s="7"/>
      <c r="P281" s="597"/>
      <c r="Q281" s="598"/>
      <c r="R281" s="7"/>
    </row>
    <row r="282" spans="1:18" ht="15" customHeight="1">
      <c r="A282" s="7"/>
      <c r="B282" s="117"/>
      <c r="C282" s="117"/>
      <c r="D282" s="117"/>
      <c r="E282" s="117"/>
      <c r="F282" s="117"/>
      <c r="G282" s="113"/>
      <c r="H282" s="114"/>
      <c r="I282" s="113"/>
      <c r="J282" s="385"/>
      <c r="K282" s="387">
        <v>1</v>
      </c>
      <c r="L282" s="7"/>
      <c r="M282" s="387">
        <f t="shared" si="10"/>
        <v>0</v>
      </c>
      <c r="N282" s="114">
        <f t="shared" si="11"/>
        <v>0</v>
      </c>
      <c r="O282" s="7"/>
      <c r="P282" s="597"/>
      <c r="Q282" s="598"/>
      <c r="R282" s="7"/>
    </row>
    <row r="283" spans="1:18" ht="15" customHeight="1">
      <c r="A283" s="7"/>
      <c r="B283" s="117"/>
      <c r="C283" s="117"/>
      <c r="D283" s="117"/>
      <c r="E283" s="117"/>
      <c r="F283" s="117"/>
      <c r="G283" s="113"/>
      <c r="H283" s="114"/>
      <c r="I283" s="113"/>
      <c r="J283" s="385"/>
      <c r="K283" s="387">
        <v>1</v>
      </c>
      <c r="L283" s="7"/>
      <c r="M283" s="387">
        <f t="shared" si="10"/>
        <v>0</v>
      </c>
      <c r="N283" s="114">
        <f t="shared" si="11"/>
        <v>0</v>
      </c>
      <c r="O283" s="7"/>
      <c r="P283" s="597"/>
      <c r="Q283" s="598"/>
      <c r="R283" s="7"/>
    </row>
    <row r="284" spans="1:18" ht="15" customHeight="1">
      <c r="A284" s="7"/>
      <c r="B284" s="117"/>
      <c r="C284" s="117"/>
      <c r="D284" s="117"/>
      <c r="E284" s="117"/>
      <c r="F284" s="117"/>
      <c r="G284" s="113"/>
      <c r="H284" s="114"/>
      <c r="I284" s="113"/>
      <c r="J284" s="385"/>
      <c r="K284" s="387">
        <v>1</v>
      </c>
      <c r="L284" s="7"/>
      <c r="M284" s="387">
        <f t="shared" si="10"/>
        <v>0</v>
      </c>
      <c r="N284" s="114">
        <f t="shared" si="11"/>
        <v>0</v>
      </c>
      <c r="O284" s="7"/>
      <c r="P284" s="597"/>
      <c r="Q284" s="598"/>
      <c r="R284" s="7"/>
    </row>
    <row r="285" spans="1:18" ht="15" customHeight="1">
      <c r="A285" s="7"/>
      <c r="B285" s="117"/>
      <c r="C285" s="117"/>
      <c r="D285" s="117"/>
      <c r="E285" s="117"/>
      <c r="F285" s="117"/>
      <c r="G285" s="113"/>
      <c r="H285" s="114"/>
      <c r="I285" s="113"/>
      <c r="J285" s="385"/>
      <c r="K285" s="387">
        <v>1</v>
      </c>
      <c r="L285" s="7"/>
      <c r="M285" s="387">
        <f t="shared" si="10"/>
        <v>0</v>
      </c>
      <c r="N285" s="114">
        <f t="shared" si="11"/>
        <v>0</v>
      </c>
      <c r="O285" s="7"/>
      <c r="P285" s="597"/>
      <c r="Q285" s="598"/>
      <c r="R285" s="7"/>
    </row>
    <row r="286" spans="1:18" ht="15" customHeight="1">
      <c r="A286" s="7"/>
      <c r="B286" s="117"/>
      <c r="C286" s="117"/>
      <c r="D286" s="117"/>
      <c r="E286" s="117"/>
      <c r="F286" s="117"/>
      <c r="G286" s="113"/>
      <c r="H286" s="114"/>
      <c r="I286" s="113"/>
      <c r="J286" s="385"/>
      <c r="K286" s="387">
        <v>1</v>
      </c>
      <c r="L286" s="7"/>
      <c r="M286" s="387">
        <f t="shared" si="10"/>
        <v>0</v>
      </c>
      <c r="N286" s="114">
        <f t="shared" si="11"/>
        <v>0</v>
      </c>
      <c r="O286" s="7"/>
      <c r="P286" s="597"/>
      <c r="Q286" s="598"/>
      <c r="R286" s="7"/>
    </row>
    <row r="287" spans="1:18" ht="15" customHeight="1">
      <c r="A287" s="7"/>
      <c r="B287" s="117"/>
      <c r="C287" s="117"/>
      <c r="D287" s="117"/>
      <c r="E287" s="117"/>
      <c r="F287" s="117"/>
      <c r="G287" s="113"/>
      <c r="H287" s="114"/>
      <c r="I287" s="113"/>
      <c r="J287" s="385"/>
      <c r="K287" s="387">
        <v>1</v>
      </c>
      <c r="L287" s="7"/>
      <c r="M287" s="387">
        <f t="shared" si="10"/>
        <v>0</v>
      </c>
      <c r="N287" s="114">
        <f t="shared" si="11"/>
        <v>0</v>
      </c>
      <c r="O287" s="7"/>
      <c r="P287" s="597"/>
      <c r="Q287" s="598"/>
      <c r="R287" s="7"/>
    </row>
    <row r="288" spans="1:18" ht="15" customHeight="1">
      <c r="A288" s="7"/>
      <c r="B288" s="117"/>
      <c r="C288" s="117"/>
      <c r="D288" s="117"/>
      <c r="E288" s="117"/>
      <c r="F288" s="117"/>
      <c r="G288" s="113"/>
      <c r="H288" s="114"/>
      <c r="I288" s="113"/>
      <c r="J288" s="385"/>
      <c r="K288" s="387">
        <v>1</v>
      </c>
      <c r="L288" s="7"/>
      <c r="M288" s="387">
        <f t="shared" si="10"/>
        <v>0</v>
      </c>
      <c r="N288" s="114">
        <f t="shared" si="11"/>
        <v>0</v>
      </c>
      <c r="O288" s="7"/>
      <c r="P288" s="597"/>
      <c r="Q288" s="598"/>
      <c r="R288" s="7"/>
    </row>
    <row r="289" spans="1:18" ht="15" customHeight="1">
      <c r="A289" s="7"/>
      <c r="B289" s="117"/>
      <c r="C289" s="117"/>
      <c r="D289" s="117"/>
      <c r="E289" s="117"/>
      <c r="F289" s="117"/>
      <c r="G289" s="113"/>
      <c r="H289" s="114"/>
      <c r="I289" s="113"/>
      <c r="J289" s="385"/>
      <c r="K289" s="387">
        <v>1</v>
      </c>
      <c r="L289" s="7"/>
      <c r="M289" s="387">
        <f t="shared" si="10"/>
        <v>0</v>
      </c>
      <c r="N289" s="114">
        <f t="shared" si="11"/>
        <v>0</v>
      </c>
      <c r="O289" s="7"/>
      <c r="P289" s="597"/>
      <c r="Q289" s="598"/>
      <c r="R289" s="7"/>
    </row>
    <row r="290" spans="1:18" ht="15" customHeight="1">
      <c r="A290" s="7"/>
      <c r="B290" s="117"/>
      <c r="C290" s="117"/>
      <c r="D290" s="117"/>
      <c r="E290" s="117"/>
      <c r="F290" s="117"/>
      <c r="G290" s="113"/>
      <c r="H290" s="114"/>
      <c r="I290" s="113"/>
      <c r="J290" s="385"/>
      <c r="K290" s="387">
        <v>1</v>
      </c>
      <c r="L290" s="7"/>
      <c r="M290" s="387">
        <f t="shared" si="10"/>
        <v>0</v>
      </c>
      <c r="N290" s="114">
        <f t="shared" si="11"/>
        <v>0</v>
      </c>
      <c r="O290" s="7"/>
      <c r="P290" s="597"/>
      <c r="Q290" s="598"/>
      <c r="R290" s="7"/>
    </row>
    <row r="291" spans="1:18" ht="15" customHeight="1">
      <c r="A291" s="7"/>
      <c r="B291" s="117"/>
      <c r="C291" s="117"/>
      <c r="D291" s="117"/>
      <c r="E291" s="117"/>
      <c r="F291" s="117"/>
      <c r="G291" s="113"/>
      <c r="H291" s="114"/>
      <c r="I291" s="113"/>
      <c r="J291" s="385"/>
      <c r="K291" s="387">
        <v>1</v>
      </c>
      <c r="L291" s="7"/>
      <c r="M291" s="387">
        <f t="shared" si="10"/>
        <v>0</v>
      </c>
      <c r="N291" s="114">
        <f t="shared" si="11"/>
        <v>0</v>
      </c>
      <c r="O291" s="7"/>
      <c r="P291" s="597"/>
      <c r="Q291" s="598"/>
      <c r="R291" s="7"/>
    </row>
    <row r="292" spans="1:18" ht="15" customHeight="1">
      <c r="A292" s="7"/>
      <c r="B292" s="117"/>
      <c r="C292" s="117"/>
      <c r="D292" s="117"/>
      <c r="E292" s="117"/>
      <c r="F292" s="117"/>
      <c r="G292" s="113"/>
      <c r="H292" s="114"/>
      <c r="I292" s="113"/>
      <c r="J292" s="385"/>
      <c r="K292" s="387">
        <v>1</v>
      </c>
      <c r="L292" s="7"/>
      <c r="M292" s="387">
        <f t="shared" si="10"/>
        <v>0</v>
      </c>
      <c r="N292" s="114">
        <f t="shared" si="11"/>
        <v>0</v>
      </c>
      <c r="O292" s="7"/>
      <c r="P292" s="597"/>
      <c r="Q292" s="598"/>
      <c r="R292" s="7"/>
    </row>
    <row r="293" spans="1:18" ht="15" customHeight="1">
      <c r="A293" s="7"/>
      <c r="B293" s="117"/>
      <c r="C293" s="117"/>
      <c r="D293" s="117"/>
      <c r="E293" s="117"/>
      <c r="F293" s="117"/>
      <c r="G293" s="113"/>
      <c r="H293" s="114"/>
      <c r="I293" s="113"/>
      <c r="J293" s="385"/>
      <c r="K293" s="387">
        <v>1</v>
      </c>
      <c r="L293" s="7"/>
      <c r="M293" s="387">
        <f t="shared" si="10"/>
        <v>0</v>
      </c>
      <c r="N293" s="114">
        <f t="shared" si="11"/>
        <v>0</v>
      </c>
      <c r="O293" s="7"/>
      <c r="P293" s="597"/>
      <c r="Q293" s="598"/>
      <c r="R293" s="7"/>
    </row>
    <row r="294" spans="1:18" ht="15" customHeight="1">
      <c r="A294" s="7"/>
      <c r="B294" s="117"/>
      <c r="C294" s="117"/>
      <c r="D294" s="117"/>
      <c r="E294" s="117"/>
      <c r="F294" s="117"/>
      <c r="G294" s="113"/>
      <c r="H294" s="114"/>
      <c r="I294" s="113"/>
      <c r="J294" s="385"/>
      <c r="K294" s="387">
        <v>1</v>
      </c>
      <c r="L294" s="7"/>
      <c r="M294" s="387">
        <f t="shared" si="10"/>
        <v>0</v>
      </c>
      <c r="N294" s="114">
        <f t="shared" si="11"/>
        <v>0</v>
      </c>
      <c r="O294" s="7"/>
      <c r="P294" s="597"/>
      <c r="Q294" s="598"/>
      <c r="R294" s="7"/>
    </row>
    <row r="295" spans="1:18" ht="15" customHeight="1">
      <c r="A295" s="7"/>
      <c r="B295" s="117"/>
      <c r="C295" s="117"/>
      <c r="D295" s="117"/>
      <c r="E295" s="117"/>
      <c r="F295" s="117"/>
      <c r="G295" s="113"/>
      <c r="H295" s="114"/>
      <c r="I295" s="113"/>
      <c r="J295" s="385"/>
      <c r="K295" s="387">
        <v>1</v>
      </c>
      <c r="L295" s="7"/>
      <c r="M295" s="387">
        <f t="shared" si="10"/>
        <v>0</v>
      </c>
      <c r="N295" s="114">
        <f t="shared" si="11"/>
        <v>0</v>
      </c>
      <c r="O295" s="7"/>
      <c r="P295" s="597"/>
      <c r="Q295" s="598"/>
      <c r="R295" s="7"/>
    </row>
    <row r="296" spans="1:18" ht="15" customHeight="1">
      <c r="A296" s="7"/>
      <c r="B296" s="117"/>
      <c r="C296" s="117"/>
      <c r="D296" s="117"/>
      <c r="E296" s="117"/>
      <c r="F296" s="117"/>
      <c r="G296" s="113"/>
      <c r="H296" s="114"/>
      <c r="I296" s="113"/>
      <c r="J296" s="385"/>
      <c r="K296" s="387">
        <v>1</v>
      </c>
      <c r="L296" s="7"/>
      <c r="M296" s="387">
        <f t="shared" si="10"/>
        <v>0</v>
      </c>
      <c r="N296" s="114">
        <f t="shared" si="11"/>
        <v>0</v>
      </c>
      <c r="O296" s="7"/>
      <c r="P296" s="597"/>
      <c r="Q296" s="598"/>
      <c r="R296" s="7"/>
    </row>
    <row r="297" spans="1:18" ht="15" customHeight="1">
      <c r="A297" s="7"/>
      <c r="B297" s="117"/>
      <c r="C297" s="117"/>
      <c r="D297" s="117"/>
      <c r="E297" s="117"/>
      <c r="F297" s="117"/>
      <c r="G297" s="113"/>
      <c r="H297" s="114"/>
      <c r="I297" s="113"/>
      <c r="J297" s="385"/>
      <c r="K297" s="387">
        <v>1</v>
      </c>
      <c r="L297" s="7"/>
      <c r="M297" s="387">
        <f t="shared" si="10"/>
        <v>0</v>
      </c>
      <c r="N297" s="114">
        <f t="shared" si="11"/>
        <v>0</v>
      </c>
      <c r="O297" s="7"/>
      <c r="P297" s="597"/>
      <c r="Q297" s="598"/>
      <c r="R297" s="7"/>
    </row>
    <row r="298" spans="1:18" ht="15" customHeight="1">
      <c r="A298" s="7"/>
      <c r="B298" s="117"/>
      <c r="C298" s="117"/>
      <c r="D298" s="117"/>
      <c r="E298" s="117"/>
      <c r="F298" s="117"/>
      <c r="G298" s="113"/>
      <c r="H298" s="114"/>
      <c r="I298" s="113"/>
      <c r="J298" s="385"/>
      <c r="K298" s="387">
        <v>1</v>
      </c>
      <c r="L298" s="7"/>
      <c r="M298" s="387">
        <f t="shared" si="10"/>
        <v>0</v>
      </c>
      <c r="N298" s="114">
        <f t="shared" si="11"/>
        <v>0</v>
      </c>
      <c r="O298" s="7"/>
      <c r="P298" s="597"/>
      <c r="Q298" s="598"/>
      <c r="R298" s="7"/>
    </row>
    <row r="299" spans="1:18" ht="15" customHeight="1">
      <c r="A299" s="7"/>
      <c r="B299" s="117"/>
      <c r="C299" s="117"/>
      <c r="D299" s="117"/>
      <c r="E299" s="117"/>
      <c r="F299" s="117"/>
      <c r="G299" s="113"/>
      <c r="H299" s="114"/>
      <c r="I299" s="113"/>
      <c r="J299" s="385"/>
      <c r="K299" s="387">
        <v>1</v>
      </c>
      <c r="L299" s="7"/>
      <c r="M299" s="387">
        <f t="shared" si="10"/>
        <v>0</v>
      </c>
      <c r="N299" s="114">
        <f t="shared" si="11"/>
        <v>0</v>
      </c>
      <c r="O299" s="7"/>
      <c r="P299" s="597"/>
      <c r="Q299" s="598"/>
      <c r="R299" s="7"/>
    </row>
    <row r="300" spans="1:18" ht="15" customHeight="1">
      <c r="A300" s="7"/>
      <c r="B300" s="117"/>
      <c r="C300" s="117"/>
      <c r="D300" s="117"/>
      <c r="E300" s="117"/>
      <c r="F300" s="117"/>
      <c r="G300" s="113"/>
      <c r="H300" s="114"/>
      <c r="I300" s="113"/>
      <c r="J300" s="385"/>
      <c r="K300" s="387">
        <v>1</v>
      </c>
      <c r="L300" s="7"/>
      <c r="M300" s="387">
        <f t="shared" si="10"/>
        <v>0</v>
      </c>
      <c r="N300" s="114">
        <f t="shared" si="11"/>
        <v>0</v>
      </c>
      <c r="O300" s="7"/>
      <c r="P300" s="597"/>
      <c r="Q300" s="598"/>
      <c r="R300" s="7"/>
    </row>
    <row r="301" spans="1:18" ht="15" customHeight="1">
      <c r="A301" s="7"/>
      <c r="B301" s="117"/>
      <c r="C301" s="117"/>
      <c r="D301" s="117"/>
      <c r="E301" s="117"/>
      <c r="F301" s="117"/>
      <c r="G301" s="113"/>
      <c r="H301" s="114"/>
      <c r="I301" s="113"/>
      <c r="J301" s="385"/>
      <c r="K301" s="387">
        <v>1</v>
      </c>
      <c r="L301" s="7"/>
      <c r="M301" s="387">
        <f t="shared" si="10"/>
        <v>0</v>
      </c>
      <c r="N301" s="114">
        <f t="shared" si="11"/>
        <v>0</v>
      </c>
      <c r="O301" s="7"/>
      <c r="P301" s="597"/>
      <c r="Q301" s="598"/>
      <c r="R301" s="7"/>
    </row>
    <row r="302" spans="1:18" ht="15" customHeight="1">
      <c r="A302" s="7"/>
      <c r="B302" s="117"/>
      <c r="C302" s="117"/>
      <c r="D302" s="117"/>
      <c r="E302" s="117"/>
      <c r="F302" s="117"/>
      <c r="G302" s="113"/>
      <c r="H302" s="114"/>
      <c r="I302" s="113"/>
      <c r="J302" s="385"/>
      <c r="K302" s="387">
        <v>1</v>
      </c>
      <c r="L302" s="7"/>
      <c r="M302" s="387">
        <f t="shared" si="10"/>
        <v>0</v>
      </c>
      <c r="N302" s="114">
        <f t="shared" si="11"/>
        <v>0</v>
      </c>
      <c r="O302" s="7"/>
      <c r="P302" s="597"/>
      <c r="Q302" s="598"/>
      <c r="R302" s="7"/>
    </row>
    <row r="303" spans="1:18" ht="15" customHeight="1">
      <c r="A303" s="7"/>
      <c r="B303" s="117"/>
      <c r="C303" s="117"/>
      <c r="D303" s="117"/>
      <c r="E303" s="117"/>
      <c r="F303" s="117"/>
      <c r="G303" s="113"/>
      <c r="H303" s="114"/>
      <c r="I303" s="113"/>
      <c r="J303" s="385"/>
      <c r="K303" s="387">
        <v>1</v>
      </c>
      <c r="L303" s="7"/>
      <c r="M303" s="387">
        <f t="shared" si="10"/>
        <v>0</v>
      </c>
      <c r="N303" s="114">
        <f t="shared" si="11"/>
        <v>0</v>
      </c>
      <c r="O303" s="7"/>
      <c r="P303" s="597"/>
      <c r="Q303" s="598"/>
      <c r="R303" s="7"/>
    </row>
    <row r="304" spans="1:18" ht="15" customHeight="1">
      <c r="A304" s="7"/>
      <c r="B304" s="117"/>
      <c r="C304" s="117"/>
      <c r="D304" s="117"/>
      <c r="E304" s="117"/>
      <c r="F304" s="117"/>
      <c r="G304" s="113"/>
      <c r="H304" s="114"/>
      <c r="I304" s="113"/>
      <c r="J304" s="385"/>
      <c r="K304" s="387">
        <v>1</v>
      </c>
      <c r="L304" s="7"/>
      <c r="M304" s="387">
        <f t="shared" si="10"/>
        <v>0</v>
      </c>
      <c r="N304" s="114">
        <f t="shared" si="11"/>
        <v>0</v>
      </c>
      <c r="O304" s="7"/>
      <c r="P304" s="597"/>
      <c r="Q304" s="598"/>
      <c r="R304" s="7"/>
    </row>
    <row r="305" spans="1:18" ht="15" customHeight="1">
      <c r="A305" s="7"/>
      <c r="B305" s="117"/>
      <c r="C305" s="117"/>
      <c r="D305" s="117"/>
      <c r="E305" s="117"/>
      <c r="F305" s="117"/>
      <c r="G305" s="113"/>
      <c r="H305" s="114"/>
      <c r="I305" s="113"/>
      <c r="J305" s="385"/>
      <c r="K305" s="387">
        <v>1</v>
      </c>
      <c r="L305" s="7"/>
      <c r="M305" s="387">
        <f t="shared" si="10"/>
        <v>0</v>
      </c>
      <c r="N305" s="114">
        <f t="shared" si="11"/>
        <v>0</v>
      </c>
      <c r="O305" s="7"/>
      <c r="P305" s="597"/>
      <c r="Q305" s="598"/>
      <c r="R305" s="7"/>
    </row>
    <row r="306" spans="1:18" ht="15" customHeight="1">
      <c r="A306" s="7"/>
      <c r="B306" s="117"/>
      <c r="C306" s="117"/>
      <c r="D306" s="117"/>
      <c r="E306" s="117"/>
      <c r="F306" s="117"/>
      <c r="G306" s="113"/>
      <c r="H306" s="114"/>
      <c r="I306" s="113"/>
      <c r="J306" s="385"/>
      <c r="K306" s="387">
        <v>1</v>
      </c>
      <c r="L306" s="7"/>
      <c r="M306" s="387">
        <f t="shared" si="10"/>
        <v>0</v>
      </c>
      <c r="N306" s="114">
        <f t="shared" si="11"/>
        <v>0</v>
      </c>
      <c r="O306" s="7"/>
      <c r="P306" s="597"/>
      <c r="Q306" s="598"/>
      <c r="R306" s="7"/>
    </row>
    <row r="307" spans="1:18" ht="15" customHeight="1">
      <c r="A307" s="7"/>
      <c r="B307" s="117"/>
      <c r="C307" s="117"/>
      <c r="D307" s="117"/>
      <c r="E307" s="117"/>
      <c r="F307" s="117"/>
      <c r="G307" s="113"/>
      <c r="H307" s="114"/>
      <c r="I307" s="113"/>
      <c r="J307" s="385"/>
      <c r="K307" s="387">
        <v>1</v>
      </c>
      <c r="L307" s="7"/>
      <c r="M307" s="387">
        <f t="shared" si="10"/>
        <v>0</v>
      </c>
      <c r="N307" s="114">
        <f t="shared" si="11"/>
        <v>0</v>
      </c>
      <c r="O307" s="7"/>
      <c r="P307" s="597"/>
      <c r="Q307" s="598"/>
      <c r="R307" s="7"/>
    </row>
    <row r="308" spans="1:18" ht="15" customHeight="1">
      <c r="A308" s="7"/>
      <c r="B308" s="117"/>
      <c r="C308" s="117"/>
      <c r="D308" s="117"/>
      <c r="E308" s="117"/>
      <c r="F308" s="117"/>
      <c r="G308" s="113"/>
      <c r="H308" s="114"/>
      <c r="I308" s="113"/>
      <c r="J308" s="385"/>
      <c r="K308" s="387">
        <v>1</v>
      </c>
      <c r="L308" s="7"/>
      <c r="M308" s="387">
        <f t="shared" si="10"/>
        <v>0</v>
      </c>
      <c r="N308" s="114">
        <f t="shared" si="11"/>
        <v>0</v>
      </c>
      <c r="O308" s="7"/>
      <c r="P308" s="597"/>
      <c r="Q308" s="598"/>
      <c r="R308" s="7"/>
    </row>
    <row r="309" spans="1:18" ht="15" customHeight="1">
      <c r="A309" s="7"/>
      <c r="B309" s="117"/>
      <c r="C309" s="117"/>
      <c r="D309" s="117"/>
      <c r="E309" s="117"/>
      <c r="F309" s="117"/>
      <c r="G309" s="113"/>
      <c r="H309" s="114"/>
      <c r="I309" s="113"/>
      <c r="J309" s="385"/>
      <c r="K309" s="387">
        <v>1</v>
      </c>
      <c r="L309" s="7"/>
      <c r="M309" s="387">
        <f t="shared" si="10"/>
        <v>0</v>
      </c>
      <c r="N309" s="114">
        <f t="shared" si="11"/>
        <v>0</v>
      </c>
      <c r="O309" s="7"/>
      <c r="P309" s="597"/>
      <c r="Q309" s="598"/>
      <c r="R309" s="7"/>
    </row>
    <row r="310" spans="1:18" ht="15" customHeight="1">
      <c r="A310" s="7"/>
      <c r="B310" s="117"/>
      <c r="C310" s="117"/>
      <c r="D310" s="117"/>
      <c r="E310" s="117"/>
      <c r="F310" s="117"/>
      <c r="G310" s="113"/>
      <c r="H310" s="114"/>
      <c r="I310" s="113"/>
      <c r="J310" s="385"/>
      <c r="K310" s="387">
        <v>1</v>
      </c>
      <c r="L310" s="7"/>
      <c r="M310" s="387">
        <f t="shared" si="10"/>
        <v>0</v>
      </c>
      <c r="N310" s="114">
        <f t="shared" si="11"/>
        <v>0</v>
      </c>
      <c r="O310" s="7"/>
      <c r="P310" s="597"/>
      <c r="Q310" s="598"/>
      <c r="R310" s="7"/>
    </row>
    <row r="311" spans="1:18" ht="15" customHeight="1">
      <c r="A311" s="7"/>
      <c r="B311" s="117"/>
      <c r="C311" s="117"/>
      <c r="D311" s="117"/>
      <c r="E311" s="117"/>
      <c r="F311" s="117"/>
      <c r="G311" s="113"/>
      <c r="H311" s="114"/>
      <c r="I311" s="113"/>
      <c r="J311" s="385"/>
      <c r="K311" s="387">
        <v>1</v>
      </c>
      <c r="L311" s="7"/>
      <c r="M311" s="387">
        <f t="shared" si="10"/>
        <v>0</v>
      </c>
      <c r="N311" s="114">
        <f t="shared" si="11"/>
        <v>0</v>
      </c>
      <c r="O311" s="7"/>
      <c r="P311" s="597"/>
      <c r="Q311" s="598"/>
      <c r="R311" s="7"/>
    </row>
    <row r="312" spans="1:18" ht="15" customHeight="1">
      <c r="A312" s="7"/>
      <c r="B312" s="117"/>
      <c r="C312" s="117"/>
      <c r="D312" s="117"/>
      <c r="E312" s="117"/>
      <c r="F312" s="117"/>
      <c r="G312" s="113"/>
      <c r="H312" s="114"/>
      <c r="I312" s="113"/>
      <c r="J312" s="385"/>
      <c r="K312" s="387">
        <v>1</v>
      </c>
      <c r="L312" s="7"/>
      <c r="M312" s="387">
        <f t="shared" ref="M312:M342" si="12">IFERROR(H312*K312,0)</f>
        <v>0</v>
      </c>
      <c r="N312" s="114">
        <f t="shared" ref="N312:N342" si="13">IFERROR(G312*M312,0)</f>
        <v>0</v>
      </c>
      <c r="O312" s="7"/>
      <c r="P312" s="597"/>
      <c r="Q312" s="598"/>
      <c r="R312" s="7"/>
    </row>
    <row r="313" spans="1:18" ht="15" customHeight="1">
      <c r="A313" s="7"/>
      <c r="B313" s="117"/>
      <c r="C313" s="117"/>
      <c r="D313" s="117"/>
      <c r="E313" s="117"/>
      <c r="F313" s="117"/>
      <c r="G313" s="113"/>
      <c r="H313" s="114"/>
      <c r="I313" s="113"/>
      <c r="J313" s="385"/>
      <c r="K313" s="387">
        <v>1</v>
      </c>
      <c r="L313" s="7"/>
      <c r="M313" s="387">
        <f t="shared" si="12"/>
        <v>0</v>
      </c>
      <c r="N313" s="114">
        <f t="shared" si="13"/>
        <v>0</v>
      </c>
      <c r="O313" s="7"/>
      <c r="P313" s="597"/>
      <c r="Q313" s="598"/>
      <c r="R313" s="7"/>
    </row>
    <row r="314" spans="1:18" ht="15" customHeight="1">
      <c r="A314" s="7"/>
      <c r="B314" s="117"/>
      <c r="C314" s="117"/>
      <c r="D314" s="117"/>
      <c r="E314" s="117"/>
      <c r="F314" s="117"/>
      <c r="G314" s="113"/>
      <c r="H314" s="114"/>
      <c r="I314" s="113"/>
      <c r="J314" s="385"/>
      <c r="K314" s="387">
        <v>1</v>
      </c>
      <c r="L314" s="7"/>
      <c r="M314" s="387">
        <f t="shared" si="12"/>
        <v>0</v>
      </c>
      <c r="N314" s="114">
        <f t="shared" si="13"/>
        <v>0</v>
      </c>
      <c r="O314" s="7"/>
      <c r="P314" s="597"/>
      <c r="Q314" s="598"/>
      <c r="R314" s="7"/>
    </row>
    <row r="315" spans="1:18" ht="15" customHeight="1">
      <c r="A315" s="7"/>
      <c r="B315" s="117"/>
      <c r="C315" s="117"/>
      <c r="D315" s="117"/>
      <c r="E315" s="117"/>
      <c r="F315" s="117"/>
      <c r="G315" s="113"/>
      <c r="H315" s="114"/>
      <c r="I315" s="113"/>
      <c r="J315" s="385"/>
      <c r="K315" s="387">
        <v>1</v>
      </c>
      <c r="L315" s="7"/>
      <c r="M315" s="387">
        <f t="shared" si="12"/>
        <v>0</v>
      </c>
      <c r="N315" s="114">
        <f t="shared" si="13"/>
        <v>0</v>
      </c>
      <c r="O315" s="7"/>
      <c r="P315" s="597"/>
      <c r="Q315" s="598"/>
      <c r="R315" s="7"/>
    </row>
    <row r="316" spans="1:18" ht="15" customHeight="1">
      <c r="A316" s="7"/>
      <c r="B316" s="117"/>
      <c r="C316" s="117"/>
      <c r="D316" s="117"/>
      <c r="E316" s="117"/>
      <c r="F316" s="117"/>
      <c r="G316" s="113"/>
      <c r="H316" s="114"/>
      <c r="I316" s="113"/>
      <c r="J316" s="385"/>
      <c r="K316" s="387">
        <v>1</v>
      </c>
      <c r="L316" s="7"/>
      <c r="M316" s="387">
        <f t="shared" si="12"/>
        <v>0</v>
      </c>
      <c r="N316" s="114">
        <f t="shared" si="13"/>
        <v>0</v>
      </c>
      <c r="O316" s="7"/>
      <c r="P316" s="597"/>
      <c r="Q316" s="598"/>
      <c r="R316" s="7"/>
    </row>
    <row r="317" spans="1:18" ht="15" customHeight="1">
      <c r="A317" s="7"/>
      <c r="B317" s="117"/>
      <c r="C317" s="117"/>
      <c r="D317" s="117"/>
      <c r="E317" s="117"/>
      <c r="F317" s="117"/>
      <c r="G317" s="113"/>
      <c r="H317" s="114"/>
      <c r="I317" s="113"/>
      <c r="J317" s="385"/>
      <c r="K317" s="387">
        <v>1</v>
      </c>
      <c r="L317" s="7"/>
      <c r="M317" s="387">
        <f t="shared" si="12"/>
        <v>0</v>
      </c>
      <c r="N317" s="114">
        <f t="shared" si="13"/>
        <v>0</v>
      </c>
      <c r="O317" s="7"/>
      <c r="P317" s="597"/>
      <c r="Q317" s="598"/>
      <c r="R317" s="7"/>
    </row>
    <row r="318" spans="1:18" ht="15" customHeight="1">
      <c r="A318" s="7"/>
      <c r="B318" s="117"/>
      <c r="C318" s="117"/>
      <c r="D318" s="117"/>
      <c r="E318" s="117"/>
      <c r="F318" s="117"/>
      <c r="G318" s="113"/>
      <c r="H318" s="114"/>
      <c r="I318" s="113"/>
      <c r="J318" s="385"/>
      <c r="K318" s="387">
        <v>1</v>
      </c>
      <c r="L318" s="7"/>
      <c r="M318" s="387">
        <f t="shared" si="12"/>
        <v>0</v>
      </c>
      <c r="N318" s="114">
        <f t="shared" si="13"/>
        <v>0</v>
      </c>
      <c r="O318" s="7"/>
      <c r="P318" s="597"/>
      <c r="Q318" s="598"/>
      <c r="R318" s="7"/>
    </row>
    <row r="319" spans="1:18" ht="15" customHeight="1">
      <c r="A319" s="7"/>
      <c r="B319" s="117"/>
      <c r="C319" s="117"/>
      <c r="D319" s="117"/>
      <c r="E319" s="117"/>
      <c r="F319" s="117"/>
      <c r="G319" s="113"/>
      <c r="H319" s="114"/>
      <c r="I319" s="113"/>
      <c r="J319" s="385"/>
      <c r="K319" s="387">
        <v>1</v>
      </c>
      <c r="L319" s="7"/>
      <c r="M319" s="387">
        <f t="shared" si="12"/>
        <v>0</v>
      </c>
      <c r="N319" s="114">
        <f t="shared" si="13"/>
        <v>0</v>
      </c>
      <c r="O319" s="7"/>
      <c r="P319" s="597"/>
      <c r="Q319" s="598"/>
      <c r="R319" s="7"/>
    </row>
    <row r="320" spans="1:18" ht="15" customHeight="1">
      <c r="A320" s="7"/>
      <c r="B320" s="117"/>
      <c r="C320" s="117"/>
      <c r="D320" s="117"/>
      <c r="E320" s="117"/>
      <c r="F320" s="117"/>
      <c r="G320" s="113"/>
      <c r="H320" s="114"/>
      <c r="I320" s="113"/>
      <c r="J320" s="385"/>
      <c r="K320" s="387">
        <v>1</v>
      </c>
      <c r="L320" s="7"/>
      <c r="M320" s="387">
        <f t="shared" si="12"/>
        <v>0</v>
      </c>
      <c r="N320" s="114">
        <f t="shared" si="13"/>
        <v>0</v>
      </c>
      <c r="O320" s="7"/>
      <c r="P320" s="597"/>
      <c r="Q320" s="598"/>
      <c r="R320" s="7"/>
    </row>
    <row r="321" spans="1:18" ht="15" customHeight="1">
      <c r="A321" s="7"/>
      <c r="B321" s="117"/>
      <c r="C321" s="117"/>
      <c r="D321" s="117"/>
      <c r="E321" s="117"/>
      <c r="F321" s="117"/>
      <c r="G321" s="113"/>
      <c r="H321" s="114"/>
      <c r="I321" s="113"/>
      <c r="J321" s="385"/>
      <c r="K321" s="387">
        <v>1</v>
      </c>
      <c r="L321" s="7"/>
      <c r="M321" s="387">
        <f t="shared" si="12"/>
        <v>0</v>
      </c>
      <c r="N321" s="114">
        <f t="shared" si="13"/>
        <v>0</v>
      </c>
      <c r="O321" s="7"/>
      <c r="P321" s="597"/>
      <c r="Q321" s="598"/>
      <c r="R321" s="7"/>
    </row>
    <row r="322" spans="1:18" ht="15" customHeight="1">
      <c r="A322" s="7"/>
      <c r="B322" s="117"/>
      <c r="C322" s="117"/>
      <c r="D322" s="117"/>
      <c r="E322" s="117"/>
      <c r="F322" s="117"/>
      <c r="G322" s="113"/>
      <c r="H322" s="114"/>
      <c r="I322" s="113"/>
      <c r="J322" s="385"/>
      <c r="K322" s="387">
        <v>1</v>
      </c>
      <c r="L322" s="7"/>
      <c r="M322" s="387">
        <f t="shared" si="12"/>
        <v>0</v>
      </c>
      <c r="N322" s="114">
        <f t="shared" si="13"/>
        <v>0</v>
      </c>
      <c r="O322" s="7"/>
      <c r="P322" s="597"/>
      <c r="Q322" s="598"/>
      <c r="R322" s="7"/>
    </row>
    <row r="323" spans="1:18" ht="15" customHeight="1">
      <c r="A323" s="7"/>
      <c r="B323" s="117"/>
      <c r="C323" s="117"/>
      <c r="D323" s="117"/>
      <c r="E323" s="117"/>
      <c r="F323" s="117"/>
      <c r="G323" s="113"/>
      <c r="H323" s="114"/>
      <c r="I323" s="113"/>
      <c r="J323" s="385"/>
      <c r="K323" s="387">
        <v>1</v>
      </c>
      <c r="L323" s="7"/>
      <c r="M323" s="387">
        <f t="shared" si="12"/>
        <v>0</v>
      </c>
      <c r="N323" s="114">
        <f t="shared" si="13"/>
        <v>0</v>
      </c>
      <c r="O323" s="7"/>
      <c r="P323" s="597"/>
      <c r="Q323" s="598"/>
      <c r="R323" s="7"/>
    </row>
    <row r="324" spans="1:18" ht="15" customHeight="1">
      <c r="A324" s="7"/>
      <c r="B324" s="117"/>
      <c r="C324" s="117"/>
      <c r="D324" s="117"/>
      <c r="E324" s="117"/>
      <c r="F324" s="117"/>
      <c r="G324" s="113"/>
      <c r="H324" s="114"/>
      <c r="I324" s="113"/>
      <c r="J324" s="385"/>
      <c r="K324" s="387">
        <v>1</v>
      </c>
      <c r="L324" s="7"/>
      <c r="M324" s="387">
        <f t="shared" si="12"/>
        <v>0</v>
      </c>
      <c r="N324" s="114">
        <f t="shared" si="13"/>
        <v>0</v>
      </c>
      <c r="O324" s="7"/>
      <c r="P324" s="597"/>
      <c r="Q324" s="598"/>
      <c r="R324" s="7"/>
    </row>
    <row r="325" spans="1:18" ht="15" customHeight="1">
      <c r="A325" s="7"/>
      <c r="B325" s="117"/>
      <c r="C325" s="117"/>
      <c r="D325" s="117"/>
      <c r="E325" s="117"/>
      <c r="F325" s="117"/>
      <c r="G325" s="113"/>
      <c r="H325" s="114"/>
      <c r="I325" s="113"/>
      <c r="J325" s="385"/>
      <c r="K325" s="387">
        <v>1</v>
      </c>
      <c r="L325" s="7"/>
      <c r="M325" s="387">
        <f t="shared" si="12"/>
        <v>0</v>
      </c>
      <c r="N325" s="114">
        <f t="shared" si="13"/>
        <v>0</v>
      </c>
      <c r="O325" s="7"/>
      <c r="P325" s="597"/>
      <c r="Q325" s="598"/>
      <c r="R325" s="7"/>
    </row>
    <row r="326" spans="1:18" ht="15" customHeight="1">
      <c r="A326" s="7"/>
      <c r="B326" s="117"/>
      <c r="C326" s="117"/>
      <c r="D326" s="117"/>
      <c r="E326" s="117"/>
      <c r="F326" s="117"/>
      <c r="G326" s="113"/>
      <c r="H326" s="114"/>
      <c r="I326" s="113"/>
      <c r="J326" s="385"/>
      <c r="K326" s="387">
        <v>1</v>
      </c>
      <c r="L326" s="7"/>
      <c r="M326" s="387">
        <f t="shared" si="12"/>
        <v>0</v>
      </c>
      <c r="N326" s="114">
        <f t="shared" si="13"/>
        <v>0</v>
      </c>
      <c r="O326" s="7"/>
      <c r="P326" s="597"/>
      <c r="Q326" s="598"/>
      <c r="R326" s="7"/>
    </row>
    <row r="327" spans="1:18" ht="15" customHeight="1">
      <c r="A327" s="7"/>
      <c r="B327" s="117"/>
      <c r="C327" s="117"/>
      <c r="D327" s="117"/>
      <c r="E327" s="117"/>
      <c r="F327" s="117"/>
      <c r="G327" s="113"/>
      <c r="H327" s="114"/>
      <c r="I327" s="113"/>
      <c r="J327" s="385"/>
      <c r="K327" s="387">
        <v>1</v>
      </c>
      <c r="L327" s="7"/>
      <c r="M327" s="387">
        <f t="shared" si="12"/>
        <v>0</v>
      </c>
      <c r="N327" s="114">
        <f t="shared" si="13"/>
        <v>0</v>
      </c>
      <c r="O327" s="7"/>
      <c r="P327" s="597"/>
      <c r="Q327" s="598"/>
      <c r="R327" s="7"/>
    </row>
    <row r="328" spans="1:18" ht="15" customHeight="1">
      <c r="A328" s="7"/>
      <c r="B328" s="117"/>
      <c r="C328" s="117"/>
      <c r="D328" s="117"/>
      <c r="E328" s="117"/>
      <c r="F328" s="117"/>
      <c r="G328" s="113"/>
      <c r="H328" s="114"/>
      <c r="I328" s="113"/>
      <c r="J328" s="385"/>
      <c r="K328" s="387">
        <v>1</v>
      </c>
      <c r="L328" s="7"/>
      <c r="M328" s="387">
        <f t="shared" si="12"/>
        <v>0</v>
      </c>
      <c r="N328" s="114">
        <f t="shared" si="13"/>
        <v>0</v>
      </c>
      <c r="O328" s="7"/>
      <c r="P328" s="597"/>
      <c r="Q328" s="598"/>
      <c r="R328" s="7"/>
    </row>
    <row r="329" spans="1:18" ht="15" customHeight="1">
      <c r="A329" s="7"/>
      <c r="B329" s="117"/>
      <c r="C329" s="117"/>
      <c r="D329" s="117"/>
      <c r="E329" s="117"/>
      <c r="F329" s="117"/>
      <c r="G329" s="113"/>
      <c r="H329" s="114"/>
      <c r="I329" s="113"/>
      <c r="J329" s="385"/>
      <c r="K329" s="387">
        <v>1</v>
      </c>
      <c r="L329" s="7"/>
      <c r="M329" s="387">
        <f t="shared" si="12"/>
        <v>0</v>
      </c>
      <c r="N329" s="114">
        <f t="shared" si="13"/>
        <v>0</v>
      </c>
      <c r="O329" s="7"/>
      <c r="P329" s="597"/>
      <c r="Q329" s="598"/>
      <c r="R329" s="7"/>
    </row>
    <row r="330" spans="1:18" ht="15" customHeight="1">
      <c r="A330" s="7"/>
      <c r="B330" s="117"/>
      <c r="C330" s="117"/>
      <c r="D330" s="117"/>
      <c r="E330" s="117"/>
      <c r="F330" s="117"/>
      <c r="G330" s="113"/>
      <c r="H330" s="114"/>
      <c r="I330" s="113"/>
      <c r="J330" s="385"/>
      <c r="K330" s="387">
        <v>1</v>
      </c>
      <c r="L330" s="7"/>
      <c r="M330" s="387">
        <f t="shared" si="12"/>
        <v>0</v>
      </c>
      <c r="N330" s="114">
        <f t="shared" si="13"/>
        <v>0</v>
      </c>
      <c r="O330" s="7"/>
      <c r="P330" s="597"/>
      <c r="Q330" s="598"/>
      <c r="R330" s="7"/>
    </row>
    <row r="331" spans="1:18" ht="15" customHeight="1">
      <c r="A331" s="7"/>
      <c r="B331" s="117"/>
      <c r="C331" s="117"/>
      <c r="D331" s="117"/>
      <c r="E331" s="117"/>
      <c r="F331" s="117"/>
      <c r="G331" s="113"/>
      <c r="H331" s="114"/>
      <c r="I331" s="113"/>
      <c r="J331" s="385"/>
      <c r="K331" s="387">
        <v>1</v>
      </c>
      <c r="L331" s="7"/>
      <c r="M331" s="387">
        <f t="shared" si="12"/>
        <v>0</v>
      </c>
      <c r="N331" s="114">
        <f t="shared" si="13"/>
        <v>0</v>
      </c>
      <c r="O331" s="7"/>
      <c r="P331" s="597"/>
      <c r="Q331" s="598"/>
      <c r="R331" s="7"/>
    </row>
    <row r="332" spans="1:18" ht="15" customHeight="1">
      <c r="A332" s="7"/>
      <c r="B332" s="117"/>
      <c r="C332" s="117"/>
      <c r="D332" s="117"/>
      <c r="E332" s="117"/>
      <c r="F332" s="117"/>
      <c r="G332" s="113"/>
      <c r="H332" s="114"/>
      <c r="I332" s="113"/>
      <c r="J332" s="385"/>
      <c r="K332" s="387">
        <v>1</v>
      </c>
      <c r="L332" s="7"/>
      <c r="M332" s="387">
        <f t="shared" si="12"/>
        <v>0</v>
      </c>
      <c r="N332" s="114">
        <f t="shared" si="13"/>
        <v>0</v>
      </c>
      <c r="O332" s="7"/>
      <c r="P332" s="597"/>
      <c r="Q332" s="598"/>
      <c r="R332" s="7"/>
    </row>
    <row r="333" spans="1:18" ht="15" customHeight="1">
      <c r="A333" s="7"/>
      <c r="B333" s="117"/>
      <c r="C333" s="117"/>
      <c r="D333" s="117"/>
      <c r="E333" s="117"/>
      <c r="F333" s="117"/>
      <c r="G333" s="113"/>
      <c r="H333" s="114"/>
      <c r="I333" s="113"/>
      <c r="J333" s="385"/>
      <c r="K333" s="387">
        <v>1</v>
      </c>
      <c r="L333" s="7"/>
      <c r="M333" s="387">
        <f t="shared" si="12"/>
        <v>0</v>
      </c>
      <c r="N333" s="114">
        <f t="shared" si="13"/>
        <v>0</v>
      </c>
      <c r="O333" s="7"/>
      <c r="P333" s="597"/>
      <c r="Q333" s="598"/>
      <c r="R333" s="7"/>
    </row>
    <row r="334" spans="1:18" ht="15" customHeight="1">
      <c r="A334" s="7"/>
      <c r="B334" s="117"/>
      <c r="C334" s="117"/>
      <c r="D334" s="117"/>
      <c r="E334" s="117"/>
      <c r="F334" s="117"/>
      <c r="G334" s="113"/>
      <c r="H334" s="114"/>
      <c r="I334" s="113"/>
      <c r="J334" s="385"/>
      <c r="K334" s="387">
        <v>1</v>
      </c>
      <c r="L334" s="7"/>
      <c r="M334" s="387">
        <f t="shared" si="12"/>
        <v>0</v>
      </c>
      <c r="N334" s="114">
        <f t="shared" si="13"/>
        <v>0</v>
      </c>
      <c r="O334" s="7"/>
      <c r="P334" s="597"/>
      <c r="Q334" s="598"/>
      <c r="R334" s="7"/>
    </row>
    <row r="335" spans="1:18" ht="15" customHeight="1">
      <c r="A335" s="7"/>
      <c r="B335" s="117"/>
      <c r="C335" s="117"/>
      <c r="D335" s="117"/>
      <c r="E335" s="117"/>
      <c r="F335" s="117"/>
      <c r="G335" s="113"/>
      <c r="H335" s="114"/>
      <c r="I335" s="113"/>
      <c r="J335" s="385"/>
      <c r="K335" s="387">
        <v>1</v>
      </c>
      <c r="L335" s="7"/>
      <c r="M335" s="387">
        <f t="shared" si="12"/>
        <v>0</v>
      </c>
      <c r="N335" s="114">
        <f t="shared" si="13"/>
        <v>0</v>
      </c>
      <c r="O335" s="7"/>
      <c r="P335" s="597"/>
      <c r="Q335" s="598"/>
      <c r="R335" s="7"/>
    </row>
    <row r="336" spans="1:18" ht="15" customHeight="1">
      <c r="A336" s="7"/>
      <c r="B336" s="117"/>
      <c r="C336" s="117"/>
      <c r="D336" s="117"/>
      <c r="E336" s="117"/>
      <c r="F336" s="117"/>
      <c r="G336" s="113"/>
      <c r="H336" s="114"/>
      <c r="I336" s="113"/>
      <c r="J336" s="385"/>
      <c r="K336" s="387">
        <v>1</v>
      </c>
      <c r="L336" s="7"/>
      <c r="M336" s="387">
        <f t="shared" si="12"/>
        <v>0</v>
      </c>
      <c r="N336" s="114">
        <f t="shared" si="13"/>
        <v>0</v>
      </c>
      <c r="O336" s="7"/>
      <c r="P336" s="597"/>
      <c r="Q336" s="598"/>
      <c r="R336" s="7"/>
    </row>
    <row r="337" spans="1:18" ht="15" customHeight="1">
      <c r="A337" s="7"/>
      <c r="B337" s="117"/>
      <c r="C337" s="117"/>
      <c r="D337" s="117"/>
      <c r="E337" s="117"/>
      <c r="F337" s="117"/>
      <c r="G337" s="113"/>
      <c r="H337" s="114"/>
      <c r="I337" s="113"/>
      <c r="J337" s="385"/>
      <c r="K337" s="387">
        <v>1</v>
      </c>
      <c r="L337" s="7"/>
      <c r="M337" s="387">
        <f t="shared" si="12"/>
        <v>0</v>
      </c>
      <c r="N337" s="114">
        <f t="shared" si="13"/>
        <v>0</v>
      </c>
      <c r="O337" s="7"/>
      <c r="P337" s="597"/>
      <c r="Q337" s="598"/>
      <c r="R337" s="7"/>
    </row>
    <row r="338" spans="1:18" ht="15" customHeight="1">
      <c r="A338" s="7"/>
      <c r="B338" s="117"/>
      <c r="C338" s="117"/>
      <c r="D338" s="117"/>
      <c r="E338" s="117"/>
      <c r="F338" s="117"/>
      <c r="G338" s="113"/>
      <c r="H338" s="114"/>
      <c r="I338" s="113"/>
      <c r="J338" s="385"/>
      <c r="K338" s="387">
        <v>1</v>
      </c>
      <c r="L338" s="7"/>
      <c r="M338" s="387">
        <f t="shared" si="12"/>
        <v>0</v>
      </c>
      <c r="N338" s="114">
        <f t="shared" si="13"/>
        <v>0</v>
      </c>
      <c r="O338" s="7"/>
      <c r="P338" s="597"/>
      <c r="Q338" s="598"/>
      <c r="R338" s="7"/>
    </row>
    <row r="339" spans="1:18" ht="15" customHeight="1">
      <c r="A339" s="7"/>
      <c r="B339" s="117"/>
      <c r="C339" s="117"/>
      <c r="D339" s="117"/>
      <c r="E339" s="117"/>
      <c r="F339" s="117"/>
      <c r="G339" s="113"/>
      <c r="H339" s="114"/>
      <c r="I339" s="113"/>
      <c r="J339" s="385"/>
      <c r="K339" s="387">
        <v>1</v>
      </c>
      <c r="L339" s="7"/>
      <c r="M339" s="387">
        <f t="shared" si="12"/>
        <v>0</v>
      </c>
      <c r="N339" s="114">
        <f t="shared" si="13"/>
        <v>0</v>
      </c>
      <c r="O339" s="7"/>
      <c r="P339" s="597"/>
      <c r="Q339" s="598"/>
      <c r="R339" s="7"/>
    </row>
    <row r="340" spans="1:18" ht="15" customHeight="1">
      <c r="A340" s="7"/>
      <c r="B340" s="117"/>
      <c r="C340" s="117"/>
      <c r="D340" s="117"/>
      <c r="E340" s="117"/>
      <c r="F340" s="117"/>
      <c r="G340" s="113"/>
      <c r="H340" s="114"/>
      <c r="I340" s="113"/>
      <c r="J340" s="385"/>
      <c r="K340" s="387">
        <v>1</v>
      </c>
      <c r="L340" s="7"/>
      <c r="M340" s="387">
        <f t="shared" si="12"/>
        <v>0</v>
      </c>
      <c r="N340" s="114">
        <f t="shared" si="13"/>
        <v>0</v>
      </c>
      <c r="O340" s="7"/>
      <c r="P340" s="597"/>
      <c r="Q340" s="598"/>
      <c r="R340" s="7"/>
    </row>
    <row r="341" spans="1:18" ht="15" customHeight="1">
      <c r="A341" s="7"/>
      <c r="B341" s="117"/>
      <c r="C341" s="117"/>
      <c r="D341" s="117"/>
      <c r="E341" s="117"/>
      <c r="F341" s="117"/>
      <c r="G341" s="113"/>
      <c r="H341" s="114"/>
      <c r="I341" s="113"/>
      <c r="J341" s="385"/>
      <c r="K341" s="387">
        <v>1</v>
      </c>
      <c r="L341" s="7"/>
      <c r="M341" s="387">
        <f t="shared" si="12"/>
        <v>0</v>
      </c>
      <c r="N341" s="114">
        <f t="shared" si="13"/>
        <v>0</v>
      </c>
      <c r="O341" s="7"/>
      <c r="P341" s="597"/>
      <c r="Q341" s="598"/>
      <c r="R341" s="7"/>
    </row>
    <row r="342" spans="1:18" ht="15" customHeight="1">
      <c r="A342" s="7"/>
      <c r="B342" s="117"/>
      <c r="C342" s="117"/>
      <c r="D342" s="117"/>
      <c r="E342" s="117"/>
      <c r="F342" s="117"/>
      <c r="G342" s="113"/>
      <c r="H342" s="114"/>
      <c r="I342" s="113"/>
      <c r="J342" s="385"/>
      <c r="K342" s="387">
        <v>1</v>
      </c>
      <c r="L342" s="7"/>
      <c r="M342" s="387">
        <f t="shared" si="12"/>
        <v>0</v>
      </c>
      <c r="N342" s="114">
        <f t="shared" si="13"/>
        <v>0</v>
      </c>
      <c r="O342" s="7"/>
      <c r="P342" s="597"/>
      <c r="Q342" s="598"/>
      <c r="R342" s="7"/>
    </row>
    <row r="343" spans="1:18" ht="15" customHeight="1">
      <c r="A343" s="7"/>
      <c r="B343" s="7"/>
      <c r="C343" s="7"/>
      <c r="D343" s="7"/>
      <c r="E343" s="7"/>
      <c r="F343" s="7"/>
      <c r="G343" s="7"/>
      <c r="H343" s="388"/>
      <c r="I343" s="7"/>
      <c r="J343" s="7"/>
      <c r="K343" s="388" t="s">
        <v>35</v>
      </c>
      <c r="L343" s="7"/>
      <c r="M343" s="7"/>
      <c r="N343" s="115">
        <f>SUM(N183:N342)</f>
        <v>0</v>
      </c>
      <c r="O343" s="7"/>
      <c r="P343" s="599"/>
      <c r="Q343" s="600"/>
      <c r="R343" s="7"/>
    </row>
    <row r="344" spans="1:18">
      <c r="A344" s="7"/>
      <c r="B344" s="7"/>
      <c r="C344" s="7"/>
      <c r="D344" s="7"/>
      <c r="E344" s="7"/>
      <c r="F344" s="7"/>
      <c r="G344" s="7"/>
      <c r="H344" s="7"/>
      <c r="I344" s="7"/>
      <c r="J344" s="7"/>
      <c r="K344" s="7"/>
      <c r="L344" s="7"/>
      <c r="M344" s="7"/>
      <c r="N344" s="7"/>
      <c r="O344" s="7"/>
      <c r="P344" s="7"/>
      <c r="Q344" s="7"/>
      <c r="R344" s="7"/>
    </row>
  </sheetData>
  <mergeCells count="2">
    <mergeCell ref="P15:Q176"/>
    <mergeCell ref="P182:Q343"/>
  </mergeCells>
  <phoneticPr fontId="35" type="noConversion"/>
  <dataValidations count="1">
    <dataValidation showInputMessage="1" showErrorMessage="1" sqref="N343 B184:I342 P15 J17:J175 P6:P8 M6:M8 N6:N9 C17:C175 N176 P182 Q6:Q9 B6:K8" xr:uid="{C5074B93-673D-41F5-AB15-BD75908F104E}"/>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C0F93-2A40-4726-A589-D1FAD65D13CA}">
  <sheetPr codeName="Sheet21" filterMode="1"/>
  <dimension ref="A1:G20"/>
  <sheetViews>
    <sheetView showGridLines="0" zoomScale="110" zoomScaleNormal="110" workbookViewId="0">
      <pane ySplit="3" topLeftCell="A16" activePane="bottomLeft" state="frozen"/>
      <selection pane="bottomLeft" activeCell="A20" sqref="A20"/>
    </sheetView>
  </sheetViews>
  <sheetFormatPr defaultColWidth="9.140625" defaultRowHeight="14.45"/>
  <cols>
    <col min="1" max="1" width="3.140625" style="18" customWidth="1"/>
    <col min="2" max="2" width="14.140625" style="18" customWidth="1"/>
    <col min="3" max="3" width="11.7109375" style="18" customWidth="1"/>
    <col min="4" max="4" width="17.28515625" style="411" customWidth="1"/>
    <col min="5" max="5" width="118.140625" style="18" customWidth="1"/>
    <col min="6" max="6" width="116.42578125" style="18" customWidth="1"/>
    <col min="7" max="16384" width="9.140625" style="18"/>
  </cols>
  <sheetData>
    <row r="1" spans="1:7" ht="21">
      <c r="A1" s="46"/>
      <c r="B1" s="46" t="s">
        <v>1022</v>
      </c>
      <c r="C1" s="46"/>
      <c r="D1" s="408"/>
      <c r="E1" s="46"/>
      <c r="F1" s="46"/>
      <c r="G1" s="46"/>
    </row>
    <row r="2" spans="1:7" customFormat="1">
      <c r="D2" s="34"/>
    </row>
    <row r="3" spans="1:7">
      <c r="B3" s="405" t="s">
        <v>1023</v>
      </c>
      <c r="C3" s="405" t="s">
        <v>1024</v>
      </c>
      <c r="D3" s="409" t="s">
        <v>1025</v>
      </c>
      <c r="E3" s="405" t="s">
        <v>1026</v>
      </c>
      <c r="F3" s="405" t="s">
        <v>1027</v>
      </c>
    </row>
    <row r="4" spans="1:7" ht="72" hidden="1">
      <c r="B4" s="17">
        <v>45295</v>
      </c>
      <c r="C4" s="118">
        <v>1</v>
      </c>
      <c r="D4" s="410" t="s">
        <v>1028</v>
      </c>
      <c r="E4" s="119" t="s">
        <v>1029</v>
      </c>
      <c r="F4" s="119" t="s">
        <v>1030</v>
      </c>
    </row>
    <row r="5" spans="1:7" ht="28.9" hidden="1">
      <c r="B5" s="17">
        <v>45300</v>
      </c>
      <c r="C5" s="19">
        <v>1.1000000000000001</v>
      </c>
      <c r="D5" s="410" t="s">
        <v>1028</v>
      </c>
      <c r="E5" s="119" t="s">
        <v>1031</v>
      </c>
      <c r="F5" s="119" t="s">
        <v>1032</v>
      </c>
    </row>
    <row r="6" spans="1:7" ht="72" hidden="1">
      <c r="B6" s="17">
        <v>45316</v>
      </c>
      <c r="C6" s="19">
        <v>1.2</v>
      </c>
      <c r="D6" s="410" t="s">
        <v>1028</v>
      </c>
      <c r="E6" s="119" t="s">
        <v>1033</v>
      </c>
      <c r="F6" s="119" t="s">
        <v>1034</v>
      </c>
    </row>
    <row r="7" spans="1:7" ht="28.9" hidden="1">
      <c r="B7" s="17">
        <v>45316</v>
      </c>
      <c r="C7" s="19">
        <v>1.3</v>
      </c>
      <c r="D7" s="410" t="s">
        <v>1028</v>
      </c>
      <c r="E7" s="119" t="s">
        <v>1035</v>
      </c>
      <c r="F7" s="119" t="s">
        <v>1036</v>
      </c>
    </row>
    <row r="8" spans="1:7" ht="72" hidden="1">
      <c r="B8" s="17">
        <v>45328</v>
      </c>
      <c r="C8" s="19">
        <v>1.4</v>
      </c>
      <c r="D8" s="410" t="s">
        <v>1028</v>
      </c>
      <c r="E8" s="119" t="s">
        <v>1037</v>
      </c>
      <c r="F8" s="119" t="s">
        <v>1038</v>
      </c>
    </row>
    <row r="9" spans="1:7" hidden="1">
      <c r="B9" s="17">
        <v>45356</v>
      </c>
      <c r="C9" s="19">
        <v>1.5</v>
      </c>
      <c r="D9" s="410" t="s">
        <v>1028</v>
      </c>
      <c r="E9" s="119" t="s">
        <v>1039</v>
      </c>
      <c r="F9" s="119" t="s">
        <v>1040</v>
      </c>
    </row>
    <row r="10" spans="1:7" ht="129.6" hidden="1">
      <c r="B10" s="17">
        <v>45386</v>
      </c>
      <c r="C10" s="19">
        <v>1.6</v>
      </c>
      <c r="D10" s="410" t="s">
        <v>1041</v>
      </c>
      <c r="E10" s="119" t="s">
        <v>1042</v>
      </c>
      <c r="F10" s="119" t="s">
        <v>1043</v>
      </c>
    </row>
    <row r="11" spans="1:7" ht="216" hidden="1">
      <c r="B11" s="17">
        <v>45769</v>
      </c>
      <c r="C11" s="118">
        <v>2</v>
      </c>
      <c r="D11" s="410" t="s">
        <v>1041</v>
      </c>
      <c r="E11" s="119" t="s">
        <v>1044</v>
      </c>
      <c r="F11" s="119" t="s">
        <v>1045</v>
      </c>
    </row>
    <row r="12" spans="1:7" ht="216" hidden="1">
      <c r="B12" s="17">
        <v>45794</v>
      </c>
      <c r="C12" s="118">
        <v>2.1</v>
      </c>
      <c r="D12" s="410" t="s">
        <v>1041</v>
      </c>
      <c r="E12" s="119" t="s">
        <v>1046</v>
      </c>
      <c r="F12" s="119" t="s">
        <v>1047</v>
      </c>
    </row>
    <row r="13" spans="1:7" ht="115.15" hidden="1">
      <c r="B13" s="17">
        <v>45798</v>
      </c>
      <c r="C13" s="118">
        <v>2.2000000000000002</v>
      </c>
      <c r="D13" s="410" t="s">
        <v>1041</v>
      </c>
      <c r="E13" s="119" t="s">
        <v>1048</v>
      </c>
      <c r="F13" s="119" t="s">
        <v>1049</v>
      </c>
    </row>
    <row r="14" spans="1:7" ht="187.15" hidden="1">
      <c r="B14" s="17">
        <v>45853</v>
      </c>
      <c r="C14" s="118">
        <v>2.2999999999999998</v>
      </c>
      <c r="D14" s="410" t="s">
        <v>1041</v>
      </c>
      <c r="E14" s="119" t="s">
        <v>1050</v>
      </c>
      <c r="F14" s="119" t="s">
        <v>1051</v>
      </c>
    </row>
    <row r="15" spans="1:7" ht="28.9" hidden="1">
      <c r="B15" s="17">
        <v>45895</v>
      </c>
      <c r="C15" s="118">
        <v>2.4</v>
      </c>
      <c r="D15" s="410" t="s">
        <v>1041</v>
      </c>
      <c r="E15" s="119" t="s">
        <v>1052</v>
      </c>
      <c r="F15" s="119" t="s">
        <v>1053</v>
      </c>
    </row>
    <row r="16" spans="1:7" ht="88.9" customHeight="1">
      <c r="B16" s="17">
        <v>45922</v>
      </c>
      <c r="C16" s="118">
        <v>2.5</v>
      </c>
      <c r="D16" s="410" t="s">
        <v>1041</v>
      </c>
      <c r="E16" s="119" t="s">
        <v>1054</v>
      </c>
      <c r="F16" s="119" t="s">
        <v>1055</v>
      </c>
    </row>
    <row r="17" spans="2:6" ht="172.9">
      <c r="B17" s="17">
        <v>45975</v>
      </c>
      <c r="C17" s="118">
        <v>2.6</v>
      </c>
      <c r="D17" s="410" t="s">
        <v>1041</v>
      </c>
      <c r="E17" s="119" t="s">
        <v>1056</v>
      </c>
      <c r="F17" s="119" t="s">
        <v>1057</v>
      </c>
    </row>
    <row r="18" spans="2:6" ht="86.45">
      <c r="B18" s="17">
        <v>46043</v>
      </c>
      <c r="C18" s="118">
        <v>2.7</v>
      </c>
      <c r="D18" s="410" t="s">
        <v>1041</v>
      </c>
      <c r="E18" s="119" t="s">
        <v>1058</v>
      </c>
      <c r="F18" s="119" t="s">
        <v>1059</v>
      </c>
    </row>
    <row r="19" spans="2:6" ht="28.9">
      <c r="B19" s="17">
        <v>46056</v>
      </c>
      <c r="C19" s="118" t="s">
        <v>1060</v>
      </c>
      <c r="D19" s="410" t="s">
        <v>1041</v>
      </c>
      <c r="E19" s="119" t="s">
        <v>1061</v>
      </c>
      <c r="F19" s="119" t="s">
        <v>1062</v>
      </c>
    </row>
    <row r="20" spans="2:6" ht="43.15">
      <c r="B20" s="17">
        <v>46079</v>
      </c>
      <c r="C20" s="118">
        <v>2.8</v>
      </c>
      <c r="D20" s="410" t="s">
        <v>1041</v>
      </c>
      <c r="E20" s="119" t="s">
        <v>1063</v>
      </c>
      <c r="F20" s="119" t="s">
        <v>1064</v>
      </c>
    </row>
  </sheetData>
  <sheetProtection algorithmName="SHA-512" hashValue="UQlSjcfMuyxklyYcgpqbIG9Y+za0Bc/dmtqv+Qqk24MgKa+64lbHFk9cy5sh02NVDjU/T+3wu6QnogtcurBZiw==" saltValue="P0PF8ZPgBQA3CkWm02kqvg==" spinCount="100000" sheet="1" objects="1" scenarios="1" formatCells="0" formatColumns="0" formatRows="0" autoFilter="0"/>
  <autoFilter ref="B3:D20" xr:uid="{03CC0F93-2A40-4726-A589-D1FAD65D13CA}">
    <filterColumn colId="1">
      <filters>
        <filter val="2.5"/>
        <filter val="2.6"/>
        <filter val="2.7"/>
        <filter val="2.7.1"/>
        <filter val="2.8"/>
      </filters>
    </filterColumn>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67539-1439-CC47-8F9E-8107AA3222D7}">
  <dimension ref="A1:F15"/>
  <sheetViews>
    <sheetView showGridLines="0" zoomScaleNormal="100" workbookViewId="0">
      <selection activeCell="D13" sqref="D13"/>
    </sheetView>
  </sheetViews>
  <sheetFormatPr defaultColWidth="9.140625" defaultRowHeight="14.45"/>
  <cols>
    <col min="1" max="1" width="3.140625" style="18" customWidth="1"/>
    <col min="2" max="2" width="23.42578125" style="18" customWidth="1"/>
    <col min="3" max="4" width="121" style="18" customWidth="1"/>
    <col min="5" max="16384" width="9.140625" style="18"/>
  </cols>
  <sheetData>
    <row r="1" spans="1:6" ht="21">
      <c r="A1" s="46"/>
      <c r="B1" s="46" t="s">
        <v>1065</v>
      </c>
      <c r="C1" s="46"/>
      <c r="D1" s="46"/>
      <c r="E1" s="46"/>
    </row>
    <row r="2" spans="1:6" customFormat="1"/>
    <row r="3" spans="1:6">
      <c r="B3" s="405" t="s">
        <v>1066</v>
      </c>
      <c r="C3" s="405" t="s">
        <v>1067</v>
      </c>
      <c r="D3" s="405" t="s">
        <v>1068</v>
      </c>
    </row>
    <row r="4" spans="1:6" ht="100.9">
      <c r="B4" s="406" t="s">
        <v>1069</v>
      </c>
      <c r="C4" s="119" t="s">
        <v>1070</v>
      </c>
      <c r="D4" s="119" t="s">
        <v>1071</v>
      </c>
      <c r="F4" s="407"/>
    </row>
    <row r="5" spans="1:6" ht="28.9">
      <c r="B5" s="406" t="s">
        <v>1072</v>
      </c>
      <c r="C5" s="119" t="s">
        <v>1073</v>
      </c>
      <c r="D5" s="119" t="s">
        <v>1074</v>
      </c>
      <c r="F5" s="407"/>
    </row>
    <row r="6" spans="1:6" ht="100.9">
      <c r="B6" s="406" t="s">
        <v>1075</v>
      </c>
      <c r="C6" s="119" t="s">
        <v>1076</v>
      </c>
      <c r="D6" s="119" t="s">
        <v>1077</v>
      </c>
      <c r="F6" s="407"/>
    </row>
    <row r="7" spans="1:6" ht="172.9">
      <c r="B7" s="406" t="s">
        <v>1078</v>
      </c>
      <c r="C7" s="119" t="s">
        <v>1079</v>
      </c>
      <c r="D7" s="119" t="s">
        <v>1080</v>
      </c>
      <c r="F7" s="407"/>
    </row>
    <row r="8" spans="1:6" ht="100.9">
      <c r="B8" s="406" t="s">
        <v>1081</v>
      </c>
      <c r="C8" s="119" t="s">
        <v>1082</v>
      </c>
      <c r="D8" s="119" t="s">
        <v>1083</v>
      </c>
      <c r="F8" s="407"/>
    </row>
    <row r="9" spans="1:6" ht="244.9">
      <c r="B9" s="406" t="s">
        <v>1084</v>
      </c>
      <c r="C9" s="119" t="s">
        <v>1085</v>
      </c>
      <c r="D9" s="119" t="s">
        <v>1086</v>
      </c>
      <c r="F9" s="407"/>
    </row>
    <row r="10" spans="1:6" ht="201.6">
      <c r="B10" s="406" t="s">
        <v>1087</v>
      </c>
      <c r="C10" s="119" t="s">
        <v>1088</v>
      </c>
      <c r="D10" s="119" t="s">
        <v>1089</v>
      </c>
      <c r="F10" s="407"/>
    </row>
    <row r="11" spans="1:6" ht="86.45">
      <c r="B11" s="406" t="s">
        <v>1090</v>
      </c>
      <c r="C11" s="119" t="s">
        <v>1091</v>
      </c>
      <c r="D11" s="119" t="s">
        <v>1092</v>
      </c>
      <c r="F11" s="407"/>
    </row>
    <row r="12" spans="1:6" ht="57.6">
      <c r="B12" s="406" t="s">
        <v>1093</v>
      </c>
      <c r="C12" s="119" t="s">
        <v>1094</v>
      </c>
      <c r="D12" s="119" t="s">
        <v>1095</v>
      </c>
      <c r="F12" s="407"/>
    </row>
    <row r="13" spans="1:6" ht="302.45">
      <c r="B13" s="406" t="s">
        <v>1096</v>
      </c>
      <c r="C13" s="119" t="s">
        <v>1097</v>
      </c>
      <c r="D13" s="119" t="s">
        <v>1098</v>
      </c>
      <c r="F13" s="407"/>
    </row>
    <row r="14" spans="1:6">
      <c r="B14" s="406"/>
      <c r="C14" s="119"/>
      <c r="D14" s="119"/>
      <c r="F14" s="407"/>
    </row>
    <row r="15" spans="1:6">
      <c r="B15" s="406"/>
      <c r="C15" s="119"/>
      <c r="D15" s="119"/>
      <c r="F15" s="407"/>
    </row>
  </sheetData>
  <sheetProtection algorithmName="SHA-512" hashValue="eA6a4nWkkOHKlFDF7Dkwx0uiUNYgCDufuvHIyD2lCwWxJRYEKZPQohJckINVOt23EfnLZ/FzzEpLJjbQUcX4rA==" saltValue="Ja5TYBHbISIQEa27We5G1A==" spinCount="100000" sheet="1" objects="1" scenarios="1" formatColumns="0" formatRows="0" selectLockedCells="1" selectUnlockedCell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9D4A4-587A-4261-80FB-141A6E106745}">
  <sheetPr codeName="Sheet17"/>
  <dimension ref="A1:L174"/>
  <sheetViews>
    <sheetView showGridLines="0" zoomScaleNormal="100" workbookViewId="0">
      <selection activeCell="A3" sqref="A3"/>
    </sheetView>
  </sheetViews>
  <sheetFormatPr defaultColWidth="94.42578125" defaultRowHeight="13.15"/>
  <cols>
    <col min="1" max="1" width="33.7109375" style="252" customWidth="1"/>
    <col min="2" max="2" width="35.42578125" style="252" customWidth="1"/>
    <col min="3" max="3" width="11.140625" style="252" bestFit="1" customWidth="1"/>
    <col min="4" max="4" width="19.140625" style="252" customWidth="1"/>
    <col min="5" max="5" width="57.7109375" style="252" customWidth="1"/>
    <col min="6" max="6" width="26.7109375" style="250" customWidth="1"/>
    <col min="7" max="7" width="47" style="252" customWidth="1"/>
    <col min="8" max="8" width="29" style="250" customWidth="1"/>
    <col min="9" max="9" width="29" style="252" customWidth="1"/>
    <col min="10" max="10" width="29" style="250" customWidth="1"/>
    <col min="11" max="11" width="138.42578125" style="252" bestFit="1" customWidth="1"/>
    <col min="12" max="12" width="29.7109375" style="252" customWidth="1"/>
    <col min="13" max="16384" width="94.42578125" style="252"/>
  </cols>
  <sheetData>
    <row r="1" spans="1:12" s="250" customFormat="1" ht="14.45">
      <c r="A1" s="133" t="s">
        <v>1099</v>
      </c>
      <c r="B1" s="133" t="s">
        <v>1100</v>
      </c>
      <c r="C1" s="133" t="s">
        <v>1101</v>
      </c>
      <c r="D1" s="133" t="s">
        <v>1102</v>
      </c>
      <c r="E1" s="249" t="s">
        <v>1103</v>
      </c>
      <c r="F1" s="133" t="s">
        <v>1104</v>
      </c>
      <c r="G1" s="133" t="s">
        <v>1105</v>
      </c>
      <c r="H1" s="133" t="s">
        <v>1106</v>
      </c>
      <c r="I1" s="133" t="s">
        <v>1107</v>
      </c>
      <c r="J1" s="133" t="s">
        <v>1108</v>
      </c>
      <c r="K1" s="133" t="s">
        <v>1109</v>
      </c>
      <c r="L1" s="133" t="s">
        <v>1110</v>
      </c>
    </row>
    <row r="2" spans="1:12" ht="14.45">
      <c r="A2" s="256" t="s">
        <v>1111</v>
      </c>
      <c r="B2" s="256" t="s">
        <v>1111</v>
      </c>
      <c r="C2" s="256" t="s">
        <v>1112</v>
      </c>
      <c r="D2" s="257" t="s">
        <v>871</v>
      </c>
      <c r="E2" s="251" t="s">
        <v>1113</v>
      </c>
      <c r="F2" s="258">
        <v>0</v>
      </c>
      <c r="G2" s="251" t="s">
        <v>1114</v>
      </c>
      <c r="H2" s="256">
        <v>0</v>
      </c>
      <c r="I2" s="256"/>
      <c r="J2" s="256">
        <v>0</v>
      </c>
      <c r="K2" s="256" t="s">
        <v>1115</v>
      </c>
      <c r="L2" s="256">
        <f t="shared" ref="L2:L65" si="0">IF(E2=G2,1,0)</f>
        <v>0</v>
      </c>
    </row>
    <row r="3" spans="1:12" ht="14.45">
      <c r="A3" s="256" t="s">
        <v>1116</v>
      </c>
      <c r="B3" s="256" t="s">
        <v>1117</v>
      </c>
      <c r="C3" s="256" t="s">
        <v>1118</v>
      </c>
      <c r="D3" s="257" t="s">
        <v>871</v>
      </c>
      <c r="E3" s="253" t="s">
        <v>1119</v>
      </c>
      <c r="F3" s="258">
        <v>0</v>
      </c>
      <c r="G3" s="253" t="s">
        <v>1120</v>
      </c>
      <c r="H3" s="256">
        <v>0</v>
      </c>
      <c r="I3" s="256"/>
      <c r="J3" s="256">
        <v>0</v>
      </c>
      <c r="K3" s="256" t="s">
        <v>1121</v>
      </c>
      <c r="L3" s="256">
        <f t="shared" si="0"/>
        <v>0</v>
      </c>
    </row>
    <row r="4" spans="1:12" ht="14.45">
      <c r="A4" s="256" t="s">
        <v>1116</v>
      </c>
      <c r="B4" s="256" t="s">
        <v>1122</v>
      </c>
      <c r="C4" s="256" t="s">
        <v>1118</v>
      </c>
      <c r="D4" s="257" t="s">
        <v>871</v>
      </c>
      <c r="E4" s="253" t="s">
        <v>1123</v>
      </c>
      <c r="F4" s="258">
        <v>0</v>
      </c>
      <c r="G4" s="253" t="s">
        <v>1124</v>
      </c>
      <c r="H4" s="256">
        <v>0</v>
      </c>
      <c r="I4" s="256"/>
      <c r="J4" s="256">
        <v>0</v>
      </c>
      <c r="K4" s="256" t="s">
        <v>1125</v>
      </c>
      <c r="L4" s="256">
        <f t="shared" si="0"/>
        <v>0</v>
      </c>
    </row>
    <row r="5" spans="1:12" ht="14.45">
      <c r="A5" s="256" t="s">
        <v>1116</v>
      </c>
      <c r="B5" s="256" t="s">
        <v>1122</v>
      </c>
      <c r="C5" s="256" t="s">
        <v>1118</v>
      </c>
      <c r="D5" s="257" t="s">
        <v>871</v>
      </c>
      <c r="E5" s="253" t="s">
        <v>1123</v>
      </c>
      <c r="F5" s="258">
        <v>0</v>
      </c>
      <c r="G5" s="253" t="s">
        <v>1126</v>
      </c>
      <c r="H5" s="256">
        <v>0</v>
      </c>
      <c r="I5" s="256"/>
      <c r="J5" s="256">
        <v>0</v>
      </c>
      <c r="K5" s="256" t="s">
        <v>1127</v>
      </c>
      <c r="L5" s="256">
        <f t="shared" si="0"/>
        <v>0</v>
      </c>
    </row>
    <row r="6" spans="1:12" ht="14.45">
      <c r="A6" s="256" t="s">
        <v>1116</v>
      </c>
      <c r="B6" s="256" t="s">
        <v>1128</v>
      </c>
      <c r="C6" s="256" t="s">
        <v>1118</v>
      </c>
      <c r="D6" s="257" t="s">
        <v>871</v>
      </c>
      <c r="E6" s="253" t="s">
        <v>1129</v>
      </c>
      <c r="F6" s="258">
        <v>0</v>
      </c>
      <c r="G6" s="253" t="s">
        <v>1130</v>
      </c>
      <c r="H6" s="256">
        <v>0</v>
      </c>
      <c r="I6" s="256"/>
      <c r="J6" s="256">
        <v>0</v>
      </c>
      <c r="K6" s="256" t="s">
        <v>1131</v>
      </c>
      <c r="L6" s="256">
        <f t="shared" si="0"/>
        <v>0</v>
      </c>
    </row>
    <row r="7" spans="1:12" ht="14.45">
      <c r="A7" s="256" t="s">
        <v>1116</v>
      </c>
      <c r="B7" s="256" t="s">
        <v>1128</v>
      </c>
      <c r="C7" s="256" t="s">
        <v>1118</v>
      </c>
      <c r="D7" s="257" t="s">
        <v>871</v>
      </c>
      <c r="E7" s="253" t="s">
        <v>1132</v>
      </c>
      <c r="F7" s="258">
        <v>0</v>
      </c>
      <c r="G7" s="253" t="s">
        <v>1133</v>
      </c>
      <c r="H7" s="256">
        <v>0</v>
      </c>
      <c r="I7" s="256"/>
      <c r="J7" s="256">
        <v>0</v>
      </c>
      <c r="K7" s="256" t="s">
        <v>1134</v>
      </c>
      <c r="L7" s="256">
        <f t="shared" si="0"/>
        <v>0</v>
      </c>
    </row>
    <row r="8" spans="1:12" ht="14.45">
      <c r="A8" s="256" t="s">
        <v>1116</v>
      </c>
      <c r="B8" s="256" t="s">
        <v>1128</v>
      </c>
      <c r="C8" s="256" t="s">
        <v>1118</v>
      </c>
      <c r="D8" s="257" t="s">
        <v>871</v>
      </c>
      <c r="E8" s="253" t="s">
        <v>1135</v>
      </c>
      <c r="F8" s="258">
        <v>0</v>
      </c>
      <c r="G8" s="253" t="s">
        <v>1136</v>
      </c>
      <c r="H8" s="256">
        <v>0</v>
      </c>
      <c r="I8" s="256"/>
      <c r="J8" s="256">
        <v>0</v>
      </c>
      <c r="K8" s="256" t="s">
        <v>1137</v>
      </c>
      <c r="L8" s="256">
        <f t="shared" si="0"/>
        <v>0</v>
      </c>
    </row>
    <row r="9" spans="1:12" ht="14.45">
      <c r="A9" s="256" t="s">
        <v>1116</v>
      </c>
      <c r="B9" s="256" t="s">
        <v>1128</v>
      </c>
      <c r="C9" s="256" t="s">
        <v>1138</v>
      </c>
      <c r="D9" s="257" t="s">
        <v>871</v>
      </c>
      <c r="E9" s="253" t="s">
        <v>1139</v>
      </c>
      <c r="F9" s="258">
        <v>0</v>
      </c>
      <c r="G9" s="253" t="s">
        <v>1140</v>
      </c>
      <c r="H9" s="256">
        <v>0</v>
      </c>
      <c r="I9" s="256"/>
      <c r="J9" s="256">
        <v>0</v>
      </c>
      <c r="K9" s="256" t="s">
        <v>1141</v>
      </c>
      <c r="L9" s="256">
        <f t="shared" si="0"/>
        <v>0</v>
      </c>
    </row>
    <row r="10" spans="1:12" ht="14.45">
      <c r="A10" s="256" t="s">
        <v>1116</v>
      </c>
      <c r="B10" s="256" t="s">
        <v>1142</v>
      </c>
      <c r="C10" s="256" t="s">
        <v>1118</v>
      </c>
      <c r="D10" s="257" t="s">
        <v>871</v>
      </c>
      <c r="E10" s="251" t="s">
        <v>1143</v>
      </c>
      <c r="F10" s="258">
        <v>0</v>
      </c>
      <c r="G10" s="251" t="s">
        <v>1144</v>
      </c>
      <c r="H10" s="256">
        <v>0</v>
      </c>
      <c r="I10" s="256"/>
      <c r="J10" s="256">
        <v>0</v>
      </c>
      <c r="K10" s="256" t="s">
        <v>1145</v>
      </c>
      <c r="L10" s="256">
        <f t="shared" si="0"/>
        <v>0</v>
      </c>
    </row>
    <row r="11" spans="1:12" ht="14.45">
      <c r="A11" s="256" t="s">
        <v>1116</v>
      </c>
      <c r="B11" s="256" t="s">
        <v>1146</v>
      </c>
      <c r="C11" s="256" t="s">
        <v>1147</v>
      </c>
      <c r="D11" s="257" t="s">
        <v>871</v>
      </c>
      <c r="E11" s="253" t="s">
        <v>1148</v>
      </c>
      <c r="F11" s="258">
        <v>0</v>
      </c>
      <c r="G11" s="253" t="s">
        <v>1149</v>
      </c>
      <c r="H11" s="256">
        <v>0</v>
      </c>
      <c r="I11" s="256"/>
      <c r="J11" s="256">
        <v>0</v>
      </c>
      <c r="K11" s="256" t="s">
        <v>1150</v>
      </c>
      <c r="L11" s="256">
        <f t="shared" si="0"/>
        <v>0</v>
      </c>
    </row>
    <row r="12" spans="1:12" ht="14.45">
      <c r="A12" s="256" t="s">
        <v>1116</v>
      </c>
      <c r="B12" s="256" t="s">
        <v>1146</v>
      </c>
      <c r="C12" s="256" t="s">
        <v>1147</v>
      </c>
      <c r="D12" s="257" t="s">
        <v>871</v>
      </c>
      <c r="E12" s="253" t="s">
        <v>1148</v>
      </c>
      <c r="F12" s="258">
        <v>0</v>
      </c>
      <c r="G12" s="253" t="s">
        <v>1151</v>
      </c>
      <c r="H12" s="256">
        <v>0</v>
      </c>
      <c r="I12" s="256"/>
      <c r="J12" s="256">
        <v>0</v>
      </c>
      <c r="K12" s="256" t="s">
        <v>1152</v>
      </c>
      <c r="L12" s="256">
        <f t="shared" si="0"/>
        <v>0</v>
      </c>
    </row>
    <row r="13" spans="1:12" ht="14.45">
      <c r="A13" s="256" t="s">
        <v>1153</v>
      </c>
      <c r="B13" s="256" t="s">
        <v>1154</v>
      </c>
      <c r="C13" s="256" t="s">
        <v>1147</v>
      </c>
      <c r="D13" s="257" t="s">
        <v>871</v>
      </c>
      <c r="E13" s="253" t="s">
        <v>1155</v>
      </c>
      <c r="F13" s="258">
        <v>0</v>
      </c>
      <c r="G13" s="253" t="s">
        <v>1156</v>
      </c>
      <c r="H13" s="256">
        <v>0</v>
      </c>
      <c r="I13" s="256"/>
      <c r="J13" s="256">
        <v>0</v>
      </c>
      <c r="K13" s="256" t="s">
        <v>1157</v>
      </c>
      <c r="L13" s="256">
        <f t="shared" si="0"/>
        <v>0</v>
      </c>
    </row>
    <row r="14" spans="1:12" ht="14.45">
      <c r="A14" s="256" t="s">
        <v>1153</v>
      </c>
      <c r="B14" s="256" t="s">
        <v>1154</v>
      </c>
      <c r="C14" s="256" t="s">
        <v>1147</v>
      </c>
      <c r="D14" s="257" t="s">
        <v>871</v>
      </c>
      <c r="E14" s="253" t="s">
        <v>1155</v>
      </c>
      <c r="F14" s="258">
        <v>0</v>
      </c>
      <c r="G14" s="253" t="s">
        <v>1158</v>
      </c>
      <c r="H14" s="256">
        <v>0</v>
      </c>
      <c r="I14" s="256"/>
      <c r="J14" s="256">
        <v>0</v>
      </c>
      <c r="K14" s="256" t="s">
        <v>1159</v>
      </c>
      <c r="L14" s="256">
        <f t="shared" si="0"/>
        <v>0</v>
      </c>
    </row>
    <row r="15" spans="1:12" ht="14.45">
      <c r="A15" s="256" t="s">
        <v>1153</v>
      </c>
      <c r="B15" s="256" t="s">
        <v>1154</v>
      </c>
      <c r="C15" s="256" t="s">
        <v>1147</v>
      </c>
      <c r="D15" s="257" t="s">
        <v>871</v>
      </c>
      <c r="E15" s="253" t="s">
        <v>1155</v>
      </c>
      <c r="F15" s="258">
        <v>0</v>
      </c>
      <c r="G15" s="253" t="s">
        <v>1160</v>
      </c>
      <c r="H15" s="256">
        <v>0</v>
      </c>
      <c r="I15" s="256"/>
      <c r="J15" s="256">
        <v>0</v>
      </c>
      <c r="K15" s="256" t="s">
        <v>1161</v>
      </c>
      <c r="L15" s="256">
        <f t="shared" si="0"/>
        <v>0</v>
      </c>
    </row>
    <row r="16" spans="1:12" ht="14.45">
      <c r="A16" s="256" t="s">
        <v>1153</v>
      </c>
      <c r="B16" s="256" t="s">
        <v>1154</v>
      </c>
      <c r="C16" s="256" t="s">
        <v>1147</v>
      </c>
      <c r="D16" s="257" t="s">
        <v>871</v>
      </c>
      <c r="E16" s="253" t="s">
        <v>1155</v>
      </c>
      <c r="F16" s="258">
        <v>0</v>
      </c>
      <c r="G16" s="253" t="s">
        <v>1162</v>
      </c>
      <c r="H16" s="256">
        <v>0</v>
      </c>
      <c r="I16" s="256"/>
      <c r="J16" s="256">
        <v>0</v>
      </c>
      <c r="K16" s="256" t="s">
        <v>1163</v>
      </c>
      <c r="L16" s="256">
        <f t="shared" si="0"/>
        <v>0</v>
      </c>
    </row>
    <row r="17" spans="1:12" ht="14.45">
      <c r="A17" s="256" t="s">
        <v>1164</v>
      </c>
      <c r="B17" s="256" t="s">
        <v>1164</v>
      </c>
      <c r="C17" s="256" t="s">
        <v>1147</v>
      </c>
      <c r="D17" s="257" t="s">
        <v>871</v>
      </c>
      <c r="E17" s="251" t="s">
        <v>1165</v>
      </c>
      <c r="F17" s="258">
        <v>0</v>
      </c>
      <c r="G17" s="251" t="s">
        <v>1166</v>
      </c>
      <c r="H17" s="256">
        <v>0</v>
      </c>
      <c r="I17" s="256"/>
      <c r="J17" s="256">
        <v>0</v>
      </c>
      <c r="K17" s="256" t="s">
        <v>1167</v>
      </c>
      <c r="L17" s="256">
        <f t="shared" si="0"/>
        <v>0</v>
      </c>
    </row>
    <row r="18" spans="1:12" ht="14.45">
      <c r="A18" s="256" t="s">
        <v>1164</v>
      </c>
      <c r="B18" s="256" t="s">
        <v>1164</v>
      </c>
      <c r="C18" s="256" t="s">
        <v>1147</v>
      </c>
      <c r="D18" s="257" t="s">
        <v>871</v>
      </c>
      <c r="E18" s="251" t="s">
        <v>1168</v>
      </c>
      <c r="F18" s="258">
        <v>0</v>
      </c>
      <c r="G18" s="251" t="s">
        <v>1166</v>
      </c>
      <c r="H18" s="256">
        <v>0</v>
      </c>
      <c r="I18" s="256"/>
      <c r="J18" s="256">
        <v>0</v>
      </c>
      <c r="K18" s="256" t="s">
        <v>1167</v>
      </c>
      <c r="L18" s="256">
        <f t="shared" si="0"/>
        <v>0</v>
      </c>
    </row>
    <row r="19" spans="1:12" ht="14.45">
      <c r="A19" s="256" t="s">
        <v>1164</v>
      </c>
      <c r="B19" s="256" t="s">
        <v>1164</v>
      </c>
      <c r="C19" s="256" t="s">
        <v>1147</v>
      </c>
      <c r="D19" s="257" t="s">
        <v>871</v>
      </c>
      <c r="E19" s="254" t="s">
        <v>1169</v>
      </c>
      <c r="F19" s="258">
        <v>0</v>
      </c>
      <c r="G19" s="254" t="s">
        <v>1170</v>
      </c>
      <c r="H19" s="256">
        <v>0</v>
      </c>
      <c r="I19" s="256"/>
      <c r="J19" s="256">
        <v>0</v>
      </c>
      <c r="K19" s="256" t="s">
        <v>1171</v>
      </c>
      <c r="L19" s="256">
        <f t="shared" si="0"/>
        <v>0</v>
      </c>
    </row>
    <row r="20" spans="1:12" ht="14.45">
      <c r="A20" s="256" t="s">
        <v>1164</v>
      </c>
      <c r="B20" s="256" t="s">
        <v>1164</v>
      </c>
      <c r="C20" s="256" t="s">
        <v>1147</v>
      </c>
      <c r="D20" s="257" t="s">
        <v>871</v>
      </c>
      <c r="E20" s="254" t="s">
        <v>1169</v>
      </c>
      <c r="F20" s="258">
        <v>0</v>
      </c>
      <c r="G20" s="254" t="s">
        <v>1172</v>
      </c>
      <c r="H20" s="256">
        <v>0</v>
      </c>
      <c r="I20" s="256"/>
      <c r="J20" s="256">
        <v>0</v>
      </c>
      <c r="K20" s="256" t="s">
        <v>1173</v>
      </c>
      <c r="L20" s="256">
        <f t="shared" si="0"/>
        <v>0</v>
      </c>
    </row>
    <row r="21" spans="1:12" ht="14.45">
      <c r="A21" s="256" t="s">
        <v>1164</v>
      </c>
      <c r="B21" s="256" t="s">
        <v>1164</v>
      </c>
      <c r="C21" s="256" t="s">
        <v>1147</v>
      </c>
      <c r="D21" s="257" t="s">
        <v>871</v>
      </c>
      <c r="E21" s="253" t="s">
        <v>1174</v>
      </c>
      <c r="F21" s="258">
        <v>0</v>
      </c>
      <c r="G21" s="253" t="s">
        <v>1175</v>
      </c>
      <c r="H21" s="256">
        <v>0</v>
      </c>
      <c r="I21" s="256"/>
      <c r="J21" s="256">
        <v>0</v>
      </c>
      <c r="K21" s="256" t="s">
        <v>1176</v>
      </c>
      <c r="L21" s="256">
        <f t="shared" si="0"/>
        <v>0</v>
      </c>
    </row>
    <row r="22" spans="1:12" ht="14.45">
      <c r="A22" s="256" t="s">
        <v>1164</v>
      </c>
      <c r="B22" s="256" t="s">
        <v>1164</v>
      </c>
      <c r="C22" s="256" t="s">
        <v>1147</v>
      </c>
      <c r="D22" s="257" t="s">
        <v>871</v>
      </c>
      <c r="E22" s="253" t="s">
        <v>1177</v>
      </c>
      <c r="F22" s="258">
        <v>1</v>
      </c>
      <c r="G22" s="253" t="s">
        <v>1178</v>
      </c>
      <c r="H22" s="256">
        <v>0</v>
      </c>
      <c r="I22" s="256"/>
      <c r="J22" s="256">
        <v>0</v>
      </c>
      <c r="K22" s="256" t="s">
        <v>1179</v>
      </c>
      <c r="L22" s="256">
        <f t="shared" si="0"/>
        <v>0</v>
      </c>
    </row>
    <row r="23" spans="1:12" ht="14.45">
      <c r="A23" s="256" t="s">
        <v>1180</v>
      </c>
      <c r="B23" s="256" t="s">
        <v>1180</v>
      </c>
      <c r="C23" s="256" t="s">
        <v>1147</v>
      </c>
      <c r="D23" s="257" t="s">
        <v>871</v>
      </c>
      <c r="E23" s="253" t="s">
        <v>1181</v>
      </c>
      <c r="F23" s="258">
        <v>0</v>
      </c>
      <c r="G23" s="253" t="s">
        <v>1182</v>
      </c>
      <c r="H23" s="256">
        <v>0</v>
      </c>
      <c r="I23" s="256"/>
      <c r="J23" s="256">
        <v>0</v>
      </c>
      <c r="K23" s="256" t="s">
        <v>1183</v>
      </c>
      <c r="L23" s="256">
        <f t="shared" si="0"/>
        <v>0</v>
      </c>
    </row>
    <row r="24" spans="1:12" ht="14.45">
      <c r="A24" s="256" t="s">
        <v>1180</v>
      </c>
      <c r="B24" s="256" t="s">
        <v>1180</v>
      </c>
      <c r="C24" s="256" t="s">
        <v>1147</v>
      </c>
      <c r="D24" s="257" t="s">
        <v>871</v>
      </c>
      <c r="E24" s="253" t="s">
        <v>1184</v>
      </c>
      <c r="F24" s="258">
        <v>0</v>
      </c>
      <c r="G24" s="253" t="s">
        <v>1185</v>
      </c>
      <c r="H24" s="256">
        <v>0</v>
      </c>
      <c r="I24" s="256"/>
      <c r="J24" s="256">
        <v>0</v>
      </c>
      <c r="K24" s="256" t="s">
        <v>1186</v>
      </c>
      <c r="L24" s="256">
        <f t="shared" si="0"/>
        <v>0</v>
      </c>
    </row>
    <row r="25" spans="1:12" ht="14.45">
      <c r="A25" s="256" t="s">
        <v>1180</v>
      </c>
      <c r="B25" s="256" t="s">
        <v>1180</v>
      </c>
      <c r="C25" s="256" t="s">
        <v>1147</v>
      </c>
      <c r="D25" s="257" t="s">
        <v>871</v>
      </c>
      <c r="E25" s="253" t="s">
        <v>1187</v>
      </c>
      <c r="F25" s="258">
        <v>0</v>
      </c>
      <c r="G25" s="253" t="s">
        <v>1188</v>
      </c>
      <c r="H25" s="256">
        <v>0</v>
      </c>
      <c r="I25" s="256"/>
      <c r="J25" s="256">
        <v>0</v>
      </c>
      <c r="K25" s="256" t="s">
        <v>1189</v>
      </c>
      <c r="L25" s="256">
        <f t="shared" si="0"/>
        <v>0</v>
      </c>
    </row>
    <row r="26" spans="1:12" ht="14.45">
      <c r="A26" s="256" t="s">
        <v>1180</v>
      </c>
      <c r="B26" s="256" t="s">
        <v>1180</v>
      </c>
      <c r="C26" s="256" t="s">
        <v>1147</v>
      </c>
      <c r="D26" s="257" t="s">
        <v>871</v>
      </c>
      <c r="E26" s="253" t="s">
        <v>1190</v>
      </c>
      <c r="F26" s="258">
        <v>0</v>
      </c>
      <c r="G26" s="253" t="s">
        <v>1191</v>
      </c>
      <c r="H26" s="256">
        <v>0</v>
      </c>
      <c r="I26" s="256"/>
      <c r="J26" s="256">
        <v>0</v>
      </c>
      <c r="K26" s="256" t="s">
        <v>1192</v>
      </c>
      <c r="L26" s="256">
        <f t="shared" si="0"/>
        <v>0</v>
      </c>
    </row>
    <row r="27" spans="1:12" ht="14.45">
      <c r="A27" s="256" t="s">
        <v>1180</v>
      </c>
      <c r="B27" s="256" t="s">
        <v>1180</v>
      </c>
      <c r="C27" s="256" t="s">
        <v>1147</v>
      </c>
      <c r="D27" s="257" t="s">
        <v>871</v>
      </c>
      <c r="E27" s="253" t="s">
        <v>1193</v>
      </c>
      <c r="F27" s="258">
        <v>0</v>
      </c>
      <c r="G27" s="253" t="s">
        <v>1194</v>
      </c>
      <c r="H27" s="256">
        <v>0</v>
      </c>
      <c r="I27" s="256"/>
      <c r="J27" s="256">
        <v>0</v>
      </c>
      <c r="K27" s="256" t="s">
        <v>1195</v>
      </c>
      <c r="L27" s="256">
        <f t="shared" si="0"/>
        <v>0</v>
      </c>
    </row>
    <row r="28" spans="1:12" ht="14.45">
      <c r="A28" s="256" t="s">
        <v>1180</v>
      </c>
      <c r="B28" s="256" t="s">
        <v>1180</v>
      </c>
      <c r="C28" s="256" t="s">
        <v>1147</v>
      </c>
      <c r="D28" s="257" t="s">
        <v>871</v>
      </c>
      <c r="E28" s="253" t="s">
        <v>1196</v>
      </c>
      <c r="F28" s="258">
        <v>0</v>
      </c>
      <c r="G28" s="253" t="s">
        <v>1166</v>
      </c>
      <c r="H28" s="256">
        <v>0</v>
      </c>
      <c r="I28" s="256"/>
      <c r="J28" s="256">
        <v>0</v>
      </c>
      <c r="K28" s="256" t="s">
        <v>1167</v>
      </c>
      <c r="L28" s="256">
        <f t="shared" si="0"/>
        <v>0</v>
      </c>
    </row>
    <row r="29" spans="1:12" ht="14.45">
      <c r="A29" s="256" t="s">
        <v>1180</v>
      </c>
      <c r="B29" s="256" t="s">
        <v>1180</v>
      </c>
      <c r="C29" s="256" t="s">
        <v>1147</v>
      </c>
      <c r="D29" s="257" t="s">
        <v>871</v>
      </c>
      <c r="E29" s="253" t="s">
        <v>1197</v>
      </c>
      <c r="F29" s="258">
        <v>0</v>
      </c>
      <c r="G29" s="253" t="s">
        <v>1198</v>
      </c>
      <c r="H29" s="256">
        <v>0</v>
      </c>
      <c r="I29" s="256"/>
      <c r="J29" s="256">
        <v>0</v>
      </c>
      <c r="K29" s="256" t="s">
        <v>1199</v>
      </c>
      <c r="L29" s="256">
        <f t="shared" si="0"/>
        <v>0</v>
      </c>
    </row>
    <row r="30" spans="1:12" ht="14.45">
      <c r="A30" s="256" t="s">
        <v>1180</v>
      </c>
      <c r="B30" s="256" t="s">
        <v>1180</v>
      </c>
      <c r="C30" s="256" t="s">
        <v>1147</v>
      </c>
      <c r="D30" s="257" t="s">
        <v>871</v>
      </c>
      <c r="E30" s="253" t="s">
        <v>1165</v>
      </c>
      <c r="F30" s="258">
        <v>0</v>
      </c>
      <c r="G30" s="253" t="s">
        <v>1200</v>
      </c>
      <c r="H30" s="256">
        <v>0</v>
      </c>
      <c r="I30" s="256"/>
      <c r="J30" s="256">
        <v>0</v>
      </c>
      <c r="K30" s="256" t="s">
        <v>1201</v>
      </c>
      <c r="L30" s="256">
        <f t="shared" si="0"/>
        <v>0</v>
      </c>
    </row>
    <row r="31" spans="1:12" ht="14.45">
      <c r="A31" s="256" t="s">
        <v>1180</v>
      </c>
      <c r="B31" s="256" t="s">
        <v>1180</v>
      </c>
      <c r="C31" s="256" t="s">
        <v>1147</v>
      </c>
      <c r="D31" s="257" t="s">
        <v>871</v>
      </c>
      <c r="E31" s="253" t="s">
        <v>1202</v>
      </c>
      <c r="F31" s="258">
        <v>0</v>
      </c>
      <c r="G31" s="253" t="s">
        <v>1203</v>
      </c>
      <c r="H31" s="256">
        <v>0</v>
      </c>
      <c r="I31" s="256"/>
      <c r="J31" s="256">
        <v>0</v>
      </c>
      <c r="K31" s="256" t="s">
        <v>1204</v>
      </c>
      <c r="L31" s="256">
        <f t="shared" si="0"/>
        <v>0</v>
      </c>
    </row>
    <row r="32" spans="1:12" ht="14.45">
      <c r="A32" s="256" t="s">
        <v>1180</v>
      </c>
      <c r="B32" s="256" t="s">
        <v>1180</v>
      </c>
      <c r="C32" s="256" t="s">
        <v>1147</v>
      </c>
      <c r="D32" s="257" t="s">
        <v>871</v>
      </c>
      <c r="E32" s="253" t="s">
        <v>1205</v>
      </c>
      <c r="F32" s="258">
        <v>0</v>
      </c>
      <c r="G32" s="253" t="s">
        <v>1206</v>
      </c>
      <c r="H32" s="256">
        <v>0</v>
      </c>
      <c r="I32" s="256"/>
      <c r="J32" s="256">
        <v>0</v>
      </c>
      <c r="K32" s="256" t="s">
        <v>1207</v>
      </c>
      <c r="L32" s="256">
        <f t="shared" si="0"/>
        <v>0</v>
      </c>
    </row>
    <row r="33" spans="1:12" ht="14.45">
      <c r="A33" s="256" t="s">
        <v>1180</v>
      </c>
      <c r="B33" s="256" t="s">
        <v>1180</v>
      </c>
      <c r="C33" s="256" t="s">
        <v>1147</v>
      </c>
      <c r="D33" s="257" t="s">
        <v>871</v>
      </c>
      <c r="E33" s="253" t="s">
        <v>1205</v>
      </c>
      <c r="F33" s="258">
        <v>0</v>
      </c>
      <c r="G33" s="253" t="s">
        <v>1208</v>
      </c>
      <c r="H33" s="256">
        <v>0</v>
      </c>
      <c r="I33" s="256"/>
      <c r="J33" s="256">
        <v>0</v>
      </c>
      <c r="K33" s="256" t="s">
        <v>1209</v>
      </c>
      <c r="L33" s="256">
        <f t="shared" si="0"/>
        <v>0</v>
      </c>
    </row>
    <row r="34" spans="1:12" ht="14.45">
      <c r="A34" s="256" t="s">
        <v>1210</v>
      </c>
      <c r="B34" s="256" t="s">
        <v>1210</v>
      </c>
      <c r="C34" s="256" t="s">
        <v>1147</v>
      </c>
      <c r="D34" s="257" t="s">
        <v>871</v>
      </c>
      <c r="E34" s="253" t="s">
        <v>1211</v>
      </c>
      <c r="F34" s="258">
        <v>0</v>
      </c>
      <c r="G34" s="253" t="s">
        <v>1212</v>
      </c>
      <c r="H34" s="256">
        <v>0</v>
      </c>
      <c r="I34" s="256"/>
      <c r="J34" s="256">
        <v>0</v>
      </c>
      <c r="K34" s="256" t="s">
        <v>1213</v>
      </c>
      <c r="L34" s="256">
        <f t="shared" si="0"/>
        <v>0</v>
      </c>
    </row>
    <row r="35" spans="1:12" ht="14.45">
      <c r="A35" s="256" t="s">
        <v>1210</v>
      </c>
      <c r="B35" s="256" t="s">
        <v>1210</v>
      </c>
      <c r="C35" s="256" t="s">
        <v>1147</v>
      </c>
      <c r="D35" s="257" t="s">
        <v>871</v>
      </c>
      <c r="E35" s="253" t="s">
        <v>1214</v>
      </c>
      <c r="F35" s="258">
        <v>0</v>
      </c>
      <c r="G35" s="253" t="s">
        <v>1215</v>
      </c>
      <c r="H35" s="256">
        <v>0</v>
      </c>
      <c r="I35" s="256"/>
      <c r="J35" s="256">
        <v>0</v>
      </c>
      <c r="K35" s="256" t="s">
        <v>1216</v>
      </c>
      <c r="L35" s="256">
        <f t="shared" si="0"/>
        <v>0</v>
      </c>
    </row>
    <row r="36" spans="1:12" ht="14.45">
      <c r="A36" s="256" t="s">
        <v>1210</v>
      </c>
      <c r="B36" s="256" t="s">
        <v>1210</v>
      </c>
      <c r="C36" s="256" t="s">
        <v>1147</v>
      </c>
      <c r="D36" s="257" t="s">
        <v>871</v>
      </c>
      <c r="E36" s="253" t="s">
        <v>1217</v>
      </c>
      <c r="F36" s="258">
        <v>0</v>
      </c>
      <c r="G36" s="253" t="s">
        <v>1218</v>
      </c>
      <c r="H36" s="256">
        <v>0</v>
      </c>
      <c r="I36" s="256"/>
      <c r="J36" s="256">
        <v>0</v>
      </c>
      <c r="K36" s="256" t="s">
        <v>1219</v>
      </c>
      <c r="L36" s="256">
        <f t="shared" si="0"/>
        <v>0</v>
      </c>
    </row>
    <row r="37" spans="1:12" ht="14.45">
      <c r="A37" s="256" t="s">
        <v>1210</v>
      </c>
      <c r="B37" s="256" t="s">
        <v>1210</v>
      </c>
      <c r="C37" s="256" t="s">
        <v>1147</v>
      </c>
      <c r="D37" s="257" t="s">
        <v>871</v>
      </c>
      <c r="E37" s="253" t="s">
        <v>1220</v>
      </c>
      <c r="F37" s="258">
        <v>1</v>
      </c>
      <c r="G37" s="253" t="s">
        <v>1221</v>
      </c>
      <c r="H37" s="256">
        <v>0</v>
      </c>
      <c r="I37" s="256"/>
      <c r="J37" s="256">
        <v>0</v>
      </c>
      <c r="K37" s="256" t="s">
        <v>1222</v>
      </c>
      <c r="L37" s="256">
        <f t="shared" si="0"/>
        <v>0</v>
      </c>
    </row>
    <row r="38" spans="1:12" ht="14.45">
      <c r="A38" s="256" t="s">
        <v>1210</v>
      </c>
      <c r="B38" s="256" t="s">
        <v>1210</v>
      </c>
      <c r="C38" s="256" t="s">
        <v>1147</v>
      </c>
      <c r="D38" s="257" t="s">
        <v>871</v>
      </c>
      <c r="E38" s="253" t="s">
        <v>1223</v>
      </c>
      <c r="F38" s="258">
        <v>1</v>
      </c>
      <c r="G38" s="253" t="s">
        <v>1215</v>
      </c>
      <c r="H38" s="256">
        <v>0</v>
      </c>
      <c r="I38" s="256"/>
      <c r="J38" s="256">
        <v>0</v>
      </c>
      <c r="K38" s="256" t="s">
        <v>1216</v>
      </c>
      <c r="L38" s="256">
        <f t="shared" si="0"/>
        <v>0</v>
      </c>
    </row>
    <row r="39" spans="1:12" ht="14.45">
      <c r="A39" s="256" t="s">
        <v>1224</v>
      </c>
      <c r="B39" s="256" t="s">
        <v>1225</v>
      </c>
      <c r="C39" s="256" t="s">
        <v>1147</v>
      </c>
      <c r="D39" s="257" t="s">
        <v>871</v>
      </c>
      <c r="E39" s="253" t="s">
        <v>1226</v>
      </c>
      <c r="F39" s="258">
        <v>0</v>
      </c>
      <c r="G39" s="253" t="s">
        <v>1227</v>
      </c>
      <c r="H39" s="256">
        <v>0</v>
      </c>
      <c r="I39" s="256"/>
      <c r="J39" s="256">
        <v>0</v>
      </c>
      <c r="K39" s="256" t="s">
        <v>1228</v>
      </c>
      <c r="L39" s="256">
        <f t="shared" si="0"/>
        <v>0</v>
      </c>
    </row>
    <row r="40" spans="1:12" ht="14.45">
      <c r="A40" s="256" t="s">
        <v>1224</v>
      </c>
      <c r="B40" s="256" t="s">
        <v>1229</v>
      </c>
      <c r="C40" s="256" t="s">
        <v>1147</v>
      </c>
      <c r="D40" s="257" t="s">
        <v>871</v>
      </c>
      <c r="E40" s="253" t="s">
        <v>1230</v>
      </c>
      <c r="F40" s="258">
        <v>0</v>
      </c>
      <c r="G40" s="253" t="s">
        <v>1231</v>
      </c>
      <c r="H40" s="256">
        <v>0</v>
      </c>
      <c r="I40" s="256"/>
      <c r="J40" s="256">
        <v>0</v>
      </c>
      <c r="K40" s="256" t="s">
        <v>1232</v>
      </c>
      <c r="L40" s="256">
        <f t="shared" si="0"/>
        <v>0</v>
      </c>
    </row>
    <row r="41" spans="1:12" ht="14.45">
      <c r="A41" s="256" t="s">
        <v>1224</v>
      </c>
      <c r="B41" s="256" t="s">
        <v>1233</v>
      </c>
      <c r="C41" s="256" t="s">
        <v>1147</v>
      </c>
      <c r="D41" s="257" t="s">
        <v>871</v>
      </c>
      <c r="E41" s="253" t="s">
        <v>1234</v>
      </c>
      <c r="F41" s="258">
        <v>0</v>
      </c>
      <c r="G41" s="253" t="s">
        <v>1235</v>
      </c>
      <c r="H41" s="256">
        <v>0</v>
      </c>
      <c r="I41" s="256"/>
      <c r="J41" s="256">
        <v>0</v>
      </c>
      <c r="K41" s="256" t="s">
        <v>1236</v>
      </c>
      <c r="L41" s="256">
        <f t="shared" si="0"/>
        <v>0</v>
      </c>
    </row>
    <row r="42" spans="1:12" ht="14.45">
      <c r="A42" s="256" t="s">
        <v>1224</v>
      </c>
      <c r="B42" s="256" t="s">
        <v>1237</v>
      </c>
      <c r="C42" s="256" t="s">
        <v>1147</v>
      </c>
      <c r="D42" s="257" t="s">
        <v>871</v>
      </c>
      <c r="E42" s="253" t="s">
        <v>1238</v>
      </c>
      <c r="F42" s="258">
        <v>0</v>
      </c>
      <c r="G42" s="253" t="s">
        <v>1239</v>
      </c>
      <c r="H42" s="256">
        <v>0</v>
      </c>
      <c r="I42" s="256"/>
      <c r="J42" s="256">
        <v>0</v>
      </c>
      <c r="K42" s="256" t="s">
        <v>1240</v>
      </c>
      <c r="L42" s="256">
        <f t="shared" si="0"/>
        <v>0</v>
      </c>
    </row>
    <row r="43" spans="1:12" ht="14.45">
      <c r="A43" s="256" t="s">
        <v>1224</v>
      </c>
      <c r="B43" s="256" t="s">
        <v>1241</v>
      </c>
      <c r="C43" s="256" t="s">
        <v>1147</v>
      </c>
      <c r="D43" s="257" t="s">
        <v>871</v>
      </c>
      <c r="E43" s="253" t="s">
        <v>1238</v>
      </c>
      <c r="F43" s="258">
        <v>0</v>
      </c>
      <c r="G43" s="253" t="s">
        <v>1242</v>
      </c>
      <c r="H43" s="256">
        <v>0</v>
      </c>
      <c r="I43" s="256"/>
      <c r="J43" s="256">
        <v>0</v>
      </c>
      <c r="K43" s="256" t="s">
        <v>1243</v>
      </c>
      <c r="L43" s="256">
        <f t="shared" si="0"/>
        <v>0</v>
      </c>
    </row>
    <row r="44" spans="1:12" ht="14.45">
      <c r="A44" s="256" t="s">
        <v>1224</v>
      </c>
      <c r="B44" s="256" t="s">
        <v>1244</v>
      </c>
      <c r="C44" s="256" t="s">
        <v>1147</v>
      </c>
      <c r="D44" s="257" t="s">
        <v>871</v>
      </c>
      <c r="E44" s="253" t="s">
        <v>1245</v>
      </c>
      <c r="F44" s="258">
        <v>0</v>
      </c>
      <c r="G44" s="253" t="s">
        <v>1246</v>
      </c>
      <c r="H44" s="256">
        <v>0</v>
      </c>
      <c r="I44" s="256"/>
      <c r="J44" s="256">
        <v>0</v>
      </c>
      <c r="K44" s="256" t="s">
        <v>1247</v>
      </c>
      <c r="L44" s="256">
        <f t="shared" si="0"/>
        <v>0</v>
      </c>
    </row>
    <row r="45" spans="1:12" ht="14.45">
      <c r="A45" s="256" t="s">
        <v>1224</v>
      </c>
      <c r="B45" s="256" t="s">
        <v>1248</v>
      </c>
      <c r="C45" s="256" t="s">
        <v>1147</v>
      </c>
      <c r="D45" s="257" t="s">
        <v>871</v>
      </c>
      <c r="E45" s="253" t="s">
        <v>1249</v>
      </c>
      <c r="F45" s="258">
        <v>0</v>
      </c>
      <c r="G45" s="253" t="s">
        <v>1250</v>
      </c>
      <c r="H45" s="256">
        <v>0</v>
      </c>
      <c r="I45" s="256"/>
      <c r="J45" s="256">
        <v>0</v>
      </c>
      <c r="K45" s="256" t="s">
        <v>1251</v>
      </c>
      <c r="L45" s="256">
        <f t="shared" si="0"/>
        <v>0</v>
      </c>
    </row>
    <row r="46" spans="1:12" ht="14.45">
      <c r="A46" s="256" t="s">
        <v>1224</v>
      </c>
      <c r="B46" s="256" t="s">
        <v>1252</v>
      </c>
      <c r="C46" s="256" t="s">
        <v>1147</v>
      </c>
      <c r="D46" s="257" t="s">
        <v>871</v>
      </c>
      <c r="E46" s="253" t="s">
        <v>1253</v>
      </c>
      <c r="F46" s="258">
        <v>0</v>
      </c>
      <c r="G46" s="253" t="s">
        <v>1254</v>
      </c>
      <c r="H46" s="256">
        <v>0</v>
      </c>
      <c r="I46" s="256"/>
      <c r="J46" s="256">
        <v>0</v>
      </c>
      <c r="K46" s="256" t="s">
        <v>1255</v>
      </c>
      <c r="L46" s="256">
        <f t="shared" si="0"/>
        <v>0</v>
      </c>
    </row>
    <row r="47" spans="1:12" ht="14.45">
      <c r="A47" s="256" t="s">
        <v>1224</v>
      </c>
      <c r="B47" s="256" t="s">
        <v>1256</v>
      </c>
      <c r="C47" s="256" t="s">
        <v>1147</v>
      </c>
      <c r="D47" s="257" t="s">
        <v>871</v>
      </c>
      <c r="E47" s="253" t="s">
        <v>1257</v>
      </c>
      <c r="F47" s="258">
        <v>0</v>
      </c>
      <c r="G47" s="253" t="s">
        <v>1258</v>
      </c>
      <c r="H47" s="256">
        <v>0</v>
      </c>
      <c r="I47" s="256"/>
      <c r="J47" s="256">
        <v>0</v>
      </c>
      <c r="K47" s="256" t="s">
        <v>1259</v>
      </c>
      <c r="L47" s="256">
        <f t="shared" si="0"/>
        <v>0</v>
      </c>
    </row>
    <row r="48" spans="1:12" ht="14.45">
      <c r="A48" s="256" t="s">
        <v>1224</v>
      </c>
      <c r="B48" s="256" t="s">
        <v>1260</v>
      </c>
      <c r="C48" s="256" t="s">
        <v>1147</v>
      </c>
      <c r="D48" s="257" t="s">
        <v>871</v>
      </c>
      <c r="E48" s="253" t="s">
        <v>1261</v>
      </c>
      <c r="F48" s="258">
        <v>0</v>
      </c>
      <c r="G48" s="253" t="s">
        <v>1262</v>
      </c>
      <c r="H48" s="256">
        <v>0</v>
      </c>
      <c r="I48" s="256"/>
      <c r="J48" s="256">
        <v>0</v>
      </c>
      <c r="K48" s="256" t="s">
        <v>1263</v>
      </c>
      <c r="L48" s="256">
        <f t="shared" si="0"/>
        <v>0</v>
      </c>
    </row>
    <row r="49" spans="1:12" ht="14.45">
      <c r="A49" s="256" t="s">
        <v>1224</v>
      </c>
      <c r="B49" s="256" t="s">
        <v>1264</v>
      </c>
      <c r="C49" s="256" t="s">
        <v>1147</v>
      </c>
      <c r="D49" s="257" t="s">
        <v>871</v>
      </c>
      <c r="E49" s="253" t="s">
        <v>1265</v>
      </c>
      <c r="F49" s="258">
        <v>0</v>
      </c>
      <c r="G49" s="253" t="s">
        <v>1266</v>
      </c>
      <c r="H49" s="256">
        <v>0</v>
      </c>
      <c r="I49" s="256"/>
      <c r="J49" s="256">
        <v>0</v>
      </c>
      <c r="K49" s="256" t="s">
        <v>1267</v>
      </c>
      <c r="L49" s="256">
        <f t="shared" si="0"/>
        <v>0</v>
      </c>
    </row>
    <row r="50" spans="1:12" ht="14.45">
      <c r="A50" s="256" t="s">
        <v>1224</v>
      </c>
      <c r="B50" s="256" t="s">
        <v>1268</v>
      </c>
      <c r="C50" s="256" t="s">
        <v>1147</v>
      </c>
      <c r="D50" s="257" t="s">
        <v>871</v>
      </c>
      <c r="E50" s="253" t="s">
        <v>1269</v>
      </c>
      <c r="F50" s="258">
        <v>0</v>
      </c>
      <c r="G50" s="253" t="s">
        <v>1270</v>
      </c>
      <c r="H50" s="256">
        <v>0</v>
      </c>
      <c r="I50" s="256"/>
      <c r="J50" s="256">
        <v>0</v>
      </c>
      <c r="K50" s="256" t="s">
        <v>1271</v>
      </c>
      <c r="L50" s="256">
        <f t="shared" si="0"/>
        <v>0</v>
      </c>
    </row>
    <row r="51" spans="1:12" ht="14.45">
      <c r="A51" s="256" t="s">
        <v>1224</v>
      </c>
      <c r="B51" s="256" t="s">
        <v>1272</v>
      </c>
      <c r="C51" s="256" t="s">
        <v>1147</v>
      </c>
      <c r="D51" s="257" t="s">
        <v>871</v>
      </c>
      <c r="E51" s="253" t="s">
        <v>1273</v>
      </c>
      <c r="F51" s="258">
        <v>0</v>
      </c>
      <c r="G51" s="253" t="s">
        <v>1274</v>
      </c>
      <c r="H51" s="256">
        <v>0</v>
      </c>
      <c r="I51" s="256"/>
      <c r="J51" s="256">
        <v>0</v>
      </c>
      <c r="K51" s="256" t="s">
        <v>1275</v>
      </c>
      <c r="L51" s="256">
        <f t="shared" si="0"/>
        <v>0</v>
      </c>
    </row>
    <row r="52" spans="1:12" ht="14.45">
      <c r="A52" s="256" t="s">
        <v>1276</v>
      </c>
      <c r="B52" s="256" t="s">
        <v>1277</v>
      </c>
      <c r="C52" s="256" t="s">
        <v>1147</v>
      </c>
      <c r="D52" s="257" t="s">
        <v>871</v>
      </c>
      <c r="E52" s="253" t="s">
        <v>1278</v>
      </c>
      <c r="F52" s="258">
        <v>0</v>
      </c>
      <c r="G52" s="253" t="s">
        <v>1279</v>
      </c>
      <c r="H52" s="256">
        <v>0</v>
      </c>
      <c r="I52" s="256"/>
      <c r="J52" s="256">
        <v>0</v>
      </c>
      <c r="K52" s="256" t="s">
        <v>1280</v>
      </c>
      <c r="L52" s="256">
        <f t="shared" si="0"/>
        <v>0</v>
      </c>
    </row>
    <row r="53" spans="1:12" ht="14.45">
      <c r="A53" s="256" t="s">
        <v>1276</v>
      </c>
      <c r="B53" s="256" t="s">
        <v>1277</v>
      </c>
      <c r="C53" s="256" t="s">
        <v>1147</v>
      </c>
      <c r="D53" s="257" t="s">
        <v>871</v>
      </c>
      <c r="E53" s="253" t="s">
        <v>1278</v>
      </c>
      <c r="F53" s="258">
        <v>0</v>
      </c>
      <c r="G53" s="253" t="s">
        <v>1281</v>
      </c>
      <c r="H53" s="256">
        <v>0</v>
      </c>
      <c r="I53" s="256"/>
      <c r="J53" s="256">
        <v>0</v>
      </c>
      <c r="K53" s="256" t="s">
        <v>1282</v>
      </c>
      <c r="L53" s="256">
        <f t="shared" si="0"/>
        <v>0</v>
      </c>
    </row>
    <row r="54" spans="1:12" ht="14.45">
      <c r="A54" s="256" t="s">
        <v>1276</v>
      </c>
      <c r="B54" s="256" t="s">
        <v>1277</v>
      </c>
      <c r="C54" s="256" t="s">
        <v>1147</v>
      </c>
      <c r="D54" s="257" t="s">
        <v>871</v>
      </c>
      <c r="E54" s="253" t="s">
        <v>1283</v>
      </c>
      <c r="F54" s="258">
        <v>0</v>
      </c>
      <c r="G54" s="253" t="s">
        <v>1284</v>
      </c>
      <c r="H54" s="256">
        <v>0</v>
      </c>
      <c r="I54" s="256"/>
      <c r="J54" s="256">
        <v>0</v>
      </c>
      <c r="K54" s="256" t="s">
        <v>1285</v>
      </c>
      <c r="L54" s="256">
        <f t="shared" si="0"/>
        <v>0</v>
      </c>
    </row>
    <row r="55" spans="1:12" ht="14.45">
      <c r="A55" s="256" t="s">
        <v>1276</v>
      </c>
      <c r="B55" s="256" t="s">
        <v>1277</v>
      </c>
      <c r="C55" s="256" t="s">
        <v>1147</v>
      </c>
      <c r="D55" s="257" t="s">
        <v>871</v>
      </c>
      <c r="E55" s="253" t="s">
        <v>1286</v>
      </c>
      <c r="F55" s="258">
        <v>0</v>
      </c>
      <c r="G55" s="253" t="s">
        <v>1279</v>
      </c>
      <c r="H55" s="256">
        <v>0</v>
      </c>
      <c r="I55" s="256"/>
      <c r="J55" s="256">
        <v>0</v>
      </c>
      <c r="K55" s="256" t="s">
        <v>1280</v>
      </c>
      <c r="L55" s="256">
        <f t="shared" si="0"/>
        <v>0</v>
      </c>
    </row>
    <row r="56" spans="1:12" ht="14.45">
      <c r="A56" s="256" t="s">
        <v>1276</v>
      </c>
      <c r="B56" s="256" t="s">
        <v>1277</v>
      </c>
      <c r="C56" s="256" t="s">
        <v>1147</v>
      </c>
      <c r="D56" s="257" t="s">
        <v>871</v>
      </c>
      <c r="E56" s="253" t="s">
        <v>1287</v>
      </c>
      <c r="F56" s="258">
        <v>0</v>
      </c>
      <c r="G56" s="253" t="s">
        <v>1288</v>
      </c>
      <c r="H56" s="256">
        <v>0</v>
      </c>
      <c r="I56" s="256"/>
      <c r="J56" s="256">
        <v>0</v>
      </c>
      <c r="K56" s="256" t="s">
        <v>1289</v>
      </c>
      <c r="L56" s="256">
        <f t="shared" si="0"/>
        <v>0</v>
      </c>
    </row>
    <row r="57" spans="1:12" ht="14.45">
      <c r="A57" s="256" t="s">
        <v>1276</v>
      </c>
      <c r="B57" s="256" t="s">
        <v>1277</v>
      </c>
      <c r="C57" s="256" t="s">
        <v>1147</v>
      </c>
      <c r="D57" s="257" t="s">
        <v>871</v>
      </c>
      <c r="E57" s="253" t="s">
        <v>1290</v>
      </c>
      <c r="F57" s="258">
        <v>0</v>
      </c>
      <c r="G57" s="253" t="s">
        <v>1291</v>
      </c>
      <c r="H57" s="256">
        <v>0</v>
      </c>
      <c r="I57" s="256"/>
      <c r="J57" s="256">
        <v>0</v>
      </c>
      <c r="K57" s="256" t="s">
        <v>1292</v>
      </c>
      <c r="L57" s="256">
        <f t="shared" si="0"/>
        <v>0</v>
      </c>
    </row>
    <row r="58" spans="1:12" ht="14.45">
      <c r="A58" s="256" t="s">
        <v>1276</v>
      </c>
      <c r="B58" s="256" t="s">
        <v>1277</v>
      </c>
      <c r="C58" s="256" t="s">
        <v>1147</v>
      </c>
      <c r="D58" s="257" t="s">
        <v>871</v>
      </c>
      <c r="E58" s="253" t="s">
        <v>1293</v>
      </c>
      <c r="F58" s="258">
        <v>0</v>
      </c>
      <c r="G58" s="253" t="s">
        <v>1294</v>
      </c>
      <c r="H58" s="256">
        <v>0</v>
      </c>
      <c r="I58" s="256"/>
      <c r="J58" s="256">
        <v>0</v>
      </c>
      <c r="K58" s="256" t="s">
        <v>1295</v>
      </c>
      <c r="L58" s="256">
        <f t="shared" si="0"/>
        <v>0</v>
      </c>
    </row>
    <row r="59" spans="1:12" ht="14.45">
      <c r="A59" s="256" t="s">
        <v>1276</v>
      </c>
      <c r="B59" s="256" t="s">
        <v>1277</v>
      </c>
      <c r="C59" s="256" t="s">
        <v>1147</v>
      </c>
      <c r="D59" s="257" t="s">
        <v>871</v>
      </c>
      <c r="E59" s="253" t="s">
        <v>1283</v>
      </c>
      <c r="F59" s="258">
        <v>0</v>
      </c>
      <c r="G59" s="253" t="s">
        <v>1182</v>
      </c>
      <c r="H59" s="256">
        <v>0</v>
      </c>
      <c r="I59" s="256"/>
      <c r="J59" s="256">
        <v>0</v>
      </c>
      <c r="K59" s="256" t="s">
        <v>1183</v>
      </c>
      <c r="L59" s="256">
        <f t="shared" si="0"/>
        <v>0</v>
      </c>
    </row>
    <row r="60" spans="1:12" ht="14.45">
      <c r="A60" s="256" t="s">
        <v>1276</v>
      </c>
      <c r="B60" s="256" t="s">
        <v>1296</v>
      </c>
      <c r="C60" s="256" t="s">
        <v>1147</v>
      </c>
      <c r="D60" s="257" t="s">
        <v>871</v>
      </c>
      <c r="E60" s="253" t="s">
        <v>1297</v>
      </c>
      <c r="F60" s="258">
        <v>0</v>
      </c>
      <c r="G60" s="253" t="s">
        <v>1298</v>
      </c>
      <c r="H60" s="256">
        <v>0</v>
      </c>
      <c r="I60" s="256"/>
      <c r="J60" s="256">
        <v>0</v>
      </c>
      <c r="K60" s="256" t="s">
        <v>1299</v>
      </c>
      <c r="L60" s="256">
        <f t="shared" si="0"/>
        <v>0</v>
      </c>
    </row>
    <row r="61" spans="1:12" ht="14.45">
      <c r="A61" s="256" t="s">
        <v>1276</v>
      </c>
      <c r="B61" s="256" t="s">
        <v>1296</v>
      </c>
      <c r="C61" s="256" t="s">
        <v>1147</v>
      </c>
      <c r="D61" s="257" t="s">
        <v>871</v>
      </c>
      <c r="E61" s="255" t="s">
        <v>1300</v>
      </c>
      <c r="F61" s="258">
        <v>0</v>
      </c>
      <c r="G61" s="255" t="s">
        <v>1301</v>
      </c>
      <c r="H61" s="256">
        <v>0</v>
      </c>
      <c r="I61" s="256"/>
      <c r="J61" s="256">
        <v>0</v>
      </c>
      <c r="K61" s="256" t="s">
        <v>1302</v>
      </c>
      <c r="L61" s="256">
        <f t="shared" si="0"/>
        <v>0</v>
      </c>
    </row>
    <row r="62" spans="1:12" ht="14.45">
      <c r="A62" s="256" t="s">
        <v>1276</v>
      </c>
      <c r="B62" s="256" t="s">
        <v>1296</v>
      </c>
      <c r="C62" s="256" t="s">
        <v>1147</v>
      </c>
      <c r="D62" s="257" t="s">
        <v>871</v>
      </c>
      <c r="E62" s="255" t="s">
        <v>1303</v>
      </c>
      <c r="F62" s="258">
        <v>1</v>
      </c>
      <c r="G62" s="255" t="s">
        <v>1301</v>
      </c>
      <c r="H62" s="256">
        <v>0</v>
      </c>
      <c r="I62" s="256"/>
      <c r="J62" s="256">
        <v>0</v>
      </c>
      <c r="K62" s="256" t="s">
        <v>1302</v>
      </c>
      <c r="L62" s="256">
        <f t="shared" si="0"/>
        <v>0</v>
      </c>
    </row>
    <row r="63" spans="1:12" ht="14.45">
      <c r="A63" s="256" t="s">
        <v>1276</v>
      </c>
      <c r="B63" s="256" t="s">
        <v>1304</v>
      </c>
      <c r="C63" s="256" t="s">
        <v>1147</v>
      </c>
      <c r="D63" s="257" t="s">
        <v>871</v>
      </c>
      <c r="E63" s="253" t="s">
        <v>1305</v>
      </c>
      <c r="F63" s="258">
        <v>0</v>
      </c>
      <c r="G63" s="253" t="s">
        <v>1306</v>
      </c>
      <c r="H63" s="256">
        <v>0</v>
      </c>
      <c r="I63" s="256"/>
      <c r="J63" s="256">
        <v>0</v>
      </c>
      <c r="K63" s="256" t="s">
        <v>1307</v>
      </c>
      <c r="L63" s="256">
        <f t="shared" si="0"/>
        <v>0</v>
      </c>
    </row>
    <row r="64" spans="1:12" ht="14.45">
      <c r="A64" s="256" t="s">
        <v>1276</v>
      </c>
      <c r="B64" s="256" t="s">
        <v>1308</v>
      </c>
      <c r="C64" s="256" t="s">
        <v>1147</v>
      </c>
      <c r="D64" s="257" t="s">
        <v>871</v>
      </c>
      <c r="E64" s="253" t="s">
        <v>1309</v>
      </c>
      <c r="F64" s="258">
        <v>0</v>
      </c>
      <c r="G64" s="253" t="s">
        <v>1310</v>
      </c>
      <c r="H64" s="256">
        <v>0</v>
      </c>
      <c r="I64" s="256"/>
      <c r="J64" s="256">
        <v>0</v>
      </c>
      <c r="K64" s="256" t="s">
        <v>1311</v>
      </c>
      <c r="L64" s="256">
        <f t="shared" si="0"/>
        <v>0</v>
      </c>
    </row>
    <row r="65" spans="1:12" ht="14.45">
      <c r="A65" s="256" t="s">
        <v>1128</v>
      </c>
      <c r="B65" s="256" t="s">
        <v>1312</v>
      </c>
      <c r="C65" s="256" t="s">
        <v>1147</v>
      </c>
      <c r="D65" s="257" t="s">
        <v>871</v>
      </c>
      <c r="E65" s="253" t="s">
        <v>1313</v>
      </c>
      <c r="F65" s="258">
        <v>0</v>
      </c>
      <c r="G65" s="253" t="s">
        <v>1314</v>
      </c>
      <c r="H65" s="256">
        <v>0</v>
      </c>
      <c r="I65" s="256"/>
      <c r="J65" s="256">
        <v>0</v>
      </c>
      <c r="K65" s="256" t="s">
        <v>1315</v>
      </c>
      <c r="L65" s="256">
        <f t="shared" si="0"/>
        <v>0</v>
      </c>
    </row>
    <row r="66" spans="1:12" ht="14.45">
      <c r="A66" s="256" t="s">
        <v>1128</v>
      </c>
      <c r="B66" s="256" t="s">
        <v>1316</v>
      </c>
      <c r="C66" s="256" t="s">
        <v>1147</v>
      </c>
      <c r="D66" s="257" t="s">
        <v>871</v>
      </c>
      <c r="E66" s="253" t="s">
        <v>1317</v>
      </c>
      <c r="F66" s="258">
        <v>0</v>
      </c>
      <c r="G66" s="253" t="s">
        <v>1318</v>
      </c>
      <c r="H66" s="256">
        <v>0</v>
      </c>
      <c r="I66" s="256"/>
      <c r="J66" s="256">
        <v>0</v>
      </c>
      <c r="K66" s="256" t="s">
        <v>1319</v>
      </c>
      <c r="L66" s="256">
        <f t="shared" ref="L66:L129" si="1">IF(E66=G66,1,0)</f>
        <v>0</v>
      </c>
    </row>
    <row r="67" spans="1:12" ht="14.45">
      <c r="A67" s="256" t="s">
        <v>1128</v>
      </c>
      <c r="B67" s="256" t="s">
        <v>1320</v>
      </c>
      <c r="C67" s="256" t="s">
        <v>1147</v>
      </c>
      <c r="D67" s="257" t="s">
        <v>871</v>
      </c>
      <c r="E67" s="253" t="s">
        <v>1321</v>
      </c>
      <c r="F67" s="258">
        <v>0</v>
      </c>
      <c r="G67" s="253" t="s">
        <v>1322</v>
      </c>
      <c r="H67" s="256">
        <v>0</v>
      </c>
      <c r="I67" s="256"/>
      <c r="J67" s="256">
        <v>0</v>
      </c>
      <c r="K67" s="256" t="s">
        <v>1323</v>
      </c>
      <c r="L67" s="256">
        <f t="shared" si="1"/>
        <v>0</v>
      </c>
    </row>
    <row r="68" spans="1:12" ht="14.45">
      <c r="A68" s="256" t="s">
        <v>1128</v>
      </c>
      <c r="B68" s="256" t="s">
        <v>1324</v>
      </c>
      <c r="C68" s="256" t="s">
        <v>1147</v>
      </c>
      <c r="D68" s="257" t="s">
        <v>871</v>
      </c>
      <c r="E68" s="253" t="s">
        <v>1325</v>
      </c>
      <c r="F68" s="258">
        <v>0</v>
      </c>
      <c r="G68" s="253" t="s">
        <v>1326</v>
      </c>
      <c r="H68" s="256">
        <v>0</v>
      </c>
      <c r="I68" s="256"/>
      <c r="J68" s="256">
        <v>0</v>
      </c>
      <c r="K68" s="256" t="s">
        <v>1327</v>
      </c>
      <c r="L68" s="256">
        <f t="shared" si="1"/>
        <v>0</v>
      </c>
    </row>
    <row r="69" spans="1:12" ht="14.45">
      <c r="A69" s="256" t="s">
        <v>1128</v>
      </c>
      <c r="B69" s="256" t="s">
        <v>1324</v>
      </c>
      <c r="C69" s="256" t="s">
        <v>1147</v>
      </c>
      <c r="D69" s="257" t="s">
        <v>871</v>
      </c>
      <c r="E69" s="253" t="s">
        <v>1328</v>
      </c>
      <c r="F69" s="258">
        <v>0</v>
      </c>
      <c r="G69" s="253" t="s">
        <v>1329</v>
      </c>
      <c r="H69" s="256">
        <v>0</v>
      </c>
      <c r="I69" s="256"/>
      <c r="J69" s="256">
        <v>0</v>
      </c>
      <c r="K69" s="256" t="s">
        <v>1330</v>
      </c>
      <c r="L69" s="256">
        <f t="shared" si="1"/>
        <v>0</v>
      </c>
    </row>
    <row r="70" spans="1:12" ht="14.45">
      <c r="A70" s="256" t="s">
        <v>1128</v>
      </c>
      <c r="B70" s="256" t="s">
        <v>1324</v>
      </c>
      <c r="C70" s="256" t="s">
        <v>1147</v>
      </c>
      <c r="D70" s="257" t="s">
        <v>871</v>
      </c>
      <c r="E70" s="253" t="s">
        <v>1331</v>
      </c>
      <c r="F70" s="258">
        <v>0</v>
      </c>
      <c r="G70" s="253" t="s">
        <v>1332</v>
      </c>
      <c r="H70" s="256">
        <v>0</v>
      </c>
      <c r="I70" s="256"/>
      <c r="J70" s="256">
        <v>0</v>
      </c>
      <c r="K70" s="256" t="s">
        <v>1333</v>
      </c>
      <c r="L70" s="256">
        <f t="shared" si="1"/>
        <v>0</v>
      </c>
    </row>
    <row r="71" spans="1:12" ht="14.45">
      <c r="A71" s="256" t="s">
        <v>1128</v>
      </c>
      <c r="B71" s="256" t="s">
        <v>1334</v>
      </c>
      <c r="C71" s="256" t="s">
        <v>1147</v>
      </c>
      <c r="D71" s="257" t="s">
        <v>871</v>
      </c>
      <c r="E71" s="253" t="s">
        <v>1335</v>
      </c>
      <c r="F71" s="258">
        <v>0</v>
      </c>
      <c r="G71" s="253" t="s">
        <v>1336</v>
      </c>
      <c r="H71" s="256">
        <v>0</v>
      </c>
      <c r="I71" s="256"/>
      <c r="J71" s="256">
        <v>0</v>
      </c>
      <c r="K71" s="256" t="s">
        <v>1337</v>
      </c>
      <c r="L71" s="256">
        <f t="shared" si="1"/>
        <v>0</v>
      </c>
    </row>
    <row r="72" spans="1:12" ht="14.45">
      <c r="A72" s="256" t="s">
        <v>1128</v>
      </c>
      <c r="B72" s="256" t="s">
        <v>1338</v>
      </c>
      <c r="C72" s="256" t="s">
        <v>1147</v>
      </c>
      <c r="D72" s="257" t="s">
        <v>871</v>
      </c>
      <c r="E72" s="253" t="s">
        <v>1339</v>
      </c>
      <c r="F72" s="258">
        <v>0</v>
      </c>
      <c r="G72" s="253" t="s">
        <v>1340</v>
      </c>
      <c r="H72" s="256">
        <v>0</v>
      </c>
      <c r="I72" s="256"/>
      <c r="J72" s="256">
        <v>0</v>
      </c>
      <c r="K72" s="256" t="s">
        <v>1341</v>
      </c>
      <c r="L72" s="256">
        <f t="shared" si="1"/>
        <v>0</v>
      </c>
    </row>
    <row r="73" spans="1:12" ht="14.45">
      <c r="A73" s="256" t="s">
        <v>1342</v>
      </c>
      <c r="B73" s="256" t="s">
        <v>1342</v>
      </c>
      <c r="C73" s="256" t="s">
        <v>1147</v>
      </c>
      <c r="D73" s="257" t="s">
        <v>871</v>
      </c>
      <c r="E73" s="253" t="s">
        <v>1343</v>
      </c>
      <c r="F73" s="258">
        <v>0</v>
      </c>
      <c r="G73" s="253" t="s">
        <v>1344</v>
      </c>
      <c r="H73" s="256">
        <v>0</v>
      </c>
      <c r="I73" s="256"/>
      <c r="J73" s="256">
        <v>0</v>
      </c>
      <c r="K73" s="256" t="s">
        <v>1345</v>
      </c>
      <c r="L73" s="256">
        <f t="shared" si="1"/>
        <v>0</v>
      </c>
    </row>
    <row r="74" spans="1:12" ht="14.45">
      <c r="A74" s="256" t="s">
        <v>1342</v>
      </c>
      <c r="B74" s="256" t="s">
        <v>1342</v>
      </c>
      <c r="C74" s="256" t="s">
        <v>1147</v>
      </c>
      <c r="D74" s="257" t="s">
        <v>871</v>
      </c>
      <c r="E74" s="253" t="s">
        <v>1346</v>
      </c>
      <c r="F74" s="258">
        <v>0</v>
      </c>
      <c r="G74" s="253" t="s">
        <v>1347</v>
      </c>
      <c r="H74" s="256">
        <v>0</v>
      </c>
      <c r="I74" s="256"/>
      <c r="J74" s="256">
        <v>0</v>
      </c>
      <c r="K74" s="256" t="s">
        <v>1348</v>
      </c>
      <c r="L74" s="256">
        <f t="shared" si="1"/>
        <v>0</v>
      </c>
    </row>
    <row r="75" spans="1:12" ht="14.45">
      <c r="A75" s="256" t="s">
        <v>1342</v>
      </c>
      <c r="B75" s="256" t="s">
        <v>1342</v>
      </c>
      <c r="C75" s="256" t="s">
        <v>1147</v>
      </c>
      <c r="D75" s="257" t="s">
        <v>871</v>
      </c>
      <c r="E75" s="253" t="s">
        <v>1269</v>
      </c>
      <c r="F75" s="258">
        <v>0</v>
      </c>
      <c r="G75" s="253" t="s">
        <v>1270</v>
      </c>
      <c r="H75" s="256">
        <v>0</v>
      </c>
      <c r="I75" s="256"/>
      <c r="J75" s="256">
        <v>0</v>
      </c>
      <c r="K75" s="256" t="s">
        <v>1271</v>
      </c>
      <c r="L75" s="256">
        <f t="shared" si="1"/>
        <v>0</v>
      </c>
    </row>
    <row r="76" spans="1:12" ht="14.45">
      <c r="A76" s="256" t="s">
        <v>1342</v>
      </c>
      <c r="B76" s="256" t="s">
        <v>1342</v>
      </c>
      <c r="C76" s="256" t="s">
        <v>1147</v>
      </c>
      <c r="D76" s="257" t="s">
        <v>871</v>
      </c>
      <c r="E76" s="253" t="s">
        <v>1349</v>
      </c>
      <c r="F76" s="258">
        <v>0</v>
      </c>
      <c r="G76" s="253" t="s">
        <v>1270</v>
      </c>
      <c r="H76" s="256">
        <v>0</v>
      </c>
      <c r="I76" s="256"/>
      <c r="J76" s="256">
        <v>0</v>
      </c>
      <c r="K76" s="256" t="s">
        <v>1271</v>
      </c>
      <c r="L76" s="256">
        <f t="shared" si="1"/>
        <v>0</v>
      </c>
    </row>
    <row r="77" spans="1:12" ht="14.45">
      <c r="A77" s="256" t="s">
        <v>1350</v>
      </c>
      <c r="B77" s="256" t="s">
        <v>1351</v>
      </c>
      <c r="C77" s="256" t="s">
        <v>1147</v>
      </c>
      <c r="D77" s="257" t="s">
        <v>871</v>
      </c>
      <c r="E77" s="253" t="s">
        <v>1352</v>
      </c>
      <c r="F77" s="258">
        <v>1</v>
      </c>
      <c r="G77" s="253" t="s">
        <v>1353</v>
      </c>
      <c r="H77" s="256">
        <v>0</v>
      </c>
      <c r="I77" s="256"/>
      <c r="J77" s="256">
        <v>0</v>
      </c>
      <c r="K77" s="256" t="s">
        <v>1354</v>
      </c>
      <c r="L77" s="256">
        <f t="shared" si="1"/>
        <v>0</v>
      </c>
    </row>
    <row r="78" spans="1:12" ht="14.45">
      <c r="A78" s="256" t="s">
        <v>1355</v>
      </c>
      <c r="B78" s="256" t="s">
        <v>1355</v>
      </c>
      <c r="C78" s="256" t="s">
        <v>1147</v>
      </c>
      <c r="D78" s="257" t="s">
        <v>1356</v>
      </c>
      <c r="E78" s="253" t="s">
        <v>1357</v>
      </c>
      <c r="F78" s="258">
        <v>1</v>
      </c>
      <c r="G78" s="253" t="s">
        <v>1358</v>
      </c>
      <c r="H78" s="256">
        <v>1</v>
      </c>
      <c r="I78" s="256"/>
      <c r="J78" s="256">
        <v>0</v>
      </c>
      <c r="K78" s="256" t="s">
        <v>1359</v>
      </c>
      <c r="L78" s="256">
        <f t="shared" si="1"/>
        <v>0</v>
      </c>
    </row>
    <row r="79" spans="1:12" ht="14.45">
      <c r="A79" s="256" t="s">
        <v>1355</v>
      </c>
      <c r="B79" s="256" t="s">
        <v>1355</v>
      </c>
      <c r="C79" s="256" t="s">
        <v>1147</v>
      </c>
      <c r="D79" s="257" t="s">
        <v>1356</v>
      </c>
      <c r="E79" s="253" t="s">
        <v>1360</v>
      </c>
      <c r="F79" s="258">
        <v>1</v>
      </c>
      <c r="G79" s="253" t="s">
        <v>1361</v>
      </c>
      <c r="H79" s="256">
        <v>1</v>
      </c>
      <c r="I79" s="256"/>
      <c r="J79" s="256">
        <v>0</v>
      </c>
      <c r="K79" s="256" t="s">
        <v>1362</v>
      </c>
      <c r="L79" s="256">
        <f t="shared" si="1"/>
        <v>0</v>
      </c>
    </row>
    <row r="80" spans="1:12" ht="14.45">
      <c r="A80" s="256" t="s">
        <v>1355</v>
      </c>
      <c r="B80" s="256" t="s">
        <v>1355</v>
      </c>
      <c r="C80" s="256" t="s">
        <v>1147</v>
      </c>
      <c r="D80" s="257" t="s">
        <v>1356</v>
      </c>
      <c r="E80" s="253" t="s">
        <v>1363</v>
      </c>
      <c r="F80" s="258">
        <v>1</v>
      </c>
      <c r="G80" s="253" t="s">
        <v>1364</v>
      </c>
      <c r="H80" s="256">
        <v>1</v>
      </c>
      <c r="I80" s="256"/>
      <c r="J80" s="256">
        <v>0</v>
      </c>
      <c r="K80" s="256" t="s">
        <v>1365</v>
      </c>
      <c r="L80" s="256">
        <f t="shared" si="1"/>
        <v>0</v>
      </c>
    </row>
    <row r="81" spans="1:12" ht="14.45">
      <c r="A81" s="256" t="s">
        <v>1355</v>
      </c>
      <c r="B81" s="256" t="s">
        <v>1355</v>
      </c>
      <c r="C81" s="256" t="s">
        <v>1147</v>
      </c>
      <c r="D81" s="257" t="s">
        <v>1356</v>
      </c>
      <c r="E81" s="253" t="s">
        <v>1363</v>
      </c>
      <c r="F81" s="258">
        <v>1</v>
      </c>
      <c r="G81" s="253" t="s">
        <v>1366</v>
      </c>
      <c r="H81" s="256">
        <v>1</v>
      </c>
      <c r="I81" s="256"/>
      <c r="J81" s="256">
        <v>0</v>
      </c>
      <c r="K81" s="256" t="s">
        <v>1367</v>
      </c>
      <c r="L81" s="256">
        <f t="shared" si="1"/>
        <v>0</v>
      </c>
    </row>
    <row r="82" spans="1:12" ht="14.45">
      <c r="A82" s="256" t="s">
        <v>1355</v>
      </c>
      <c r="B82" s="256" t="s">
        <v>1355</v>
      </c>
      <c r="C82" s="256" t="s">
        <v>1147</v>
      </c>
      <c r="D82" s="257" t="s">
        <v>1356</v>
      </c>
      <c r="E82" s="253" t="s">
        <v>1368</v>
      </c>
      <c r="F82" s="258">
        <v>1</v>
      </c>
      <c r="G82" s="253" t="s">
        <v>1364</v>
      </c>
      <c r="H82" s="256">
        <v>1</v>
      </c>
      <c r="I82" s="256"/>
      <c r="J82" s="256">
        <v>0</v>
      </c>
      <c r="K82" s="256" t="s">
        <v>1365</v>
      </c>
      <c r="L82" s="256">
        <f t="shared" si="1"/>
        <v>0</v>
      </c>
    </row>
    <row r="83" spans="1:12" ht="14.45">
      <c r="A83" s="256" t="s">
        <v>1355</v>
      </c>
      <c r="B83" s="256" t="s">
        <v>1355</v>
      </c>
      <c r="C83" s="256" t="s">
        <v>1147</v>
      </c>
      <c r="D83" s="257" t="s">
        <v>1356</v>
      </c>
      <c r="E83" s="253" t="s">
        <v>1369</v>
      </c>
      <c r="F83" s="258">
        <v>1</v>
      </c>
      <c r="G83" s="253" t="s">
        <v>1370</v>
      </c>
      <c r="H83" s="256">
        <v>1</v>
      </c>
      <c r="I83" s="256"/>
      <c r="J83" s="256">
        <v>0</v>
      </c>
      <c r="K83" s="256" t="s">
        <v>1371</v>
      </c>
      <c r="L83" s="256">
        <f t="shared" si="1"/>
        <v>0</v>
      </c>
    </row>
    <row r="84" spans="1:12" ht="14.45">
      <c r="A84" s="256" t="s">
        <v>1355</v>
      </c>
      <c r="B84" s="256" t="s">
        <v>1355</v>
      </c>
      <c r="C84" s="256" t="s">
        <v>1147</v>
      </c>
      <c r="D84" s="257" t="s">
        <v>1356</v>
      </c>
      <c r="E84" s="253" t="s">
        <v>1372</v>
      </c>
      <c r="F84" s="258">
        <v>1</v>
      </c>
      <c r="G84" s="253" t="s">
        <v>1373</v>
      </c>
      <c r="H84" s="256">
        <v>1</v>
      </c>
      <c r="I84" s="256"/>
      <c r="J84" s="256">
        <v>0</v>
      </c>
      <c r="K84" s="256" t="s">
        <v>1374</v>
      </c>
      <c r="L84" s="256">
        <f t="shared" si="1"/>
        <v>0</v>
      </c>
    </row>
    <row r="85" spans="1:12" ht="14.45">
      <c r="A85" s="256" t="s">
        <v>1375</v>
      </c>
      <c r="B85" s="256" t="s">
        <v>1376</v>
      </c>
      <c r="C85" s="256" t="s">
        <v>1147</v>
      </c>
      <c r="D85" s="257" t="s">
        <v>1356</v>
      </c>
      <c r="E85" s="253" t="s">
        <v>1377</v>
      </c>
      <c r="F85" s="258">
        <v>1</v>
      </c>
      <c r="G85" s="253" t="s">
        <v>1378</v>
      </c>
      <c r="H85" s="256">
        <v>1</v>
      </c>
      <c r="I85" s="256"/>
      <c r="J85" s="256">
        <v>0</v>
      </c>
      <c r="K85" s="256" t="s">
        <v>1379</v>
      </c>
      <c r="L85" s="256">
        <f t="shared" si="1"/>
        <v>0</v>
      </c>
    </row>
    <row r="86" spans="1:12" ht="14.45">
      <c r="A86" s="256" t="s">
        <v>1375</v>
      </c>
      <c r="B86" s="256" t="s">
        <v>1376</v>
      </c>
      <c r="C86" s="256" t="s">
        <v>1147</v>
      </c>
      <c r="D86" s="257" t="s">
        <v>1356</v>
      </c>
      <c r="E86" s="253" t="s">
        <v>1380</v>
      </c>
      <c r="F86" s="258">
        <v>1</v>
      </c>
      <c r="G86" s="253" t="s">
        <v>1381</v>
      </c>
      <c r="H86" s="256">
        <v>1</v>
      </c>
      <c r="I86" s="256"/>
      <c r="J86" s="256">
        <v>0</v>
      </c>
      <c r="K86" s="256" t="s">
        <v>1382</v>
      </c>
      <c r="L86" s="256">
        <f t="shared" si="1"/>
        <v>0</v>
      </c>
    </row>
    <row r="87" spans="1:12" ht="14.45">
      <c r="A87" s="256" t="s">
        <v>1375</v>
      </c>
      <c r="B87" s="256" t="s">
        <v>1383</v>
      </c>
      <c r="C87" s="256" t="s">
        <v>1147</v>
      </c>
      <c r="D87" s="257" t="s">
        <v>1356</v>
      </c>
      <c r="E87" s="253" t="s">
        <v>1384</v>
      </c>
      <c r="F87" s="258">
        <v>1</v>
      </c>
      <c r="G87" s="253" t="s">
        <v>1385</v>
      </c>
      <c r="H87" s="256">
        <v>0</v>
      </c>
      <c r="I87" s="256"/>
      <c r="J87" s="256">
        <v>0</v>
      </c>
      <c r="K87" s="256" t="s">
        <v>1386</v>
      </c>
      <c r="L87" s="256">
        <f t="shared" si="1"/>
        <v>0</v>
      </c>
    </row>
    <row r="88" spans="1:12" ht="14.45">
      <c r="A88" s="256" t="s">
        <v>1375</v>
      </c>
      <c r="B88" s="256" t="s">
        <v>1383</v>
      </c>
      <c r="C88" s="256" t="s">
        <v>1147</v>
      </c>
      <c r="D88" s="257" t="s">
        <v>1356</v>
      </c>
      <c r="E88" s="253" t="s">
        <v>1384</v>
      </c>
      <c r="F88" s="258">
        <v>1</v>
      </c>
      <c r="G88" s="253" t="s">
        <v>1387</v>
      </c>
      <c r="H88" s="256">
        <v>1</v>
      </c>
      <c r="I88" s="256"/>
      <c r="J88" s="256">
        <v>0</v>
      </c>
      <c r="K88" s="256" t="s">
        <v>1388</v>
      </c>
      <c r="L88" s="256">
        <f t="shared" si="1"/>
        <v>0</v>
      </c>
    </row>
    <row r="89" spans="1:12" ht="14.45">
      <c r="A89" s="256" t="s">
        <v>1375</v>
      </c>
      <c r="B89" s="256" t="s">
        <v>1389</v>
      </c>
      <c r="C89" s="256" t="s">
        <v>1147</v>
      </c>
      <c r="D89" s="257" t="s">
        <v>1356</v>
      </c>
      <c r="E89" s="253" t="s">
        <v>1390</v>
      </c>
      <c r="F89" s="258">
        <v>0</v>
      </c>
      <c r="G89" s="253" t="s">
        <v>1385</v>
      </c>
      <c r="H89" s="256">
        <v>0</v>
      </c>
      <c r="I89" s="256"/>
      <c r="J89" s="256">
        <v>0</v>
      </c>
      <c r="K89" s="256" t="s">
        <v>1386</v>
      </c>
      <c r="L89" s="256">
        <f t="shared" si="1"/>
        <v>0</v>
      </c>
    </row>
    <row r="90" spans="1:12" ht="14.45">
      <c r="A90" s="256" t="s">
        <v>1375</v>
      </c>
      <c r="B90" s="256" t="s">
        <v>1389</v>
      </c>
      <c r="C90" s="256" t="s">
        <v>1147</v>
      </c>
      <c r="D90" s="257" t="s">
        <v>1356</v>
      </c>
      <c r="E90" s="253" t="s">
        <v>1390</v>
      </c>
      <c r="F90" s="258">
        <v>0</v>
      </c>
      <c r="G90" s="253" t="s">
        <v>1391</v>
      </c>
      <c r="H90" s="256">
        <v>1</v>
      </c>
      <c r="I90" s="256"/>
      <c r="J90" s="256">
        <v>0</v>
      </c>
      <c r="K90" s="256" t="s">
        <v>1392</v>
      </c>
      <c r="L90" s="256">
        <f t="shared" si="1"/>
        <v>0</v>
      </c>
    </row>
    <row r="91" spans="1:12" ht="14.45">
      <c r="A91" s="256" t="s">
        <v>1375</v>
      </c>
      <c r="B91" s="256" t="s">
        <v>1389</v>
      </c>
      <c r="C91" s="256" t="s">
        <v>1147</v>
      </c>
      <c r="D91" s="257" t="s">
        <v>1356</v>
      </c>
      <c r="E91" s="253" t="s">
        <v>1390</v>
      </c>
      <c r="F91" s="258">
        <v>0</v>
      </c>
      <c r="G91" s="253" t="s">
        <v>1393</v>
      </c>
      <c r="H91" s="256">
        <v>1</v>
      </c>
      <c r="I91" s="256"/>
      <c r="J91" s="256">
        <v>0</v>
      </c>
      <c r="K91" s="256" t="s">
        <v>1394</v>
      </c>
      <c r="L91" s="256">
        <f t="shared" si="1"/>
        <v>0</v>
      </c>
    </row>
    <row r="92" spans="1:12" ht="14.45">
      <c r="A92" s="256" t="s">
        <v>1375</v>
      </c>
      <c r="B92" s="256" t="s">
        <v>1389</v>
      </c>
      <c r="C92" s="256" t="s">
        <v>1147</v>
      </c>
      <c r="D92" s="257" t="s">
        <v>1356</v>
      </c>
      <c r="E92" s="253" t="s">
        <v>1390</v>
      </c>
      <c r="F92" s="258">
        <v>0</v>
      </c>
      <c r="G92" s="253" t="s">
        <v>1395</v>
      </c>
      <c r="H92" s="256">
        <v>1</v>
      </c>
      <c r="I92" s="256"/>
      <c r="J92" s="256">
        <v>0</v>
      </c>
      <c r="K92" s="256" t="s">
        <v>1396</v>
      </c>
      <c r="L92" s="256">
        <f t="shared" si="1"/>
        <v>0</v>
      </c>
    </row>
    <row r="93" spans="1:12" ht="14.45">
      <c r="A93" s="256" t="s">
        <v>1375</v>
      </c>
      <c r="B93" s="256" t="s">
        <v>1397</v>
      </c>
      <c r="C93" s="256" t="s">
        <v>1147</v>
      </c>
      <c r="D93" s="257" t="s">
        <v>1356</v>
      </c>
      <c r="E93" s="253" t="s">
        <v>1398</v>
      </c>
      <c r="F93" s="258">
        <v>0</v>
      </c>
      <c r="G93" s="253" t="s">
        <v>1399</v>
      </c>
      <c r="H93" s="256">
        <v>0</v>
      </c>
      <c r="I93" s="256"/>
      <c r="J93" s="256">
        <v>0</v>
      </c>
      <c r="K93" s="256" t="s">
        <v>1400</v>
      </c>
      <c r="L93" s="256">
        <f t="shared" si="1"/>
        <v>0</v>
      </c>
    </row>
    <row r="94" spans="1:12" ht="14.45">
      <c r="A94" s="256" t="s">
        <v>1375</v>
      </c>
      <c r="B94" s="256" t="s">
        <v>1397</v>
      </c>
      <c r="C94" s="256" t="s">
        <v>1147</v>
      </c>
      <c r="D94" s="257" t="s">
        <v>1356</v>
      </c>
      <c r="E94" s="253" t="s">
        <v>1401</v>
      </c>
      <c r="F94" s="258">
        <v>0</v>
      </c>
      <c r="G94" s="253" t="s">
        <v>1402</v>
      </c>
      <c r="H94" s="256">
        <v>1</v>
      </c>
      <c r="I94" s="256"/>
      <c r="J94" s="256">
        <v>0</v>
      </c>
      <c r="K94" s="256" t="s">
        <v>1403</v>
      </c>
      <c r="L94" s="256">
        <f t="shared" si="1"/>
        <v>0</v>
      </c>
    </row>
    <row r="95" spans="1:12" ht="14.45">
      <c r="A95" s="256" t="s">
        <v>1375</v>
      </c>
      <c r="B95" s="256" t="s">
        <v>1404</v>
      </c>
      <c r="C95" s="256" t="s">
        <v>1147</v>
      </c>
      <c r="D95" s="257" t="s">
        <v>1356</v>
      </c>
      <c r="E95" s="254" t="s">
        <v>1405</v>
      </c>
      <c r="F95" s="258">
        <v>1</v>
      </c>
      <c r="G95" s="254" t="s">
        <v>1406</v>
      </c>
      <c r="H95" s="256">
        <v>1</v>
      </c>
      <c r="I95" s="256"/>
      <c r="J95" s="256">
        <v>0</v>
      </c>
      <c r="K95" s="256" t="s">
        <v>1407</v>
      </c>
      <c r="L95" s="256">
        <f t="shared" si="1"/>
        <v>0</v>
      </c>
    </row>
    <row r="96" spans="1:12" ht="14.45">
      <c r="A96" s="256" t="s">
        <v>1375</v>
      </c>
      <c r="B96" s="256" t="s">
        <v>1404</v>
      </c>
      <c r="C96" s="256" t="s">
        <v>1147</v>
      </c>
      <c r="D96" s="257" t="s">
        <v>1356</v>
      </c>
      <c r="E96" s="254" t="s">
        <v>1405</v>
      </c>
      <c r="F96" s="258">
        <v>1</v>
      </c>
      <c r="G96" s="254" t="s">
        <v>1385</v>
      </c>
      <c r="H96" s="256">
        <v>0</v>
      </c>
      <c r="I96" s="256"/>
      <c r="J96" s="256">
        <v>0</v>
      </c>
      <c r="K96" s="256" t="s">
        <v>1386</v>
      </c>
      <c r="L96" s="256">
        <f t="shared" si="1"/>
        <v>0</v>
      </c>
    </row>
    <row r="97" spans="1:12" ht="14.45">
      <c r="A97" s="256" t="s">
        <v>1375</v>
      </c>
      <c r="B97" s="256" t="s">
        <v>1404</v>
      </c>
      <c r="C97" s="256" t="s">
        <v>1147</v>
      </c>
      <c r="D97" s="257" t="s">
        <v>1356</v>
      </c>
      <c r="E97" s="254" t="s">
        <v>1405</v>
      </c>
      <c r="F97" s="258">
        <v>1</v>
      </c>
      <c r="G97" s="254" t="s">
        <v>1408</v>
      </c>
      <c r="H97" s="256">
        <v>1</v>
      </c>
      <c r="I97" s="256"/>
      <c r="J97" s="256">
        <v>0</v>
      </c>
      <c r="K97" s="256" t="s">
        <v>1409</v>
      </c>
      <c r="L97" s="256">
        <f t="shared" si="1"/>
        <v>0</v>
      </c>
    </row>
    <row r="98" spans="1:12" ht="14.45">
      <c r="A98" s="256" t="s">
        <v>1375</v>
      </c>
      <c r="B98" s="256" t="s">
        <v>1404</v>
      </c>
      <c r="C98" s="256" t="s">
        <v>1147</v>
      </c>
      <c r="D98" s="257" t="s">
        <v>1356</v>
      </c>
      <c r="E98" s="254" t="s">
        <v>1405</v>
      </c>
      <c r="F98" s="258">
        <v>1</v>
      </c>
      <c r="G98" s="254" t="s">
        <v>1410</v>
      </c>
      <c r="H98" s="256">
        <v>1</v>
      </c>
      <c r="I98" s="256"/>
      <c r="J98" s="256">
        <v>0</v>
      </c>
      <c r="K98" s="256" t="s">
        <v>1411</v>
      </c>
      <c r="L98" s="256">
        <f t="shared" si="1"/>
        <v>0</v>
      </c>
    </row>
    <row r="99" spans="1:12" ht="14.45">
      <c r="A99" s="256" t="s">
        <v>1375</v>
      </c>
      <c r="B99" s="256" t="s">
        <v>1404</v>
      </c>
      <c r="C99" s="256" t="s">
        <v>1147</v>
      </c>
      <c r="D99" s="257" t="s">
        <v>1356</v>
      </c>
      <c r="E99" s="253" t="s">
        <v>1412</v>
      </c>
      <c r="F99" s="258">
        <v>0</v>
      </c>
      <c r="G99" s="253" t="s">
        <v>1413</v>
      </c>
      <c r="H99" s="256">
        <v>1</v>
      </c>
      <c r="I99" s="256"/>
      <c r="J99" s="256">
        <v>0</v>
      </c>
      <c r="K99" s="256" t="s">
        <v>1414</v>
      </c>
      <c r="L99" s="256">
        <f t="shared" si="1"/>
        <v>0</v>
      </c>
    </row>
    <row r="100" spans="1:12" ht="14.45">
      <c r="A100" s="256" t="s">
        <v>1375</v>
      </c>
      <c r="B100" s="256" t="s">
        <v>1404</v>
      </c>
      <c r="C100" s="256" t="s">
        <v>1147</v>
      </c>
      <c r="D100" s="257" t="s">
        <v>1356</v>
      </c>
      <c r="E100" s="253" t="s">
        <v>1415</v>
      </c>
      <c r="F100" s="258">
        <v>1</v>
      </c>
      <c r="G100" s="253" t="s">
        <v>1416</v>
      </c>
      <c r="H100" s="256">
        <v>1</v>
      </c>
      <c r="I100" s="256"/>
      <c r="J100" s="256">
        <v>0</v>
      </c>
      <c r="K100" s="256" t="s">
        <v>1417</v>
      </c>
      <c r="L100" s="256">
        <f t="shared" si="1"/>
        <v>0</v>
      </c>
    </row>
    <row r="101" spans="1:12" ht="14.45">
      <c r="A101" s="256" t="s">
        <v>1375</v>
      </c>
      <c r="B101" s="256" t="s">
        <v>1404</v>
      </c>
      <c r="C101" s="256" t="s">
        <v>1147</v>
      </c>
      <c r="D101" s="257" t="s">
        <v>1356</v>
      </c>
      <c r="E101" s="254" t="s">
        <v>1418</v>
      </c>
      <c r="F101" s="258">
        <v>0</v>
      </c>
      <c r="G101" s="254" t="s">
        <v>1408</v>
      </c>
      <c r="H101" s="256">
        <v>1</v>
      </c>
      <c r="I101" s="256"/>
      <c r="J101" s="256">
        <v>0</v>
      </c>
      <c r="K101" s="256" t="s">
        <v>1411</v>
      </c>
      <c r="L101" s="256">
        <f t="shared" si="1"/>
        <v>0</v>
      </c>
    </row>
    <row r="102" spans="1:12" ht="14.45">
      <c r="A102" s="256" t="s">
        <v>1375</v>
      </c>
      <c r="B102" s="256" t="s">
        <v>1404</v>
      </c>
      <c r="C102" s="256" t="s">
        <v>1147</v>
      </c>
      <c r="D102" s="257" t="s">
        <v>1356</v>
      </c>
      <c r="E102" s="254" t="s">
        <v>1418</v>
      </c>
      <c r="F102" s="258">
        <v>0</v>
      </c>
      <c r="G102" s="254" t="s">
        <v>1419</v>
      </c>
      <c r="H102" s="256">
        <v>1</v>
      </c>
      <c r="I102" s="256"/>
      <c r="J102" s="256">
        <v>0</v>
      </c>
      <c r="K102" s="256" t="s">
        <v>1379</v>
      </c>
      <c r="L102" s="256">
        <f t="shared" si="1"/>
        <v>0</v>
      </c>
    </row>
    <row r="103" spans="1:12" ht="14.45">
      <c r="A103" s="256" t="s">
        <v>1375</v>
      </c>
      <c r="B103" s="256" t="s">
        <v>1404</v>
      </c>
      <c r="C103" s="256" t="s">
        <v>1147</v>
      </c>
      <c r="D103" s="257" t="s">
        <v>1356</v>
      </c>
      <c r="E103" s="253" t="s">
        <v>1420</v>
      </c>
      <c r="F103" s="258">
        <v>1</v>
      </c>
      <c r="G103" s="253" t="s">
        <v>1421</v>
      </c>
      <c r="H103" s="256">
        <v>1</v>
      </c>
      <c r="I103" s="256"/>
      <c r="J103" s="256">
        <v>0</v>
      </c>
      <c r="K103" s="256" t="s">
        <v>1422</v>
      </c>
      <c r="L103" s="256">
        <f t="shared" si="1"/>
        <v>0</v>
      </c>
    </row>
    <row r="104" spans="1:12" ht="14.45">
      <c r="A104" s="256" t="s">
        <v>1116</v>
      </c>
      <c r="B104" s="256" t="s">
        <v>1117</v>
      </c>
      <c r="C104" s="256" t="s">
        <v>1118</v>
      </c>
      <c r="D104" s="257" t="s">
        <v>1356</v>
      </c>
      <c r="E104" s="253" t="s">
        <v>1423</v>
      </c>
      <c r="F104" s="258">
        <v>1</v>
      </c>
      <c r="G104" s="253" t="s">
        <v>1424</v>
      </c>
      <c r="H104" s="256">
        <v>1</v>
      </c>
      <c r="I104" s="256"/>
      <c r="J104" s="256">
        <v>0</v>
      </c>
      <c r="K104" s="256" t="s">
        <v>1425</v>
      </c>
      <c r="L104" s="256">
        <f t="shared" si="1"/>
        <v>0</v>
      </c>
    </row>
    <row r="105" spans="1:12" ht="14.45">
      <c r="A105" s="256" t="s">
        <v>1116</v>
      </c>
      <c r="B105" s="256" t="s">
        <v>1117</v>
      </c>
      <c r="C105" s="256" t="s">
        <v>1118</v>
      </c>
      <c r="D105" s="257" t="s">
        <v>1356</v>
      </c>
      <c r="E105" s="253" t="s">
        <v>1426</v>
      </c>
      <c r="F105" s="258">
        <v>1</v>
      </c>
      <c r="G105" s="253" t="s">
        <v>1427</v>
      </c>
      <c r="H105" s="256">
        <v>1</v>
      </c>
      <c r="I105" s="256"/>
      <c r="J105" s="256">
        <v>0</v>
      </c>
      <c r="K105" s="256" t="s">
        <v>1428</v>
      </c>
      <c r="L105" s="256">
        <f t="shared" si="1"/>
        <v>0</v>
      </c>
    </row>
    <row r="106" spans="1:12" ht="14.45">
      <c r="A106" s="256" t="s">
        <v>1116</v>
      </c>
      <c r="B106" s="256" t="s">
        <v>1429</v>
      </c>
      <c r="C106" s="256" t="s">
        <v>1147</v>
      </c>
      <c r="D106" s="257" t="s">
        <v>1356</v>
      </c>
      <c r="E106" s="253" t="s">
        <v>1430</v>
      </c>
      <c r="F106" s="258">
        <v>0</v>
      </c>
      <c r="G106" s="253" t="s">
        <v>1431</v>
      </c>
      <c r="H106" s="256">
        <v>0</v>
      </c>
      <c r="I106" s="256"/>
      <c r="J106" s="256">
        <v>0</v>
      </c>
      <c r="K106" s="256" t="s">
        <v>1432</v>
      </c>
      <c r="L106" s="256">
        <f t="shared" si="1"/>
        <v>0</v>
      </c>
    </row>
    <row r="107" spans="1:12" ht="14.45">
      <c r="A107" s="256" t="s">
        <v>1116</v>
      </c>
      <c r="B107" s="256" t="s">
        <v>1142</v>
      </c>
      <c r="C107" s="256" t="s">
        <v>1118</v>
      </c>
      <c r="D107" s="257" t="s">
        <v>1356</v>
      </c>
      <c r="E107" s="251" t="s">
        <v>1433</v>
      </c>
      <c r="F107" s="258">
        <v>0</v>
      </c>
      <c r="G107" s="251" t="s">
        <v>1144</v>
      </c>
      <c r="H107" s="256">
        <v>0</v>
      </c>
      <c r="I107" s="256"/>
      <c r="J107" s="256">
        <v>0</v>
      </c>
      <c r="K107" s="256" t="s">
        <v>1145</v>
      </c>
      <c r="L107" s="256">
        <f t="shared" si="1"/>
        <v>0</v>
      </c>
    </row>
    <row r="108" spans="1:12" ht="14.45">
      <c r="A108" s="256" t="s">
        <v>1116</v>
      </c>
      <c r="B108" s="256" t="s">
        <v>1142</v>
      </c>
      <c r="C108" s="256" t="s">
        <v>1118</v>
      </c>
      <c r="D108" s="257" t="s">
        <v>1356</v>
      </c>
      <c r="E108" s="253" t="s">
        <v>1434</v>
      </c>
      <c r="F108" s="258">
        <v>0</v>
      </c>
      <c r="G108" s="253" t="s">
        <v>1435</v>
      </c>
      <c r="H108" s="256">
        <v>0</v>
      </c>
      <c r="I108" s="256"/>
      <c r="J108" s="256">
        <v>0</v>
      </c>
      <c r="K108" s="256" t="s">
        <v>1436</v>
      </c>
      <c r="L108" s="256">
        <f t="shared" si="1"/>
        <v>0</v>
      </c>
    </row>
    <row r="109" spans="1:12" ht="14.45">
      <c r="A109" s="256" t="s">
        <v>1116</v>
      </c>
      <c r="B109" s="256" t="s">
        <v>1142</v>
      </c>
      <c r="C109" s="256" t="s">
        <v>1118</v>
      </c>
      <c r="D109" s="257" t="s">
        <v>1356</v>
      </c>
      <c r="E109" s="253" t="s">
        <v>1437</v>
      </c>
      <c r="F109" s="258">
        <v>0</v>
      </c>
      <c r="G109" s="253" t="s">
        <v>1438</v>
      </c>
      <c r="H109" s="256">
        <v>0</v>
      </c>
      <c r="I109" s="256"/>
      <c r="J109" s="256">
        <v>0</v>
      </c>
      <c r="K109" s="256" t="s">
        <v>1439</v>
      </c>
      <c r="L109" s="256">
        <f t="shared" si="1"/>
        <v>0</v>
      </c>
    </row>
    <row r="110" spans="1:12" ht="14.45">
      <c r="A110" s="256" t="s">
        <v>1116</v>
      </c>
      <c r="B110" s="256" t="s">
        <v>1142</v>
      </c>
      <c r="C110" s="256" t="s">
        <v>1147</v>
      </c>
      <c r="D110" s="257" t="s">
        <v>1356</v>
      </c>
      <c r="E110" s="253" t="s">
        <v>1440</v>
      </c>
      <c r="F110" s="258">
        <v>1</v>
      </c>
      <c r="G110" s="253" t="s">
        <v>1441</v>
      </c>
      <c r="H110" s="256">
        <v>1</v>
      </c>
      <c r="I110" s="256"/>
      <c r="J110" s="256">
        <v>0</v>
      </c>
      <c r="K110" s="256" t="s">
        <v>1442</v>
      </c>
      <c r="L110" s="256">
        <f t="shared" si="1"/>
        <v>0</v>
      </c>
    </row>
    <row r="111" spans="1:12" ht="14.45">
      <c r="A111" s="256" t="s">
        <v>1153</v>
      </c>
      <c r="B111" s="256" t="s">
        <v>1443</v>
      </c>
      <c r="C111" s="256" t="s">
        <v>1147</v>
      </c>
      <c r="D111" s="257" t="s">
        <v>1356</v>
      </c>
      <c r="E111" s="253" t="s">
        <v>1444</v>
      </c>
      <c r="F111" s="258">
        <v>1</v>
      </c>
      <c r="G111" s="253" t="s">
        <v>1445</v>
      </c>
      <c r="H111" s="256">
        <v>0</v>
      </c>
      <c r="I111" s="256"/>
      <c r="J111" s="256">
        <v>0</v>
      </c>
      <c r="K111" s="256" t="s">
        <v>1446</v>
      </c>
      <c r="L111" s="256">
        <f t="shared" si="1"/>
        <v>0</v>
      </c>
    </row>
    <row r="112" spans="1:12" ht="14.45">
      <c r="A112" s="256" t="s">
        <v>1153</v>
      </c>
      <c r="B112" s="256" t="s">
        <v>1443</v>
      </c>
      <c r="C112" s="256" t="s">
        <v>1147</v>
      </c>
      <c r="D112" s="257" t="s">
        <v>1356</v>
      </c>
      <c r="E112" s="253" t="s">
        <v>1444</v>
      </c>
      <c r="F112" s="258">
        <v>1</v>
      </c>
      <c r="G112" s="253" t="s">
        <v>1447</v>
      </c>
      <c r="H112" s="256">
        <v>1</v>
      </c>
      <c r="I112" s="256"/>
      <c r="J112" s="256">
        <v>0</v>
      </c>
      <c r="K112" s="256" t="s">
        <v>1448</v>
      </c>
      <c r="L112" s="256">
        <f t="shared" si="1"/>
        <v>0</v>
      </c>
    </row>
    <row r="113" spans="1:12" ht="14.45">
      <c r="A113" s="256" t="s">
        <v>1153</v>
      </c>
      <c r="B113" s="256" t="s">
        <v>1449</v>
      </c>
      <c r="C113" s="256" t="s">
        <v>1147</v>
      </c>
      <c r="D113" s="257" t="s">
        <v>1356</v>
      </c>
      <c r="E113" s="253" t="s">
        <v>1450</v>
      </c>
      <c r="F113" s="258">
        <v>0</v>
      </c>
      <c r="G113" s="253" t="s">
        <v>1451</v>
      </c>
      <c r="H113" s="256">
        <v>1</v>
      </c>
      <c r="I113" s="256"/>
      <c r="J113" s="256">
        <v>0</v>
      </c>
      <c r="K113" s="256" t="s">
        <v>1452</v>
      </c>
      <c r="L113" s="256">
        <f t="shared" si="1"/>
        <v>0</v>
      </c>
    </row>
    <row r="114" spans="1:12" ht="14.45">
      <c r="A114" s="256" t="s">
        <v>1153</v>
      </c>
      <c r="B114" s="256" t="s">
        <v>1449</v>
      </c>
      <c r="C114" s="256" t="s">
        <v>1147</v>
      </c>
      <c r="D114" s="257" t="s">
        <v>1356</v>
      </c>
      <c r="E114" s="253" t="s">
        <v>1453</v>
      </c>
      <c r="F114" s="258">
        <v>1</v>
      </c>
      <c r="G114" s="253" t="s">
        <v>1451</v>
      </c>
      <c r="H114" s="256">
        <v>1</v>
      </c>
      <c r="I114" s="256"/>
      <c r="J114" s="256">
        <v>0</v>
      </c>
      <c r="K114" s="256" t="s">
        <v>1452</v>
      </c>
      <c r="L114" s="256">
        <f t="shared" si="1"/>
        <v>0</v>
      </c>
    </row>
    <row r="115" spans="1:12" ht="14.45">
      <c r="A115" s="256" t="s">
        <v>1153</v>
      </c>
      <c r="B115" s="256" t="s">
        <v>1449</v>
      </c>
      <c r="C115" s="256" t="s">
        <v>1147</v>
      </c>
      <c r="D115" s="257" t="s">
        <v>1356</v>
      </c>
      <c r="E115" s="253" t="s">
        <v>1454</v>
      </c>
      <c r="F115" s="258">
        <v>1</v>
      </c>
      <c r="G115" s="253" t="s">
        <v>1451</v>
      </c>
      <c r="H115" s="256">
        <v>1</v>
      </c>
      <c r="I115" s="256"/>
      <c r="J115" s="256">
        <v>0</v>
      </c>
      <c r="K115" s="256" t="s">
        <v>1452</v>
      </c>
      <c r="L115" s="256">
        <f t="shared" si="1"/>
        <v>0</v>
      </c>
    </row>
    <row r="116" spans="1:12" ht="14.45">
      <c r="A116" s="256" t="s">
        <v>1153</v>
      </c>
      <c r="B116" s="256" t="s">
        <v>1449</v>
      </c>
      <c r="C116" s="256" t="s">
        <v>1147</v>
      </c>
      <c r="D116" s="257" t="s">
        <v>1356</v>
      </c>
      <c r="E116" s="253" t="s">
        <v>1455</v>
      </c>
      <c r="F116" s="258">
        <v>0</v>
      </c>
      <c r="G116" s="253" t="s">
        <v>1451</v>
      </c>
      <c r="H116" s="256">
        <v>1</v>
      </c>
      <c r="I116" s="256"/>
      <c r="J116" s="256">
        <v>0</v>
      </c>
      <c r="K116" s="256" t="s">
        <v>1452</v>
      </c>
      <c r="L116" s="256">
        <f t="shared" si="1"/>
        <v>0</v>
      </c>
    </row>
    <row r="117" spans="1:12" ht="14.45">
      <c r="A117" s="256" t="s">
        <v>1153</v>
      </c>
      <c r="B117" s="256" t="s">
        <v>1456</v>
      </c>
      <c r="C117" s="256" t="s">
        <v>1147</v>
      </c>
      <c r="D117" s="257" t="s">
        <v>1356</v>
      </c>
      <c r="E117" s="253" t="s">
        <v>1457</v>
      </c>
      <c r="F117" s="258">
        <v>1</v>
      </c>
      <c r="G117" s="253" t="s">
        <v>1458</v>
      </c>
      <c r="H117" s="256">
        <v>0</v>
      </c>
      <c r="I117" s="256"/>
      <c r="J117" s="256">
        <v>0</v>
      </c>
      <c r="K117" s="256" t="s">
        <v>1459</v>
      </c>
      <c r="L117" s="256">
        <f t="shared" si="1"/>
        <v>0</v>
      </c>
    </row>
    <row r="118" spans="1:12" ht="14.45">
      <c r="A118" s="256" t="s">
        <v>1153</v>
      </c>
      <c r="B118" s="256" t="s">
        <v>1456</v>
      </c>
      <c r="C118" s="256" t="s">
        <v>1147</v>
      </c>
      <c r="D118" s="257" t="s">
        <v>1356</v>
      </c>
      <c r="E118" s="253" t="s">
        <v>1460</v>
      </c>
      <c r="F118" s="258">
        <v>1</v>
      </c>
      <c r="G118" s="253" t="s">
        <v>1458</v>
      </c>
      <c r="H118" s="256">
        <v>0</v>
      </c>
      <c r="I118" s="256"/>
      <c r="J118" s="256">
        <v>0</v>
      </c>
      <c r="K118" s="256" t="s">
        <v>1459</v>
      </c>
      <c r="L118" s="256">
        <f t="shared" si="1"/>
        <v>0</v>
      </c>
    </row>
    <row r="119" spans="1:12" ht="14.45">
      <c r="A119" s="256" t="s">
        <v>1153</v>
      </c>
      <c r="B119" s="256" t="s">
        <v>1461</v>
      </c>
      <c r="C119" s="256" t="s">
        <v>1147</v>
      </c>
      <c r="D119" s="257" t="s">
        <v>1356</v>
      </c>
      <c r="E119" s="253" t="s">
        <v>1462</v>
      </c>
      <c r="F119" s="258">
        <v>0</v>
      </c>
      <c r="G119" s="253" t="s">
        <v>1463</v>
      </c>
      <c r="H119" s="256">
        <v>0</v>
      </c>
      <c r="I119" s="256"/>
      <c r="J119" s="256">
        <v>0</v>
      </c>
      <c r="K119" s="256" t="s">
        <v>1464</v>
      </c>
      <c r="L119" s="256">
        <f t="shared" si="1"/>
        <v>0</v>
      </c>
    </row>
    <row r="120" spans="1:12" ht="14.45">
      <c r="A120" s="256" t="s">
        <v>1164</v>
      </c>
      <c r="B120" s="256" t="s">
        <v>1164</v>
      </c>
      <c r="C120" s="256" t="s">
        <v>1147</v>
      </c>
      <c r="D120" s="257" t="s">
        <v>1356</v>
      </c>
      <c r="E120" s="253" t="s">
        <v>1465</v>
      </c>
      <c r="F120" s="258">
        <v>0</v>
      </c>
      <c r="G120" s="253" t="s">
        <v>1466</v>
      </c>
      <c r="H120" s="256">
        <v>0</v>
      </c>
      <c r="I120" s="256"/>
      <c r="J120" s="256">
        <v>0</v>
      </c>
      <c r="K120" s="256" t="s">
        <v>1467</v>
      </c>
      <c r="L120" s="256">
        <f t="shared" si="1"/>
        <v>0</v>
      </c>
    </row>
    <row r="121" spans="1:12" ht="14.45">
      <c r="A121" s="256" t="s">
        <v>1164</v>
      </c>
      <c r="B121" s="256" t="s">
        <v>1164</v>
      </c>
      <c r="C121" s="256" t="s">
        <v>1147</v>
      </c>
      <c r="D121" s="257" t="s">
        <v>1356</v>
      </c>
      <c r="E121" s="253" t="s">
        <v>1468</v>
      </c>
      <c r="F121" s="258">
        <v>0</v>
      </c>
      <c r="G121" s="253" t="s">
        <v>1466</v>
      </c>
      <c r="H121" s="256">
        <v>0</v>
      </c>
      <c r="I121" s="256"/>
      <c r="J121" s="256">
        <v>0</v>
      </c>
      <c r="K121" s="256" t="s">
        <v>1467</v>
      </c>
      <c r="L121" s="256">
        <f t="shared" si="1"/>
        <v>0</v>
      </c>
    </row>
    <row r="122" spans="1:12" ht="14.45">
      <c r="A122" s="256" t="s">
        <v>1164</v>
      </c>
      <c r="B122" s="256" t="s">
        <v>1164</v>
      </c>
      <c r="C122" s="256" t="s">
        <v>1147</v>
      </c>
      <c r="D122" s="257" t="s">
        <v>1356</v>
      </c>
      <c r="E122" s="253" t="s">
        <v>1469</v>
      </c>
      <c r="F122" s="258">
        <v>0</v>
      </c>
      <c r="G122" s="253" t="s">
        <v>1466</v>
      </c>
      <c r="H122" s="256">
        <v>0</v>
      </c>
      <c r="I122" s="256"/>
      <c r="J122" s="256">
        <v>0</v>
      </c>
      <c r="K122" s="256" t="s">
        <v>1467</v>
      </c>
      <c r="L122" s="256">
        <f t="shared" si="1"/>
        <v>0</v>
      </c>
    </row>
    <row r="123" spans="1:12" ht="14.45">
      <c r="A123" s="256" t="s">
        <v>1164</v>
      </c>
      <c r="B123" s="256" t="s">
        <v>1164</v>
      </c>
      <c r="C123" s="256" t="s">
        <v>1147</v>
      </c>
      <c r="D123" s="257" t="s">
        <v>1356</v>
      </c>
      <c r="E123" s="253" t="s">
        <v>1470</v>
      </c>
      <c r="F123" s="258">
        <v>1</v>
      </c>
      <c r="G123" s="253" t="s">
        <v>1471</v>
      </c>
      <c r="H123" s="256">
        <v>0</v>
      </c>
      <c r="I123" s="256"/>
      <c r="J123" s="256">
        <v>0</v>
      </c>
      <c r="K123" s="256" t="s">
        <v>1472</v>
      </c>
      <c r="L123" s="256">
        <f t="shared" si="1"/>
        <v>0</v>
      </c>
    </row>
    <row r="124" spans="1:12" ht="14.45">
      <c r="A124" s="256" t="s">
        <v>1164</v>
      </c>
      <c r="B124" s="256" t="s">
        <v>1164</v>
      </c>
      <c r="C124" s="256" t="s">
        <v>1147</v>
      </c>
      <c r="D124" s="257" t="s">
        <v>1356</v>
      </c>
      <c r="E124" s="254" t="s">
        <v>1473</v>
      </c>
      <c r="F124" s="258">
        <v>0</v>
      </c>
      <c r="G124" s="254" t="s">
        <v>1474</v>
      </c>
      <c r="H124" s="256">
        <v>0</v>
      </c>
      <c r="I124" s="256"/>
      <c r="J124" s="256">
        <v>0</v>
      </c>
      <c r="K124" s="256" t="s">
        <v>1475</v>
      </c>
      <c r="L124" s="256">
        <f t="shared" si="1"/>
        <v>0</v>
      </c>
    </row>
    <row r="125" spans="1:12" ht="14.45">
      <c r="A125" s="256" t="s">
        <v>1164</v>
      </c>
      <c r="B125" s="256" t="s">
        <v>1164</v>
      </c>
      <c r="C125" s="256" t="s">
        <v>1147</v>
      </c>
      <c r="D125" s="257" t="s">
        <v>1356</v>
      </c>
      <c r="E125" s="254" t="s">
        <v>1473</v>
      </c>
      <c r="F125" s="258">
        <v>0</v>
      </c>
      <c r="G125" s="254" t="s">
        <v>1476</v>
      </c>
      <c r="H125" s="256">
        <v>0</v>
      </c>
      <c r="I125" s="256"/>
      <c r="J125" s="256">
        <v>0</v>
      </c>
      <c r="K125" s="256" t="s">
        <v>1477</v>
      </c>
      <c r="L125" s="256">
        <f t="shared" si="1"/>
        <v>0</v>
      </c>
    </row>
    <row r="126" spans="1:12" ht="14.45">
      <c r="A126" s="256" t="s">
        <v>1164</v>
      </c>
      <c r="B126" s="256" t="s">
        <v>1164</v>
      </c>
      <c r="C126" s="256" t="s">
        <v>1147</v>
      </c>
      <c r="D126" s="257" t="s">
        <v>1356</v>
      </c>
      <c r="E126" s="253" t="s">
        <v>1478</v>
      </c>
      <c r="F126" s="258">
        <v>0</v>
      </c>
      <c r="G126" s="253" t="s">
        <v>1479</v>
      </c>
      <c r="H126" s="256">
        <v>0</v>
      </c>
      <c r="I126" s="256"/>
      <c r="J126" s="256">
        <v>0</v>
      </c>
      <c r="K126" s="256" t="s">
        <v>1480</v>
      </c>
      <c r="L126" s="256">
        <f t="shared" si="1"/>
        <v>0</v>
      </c>
    </row>
    <row r="127" spans="1:12" ht="14.45">
      <c r="A127" s="256" t="s">
        <v>1164</v>
      </c>
      <c r="B127" s="256" t="s">
        <v>1164</v>
      </c>
      <c r="C127" s="256" t="s">
        <v>1147</v>
      </c>
      <c r="D127" s="257" t="s">
        <v>1356</v>
      </c>
      <c r="E127" s="254" t="s">
        <v>1481</v>
      </c>
      <c r="F127" s="258">
        <v>0</v>
      </c>
      <c r="G127" s="254" t="s">
        <v>1482</v>
      </c>
      <c r="H127" s="256">
        <v>0</v>
      </c>
      <c r="I127" s="256"/>
      <c r="J127" s="256">
        <v>0</v>
      </c>
      <c r="K127" s="256" t="s">
        <v>1483</v>
      </c>
      <c r="L127" s="256">
        <f t="shared" si="1"/>
        <v>0</v>
      </c>
    </row>
    <row r="128" spans="1:12" ht="14.45">
      <c r="A128" s="256" t="s">
        <v>1164</v>
      </c>
      <c r="B128" s="256" t="s">
        <v>1164</v>
      </c>
      <c r="C128" s="256" t="s">
        <v>1147</v>
      </c>
      <c r="D128" s="257" t="s">
        <v>1356</v>
      </c>
      <c r="E128" s="254" t="s">
        <v>1481</v>
      </c>
      <c r="F128" s="258">
        <v>0</v>
      </c>
      <c r="G128" s="254" t="s">
        <v>1484</v>
      </c>
      <c r="H128" s="256">
        <v>0</v>
      </c>
      <c r="I128" s="256"/>
      <c r="J128" s="256">
        <v>0</v>
      </c>
      <c r="K128" s="256" t="s">
        <v>1485</v>
      </c>
      <c r="L128" s="256">
        <f t="shared" si="1"/>
        <v>0</v>
      </c>
    </row>
    <row r="129" spans="1:12" ht="14.45">
      <c r="A129" s="256" t="s">
        <v>1164</v>
      </c>
      <c r="B129" s="256" t="s">
        <v>1164</v>
      </c>
      <c r="C129" s="256" t="s">
        <v>1147</v>
      </c>
      <c r="D129" s="257" t="s">
        <v>1356</v>
      </c>
      <c r="E129" s="254" t="s">
        <v>1481</v>
      </c>
      <c r="F129" s="258">
        <v>0</v>
      </c>
      <c r="G129" s="254" t="s">
        <v>1486</v>
      </c>
      <c r="H129" s="256">
        <v>0</v>
      </c>
      <c r="I129" s="256"/>
      <c r="J129" s="256">
        <v>0</v>
      </c>
      <c r="K129" s="256" t="s">
        <v>1487</v>
      </c>
      <c r="L129" s="256">
        <f t="shared" si="1"/>
        <v>0</v>
      </c>
    </row>
    <row r="130" spans="1:12" ht="14.45">
      <c r="A130" s="256" t="s">
        <v>1164</v>
      </c>
      <c r="B130" s="256" t="s">
        <v>1164</v>
      </c>
      <c r="C130" s="256" t="s">
        <v>1147</v>
      </c>
      <c r="D130" s="257" t="s">
        <v>1356</v>
      </c>
      <c r="E130" s="254" t="s">
        <v>1481</v>
      </c>
      <c r="F130" s="258">
        <v>0</v>
      </c>
      <c r="G130" s="254" t="s">
        <v>1488</v>
      </c>
      <c r="H130" s="256">
        <v>0</v>
      </c>
      <c r="I130" s="256"/>
      <c r="J130" s="256">
        <v>0</v>
      </c>
      <c r="K130" s="256" t="s">
        <v>1489</v>
      </c>
      <c r="L130" s="256">
        <f t="shared" ref="L130:L174" si="2">IF(E130=G130,1,0)</f>
        <v>0</v>
      </c>
    </row>
    <row r="131" spans="1:12" ht="14.45">
      <c r="A131" s="256" t="s">
        <v>1490</v>
      </c>
      <c r="B131" s="256" t="s">
        <v>1490</v>
      </c>
      <c r="C131" s="256" t="s">
        <v>1147</v>
      </c>
      <c r="D131" s="257" t="s">
        <v>1356</v>
      </c>
      <c r="E131" s="253" t="s">
        <v>1491</v>
      </c>
      <c r="F131" s="258">
        <v>1</v>
      </c>
      <c r="G131" s="253" t="s">
        <v>1492</v>
      </c>
      <c r="H131" s="256">
        <v>1</v>
      </c>
      <c r="I131" s="256"/>
      <c r="J131" s="256">
        <v>0</v>
      </c>
      <c r="K131" s="256" t="s">
        <v>1493</v>
      </c>
      <c r="L131" s="256">
        <f t="shared" si="2"/>
        <v>0</v>
      </c>
    </row>
    <row r="132" spans="1:12" ht="14.45">
      <c r="A132" s="256" t="s">
        <v>1490</v>
      </c>
      <c r="B132" s="256" t="s">
        <v>1490</v>
      </c>
      <c r="C132" s="256" t="s">
        <v>1147</v>
      </c>
      <c r="D132" s="257" t="s">
        <v>1356</v>
      </c>
      <c r="E132" s="253" t="s">
        <v>1494</v>
      </c>
      <c r="F132" s="258">
        <v>1</v>
      </c>
      <c r="G132" s="253" t="s">
        <v>1495</v>
      </c>
      <c r="H132" s="256">
        <v>1</v>
      </c>
      <c r="I132" s="256"/>
      <c r="J132" s="256">
        <v>0</v>
      </c>
      <c r="K132" s="256" t="s">
        <v>1496</v>
      </c>
      <c r="L132" s="256">
        <f t="shared" si="2"/>
        <v>0</v>
      </c>
    </row>
    <row r="133" spans="1:12" ht="14.45">
      <c r="A133" s="256" t="s">
        <v>1490</v>
      </c>
      <c r="B133" s="256" t="s">
        <v>1490</v>
      </c>
      <c r="C133" s="256" t="s">
        <v>1147</v>
      </c>
      <c r="D133" s="257" t="s">
        <v>1356</v>
      </c>
      <c r="E133" s="255" t="s">
        <v>1497</v>
      </c>
      <c r="F133" s="258">
        <v>1</v>
      </c>
      <c r="G133" s="255" t="s">
        <v>1221</v>
      </c>
      <c r="H133" s="256">
        <v>0</v>
      </c>
      <c r="I133" s="256"/>
      <c r="J133" s="256">
        <v>0</v>
      </c>
      <c r="K133" s="256" t="s">
        <v>1222</v>
      </c>
      <c r="L133" s="256">
        <f t="shared" si="2"/>
        <v>0</v>
      </c>
    </row>
    <row r="134" spans="1:12" ht="14.45">
      <c r="A134" s="256" t="s">
        <v>1490</v>
      </c>
      <c r="B134" s="256" t="s">
        <v>1490</v>
      </c>
      <c r="C134" s="256" t="s">
        <v>1147</v>
      </c>
      <c r="D134" s="257" t="s">
        <v>1356</v>
      </c>
      <c r="E134" s="253" t="s">
        <v>1498</v>
      </c>
      <c r="F134" s="258">
        <v>1</v>
      </c>
      <c r="G134" s="253" t="s">
        <v>1499</v>
      </c>
      <c r="H134" s="256">
        <v>1</v>
      </c>
      <c r="I134" s="256"/>
      <c r="J134" s="256">
        <v>0</v>
      </c>
      <c r="K134" s="256" t="s">
        <v>1500</v>
      </c>
      <c r="L134" s="256">
        <f t="shared" si="2"/>
        <v>0</v>
      </c>
    </row>
    <row r="135" spans="1:12" ht="14.45">
      <c r="A135" s="256" t="s">
        <v>1180</v>
      </c>
      <c r="B135" s="256" t="s">
        <v>1180</v>
      </c>
      <c r="C135" s="256" t="s">
        <v>1147</v>
      </c>
      <c r="D135" s="257" t="s">
        <v>1356</v>
      </c>
      <c r="E135" s="253" t="s">
        <v>1501</v>
      </c>
      <c r="F135" s="258">
        <v>0</v>
      </c>
      <c r="G135" s="253" t="s">
        <v>1502</v>
      </c>
      <c r="H135" s="256">
        <v>0</v>
      </c>
      <c r="I135" s="256"/>
      <c r="J135" s="256">
        <v>0</v>
      </c>
      <c r="K135" s="256" t="s">
        <v>1503</v>
      </c>
      <c r="L135" s="256">
        <f t="shared" si="2"/>
        <v>0</v>
      </c>
    </row>
    <row r="136" spans="1:12" ht="14.45">
      <c r="A136" s="256" t="s">
        <v>1180</v>
      </c>
      <c r="B136" s="256" t="s">
        <v>1180</v>
      </c>
      <c r="C136" s="256" t="s">
        <v>1147</v>
      </c>
      <c r="D136" s="257" t="s">
        <v>1356</v>
      </c>
      <c r="E136" s="253" t="s">
        <v>1504</v>
      </c>
      <c r="F136" s="258">
        <v>1</v>
      </c>
      <c r="G136" s="253" t="s">
        <v>1505</v>
      </c>
      <c r="H136" s="256">
        <v>0</v>
      </c>
      <c r="I136" s="256"/>
      <c r="J136" s="256">
        <v>0</v>
      </c>
      <c r="K136" s="256" t="s">
        <v>1506</v>
      </c>
      <c r="L136" s="256">
        <f t="shared" si="2"/>
        <v>0</v>
      </c>
    </row>
    <row r="137" spans="1:12" ht="14.45">
      <c r="A137" s="256" t="s">
        <v>1180</v>
      </c>
      <c r="B137" s="256" t="s">
        <v>1180</v>
      </c>
      <c r="C137" s="256" t="s">
        <v>1147</v>
      </c>
      <c r="D137" s="257" t="s">
        <v>1356</v>
      </c>
      <c r="E137" s="253" t="s">
        <v>1507</v>
      </c>
      <c r="F137" s="258">
        <v>0</v>
      </c>
      <c r="G137" s="253" t="s">
        <v>1508</v>
      </c>
      <c r="H137" s="256">
        <v>0</v>
      </c>
      <c r="I137" s="256"/>
      <c r="J137" s="256">
        <v>0</v>
      </c>
      <c r="K137" s="256" t="s">
        <v>1509</v>
      </c>
      <c r="L137" s="256">
        <f t="shared" si="2"/>
        <v>0</v>
      </c>
    </row>
    <row r="138" spans="1:12" ht="14.45">
      <c r="A138" s="256" t="s">
        <v>1180</v>
      </c>
      <c r="B138" s="256" t="s">
        <v>1180</v>
      </c>
      <c r="C138" s="256" t="s">
        <v>1147</v>
      </c>
      <c r="D138" s="257" t="s">
        <v>1356</v>
      </c>
      <c r="E138" s="253" t="s">
        <v>1510</v>
      </c>
      <c r="F138" s="258">
        <v>0</v>
      </c>
      <c r="G138" s="253" t="s">
        <v>1511</v>
      </c>
      <c r="H138" s="256">
        <v>1</v>
      </c>
      <c r="I138" s="256"/>
      <c r="J138" s="256">
        <v>0</v>
      </c>
      <c r="K138" s="256" t="s">
        <v>1512</v>
      </c>
      <c r="L138" s="256">
        <f t="shared" si="2"/>
        <v>0</v>
      </c>
    </row>
    <row r="139" spans="1:12" ht="14.45">
      <c r="A139" s="256" t="s">
        <v>1180</v>
      </c>
      <c r="B139" s="256" t="s">
        <v>1180</v>
      </c>
      <c r="C139" s="256" t="s">
        <v>1147</v>
      </c>
      <c r="D139" s="257" t="s">
        <v>1356</v>
      </c>
      <c r="E139" s="253" t="s">
        <v>1513</v>
      </c>
      <c r="F139" s="258">
        <v>0</v>
      </c>
      <c r="G139" s="253" t="s">
        <v>1514</v>
      </c>
      <c r="H139" s="256">
        <v>0</v>
      </c>
      <c r="I139" s="256"/>
      <c r="J139" s="256">
        <v>0</v>
      </c>
      <c r="K139" s="256" t="s">
        <v>1515</v>
      </c>
      <c r="L139" s="256">
        <f t="shared" si="2"/>
        <v>0</v>
      </c>
    </row>
    <row r="140" spans="1:12" ht="14.45">
      <c r="A140" s="256" t="s">
        <v>1180</v>
      </c>
      <c r="B140" s="256" t="s">
        <v>1180</v>
      </c>
      <c r="C140" s="256" t="s">
        <v>1147</v>
      </c>
      <c r="D140" s="257" t="s">
        <v>1356</v>
      </c>
      <c r="E140" s="253" t="s">
        <v>1516</v>
      </c>
      <c r="F140" s="258">
        <v>1</v>
      </c>
      <c r="G140" s="253" t="s">
        <v>1517</v>
      </c>
      <c r="H140" s="256">
        <v>0</v>
      </c>
      <c r="I140" s="256"/>
      <c r="J140" s="256">
        <v>0</v>
      </c>
      <c r="K140" s="256" t="s">
        <v>1518</v>
      </c>
      <c r="L140" s="256">
        <f t="shared" si="2"/>
        <v>0</v>
      </c>
    </row>
    <row r="141" spans="1:12" ht="14.45">
      <c r="A141" s="256" t="s">
        <v>1180</v>
      </c>
      <c r="B141" s="256" t="s">
        <v>1180</v>
      </c>
      <c r="C141" s="256" t="s">
        <v>1147</v>
      </c>
      <c r="D141" s="257" t="s">
        <v>1356</v>
      </c>
      <c r="E141" s="253" t="s">
        <v>1519</v>
      </c>
      <c r="F141" s="258">
        <v>0</v>
      </c>
      <c r="G141" s="253" t="s">
        <v>1520</v>
      </c>
      <c r="H141" s="256">
        <v>0</v>
      </c>
      <c r="I141" s="256"/>
      <c r="J141" s="256">
        <v>0</v>
      </c>
      <c r="K141" s="256" t="s">
        <v>1521</v>
      </c>
      <c r="L141" s="256">
        <f t="shared" si="2"/>
        <v>0</v>
      </c>
    </row>
    <row r="142" spans="1:12" ht="14.45">
      <c r="A142" s="256" t="s">
        <v>1180</v>
      </c>
      <c r="B142" s="256" t="s">
        <v>1180</v>
      </c>
      <c r="C142" s="256" t="s">
        <v>1147</v>
      </c>
      <c r="D142" s="257" t="s">
        <v>1356</v>
      </c>
      <c r="E142" s="253" t="s">
        <v>1522</v>
      </c>
      <c r="F142" s="258">
        <v>1</v>
      </c>
      <c r="G142" s="253" t="s">
        <v>1523</v>
      </c>
      <c r="H142" s="256">
        <v>0</v>
      </c>
      <c r="I142" s="256"/>
      <c r="J142" s="256">
        <v>0</v>
      </c>
      <c r="K142" s="256" t="s">
        <v>1524</v>
      </c>
      <c r="L142" s="256">
        <f t="shared" si="2"/>
        <v>0</v>
      </c>
    </row>
    <row r="143" spans="1:12" ht="14.45">
      <c r="A143" s="256" t="s">
        <v>1525</v>
      </c>
      <c r="B143" s="256" t="s">
        <v>1525</v>
      </c>
      <c r="C143" s="256" t="s">
        <v>1147</v>
      </c>
      <c r="D143" s="257" t="s">
        <v>1356</v>
      </c>
      <c r="E143" s="254" t="s">
        <v>1526</v>
      </c>
      <c r="F143" s="258">
        <v>1</v>
      </c>
      <c r="G143" s="254" t="s">
        <v>1527</v>
      </c>
      <c r="H143" s="256">
        <v>0</v>
      </c>
      <c r="I143" s="256"/>
      <c r="J143" s="256">
        <v>0</v>
      </c>
      <c r="K143" s="256" t="s">
        <v>1528</v>
      </c>
      <c r="L143" s="256">
        <f t="shared" si="2"/>
        <v>0</v>
      </c>
    </row>
    <row r="144" spans="1:12" ht="14.45">
      <c r="A144" s="256" t="s">
        <v>1525</v>
      </c>
      <c r="B144" s="256" t="s">
        <v>1525</v>
      </c>
      <c r="C144" s="256" t="s">
        <v>1147</v>
      </c>
      <c r="D144" s="257" t="s">
        <v>1356</v>
      </c>
      <c r="E144" s="254" t="s">
        <v>1526</v>
      </c>
      <c r="F144" s="258">
        <v>1</v>
      </c>
      <c r="G144" s="254" t="s">
        <v>1529</v>
      </c>
      <c r="H144" s="256">
        <v>1</v>
      </c>
      <c r="I144" s="256"/>
      <c r="J144" s="256">
        <v>0</v>
      </c>
      <c r="K144" s="256" t="s">
        <v>1530</v>
      </c>
      <c r="L144" s="256">
        <f t="shared" si="2"/>
        <v>0</v>
      </c>
    </row>
    <row r="145" spans="1:12" ht="14.45">
      <c r="A145" s="256" t="s">
        <v>1525</v>
      </c>
      <c r="B145" s="256" t="s">
        <v>1525</v>
      </c>
      <c r="C145" s="256" t="s">
        <v>1147</v>
      </c>
      <c r="D145" s="257" t="s">
        <v>1356</v>
      </c>
      <c r="E145" s="253" t="s">
        <v>1531</v>
      </c>
      <c r="F145" s="258">
        <v>1</v>
      </c>
      <c r="G145" s="253" t="s">
        <v>1527</v>
      </c>
      <c r="H145" s="256">
        <v>0</v>
      </c>
      <c r="I145" s="256"/>
      <c r="J145" s="256">
        <v>0</v>
      </c>
      <c r="K145" s="256" t="s">
        <v>1528</v>
      </c>
      <c r="L145" s="256">
        <f t="shared" si="2"/>
        <v>0</v>
      </c>
    </row>
    <row r="146" spans="1:12" ht="14.45">
      <c r="A146" s="256" t="s">
        <v>1525</v>
      </c>
      <c r="B146" s="256" t="s">
        <v>1525</v>
      </c>
      <c r="C146" s="256" t="s">
        <v>1147</v>
      </c>
      <c r="D146" s="257" t="s">
        <v>1356</v>
      </c>
      <c r="E146" s="253" t="s">
        <v>1532</v>
      </c>
      <c r="F146" s="258">
        <v>1</v>
      </c>
      <c r="G146" s="253" t="s">
        <v>1527</v>
      </c>
      <c r="H146" s="256">
        <v>0</v>
      </c>
      <c r="I146" s="256"/>
      <c r="J146" s="256">
        <v>0</v>
      </c>
      <c r="K146" s="256" t="s">
        <v>1528</v>
      </c>
      <c r="L146" s="256">
        <f t="shared" si="2"/>
        <v>0</v>
      </c>
    </row>
    <row r="147" spans="1:12" ht="14.45">
      <c r="A147" s="256" t="s">
        <v>1525</v>
      </c>
      <c r="B147" s="256" t="s">
        <v>1525</v>
      </c>
      <c r="C147" s="256" t="s">
        <v>1147</v>
      </c>
      <c r="D147" s="257" t="s">
        <v>1356</v>
      </c>
      <c r="E147" s="253" t="s">
        <v>1533</v>
      </c>
      <c r="F147" s="258">
        <v>1</v>
      </c>
      <c r="G147" s="253" t="s">
        <v>1527</v>
      </c>
      <c r="H147" s="256">
        <v>0</v>
      </c>
      <c r="I147" s="256"/>
      <c r="J147" s="256">
        <v>0</v>
      </c>
      <c r="K147" s="256" t="s">
        <v>1528</v>
      </c>
      <c r="L147" s="256">
        <f t="shared" si="2"/>
        <v>0</v>
      </c>
    </row>
    <row r="148" spans="1:12" ht="14.45">
      <c r="A148" s="256" t="s">
        <v>1224</v>
      </c>
      <c r="B148" s="256" t="s">
        <v>1534</v>
      </c>
      <c r="C148" s="256" t="s">
        <v>1147</v>
      </c>
      <c r="D148" s="257" t="s">
        <v>1356</v>
      </c>
      <c r="E148" s="253" t="s">
        <v>1535</v>
      </c>
      <c r="F148" s="258">
        <v>1</v>
      </c>
      <c r="G148" s="253" t="s">
        <v>1536</v>
      </c>
      <c r="H148" s="256">
        <v>0</v>
      </c>
      <c r="I148" s="256"/>
      <c r="J148" s="256">
        <v>0</v>
      </c>
      <c r="K148" s="256" t="s">
        <v>1537</v>
      </c>
      <c r="L148" s="256">
        <f t="shared" si="2"/>
        <v>0</v>
      </c>
    </row>
    <row r="149" spans="1:12" ht="14.45">
      <c r="A149" s="256" t="s">
        <v>1276</v>
      </c>
      <c r="B149" s="256" t="s">
        <v>1304</v>
      </c>
      <c r="C149" s="256" t="s">
        <v>1147</v>
      </c>
      <c r="D149" s="257" t="s">
        <v>1356</v>
      </c>
      <c r="E149" s="253" t="s">
        <v>1538</v>
      </c>
      <c r="F149" s="258">
        <v>1</v>
      </c>
      <c r="G149" s="253" t="s">
        <v>1304</v>
      </c>
      <c r="H149" s="256">
        <v>0</v>
      </c>
      <c r="I149" s="256"/>
      <c r="J149" s="256">
        <v>0</v>
      </c>
      <c r="K149" s="256" t="s">
        <v>1539</v>
      </c>
      <c r="L149" s="256">
        <f t="shared" si="2"/>
        <v>0</v>
      </c>
    </row>
    <row r="150" spans="1:12" ht="14.45">
      <c r="A150" s="256" t="s">
        <v>1276</v>
      </c>
      <c r="B150" s="256" t="s">
        <v>1308</v>
      </c>
      <c r="C150" s="256" t="s">
        <v>1147</v>
      </c>
      <c r="D150" s="257" t="s">
        <v>1356</v>
      </c>
      <c r="E150" s="253" t="s">
        <v>1540</v>
      </c>
      <c r="F150" s="258">
        <v>0</v>
      </c>
      <c r="G150" s="253" t="s">
        <v>1541</v>
      </c>
      <c r="H150" s="256">
        <v>0</v>
      </c>
      <c r="I150" s="256"/>
      <c r="J150" s="256">
        <v>0</v>
      </c>
      <c r="K150" s="256" t="s">
        <v>1542</v>
      </c>
      <c r="L150" s="256">
        <f t="shared" si="2"/>
        <v>0</v>
      </c>
    </row>
    <row r="151" spans="1:12" ht="14.45">
      <c r="A151" s="256" t="s">
        <v>1276</v>
      </c>
      <c r="B151" s="256" t="s">
        <v>1308</v>
      </c>
      <c r="C151" s="256" t="s">
        <v>1147</v>
      </c>
      <c r="D151" s="257" t="s">
        <v>1356</v>
      </c>
      <c r="E151" s="253" t="s">
        <v>1543</v>
      </c>
      <c r="F151" s="258">
        <v>1</v>
      </c>
      <c r="G151" s="253" t="s">
        <v>1544</v>
      </c>
      <c r="H151" s="256">
        <v>0</v>
      </c>
      <c r="I151" s="256"/>
      <c r="J151" s="256">
        <v>0</v>
      </c>
      <c r="K151" s="256" t="s">
        <v>1545</v>
      </c>
      <c r="L151" s="256">
        <f t="shared" si="2"/>
        <v>0</v>
      </c>
    </row>
    <row r="152" spans="1:12" ht="14.45">
      <c r="A152" s="256" t="s">
        <v>1276</v>
      </c>
      <c r="B152" s="256" t="s">
        <v>1308</v>
      </c>
      <c r="C152" s="256" t="s">
        <v>1147</v>
      </c>
      <c r="D152" s="257" t="s">
        <v>1356</v>
      </c>
      <c r="E152" s="253" t="s">
        <v>1546</v>
      </c>
      <c r="F152" s="258">
        <v>0</v>
      </c>
      <c r="G152" s="253" t="s">
        <v>1547</v>
      </c>
      <c r="H152" s="256">
        <v>0</v>
      </c>
      <c r="I152" s="256"/>
      <c r="J152" s="256">
        <v>0</v>
      </c>
      <c r="K152" s="256" t="s">
        <v>1548</v>
      </c>
      <c r="L152" s="256">
        <f t="shared" si="2"/>
        <v>0</v>
      </c>
    </row>
    <row r="153" spans="1:12" ht="14.45">
      <c r="A153" s="256" t="s">
        <v>1276</v>
      </c>
      <c r="B153" s="256" t="s">
        <v>1308</v>
      </c>
      <c r="C153" s="256" t="s">
        <v>1147</v>
      </c>
      <c r="D153" s="257" t="s">
        <v>1356</v>
      </c>
      <c r="E153" s="253" t="s">
        <v>1549</v>
      </c>
      <c r="F153" s="258">
        <v>1</v>
      </c>
      <c r="G153" s="253" t="s">
        <v>1550</v>
      </c>
      <c r="H153" s="256">
        <v>0</v>
      </c>
      <c r="I153" s="256"/>
      <c r="J153" s="256">
        <v>0</v>
      </c>
      <c r="K153" s="256" t="s">
        <v>1551</v>
      </c>
      <c r="L153" s="256">
        <f t="shared" si="2"/>
        <v>0</v>
      </c>
    </row>
    <row r="154" spans="1:12" ht="14.45">
      <c r="A154" s="256" t="s">
        <v>1128</v>
      </c>
      <c r="B154" s="256" t="s">
        <v>1334</v>
      </c>
      <c r="C154" s="256" t="s">
        <v>1147</v>
      </c>
      <c r="D154" s="257" t="s">
        <v>1356</v>
      </c>
      <c r="E154" s="253" t="s">
        <v>1552</v>
      </c>
      <c r="F154" s="258">
        <v>1</v>
      </c>
      <c r="G154" s="253" t="s">
        <v>1553</v>
      </c>
      <c r="H154" s="256">
        <v>1</v>
      </c>
      <c r="I154" s="256"/>
      <c r="J154" s="256">
        <v>0</v>
      </c>
      <c r="K154" s="256" t="s">
        <v>1554</v>
      </c>
      <c r="L154" s="256">
        <f t="shared" si="2"/>
        <v>0</v>
      </c>
    </row>
    <row r="155" spans="1:12" ht="14.45">
      <c r="A155" s="256" t="s">
        <v>1128</v>
      </c>
      <c r="B155" s="256" t="s">
        <v>1338</v>
      </c>
      <c r="C155" s="256" t="s">
        <v>1147</v>
      </c>
      <c r="D155" s="257" t="s">
        <v>1356</v>
      </c>
      <c r="E155" s="251" t="s">
        <v>1555</v>
      </c>
      <c r="F155" s="258">
        <v>1</v>
      </c>
      <c r="G155" s="251" t="s">
        <v>1556</v>
      </c>
      <c r="H155" s="256">
        <v>1</v>
      </c>
      <c r="I155" s="256"/>
      <c r="J155" s="256">
        <v>0</v>
      </c>
      <c r="K155" s="256" t="s">
        <v>1557</v>
      </c>
      <c r="L155" s="256">
        <f t="shared" si="2"/>
        <v>0</v>
      </c>
    </row>
    <row r="156" spans="1:12" ht="14.45">
      <c r="A156" s="256" t="s">
        <v>1128</v>
      </c>
      <c r="B156" s="256" t="s">
        <v>1338</v>
      </c>
      <c r="C156" s="256" t="s">
        <v>1147</v>
      </c>
      <c r="D156" s="257" t="s">
        <v>1356</v>
      </c>
      <c r="E156" s="251" t="s">
        <v>1558</v>
      </c>
      <c r="F156" s="258">
        <v>1</v>
      </c>
      <c r="G156" s="251" t="s">
        <v>1556</v>
      </c>
      <c r="H156" s="256">
        <v>1</v>
      </c>
      <c r="I156" s="256"/>
      <c r="J156" s="256">
        <v>0</v>
      </c>
      <c r="K156" s="256" t="s">
        <v>1557</v>
      </c>
      <c r="L156" s="256">
        <f t="shared" si="2"/>
        <v>0</v>
      </c>
    </row>
    <row r="157" spans="1:12" ht="14.45">
      <c r="A157" s="256" t="s">
        <v>1128</v>
      </c>
      <c r="B157" s="256" t="s">
        <v>1338</v>
      </c>
      <c r="C157" s="256" t="s">
        <v>1147</v>
      </c>
      <c r="D157" s="257" t="s">
        <v>1356</v>
      </c>
      <c r="E157" s="251" t="s">
        <v>1559</v>
      </c>
      <c r="F157" s="258">
        <v>1</v>
      </c>
      <c r="G157" s="251" t="s">
        <v>1556</v>
      </c>
      <c r="H157" s="256">
        <v>1</v>
      </c>
      <c r="I157" s="256"/>
      <c r="J157" s="256">
        <v>0</v>
      </c>
      <c r="K157" s="256" t="s">
        <v>1557</v>
      </c>
      <c r="L157" s="256">
        <f t="shared" si="2"/>
        <v>0</v>
      </c>
    </row>
    <row r="158" spans="1:12" ht="14.45">
      <c r="A158" s="256" t="s">
        <v>1342</v>
      </c>
      <c r="B158" s="256" t="s">
        <v>1342</v>
      </c>
      <c r="C158" s="256" t="s">
        <v>1147</v>
      </c>
      <c r="D158" s="257" t="s">
        <v>1356</v>
      </c>
      <c r="E158" s="253" t="s">
        <v>1349</v>
      </c>
      <c r="F158" s="258">
        <v>1</v>
      </c>
      <c r="G158" s="253" t="s">
        <v>1560</v>
      </c>
      <c r="H158" s="256">
        <v>0</v>
      </c>
      <c r="I158" s="256"/>
      <c r="J158" s="256">
        <v>0</v>
      </c>
      <c r="K158" s="256" t="s">
        <v>1561</v>
      </c>
      <c r="L158" s="256">
        <f t="shared" si="2"/>
        <v>0</v>
      </c>
    </row>
    <row r="159" spans="1:12" ht="14.45">
      <c r="A159" s="256" t="s">
        <v>1342</v>
      </c>
      <c r="B159" s="256" t="s">
        <v>1342</v>
      </c>
      <c r="C159" s="256" t="s">
        <v>1147</v>
      </c>
      <c r="D159" s="257" t="s">
        <v>1356</v>
      </c>
      <c r="E159" s="253" t="s">
        <v>1562</v>
      </c>
      <c r="F159" s="258">
        <v>0</v>
      </c>
      <c r="G159" s="253" t="s">
        <v>1344</v>
      </c>
      <c r="H159" s="256">
        <v>0</v>
      </c>
      <c r="I159" s="256"/>
      <c r="J159" s="256">
        <v>0</v>
      </c>
      <c r="K159" s="256" t="s">
        <v>1345</v>
      </c>
      <c r="L159" s="256">
        <f t="shared" si="2"/>
        <v>0</v>
      </c>
    </row>
    <row r="160" spans="1:12" ht="14.45">
      <c r="A160" s="256" t="s">
        <v>1342</v>
      </c>
      <c r="B160" s="256" t="s">
        <v>1342</v>
      </c>
      <c r="C160" s="256" t="s">
        <v>1147</v>
      </c>
      <c r="D160" s="257" t="s">
        <v>1356</v>
      </c>
      <c r="E160" s="253" t="s">
        <v>1563</v>
      </c>
      <c r="F160" s="258">
        <v>0</v>
      </c>
      <c r="G160" s="253" t="s">
        <v>1564</v>
      </c>
      <c r="H160" s="256">
        <v>0</v>
      </c>
      <c r="I160" s="256"/>
      <c r="J160" s="256">
        <v>0</v>
      </c>
      <c r="K160" s="256" t="s">
        <v>1565</v>
      </c>
      <c r="L160" s="256">
        <f t="shared" si="2"/>
        <v>0</v>
      </c>
    </row>
    <row r="161" spans="1:12" ht="14.45">
      <c r="A161" s="256" t="s">
        <v>1342</v>
      </c>
      <c r="B161" s="256" t="s">
        <v>1342</v>
      </c>
      <c r="C161" s="256" t="s">
        <v>1147</v>
      </c>
      <c r="D161" s="257" t="s">
        <v>1356</v>
      </c>
      <c r="E161" s="253" t="s">
        <v>1566</v>
      </c>
      <c r="F161" s="258">
        <v>0</v>
      </c>
      <c r="G161" s="253" t="s">
        <v>1567</v>
      </c>
      <c r="H161" s="256">
        <v>0</v>
      </c>
      <c r="I161" s="256"/>
      <c r="J161" s="256">
        <v>0</v>
      </c>
      <c r="K161" s="256" t="s">
        <v>1568</v>
      </c>
      <c r="L161" s="256">
        <f t="shared" si="2"/>
        <v>0</v>
      </c>
    </row>
    <row r="162" spans="1:12" ht="14.45">
      <c r="A162" s="256" t="s">
        <v>1569</v>
      </c>
      <c r="B162" s="256" t="s">
        <v>1569</v>
      </c>
      <c r="C162" s="256" t="s">
        <v>1147</v>
      </c>
      <c r="D162" s="257" t="s">
        <v>1356</v>
      </c>
      <c r="E162" s="251" t="s">
        <v>1570</v>
      </c>
      <c r="F162" s="258">
        <v>1</v>
      </c>
      <c r="G162" s="251" t="s">
        <v>1571</v>
      </c>
      <c r="H162" s="256">
        <v>0</v>
      </c>
      <c r="I162" s="256"/>
      <c r="J162" s="256">
        <v>0</v>
      </c>
      <c r="K162" s="256" t="s">
        <v>1572</v>
      </c>
      <c r="L162" s="256">
        <f t="shared" si="2"/>
        <v>0</v>
      </c>
    </row>
    <row r="163" spans="1:12" ht="14.45">
      <c r="A163" s="256" t="s">
        <v>1569</v>
      </c>
      <c r="B163" s="256" t="s">
        <v>1569</v>
      </c>
      <c r="C163" s="256" t="s">
        <v>1147</v>
      </c>
      <c r="D163" s="257" t="s">
        <v>1356</v>
      </c>
      <c r="E163" s="251" t="s">
        <v>1573</v>
      </c>
      <c r="F163" s="258">
        <v>1</v>
      </c>
      <c r="G163" s="251" t="s">
        <v>1571</v>
      </c>
      <c r="H163" s="256">
        <v>0</v>
      </c>
      <c r="I163" s="256"/>
      <c r="J163" s="256">
        <v>0</v>
      </c>
      <c r="K163" s="256" t="s">
        <v>1572</v>
      </c>
      <c r="L163" s="256">
        <f t="shared" si="2"/>
        <v>0</v>
      </c>
    </row>
    <row r="164" spans="1:12" ht="14.45">
      <c r="A164" s="256" t="s">
        <v>1569</v>
      </c>
      <c r="B164" s="256" t="s">
        <v>1569</v>
      </c>
      <c r="C164" s="256" t="s">
        <v>1147</v>
      </c>
      <c r="D164" s="257" t="s">
        <v>1356</v>
      </c>
      <c r="E164" s="253" t="s">
        <v>1574</v>
      </c>
      <c r="F164" s="258">
        <v>1</v>
      </c>
      <c r="G164" s="253" t="s">
        <v>1575</v>
      </c>
      <c r="H164" s="256">
        <v>1</v>
      </c>
      <c r="I164" s="256"/>
      <c r="J164" s="256">
        <v>0</v>
      </c>
      <c r="K164" s="256" t="s">
        <v>1576</v>
      </c>
      <c r="L164" s="256">
        <f t="shared" si="2"/>
        <v>0</v>
      </c>
    </row>
    <row r="165" spans="1:12" ht="14.45">
      <c r="A165" s="256" t="s">
        <v>1350</v>
      </c>
      <c r="B165" s="256" t="s">
        <v>1577</v>
      </c>
      <c r="C165" s="256" t="s">
        <v>1147</v>
      </c>
      <c r="D165" s="257" t="s">
        <v>1356</v>
      </c>
      <c r="E165" s="253" t="s">
        <v>1352</v>
      </c>
      <c r="F165" s="258">
        <v>1</v>
      </c>
      <c r="G165" s="253" t="s">
        <v>1353</v>
      </c>
      <c r="H165" s="256">
        <v>0</v>
      </c>
      <c r="I165" s="256"/>
      <c r="J165" s="256">
        <v>0</v>
      </c>
      <c r="K165" s="256" t="s">
        <v>1354</v>
      </c>
      <c r="L165" s="256">
        <f t="shared" si="2"/>
        <v>0</v>
      </c>
    </row>
    <row r="166" spans="1:12" ht="14.45">
      <c r="A166" s="256" t="s">
        <v>1350</v>
      </c>
      <c r="B166" s="256" t="s">
        <v>1578</v>
      </c>
      <c r="C166" s="256" t="s">
        <v>1147</v>
      </c>
      <c r="D166" s="257" t="s">
        <v>1356</v>
      </c>
      <c r="E166" s="251" t="s">
        <v>1579</v>
      </c>
      <c r="F166" s="258">
        <v>1</v>
      </c>
      <c r="G166" s="251" t="s">
        <v>1580</v>
      </c>
      <c r="H166" s="256">
        <v>0</v>
      </c>
      <c r="I166" s="256"/>
      <c r="J166" s="256">
        <v>0</v>
      </c>
      <c r="K166" s="256" t="s">
        <v>1581</v>
      </c>
      <c r="L166" s="256">
        <f t="shared" si="2"/>
        <v>0</v>
      </c>
    </row>
    <row r="167" spans="1:12" ht="14.45">
      <c r="A167" s="256" t="s">
        <v>1350</v>
      </c>
      <c r="B167" s="256" t="s">
        <v>1578</v>
      </c>
      <c r="C167" s="256" t="s">
        <v>1147</v>
      </c>
      <c r="D167" s="257" t="s">
        <v>1356</v>
      </c>
      <c r="E167" s="251" t="s">
        <v>1582</v>
      </c>
      <c r="F167" s="258">
        <v>1</v>
      </c>
      <c r="G167" s="251" t="s">
        <v>1580</v>
      </c>
      <c r="H167" s="256">
        <v>0</v>
      </c>
      <c r="I167" s="256"/>
      <c r="J167" s="256">
        <v>0</v>
      </c>
      <c r="K167" s="256" t="s">
        <v>1581</v>
      </c>
      <c r="L167" s="256">
        <f t="shared" si="2"/>
        <v>0</v>
      </c>
    </row>
    <row r="168" spans="1:12" ht="14.45">
      <c r="A168" s="256" t="s">
        <v>1350</v>
      </c>
      <c r="B168" s="256" t="s">
        <v>1578</v>
      </c>
      <c r="C168" s="256" t="s">
        <v>1147</v>
      </c>
      <c r="D168" s="257" t="s">
        <v>1356</v>
      </c>
      <c r="E168" s="251" t="s">
        <v>1583</v>
      </c>
      <c r="F168" s="258">
        <v>0</v>
      </c>
      <c r="G168" s="251" t="s">
        <v>1580</v>
      </c>
      <c r="H168" s="256">
        <v>0</v>
      </c>
      <c r="I168" s="256"/>
      <c r="J168" s="256">
        <v>0</v>
      </c>
      <c r="K168" s="256" t="s">
        <v>1581</v>
      </c>
      <c r="L168" s="256">
        <f t="shared" si="2"/>
        <v>0</v>
      </c>
    </row>
    <row r="169" spans="1:12" ht="14.45">
      <c r="A169" s="256" t="s">
        <v>1350</v>
      </c>
      <c r="B169" s="256" t="s">
        <v>1584</v>
      </c>
      <c r="C169" s="256" t="s">
        <v>1147</v>
      </c>
      <c r="D169" s="257" t="s">
        <v>1356</v>
      </c>
      <c r="E169" s="253" t="s">
        <v>1585</v>
      </c>
      <c r="F169" s="258">
        <v>1</v>
      </c>
      <c r="G169" s="253" t="s">
        <v>1586</v>
      </c>
      <c r="H169" s="256">
        <v>1</v>
      </c>
      <c r="I169" s="256"/>
      <c r="J169" s="256">
        <v>0</v>
      </c>
      <c r="K169" s="256" t="s">
        <v>1587</v>
      </c>
      <c r="L169" s="256">
        <f t="shared" si="2"/>
        <v>0</v>
      </c>
    </row>
    <row r="170" spans="1:12" ht="14.45">
      <c r="A170" s="256" t="s">
        <v>1350</v>
      </c>
      <c r="B170" s="256" t="s">
        <v>1588</v>
      </c>
      <c r="C170" s="256" t="s">
        <v>1147</v>
      </c>
      <c r="D170" s="257" t="s">
        <v>1356</v>
      </c>
      <c r="E170" s="253" t="s">
        <v>1589</v>
      </c>
      <c r="F170" s="258">
        <v>1</v>
      </c>
      <c r="G170" s="253" t="s">
        <v>1590</v>
      </c>
      <c r="H170" s="256">
        <v>1</v>
      </c>
      <c r="I170" s="256"/>
      <c r="J170" s="256">
        <v>0</v>
      </c>
      <c r="K170" s="256" t="s">
        <v>1591</v>
      </c>
      <c r="L170" s="256">
        <f t="shared" si="2"/>
        <v>0</v>
      </c>
    </row>
    <row r="171" spans="1:12" ht="14.45">
      <c r="A171" s="256" t="s">
        <v>1350</v>
      </c>
      <c r="B171" s="256" t="s">
        <v>1592</v>
      </c>
      <c r="C171" s="256" t="s">
        <v>1147</v>
      </c>
      <c r="D171" s="257" t="s">
        <v>1356</v>
      </c>
      <c r="E171" s="253" t="s">
        <v>1593</v>
      </c>
      <c r="F171" s="258">
        <v>1</v>
      </c>
      <c r="G171" s="253" t="s">
        <v>1594</v>
      </c>
      <c r="H171" s="256">
        <v>1</v>
      </c>
      <c r="I171" s="256"/>
      <c r="J171" s="256">
        <v>0</v>
      </c>
      <c r="K171" s="256" t="s">
        <v>1595</v>
      </c>
      <c r="L171" s="256">
        <f t="shared" si="2"/>
        <v>0</v>
      </c>
    </row>
    <row r="172" spans="1:12" ht="14.45">
      <c r="A172" s="256" t="s">
        <v>1350</v>
      </c>
      <c r="B172" s="256" t="s">
        <v>1596</v>
      </c>
      <c r="C172" s="256" t="s">
        <v>1147</v>
      </c>
      <c r="D172" s="257" t="s">
        <v>1356</v>
      </c>
      <c r="E172" s="253" t="s">
        <v>1597</v>
      </c>
      <c r="F172" s="258">
        <v>1</v>
      </c>
      <c r="G172" s="253" t="s">
        <v>1590</v>
      </c>
      <c r="H172" s="256">
        <v>1</v>
      </c>
      <c r="I172" s="256"/>
      <c r="J172" s="256">
        <v>0</v>
      </c>
      <c r="K172" s="256" t="s">
        <v>1591</v>
      </c>
      <c r="L172" s="256">
        <f t="shared" si="2"/>
        <v>0</v>
      </c>
    </row>
    <row r="173" spans="1:12" ht="14.45">
      <c r="A173" s="256" t="s">
        <v>1350</v>
      </c>
      <c r="B173" s="256" t="s">
        <v>1598</v>
      </c>
      <c r="C173" s="256" t="s">
        <v>1147</v>
      </c>
      <c r="D173" s="257" t="s">
        <v>1356</v>
      </c>
      <c r="E173" s="253" t="s">
        <v>1599</v>
      </c>
      <c r="F173" s="258">
        <v>1</v>
      </c>
      <c r="G173" s="253" t="s">
        <v>1600</v>
      </c>
      <c r="H173" s="256">
        <v>1</v>
      </c>
      <c r="I173" s="256"/>
      <c r="J173" s="256">
        <v>0</v>
      </c>
      <c r="K173" s="256" t="s">
        <v>1601</v>
      </c>
      <c r="L173" s="256">
        <f t="shared" si="2"/>
        <v>0</v>
      </c>
    </row>
    <row r="174" spans="1:12" ht="14.45">
      <c r="A174" s="256" t="s">
        <v>1350</v>
      </c>
      <c r="B174" s="256" t="s">
        <v>1602</v>
      </c>
      <c r="C174" s="256" t="s">
        <v>1147</v>
      </c>
      <c r="D174" s="257" t="s">
        <v>1356</v>
      </c>
      <c r="E174" s="253" t="s">
        <v>1603</v>
      </c>
      <c r="F174" s="258">
        <v>1</v>
      </c>
      <c r="G174" s="253" t="s">
        <v>1604</v>
      </c>
      <c r="H174" s="256">
        <v>1</v>
      </c>
      <c r="I174" s="256"/>
      <c r="J174" s="256">
        <v>0</v>
      </c>
      <c r="K174" s="256" t="s">
        <v>1605</v>
      </c>
      <c r="L174" s="256">
        <f t="shared" si="2"/>
        <v>0</v>
      </c>
    </row>
  </sheetData>
  <sheetProtection autoFilter="0"/>
  <autoFilter ref="A1:L174" xr:uid="{0E2A864C-37BC-4311-B927-90128535A20C}">
    <sortState xmlns:xlrd2="http://schemas.microsoft.com/office/spreadsheetml/2017/richdata2" ref="A2:L174">
      <sortCondition ref="D1:D174"/>
    </sortState>
  </autoFilter>
  <hyperlinks>
    <hyperlink ref="E2" r:id="rId1" xr:uid="{E3CEC01B-3083-4139-94FE-AA1EB34354BB}"/>
    <hyperlink ref="G2" r:id="rId2" display="https://azure.microsoft.com/marketplace" xr:uid="{EEDE8100-1123-4AB6-953E-805E0EE72C25}"/>
    <hyperlink ref="E78" r:id="rId3" display="https://aws.amazon.com/sagemaker" xr:uid="{1554FAAD-74AA-4950-9C36-99B8BF987004}"/>
    <hyperlink ref="G78" r:id="rId4" display="https://azure.microsoft.com/services/machine-learning-services" xr:uid="{8A3A7A9A-F1B5-488C-9D13-B8A76BFED215}"/>
    <hyperlink ref="E79" r:id="rId5" display="https://developer.amazon.com/alexa/alexa-skills-kit" xr:uid="{7DFF1BF4-0008-4A56-9098-A398779177B0}"/>
    <hyperlink ref="G79" r:id="rId6" display="https://dev.botframework.com/" xr:uid="{9FD7213E-5947-4919-B877-8B75118BFC1F}"/>
    <hyperlink ref="E80" r:id="rId7" display="https://aws.amazon.com/lex" xr:uid="{C7BC9DE5-BE15-4690-8579-694244A2EB7C}"/>
    <hyperlink ref="G80" r:id="rId8" display="https://azure.microsoft.com/services/cognitive-services/speech" xr:uid="{24DD35C2-B5C7-4A6D-8F57-F0BAB9E831EA}"/>
    <hyperlink ref="E81" r:id="rId9" display="https://aws.amazon.com/lex" xr:uid="{B0CD3073-CA23-4984-B0A2-093C5498169E}"/>
    <hyperlink ref="G81" r:id="rId10" display="https://azure.microsoft.com/services/cognitive-services/language-understanding-intelligent-service" xr:uid="{AC8C8BDC-326C-48D0-B2B6-058D216A7114}"/>
    <hyperlink ref="G82" r:id="rId11" display="https://azure.microsoft.com/services/cognitive-services/speech" xr:uid="{382112FD-938F-40E2-9D3F-89188C412DB8}"/>
    <hyperlink ref="E83" r:id="rId12" display="https://aws.amazon.com/rekognition" xr:uid="{8639D076-73E6-47EC-977D-786108C6F0AC}"/>
    <hyperlink ref="G83" r:id="rId13" display="https://azure.microsoft.com/services/cognitive-services" xr:uid="{5DB6FE1E-98CC-4D15-853A-DC98A45A6FED}"/>
    <hyperlink ref="E84" r:id="rId14" display="https://developer.amazon.com/alexa/alexa-skills-kit" xr:uid="{7E4C0F90-B6A1-4CC0-8325-BC21E21E8ACF}"/>
    <hyperlink ref="G84" r:id="rId15" display="https://learn.microsoft.com/en-us/azure/bot-service/bot-builder-virtual-assistant-introduction?view=azure-bot-service-4.0&amp;preserve-view=true" xr:uid="{5F5219BF-7C6D-4B22-8C04-B677FEBE9969}"/>
    <hyperlink ref="E85" r:id="rId16" display="https://aws.amazon.com/redshift" xr:uid="{507CB823-18EA-4FF5-A715-8C6E89A5135C}"/>
    <hyperlink ref="G85" r:id="rId17" display="https://azure.microsoft.com/services/synapse-analytics/" xr:uid="{1B6C4D6D-5CD9-4F85-84A3-E04979A40FFF}"/>
    <hyperlink ref="E86" r:id="rId18" display="https://aws.amazon.com/lake-formation" xr:uid="{7004E68E-7484-4395-97E4-EB19829F69DD}"/>
    <hyperlink ref="G86" r:id="rId19" display="https://azure.microsoft.com/services/data-share/" xr:uid="{FDA74DB5-425B-4657-AC52-E2A227A4F36F}"/>
    <hyperlink ref="G87" r:id="rId20" display="https://azure.microsoft.com/services/data-explorer" xr:uid="{5E72BBFA-287A-467F-96DB-7154AD0B9985}"/>
    <hyperlink ref="G88" r:id="rId21" display="https://azure.microsoft.com/services/time-series-insights" xr:uid="{B59C5332-4612-4B3C-AFCB-4D063C8F3CAC}"/>
    <hyperlink ref="G89" r:id="rId22" display="https://azure.microsoft.com/services/data-explorer" xr:uid="{FE5FE055-2759-433F-A13F-4E1DEC041EBC}"/>
    <hyperlink ref="E90" r:id="rId23" display="https://aws.amazon.com/emr" xr:uid="{6D7F265C-4D45-40A7-A86B-5159EC9D874E}"/>
    <hyperlink ref="G90" r:id="rId24" display="https://azure.microsoft.com/services/databricks" xr:uid="{8002309F-FCBC-4B03-ACB2-1FE127A7F217}"/>
    <hyperlink ref="E91" r:id="rId25" display="https://aws.amazon.com/emr" xr:uid="{C5B708F2-F92E-41C2-8B48-7D8A26D90F58}"/>
    <hyperlink ref="G91" r:id="rId26" display="https://azure.microsoft.com/services/hdinsight" xr:uid="{C48372FF-0A2B-4642-AE56-EAC2BA4FB63E}"/>
    <hyperlink ref="E92" r:id="rId27" display="https://aws.amazon.com/emr" xr:uid="{6EF83B48-3C63-44E2-B3F1-09EF889B9A24}"/>
    <hyperlink ref="G92" r:id="rId28" display="https://azure.microsoft.com/services/storage/data-lake-storage" xr:uid="{E0A1D30E-87A1-4FF5-9A66-EA9187862742}"/>
    <hyperlink ref="G93" r:id="rId29" display="https://azure.microsoft.com/services/data-factory" xr:uid="{FB21A121-E360-4344-8448-37E3197ED912}"/>
    <hyperlink ref="E94" r:id="rId30" display="https://aws.amazon.com/glue" xr:uid="{45992E25-F803-4E13-AEA0-C0BE3B823DE8}"/>
    <hyperlink ref="G94" r:id="rId31" display="https://azure.microsoft.com/services/purview" xr:uid="{3F1E2F10-F79D-4E9E-88A6-DDF5C82A003C}"/>
    <hyperlink ref="E95" r:id="rId32" display="https://aws.amazon.com/kinesis/data-analytics" xr:uid="{77DEBEA2-F7F2-4783-B4B4-07F86061F879}"/>
    <hyperlink ref="G95" r:id="rId33" display="https://azure.microsoft.com/services/stream-analytics" xr:uid="{08199E56-A41F-4DF9-BB46-E69CC3C31D84}"/>
    <hyperlink ref="G96" r:id="rId34" display="https://azure.microsoft.com/services/data-explorer" xr:uid="{A19B22DB-2254-40CC-824A-39B9B4BC3AE5}"/>
    <hyperlink ref="G97" r:id="rId35" display="https://azure.microsoft.com/services/data-lake-analytics" xr:uid="{FE8157E3-E9EC-45FB-B8BB-6C56EE7D0300}"/>
    <hyperlink ref="G98" r:id="rId36" display="https://azure.microsoft.com/services/data-lake-store" xr:uid="{BF9F195B-E2FB-447E-A841-6847D71D3228}"/>
    <hyperlink ref="E99" r:id="rId37" display="https://aws.amazon.com/quicksight" xr:uid="{B3514CFE-C5BC-49E4-872B-E31B92DF520E}"/>
    <hyperlink ref="G99" r:id="rId38" display="https://powerbi.microsoft.com/" xr:uid="{032836AA-29E8-4BCD-88CE-3B4C1BCEECFC}"/>
    <hyperlink ref="E100" r:id="rId39" display="https://aws.amazon.com/cloudsearch" xr:uid="{F8512CD0-ED9E-4CCD-B3BD-4DF7409BD404}"/>
    <hyperlink ref="G100" r:id="rId40" display="https://azure.microsoft.com/services/search/" xr:uid="{FA66DE55-A56B-4017-9A25-0E3FF1B8DA7A}"/>
    <hyperlink ref="E101" r:id="rId41" display="https://aws.amazon.com/athena" xr:uid="{1068848E-82CA-4E82-8BA5-E4DFAC3EB564}"/>
    <hyperlink ref="G101" r:id="rId42" display="https://azure.microsoft.com/services/data-lake-analytics" xr:uid="{D3FC4F06-AC06-49AF-AF52-581249A97C0A}"/>
    <hyperlink ref="G102" r:id="rId43" display="https://learn.microsoft.com/en-us/azure/synapse-analytics/overview-what-is" xr:uid="{8684E826-6E02-448F-9053-1E1224E669C3}"/>
    <hyperlink ref="G103" r:id="rId44" display="https://azuremarketplace.microsoft.com/marketplace/apps/elastic.ec-azure-pp" xr:uid="{C5F10AF1-406B-4B62-9473-2C0B02F6A818}"/>
    <hyperlink ref="E3" r:id="rId45" display="https://aws.amazon.com/ec2/instance-types" xr:uid="{CA7978FD-AD75-40F5-BF3D-F5B6DC5F6AB4}"/>
    <hyperlink ref="G3" r:id="rId46" display="https://azure.microsoft.com/services/virtual-machines" xr:uid="{519BEC37-1441-44E4-ABE3-FB6C69F36021}"/>
    <hyperlink ref="E104" r:id="rId47" display="https://aws.amazon.com/vmware" xr:uid="{883954A9-2135-4F0F-8461-E8DA38078B5F}"/>
    <hyperlink ref="G104" r:id="rId48" display="https://azure.microsoft.com/services/azure-vmware" xr:uid="{5DC751C7-E8E6-4968-943B-D575605D56FD}"/>
    <hyperlink ref="E105" r:id="rId49" display="https://aws.amazon.com/hpc/parallelcluster" xr:uid="{88A3AAAE-0BF3-4DFF-B7E1-0329248E21DE}"/>
    <hyperlink ref="G105" r:id="rId50" display="https://azure.microsoft.com/features/azure-cyclecloud" xr:uid="{3AF35CAC-120E-4CD2-B4A6-1146A8A2430D}"/>
    <hyperlink ref="E4" r:id="rId51" display="https://aws.amazon.com/autoscaling" xr:uid="{102D2197-B6E3-4B97-95B0-2BB7160F6BB6}"/>
    <hyperlink ref="E106" r:id="rId52" display="https://aws.amazon.com/batch" xr:uid="{17E6229C-4C11-4009-A052-663757468E42}"/>
    <hyperlink ref="G106" r:id="rId53" display="https://azure.microsoft.com/services/batch" xr:uid="{85838BAD-DB9B-405F-9B2A-110D1065B2CA}"/>
    <hyperlink ref="E6" r:id="rId54" display="https://aws.amazon.com/ebs" xr:uid="{CCE6F3D5-99F4-4CBE-9F9F-84576731EABC}"/>
    <hyperlink ref="G6" r:id="rId55" display="https://azure.microsoft.com/services/storage/blobs" xr:uid="{F127B6EE-2C11-4777-BD7C-422BAD098671}"/>
    <hyperlink ref="E7" r:id="rId56" display="https://docs.aws.amazon.com/AWSEC2/latest/UserGuide/InstanceStorage.html" xr:uid="{53624A45-4E88-40EB-B4A0-E0B8775E595F}"/>
    <hyperlink ref="G7" r:id="rId57" display="https://learn.microsoft.com/en-us/archive/blogs/mast/understanding-the-temporary-drive-on-windows-azure-virtual-machines" xr:uid="{6926B7C8-9915-4F82-B87E-12DADD4B6729}"/>
    <hyperlink ref="E8" r:id="rId58" display="https://aws.amazon.com/ebs/provisioned-iops" xr:uid="{FC6C89EF-D7C0-4E5F-BCC1-43B93A666352}"/>
    <hyperlink ref="G8" r:id="rId59" display="https://learn.microsoft.com/en-us/azure/virtual-machines/premium-storage-performance" xr:uid="{562038F1-5775-43D0-9675-30CC8C01791A}"/>
    <hyperlink ref="E9" r:id="rId60" display="https://aws.amazon.com/efs" xr:uid="{7DC2EAEE-F2C7-4450-80C6-E9E6DFB30276}"/>
    <hyperlink ref="G9" r:id="rId61" display="https://learn.microsoft.com/en-us/azure/storage/files/storage-files-introduction" xr:uid="{19B5D62D-55F4-4D07-B364-5B22A940FE6A}"/>
    <hyperlink ref="G10" r:id="rId62" display="https://azure.microsoft.com/products/container-apps/" xr:uid="{94C46DE9-002C-4610-A341-9E5ADCBD1997}"/>
    <hyperlink ref="E108" r:id="rId63" display="https://aws.amazon.com/ecr" xr:uid="{0DEBA325-7714-485D-A58B-0519C80ADC78}"/>
    <hyperlink ref="G108" r:id="rId64" display="https://azure.microsoft.com/services/container-registry" xr:uid="{E62126F7-55C6-41BC-B2B3-ABB71E85DE80}"/>
    <hyperlink ref="E109" r:id="rId65" display="https://aws.amazon.com/eks" xr:uid="{A62AC5DA-4C0A-4D9F-B1A8-E4239AFBEC1D}"/>
    <hyperlink ref="G109" r:id="rId66" display="https://azure.microsoft.com/services/kubernetes-service" xr:uid="{D1626150-60E2-4EBB-B97D-2F89338C86DE}"/>
    <hyperlink ref="E110" r:id="rId67" display="https://aws.amazon.com/app-mesh" xr:uid="{D222F2CC-C323-4843-B4EB-BF76C74D8B8F}"/>
    <hyperlink ref="G110" r:id="rId68" display="https://learn.microsoft.com/en-us/azure/aks/open-service-mesh-integrations" xr:uid="{4B18D0BB-8D5F-4BCC-89EB-0674FEAC1A7B}"/>
    <hyperlink ref="E11" r:id="rId69" display="https://aws.amazon.com/lambda" xr:uid="{D78C8C3B-AC0A-4B65-93E3-C159449259C7}"/>
    <hyperlink ref="G13" r:id="rId70" display="https://azure.microsoft.com/services/sql-database" xr:uid="{C62891C0-B87B-41E0-A199-5D4957BB7792}"/>
    <hyperlink ref="G14" r:id="rId71" display="https://azure.microsoft.com/services/mysql" xr:uid="{0BC9A923-78E3-40BA-A642-0062D1887AC2}"/>
    <hyperlink ref="G15" r:id="rId72" display="https://azure.microsoft.com/services/postgresql" xr:uid="{B8641CDF-0077-4959-80AD-6FF8EFAF768A}"/>
    <hyperlink ref="G16" r:id="rId73" display="https://azure.microsoft.com/services/mariadb" xr:uid="{C1D6F795-21F7-4F92-8FB1-EB0D181B0142}"/>
    <hyperlink ref="E111" r:id="rId74" display="https://aws.amazon.com/rds/aurora/serverless" xr:uid="{057FC70E-6DAC-4DCC-85EB-4D3E7C194E15}"/>
    <hyperlink ref="G111" r:id="rId75" display="https://learn.microsoft.com/en-us/azure/azure-sql/database/serverless-tier-overview" xr:uid="{F9A40879-D59F-407E-999E-33933E3C9890}"/>
    <hyperlink ref="G112" r:id="rId76" display="https://learn.microsoft.com/en-us/azure/synapse-analytics/sql/on-demand-workspace-overview" xr:uid="{F0A8F7C3-2B9F-459F-AECB-977E578A2F0D}"/>
    <hyperlink ref="E113" r:id="rId77" display="https://aws.amazon.com/dynamodb" xr:uid="{058C8872-D840-4906-B601-DD460F92D893}"/>
    <hyperlink ref="E114" r:id="rId78" display="https://aws.amazon.com/simpledb/" xr:uid="{6694F398-2AF4-4A5C-8CF4-7D91F5C19BE3}"/>
    <hyperlink ref="E115" r:id="rId79" display="https://aws.amazon.com/documentdb" xr:uid="{1C8554A1-9D4B-42D4-BCD0-AD83468FE86F}"/>
    <hyperlink ref="E116" r:id="rId80" display="https://aws.amazon.com/neptune/" xr:uid="{B39A8AFC-4215-4315-A5AB-ABCBCEDFBCA3}"/>
    <hyperlink ref="G113" r:id="rId81" display="https://azure.microsoft.com/services/cosmos-db" xr:uid="{FC0F5543-242C-496F-B72C-89B418CCBC28}"/>
    <hyperlink ref="E117" r:id="rId82" display="https://aws.amazon.com/elasticache" xr:uid="{BFD33FA7-184D-4D4C-A529-E5D6D4962295}"/>
    <hyperlink ref="E118" r:id="rId83" display="https://aws.amazon.com/memorydb/" xr:uid="{C7166CC6-A37C-46D7-8751-6CD7721A72C1}"/>
    <hyperlink ref="G117" r:id="rId84" display="https://azure.microsoft.com/services/cache" xr:uid="{4F25EA1B-3662-414F-BEA3-F2653FDA9088}"/>
    <hyperlink ref="E119" r:id="rId85" display="https://aws.amazon.com/dms" xr:uid="{4D13B363-5D79-45E7-8609-EA9A6B3A6575}"/>
    <hyperlink ref="G119" r:id="rId86" display="https://azure.microsoft.com/campaigns/database-migration" xr:uid="{C678FF3A-1FEE-4BB3-8A21-538AC7776584}"/>
    <hyperlink ref="G17" r:id="rId87" display="https://azure.microsoft.com/services/monitor" xr:uid="{2999B3A3-0806-4F5E-9695-05FCC7FB9C78}"/>
    <hyperlink ref="E120" r:id="rId88" display="https://aws.amazon.com/codedeploy" xr:uid="{030B04FE-F892-4760-ABC7-2FA87AA104DF}"/>
    <hyperlink ref="E121" r:id="rId89" display="https://aws.amazon.com/codecommit/" xr:uid="{A90C0D82-AD9C-4474-A81D-F40F2A085F4B}"/>
    <hyperlink ref="E122" r:id="rId90" display="https://aws.amazon.com/codepipeline" xr:uid="{E096E0CF-A462-4962-A8D5-D44DE1421DE5}"/>
    <hyperlink ref="G120" r:id="rId91" display="https://azure.microsoft.com/services/devops/" xr:uid="{A61E37E0-1408-40D2-93DE-A9150E989889}"/>
    <hyperlink ref="E123" r:id="rId92" display="https://aws.amazon.com/products/developer-tools" xr:uid="{62BBCE50-4F88-466A-96E0-BFCE294EDAF5}"/>
    <hyperlink ref="G123" r:id="rId93" display="https://azure.microsoft.com/services/devops/" xr:uid="{A5F03F50-F0C0-4090-8052-5E63943572FC}"/>
    <hyperlink ref="E124" r:id="rId94" display="https://aws.amazon.com/codebuild" xr:uid="{81A8E089-37D5-407E-A7E8-131D829A4BA2}"/>
    <hyperlink ref="G124" r:id="rId95" display="https://azure.microsoft.com/services/devops/pipelines" xr:uid="{99CB1F35-3DA1-4264-86F0-C122DED24DD0}"/>
    <hyperlink ref="G125" r:id="rId96" display="https://github.com/features/actions" xr:uid="{37FC1441-3667-4307-8B33-61AEF4B9F91F}"/>
    <hyperlink ref="E19" r:id="rId97" display="https://aws.amazon.com/cli" xr:uid="{BC386D5B-6CE3-435D-8856-FFAD13D39233}"/>
    <hyperlink ref="G19" r:id="rId98" display="https://learn.microsoft.com/en-us/cli/azure/install-azure-cli" xr:uid="{029937B5-BD00-45B8-878E-7DDC1059CC00}"/>
    <hyperlink ref="G20" r:id="rId99" display="https://learn.microsoft.com/en-us/powershell/azure/overview" xr:uid="{0E535596-A77D-4B62-8827-54AA935B5535}"/>
    <hyperlink ref="E126" r:id="rId100" display="https://docs.aws.amazon.com/eks/latest/userguide/getting-started-eksctl.html" xr:uid="{3A8A70E4-F071-4B6A-9E20-1D18A123A122}"/>
    <hyperlink ref="G126" r:id="rId101" display="https://learn.microsoft.com/en-us/cli/azure/aks" xr:uid="{F75A2339-EFC1-419E-ABC3-D753FC326CF6}"/>
    <hyperlink ref="E21" r:id="rId102" display="https://aws.amazon.com/cloudshell" xr:uid="{FFEF55E8-F070-4010-A95C-6805014C6FC5}"/>
    <hyperlink ref="G21" r:id="rId103" display="https://learn.microsoft.com/en-us/azure/cloud-shell/overview" xr:uid="{12FC6C9F-A8A6-49DD-9993-0F4D93E3024D}"/>
    <hyperlink ref="E22" r:id="rId104" display="https://aws.amazon.com/opsworks" xr:uid="{1EAF4A9A-5053-4616-98A2-6C09CFA6C5C1}"/>
    <hyperlink ref="G22" r:id="rId105" display="https://azure.microsoft.com/services/automation" xr:uid="{C51F520F-C4FC-4403-AD83-6A04841EFEA6}"/>
    <hyperlink ref="E127" r:id="rId106" display="https://aws.amazon.com/cloudformation" xr:uid="{B71FADAD-6D38-4FDB-B692-257D31BA485C}"/>
    <hyperlink ref="G127" r:id="rId107" display="https://azure.microsoft.com/features/resource-manager" xr:uid="{C823FC8F-ADE1-4FAA-BC44-163DE27DA6D3}"/>
    <hyperlink ref="G128" r:id="rId108" display="https://learn.microsoft.com/en-us/azure/azure-resource-manager/bicep/overview" xr:uid="{53486485-7A3C-4684-A527-B303A160B855}"/>
    <hyperlink ref="G129" r:id="rId109" display="https://learn.microsoft.com/en-us/azure/virtual-machines/extensions/features-windows" xr:uid="{B2E0F4CD-DCC2-4275-AD2E-EC4AD9551721}"/>
    <hyperlink ref="G130" r:id="rId110" display="https://azure.microsoft.com/services/automation" xr:uid="{882340B3-C24C-41A3-901A-09C8BD707664}"/>
    <hyperlink ref="E131" r:id="rId111" display="https://aws.amazon.com/iot-core" xr:uid="{1402A9BB-DE9F-480C-AA74-78F31E5C6F8B}"/>
    <hyperlink ref="G131" r:id="rId112" display="https://azure.microsoft.com/services/iot-hub" xr:uid="{C4F466EB-CDE4-4B89-A89D-F23BD3FAC543}"/>
    <hyperlink ref="E132" r:id="rId113" display="https://aws.amazon.com/greengrass" xr:uid="{02BEB112-7B4B-4F57-8D7D-36CAE7CCE9B5}"/>
    <hyperlink ref="G132" r:id="rId114" display="https://azure.microsoft.com/services/iot-edge" xr:uid="{528F30FF-351C-46EE-9EA4-9C0B78243EC2}"/>
    <hyperlink ref="G133" r:id="rId115" display="https://azure.microsoft.com/services/event-hubs" xr:uid="{F7D0D42D-A540-492C-96A3-EEB395D5C2E2}"/>
    <hyperlink ref="E134" r:id="rId116" display="https://aws.amazon.com/iot-things-graph" xr:uid="{F7A9A415-D7C6-4697-88DE-F850030E95CA}"/>
    <hyperlink ref="G134" r:id="rId117" display="https://azure.microsoft.com/services/digital-twins" xr:uid="{2FDB928D-D1FE-4B4C-92C3-CCC8BA42B87C}"/>
    <hyperlink ref="E23" r:id="rId118" display="https://aws.amazon.com/organizations" xr:uid="{D7EADF9B-56B1-47D4-96F4-39D1F44DA234}"/>
    <hyperlink ref="G23" r:id="rId119" display="https://learn.microsoft.com/en-us/azure/governance/management-groups" xr:uid="{9FFE1DEE-FC45-4ED6-86C4-815C94F1AA48}"/>
    <hyperlink ref="E135" r:id="rId120" display="https://docs.aws.amazon.com/wellarchitected/latest/userguide/intro.html" xr:uid="{980E5809-CA4A-4CD4-99E9-CDF0B816EECC}"/>
    <hyperlink ref="G135" r:id="rId121" display="https://learn.microsoft.com/en-us/assessments/?mode=pre-assessment" xr:uid="{300445AF-720F-44DA-A3AE-FCDD1D3CA75D}"/>
    <hyperlink ref="E24" r:id="rId122" display="https://aws.amazon.com/premiumsupport/technology/trusted-advisor" xr:uid="{1E91C1E7-F861-4521-9AFB-896F6BDD25DC}"/>
    <hyperlink ref="G24" r:id="rId123" display="https://azure.microsoft.com/services/advisor" xr:uid="{42949EB2-55F7-47D6-94C6-A69D6CB8F5F0}"/>
    <hyperlink ref="E25" r:id="rId124" display="https://docs.aws.amazon.com/account-billing/index.html" xr:uid="{76BEFE50-40DF-4988-824B-7BC284C02C1E}"/>
    <hyperlink ref="G25" r:id="rId125" display="https://learn.microsoft.com/en-us/azure/cost-management-billing" xr:uid="{5137622C-0642-4AC6-85F9-F597F468B72C}"/>
    <hyperlink ref="E26" r:id="rId126" display="https://docs.aws.amazon.com/cur/latest/userguide/cur-create.html" xr:uid="{FFBFCE31-DCA9-481A-AAE0-C1E167A757FB}"/>
    <hyperlink ref="G26" r:id="rId127" location="usage-details-api" display="https://learn.microsoft.com/en-us/azure/cost-management-billing/manage/consumption-api-overview - usage-details-api" xr:uid="{F5FA1D63-3F9A-488E-B06F-045693D48B15}"/>
    <hyperlink ref="E27" r:id="rId128" display="https://aws.amazon.com/console" xr:uid="{D5C85DB4-B03B-447F-924C-5E49A7676C11}"/>
    <hyperlink ref="G27" r:id="rId129" display="https://azure.microsoft.com/features/azure-portal" xr:uid="{FB27DA71-4FC3-4F3D-A6D5-425F30467A1D}"/>
    <hyperlink ref="E136" r:id="rId130" display="https://aws.amazon.com/application-discovery" xr:uid="{C404B097-D656-4BA4-B228-A34A42C149B8}"/>
    <hyperlink ref="G136" r:id="rId131" display="https://azure.microsoft.com/services/azure-migrate" xr:uid="{93900DCD-3E77-4D7F-B773-405E7E0B4DD5}"/>
    <hyperlink ref="E28" r:id="rId132" display="https://aws.amazon.com/systems-manager" xr:uid="{DDAE63D6-6438-4386-BC41-A102556228F5}"/>
    <hyperlink ref="G28" r:id="rId133" display="https://azure.microsoft.com/services/monitor" xr:uid="{22E75EA8-C0CA-4B88-A72A-CCA1A1DD4AC5}"/>
    <hyperlink ref="E137" r:id="rId134" display="https://aws.amazon.com/premiumsupport/technology/personal-health-dashboard" xr:uid="{7566EB02-F98E-4196-B8A5-77E916768F9B}"/>
    <hyperlink ref="G137" r:id="rId135" display="https://learn.microsoft.com/en-us/azure/resource-health/resource-health-overview" xr:uid="{2316A7DE-8E61-46DB-B503-D968FC3560D7}"/>
    <hyperlink ref="E29" r:id="rId136" display="https://aws.amazon.com/cloudtrail" xr:uid="{33BF4A53-4D82-4034-B8BB-F11BAC590BCE}"/>
    <hyperlink ref="G29" r:id="rId137" display="https://learn.microsoft.com/en-us/azure/azure-monitor/essentials/activity-log" xr:uid="{3B846549-DDE2-4ED6-AC4B-B3CD98EB3E67}"/>
    <hyperlink ref="E30" r:id="rId138" display="https://aws.amazon.com/cloudwatch" xr:uid="{B3C9930D-1915-473F-B31F-F365ED02C143}"/>
    <hyperlink ref="G30" r:id="rId139" display="https://learn.microsoft.com/en-us/azure/azure-monitor/app/app-insights-overview" xr:uid="{580A6F47-7ED5-43D6-AAEB-6A6CFB662EFF}"/>
    <hyperlink ref="E138" r:id="rId140" display="https://aws.amazon.com/config" xr:uid="{20C58431-247C-4118-A73C-7F823F67E0C0}"/>
    <hyperlink ref="G138" r:id="rId141" display="https://learn.microsoft.com/en-us/azure/azure-monitor/app/change-analysis" xr:uid="{FA66419D-A808-4512-9642-6A63A434FB32}"/>
    <hyperlink ref="E31" r:id="rId142" display="https://aws.amazon.com/aws-cost-management/aws-cost-explorer" xr:uid="{B1376468-0083-4A31-98CE-519A02E00AFC}"/>
    <hyperlink ref="G31" r:id="rId143" display="https://azure.microsoft.com/services/cost-management" xr:uid="{ECA4D0BB-360B-4338-99D3-DDA50007813F}"/>
    <hyperlink ref="E139" r:id="rId144" display="https://aws.amazon.com/controltower" xr:uid="{99D22722-96A4-407B-AF97-DB4E1D15858D}"/>
    <hyperlink ref="G139" r:id="rId145" display="https://learn.microsoft.com/en-us/azure/lighthouse/overview" xr:uid="{A41752B4-5346-4A81-A81D-52B0D4921BE0}"/>
    <hyperlink ref="E32" r:id="rId146" display="https://docs.aws.amazon.com/ARG" xr:uid="{9976C515-BFDE-4DD6-AECF-1C907F9330F9}"/>
    <hyperlink ref="E140" r:id="rId147" display="https://aws.amazon.com/systems-manager/features/appconfig" xr:uid="{0B8D1BA9-21FD-4A31-A9F6-9F638FFD4945}"/>
    <hyperlink ref="G140" r:id="rId148" display="https://learn.microsoft.com/en-us/azure/azure-app-configuration" xr:uid="{02BAD42D-612B-4BA1-8EFF-26A01C45FE9E}"/>
    <hyperlink ref="E141" r:id="rId149" display="https://aws.amazon.com/servicecatalog" xr:uid="{A048D9DC-99F2-4400-B454-EA32C27D75CB}"/>
    <hyperlink ref="G141" r:id="rId150" display="https://learn.microsoft.com/en-us/azure/azure-resource-manager/managed-applications/overview" xr:uid="{6B5BC74C-75EF-43D3-8B82-A246A189127C}"/>
    <hyperlink ref="E142" r:id="rId151" display="https://aws.amazon.com/getting-started/tools-sdks" xr:uid="{D1B73A1D-8237-4E46-80D7-20A7270532CA}"/>
    <hyperlink ref="G142" r:id="rId152" display="https://azure.microsoft.com/downloads" xr:uid="{C573F0D1-9778-4FB6-942E-AB411CE39085}"/>
    <hyperlink ref="E34" r:id="rId153" display="https://aws.amazon.com/sqs" xr:uid="{2AA80464-4859-4C1B-8F0C-8A516FFCF328}"/>
    <hyperlink ref="G34" r:id="rId154" display="https://azure.microsoft.com/services/storage/queues" xr:uid="{C5DA5AAE-38B3-4234-9B1A-4A7AE999BB5F}"/>
    <hyperlink ref="E35" r:id="rId155" display="https://aws.amazon.com/sns" xr:uid="{4E58FF69-E1CF-4AF8-A871-3F347672B7E6}"/>
    <hyperlink ref="G35" r:id="rId156" display="https://azure.microsoft.com/services/service-bus" xr:uid="{377AA5B3-2009-4F51-9612-1CE6A22459EE}"/>
    <hyperlink ref="E36" r:id="rId157" display="https://aws.amazon.com/eventbridge" xr:uid="{0A715DD2-D41A-4828-A1E0-DC75D29B8C58}"/>
    <hyperlink ref="G36" r:id="rId158" display="https://azure.microsoft.com/services/event-grid" xr:uid="{2B5138BD-41F8-4A74-95F2-35DEBE27DB39}"/>
    <hyperlink ref="E37" r:id="rId159" display="https://aws.amazon.com/kinesis/" xr:uid="{EB86D1AF-5A6B-44DE-A5FD-6928DBCE9FC8}"/>
    <hyperlink ref="G37" r:id="rId160" display="https://azure.microsoft.com/services/event-hubs" xr:uid="{A2A87601-DCC2-412C-886C-6DFFED5F1FB1}"/>
    <hyperlink ref="E38" r:id="rId161" display="https://docs.aws.amazon.com/amazon-mq" xr:uid="{FCA8A1BA-A09A-43B0-9619-755C5577A2BC}"/>
    <hyperlink ref="G38" r:id="rId162" display="https://learn.microsoft.com/en-us/azure/service-bus-messaging/migrate-jms-activemq-to-servicebus" xr:uid="{0866E6FA-13BB-4836-8D43-C52DB823B9A1}"/>
    <hyperlink ref="E143" r:id="rId163" display="https://aws.amazon.com/blogs/aws/aws-mobile-hub-build-test-and-monitor-mobile-applications" xr:uid="{8218EAF7-5302-4BC9-857E-B09021ECD77D}"/>
    <hyperlink ref="G143" r:id="rId164" display="https://azure.microsoft.com/services/app-center" xr:uid="{5A402B59-B69A-4DE5-930D-245651473C51}"/>
    <hyperlink ref="G144" r:id="rId165" display="https://azure.microsoft.com/features/xamarin" xr:uid="{C908BFCB-C25B-4F57-9C29-C1B8219F7414}"/>
    <hyperlink ref="E145" r:id="rId166" display="https://www.redfoundry.com/what-is-a-mobile-sdk" xr:uid="{F3694825-633D-4577-94DD-58A584ECEE7A}"/>
    <hyperlink ref="G145" r:id="rId167" display="https://azure.microsoft.com/services/app-center" xr:uid="{65741EEC-FD8F-496B-AAE6-308AF9A384D6}"/>
    <hyperlink ref="E146" r:id="rId168" display="https://aws.amazon.com/device-farm" xr:uid="{DECCD31F-DFBB-474B-80F4-DF2D2A8FF115}"/>
    <hyperlink ref="G146" r:id="rId169" display="https://azure.microsoft.com/services/app-center" xr:uid="{60A67D0E-F5A5-4B6C-9E18-CB416E30EE50}"/>
    <hyperlink ref="E147" r:id="rId170" display="https://aws.amazon.com/mobileanalytics" xr:uid="{53ACA9E3-1571-49BC-AF17-20F59EA94460}"/>
    <hyperlink ref="G147" r:id="rId171" display="https://azure.microsoft.com/services/app-center" xr:uid="{3303FDA4-02AC-4334-993F-C324ACE0A7E4}"/>
    <hyperlink ref="E39" r:id="rId172" display="https://aws.amazon.com/vpc" xr:uid="{1F059909-EF84-4DD7-B211-95EB5134EF4E}"/>
    <hyperlink ref="G39" r:id="rId173" display="https://azure.microsoft.com/services/virtual-network" xr:uid="{3746E207-7DE3-4E1D-B78A-0E8B7BE58E04}"/>
    <hyperlink ref="E40" r:id="rId174" display="https://docs.aws.amazon.com/vpc/latest/userguide/vpc-nat-gateway.html" xr:uid="{C343B2F8-9694-42B0-A47E-5B68888A61B5}"/>
    <hyperlink ref="G40" r:id="rId175" display="https://learn.microsoft.com/en-us/azure/virtual-network/nat-gateway/nat-overview" xr:uid="{D22E7F04-1D7B-4251-BFF3-756778CDD163}"/>
    <hyperlink ref="E41" r:id="rId176" display="https://docs.aws.amazon.com/vpn/latest/s2svpn/VPC_VPN.html" xr:uid="{2F901111-EEE3-43C7-B742-5AD949E9F5E1}"/>
    <hyperlink ref="G41" r:id="rId177" display="https://learn.microsoft.com/en-us/azure/vpn-gateway/vpn-gateway-about-vpngateways" xr:uid="{AD254358-EEA4-4396-BD20-263CE3C7EDFB}"/>
    <hyperlink ref="E42" r:id="rId178" display="https://aws.amazon.com/route53" xr:uid="{73AD4349-73FE-4206-99A1-CA9F054AE3BE}"/>
    <hyperlink ref="G42" r:id="rId179" display="https://azure.microsoft.com/services/dns/" xr:uid="{8D4C92A3-EC81-4781-ACB0-65B63525FC8C}"/>
    <hyperlink ref="E43" r:id="rId180" display="https://aws.amazon.com/route53" xr:uid="{78AAA3EA-9AE5-4101-B1A4-6A4377E986A7}"/>
    <hyperlink ref="G43" r:id="rId181" display="https://azure.microsoft.com/services/traffic-manager" xr:uid="{E3BCD764-0C0B-4381-B39B-E8B6032D412D}"/>
    <hyperlink ref="E44" r:id="rId182" display="https://aws.amazon.com/directconnect" xr:uid="{469DA0D1-2AD4-4D90-BA90-99EFE970F748}"/>
    <hyperlink ref="G44" r:id="rId183" display="https://azure.microsoft.com/services/expressroute" xr:uid="{E3787939-83B4-4B22-804C-7395FA654DDF}"/>
    <hyperlink ref="E45" r:id="rId184" display="https://docs.aws.amazon.com/elasticloadbalancing/latest/network/introduction.html" xr:uid="{CBF15FCF-C0F6-4FC3-8721-FCD1A95331E2}"/>
    <hyperlink ref="G45" r:id="rId185" display="https://azure.microsoft.com/services/load-balancer" xr:uid="{E6E15B39-5FC1-47B3-AAB9-20A2EB322365}"/>
    <hyperlink ref="E46" r:id="rId186" display="https://docs.aws.amazon.com/elasticloadbalancing/latest/application/introduction.html" xr:uid="{8A5972A2-8C45-4810-8688-47F78B42B604}"/>
    <hyperlink ref="G46" r:id="rId187" display="https://azure.microsoft.com/services/application-gateway" xr:uid="{4E4D9C95-CC7C-4818-98D3-0C68AD578C10}"/>
    <hyperlink ref="E47" r:id="rId188" display="https://docs.aws.amazon.com/vpc/latest/userguide/VPC_Route_Tables.html" xr:uid="{84FB36D6-B6CD-4249-952F-9846ADDEC782}"/>
    <hyperlink ref="G47" r:id="rId189" display="https://learn.microsoft.com/en-us/azure/virtual-network/virtual-networks-udr-overview" xr:uid="{EA76AB90-1CF2-4999-BF9A-C8069CD1AF35}"/>
    <hyperlink ref="E148" r:id="rId190" display="https://aws.amazon.com/privatelink" xr:uid="{E894EDFB-42C7-409A-98D2-A5CED19D1C57}"/>
    <hyperlink ref="G148" r:id="rId191" display="https://azure.microsoft.com/services/private-link" xr:uid="{E136889D-7F9B-4CCB-A632-34AB3A35CDF0}"/>
    <hyperlink ref="E48" r:id="rId192" display="https://docs.aws.amazon.com/vpc/latest/privatelink/vpc-endpoints.html" xr:uid="{75958F63-A604-4E75-82A3-831336C44F0E}"/>
    <hyperlink ref="G48" r:id="rId193" display="https://learn.microsoft.com/en-us/azure/private-link/private-endpoint-overview" xr:uid="{AE478462-BFAA-4621-B360-3488C2DE4B1E}"/>
    <hyperlink ref="E49" r:id="rId194" display="https://docs.aws.amazon.com/vpc/latest/peering/what-is-vpc-peering.html" xr:uid="{C4F55487-CF00-474A-BBDD-9C44C626A774}"/>
    <hyperlink ref="G49" r:id="rId195" display="https://azure.microsoft.com/resources/videos/virtual-network-vnet-peering" xr:uid="{47F4109B-799D-4605-8035-364C2BB9396D}"/>
    <hyperlink ref="E50" r:id="rId196" display="https://aws.amazon.com/cloudfront" xr:uid="{3A94AA96-FB4C-471D-9516-1136438AEDBE}"/>
    <hyperlink ref="G50" r:id="rId197" display="https://azure.microsoft.com/services/frontdoor" xr:uid="{3301FDBB-9D90-44D4-B93D-0C2D5C20CF56}"/>
    <hyperlink ref="E51" r:id="rId198" display="https://docs.aws.amazon.com/vpc/latest/userguide/flow-logs.html" xr:uid="{2CB50DA7-771F-46AF-A076-984D43BB5B43}"/>
    <hyperlink ref="G51" r:id="rId199" display="https://learn.microsoft.com/en-us/azure/network-watcher/network-watcher-monitoring-overview" xr:uid="{F45309BD-9F69-48A7-87C4-88FF48F2275C}"/>
    <hyperlink ref="E52" r:id="rId200" display="https://aws.amazon.com/iam" xr:uid="{4D8102AB-49E8-4638-8DEB-90188D711A61}"/>
    <hyperlink ref="G52" r:id="rId201" display="https://azure.microsoft.com/services/active-directory" xr:uid="{CFE5BF6E-8775-46ED-ABBF-70EAD5D91463}"/>
    <hyperlink ref="E53" r:id="rId202" display="https://aws.amazon.com/iam" xr:uid="{5F9244C3-9002-47D3-8F36-EC63C2515756}"/>
    <hyperlink ref="G53" r:id="rId203" display="https://learn.microsoft.com/en-us/azure/role-based-access-control/overview" xr:uid="{114D93DD-4EA5-4C29-BD33-87F8DC195707}"/>
    <hyperlink ref="E54" r:id="rId204" display="https://aws.amazon.com/organizations" xr:uid="{4BDF6B2F-AC51-4842-8FE0-3D4FC793D0CC}"/>
    <hyperlink ref="G54" r:id="rId205" display="https://learn.microsoft.com/en-us/azure/azure-subscription-service-limits" xr:uid="{37AEBA33-07D7-4444-9874-B4D83F7B818C}"/>
    <hyperlink ref="E55" r:id="rId206" display="https://aws.amazon.com/iam/features/mfa" xr:uid="{2DC546B4-2217-490E-84BF-30FCD22DD59C}"/>
    <hyperlink ref="G55" r:id="rId207" display="https://azure.microsoft.com/services/active-directory" xr:uid="{34838AEC-526C-443F-BD9F-3FBA37FF08EA}"/>
    <hyperlink ref="E56" r:id="rId208" display="https://aws.amazon.com/directoryservice" xr:uid="{C84CAF17-DE58-4E71-A4D4-DE1CC3A456DE}"/>
    <hyperlink ref="G56" r:id="rId209" display="https://azure.microsoft.com/services/active-directory-ds" xr:uid="{05675287-FD32-48EC-9603-E5625EAF15F2}"/>
    <hyperlink ref="E57" r:id="rId210" display="https://aws.amazon.com/cognito" xr:uid="{E691230B-ECEE-4B3C-8598-B8C63978F2AC}"/>
    <hyperlink ref="G57" r:id="rId211" display="https://azure.microsoft.com/products/active-directory/external-identities/" xr:uid="{C6E115DF-E54B-40A2-A8D5-65C89B3D38BA}"/>
    <hyperlink ref="E58" r:id="rId212" display="https://aws.amazon.com/config/" xr:uid="{17A59771-009A-4EDC-AC91-F44C59E6981E}"/>
    <hyperlink ref="G58" r:id="rId213" display="https://azure.microsoft.com/services/azure-policy/" xr:uid="{ABCC220F-D9BC-442A-ABDF-418A305A1FFE}"/>
    <hyperlink ref="E59" r:id="rId214" display="https://aws.amazon.com/organizations" xr:uid="{56FE5EB9-83CD-404E-A9BA-9610CF9FC434}"/>
    <hyperlink ref="G59" r:id="rId215" display="https://learn.microsoft.com/en-us/azure/governance/management-groups/" xr:uid="{9D714714-285E-4C5C-8221-1BBC2DC88680}"/>
    <hyperlink ref="E60" r:id="rId216" display="https://docs.aws.amazon.com/kms/latest/developerguide/services-s3.html" xr:uid="{BFFFCC29-4135-4DD5-8C75-AA5871B88C29}"/>
    <hyperlink ref="G60" r:id="rId217" display="https://learn.microsoft.com/en-us/azure/storage/storage-service-encryption" xr:uid="{5F4F9ABE-0B1D-4AB5-B0FF-17015BC8879D}"/>
    <hyperlink ref="G61" r:id="rId218" display="https://azure.microsoft.com/services/key-vault" xr:uid="{43804DCD-5242-4633-8AC6-DAE26641F14A}"/>
    <hyperlink ref="E63" r:id="rId219" display="https://aws.amazon.com/waf" xr:uid="{AD560BE8-3AA1-45A0-A92E-429912DA6B25}"/>
    <hyperlink ref="G63" r:id="rId220" display="https://azure.microsoft.com/products/web-application-firewall" xr:uid="{4176F710-D372-44CC-B174-76238CCEFAF0}"/>
    <hyperlink ref="E149" r:id="rId221" display="https://aws.amazon.com/network-firewall" xr:uid="{555D0C82-90F8-4F55-882F-78F68F570E19}"/>
    <hyperlink ref="G149" r:id="rId222" display="https://azure.microsoft.com/services/azure-firewall" xr:uid="{27093069-D333-4A0B-9414-7BA6E13AB3BD}"/>
    <hyperlink ref="E150" r:id="rId223" display="https://aws.amazon.com/inspector" xr:uid="{6A6EAA42-50E9-440F-8242-3607CB321EE6}"/>
    <hyperlink ref="G150" r:id="rId224" display="https://azure.microsoft.com/services/security-center" xr:uid="{DED23B9C-2BC3-4A13-BB02-6AEC2123D82C}"/>
    <hyperlink ref="E64" r:id="rId225" display="https://aws.amazon.com/certificate-manager" xr:uid="{B46AA4AD-1DC4-4690-B967-686EDEB17704}"/>
    <hyperlink ref="G64" r:id="rId226" display="https://azure.microsoft.com/blog/internals-of-app-service-certificate" xr:uid="{8C0D5A57-EC4F-4291-A4A5-451ABE16F65F}"/>
    <hyperlink ref="E151" r:id="rId227" display="https://aws.amazon.com/guardduty/" xr:uid="{AF6213E0-9C7B-4D0B-94E3-38270A21DADF}"/>
    <hyperlink ref="G151" r:id="rId228" display="https://azure.microsoft.com/products/microsoft-sentinel/" xr:uid="{D08BA53A-6A3E-46A2-A2C2-7F2C5B1F7DF8}"/>
    <hyperlink ref="E152" r:id="rId229" display="https://aws.amazon.com/artifact" xr:uid="{3CE3D8C6-E99A-4A33-87DE-555368B67ED1}"/>
    <hyperlink ref="G152" r:id="rId230" display="https://servicetrust.microsoft.com/" xr:uid="{D5E7C8F1-66BC-4A14-850F-B98C36873F9A}"/>
    <hyperlink ref="E153" r:id="rId231" display="https://aws.amazon.com/shield" xr:uid="{92DFBCEF-A3B1-4DAC-A84B-CF5AEE2326F2}"/>
    <hyperlink ref="G153" r:id="rId232" display="https://learn.microsoft.com/en-us/azure/security/fundamentals/ddos-best-practices" xr:uid="{0C622773-3343-44B2-8551-247BDD8E9034}"/>
    <hyperlink ref="E65" r:id="rId233" display="https://aws.amazon.com/s3/" xr:uid="{84CC8FB0-7982-492B-9B14-E6497683D446}"/>
    <hyperlink ref="G65" r:id="rId234" display="https://learn.microsoft.com/en-us/azure/storage/blobs/storage-blobs-introduction" xr:uid="{A732358D-9C2C-4C0D-80FB-6D72D407D5FA}"/>
    <hyperlink ref="E66" r:id="rId235" display="https://aws.amazon.com/ebs/" xr:uid="{42E5014A-D1E9-449B-938B-11C6281C2F30}"/>
    <hyperlink ref="G66" r:id="rId236" display="https://azure.microsoft.com/services/storage/disks/" xr:uid="{8FEE6034-7F78-4298-939F-89A275950E99}"/>
    <hyperlink ref="E67" r:id="rId237" display="https://aws.amazon.com/efs/" xr:uid="{57D816D8-A80D-4594-B8A8-AC5BFF93DA36}"/>
    <hyperlink ref="G67" r:id="rId238" display="https://azure.microsoft.com/services/storage/files/" xr:uid="{827E83AF-444D-4799-9468-EF842C62064E}"/>
    <hyperlink ref="E68" r:id="rId239" display="https://aws.amazon.com/s3/storage-classes" xr:uid="{500EA0F0-FB55-490E-8A14-C11EB29B00D2}"/>
    <hyperlink ref="G68" r:id="rId240" display="https://learn.microsoft.com/en-us/azure/storage/blobs/access-tiers-overview" xr:uid="{4FD06EC8-06D4-4EB8-BE38-B714A8D35B6A}"/>
    <hyperlink ref="E69" r:id="rId241" display="https://aws.amazon.com/s3/storage-classes" xr:uid="{5A59EBE7-8B36-421C-A631-BF84743D2783}"/>
    <hyperlink ref="G69" r:id="rId242" display="https://learn.microsoft.com/en-us/azure/storage/blobs/access-tiers-overview" xr:uid="{E210558D-2256-4D29-82FF-CF2762E089B1}"/>
    <hyperlink ref="E70" r:id="rId243" display="https://aws.amazon.com/backup/" xr:uid="{C51AA632-3B14-4FD4-BB47-6DEF4C2E6543}"/>
    <hyperlink ref="G70" r:id="rId244" display="https://azure.microsoft.com/services/backup/" xr:uid="{E7AA6E8A-07AB-4ECF-B806-987C481C8CA0}"/>
    <hyperlink ref="E154" r:id="rId245" display="https://aws.amazon.com/storagegateway/" xr:uid="{8284B319-18C1-4B02-9274-227DD3B969C0}"/>
    <hyperlink ref="G154" r:id="rId246" display="https://azure.microsoft.com/services/storsimple/" xr:uid="{C5DBC515-5B29-461E-A682-573941C44CC7}"/>
    <hyperlink ref="E71" r:id="rId247" display="https://aws.amazon.com/datasync/" xr:uid="{5382FDF2-97CD-45B8-8C3D-5DF953C11DBE}"/>
    <hyperlink ref="G71" r:id="rId248" display="https://learn.microsoft.com/en-us/azure/storage/files/storage-sync-files-planning" xr:uid="{AA3741EA-FD61-4236-9CA3-BBC46B541292}"/>
    <hyperlink ref="E72" r:id="rId249" display="https://aws.amazon.com/snowball/disk/details/" xr:uid="{68C1B41A-3E74-4180-A84F-36FDA0FE2A2A}"/>
    <hyperlink ref="G72" r:id="rId250" display="https://learn.microsoft.com/en-us/azure/storage/common/storage-import-export-service" xr:uid="{333C421B-4909-4F93-9CDC-43A8AC9E2773}"/>
    <hyperlink ref="G155" r:id="rId251" display="https://azure.microsoft.com/services/storage/databox/" xr:uid="{56063C01-834C-4212-A9A2-65CC2683C59B}"/>
    <hyperlink ref="E73" r:id="rId252" display="https://aws.amazon.com/elasticbeanstalk" xr:uid="{D5CD4C31-17EB-4A8B-97BB-6897812F90A8}"/>
    <hyperlink ref="G73" r:id="rId253" display="https://azure.microsoft.com/services/app-service" xr:uid="{D78629B5-DA61-45F2-944A-81DD08A4106A}"/>
    <hyperlink ref="E74" r:id="rId254" display="https://aws.amazon.com/api-gateway" xr:uid="{BCDADA90-D315-4277-BBE3-DEAFD8C5DB13}"/>
    <hyperlink ref="G74" r:id="rId255" display="https://azure.microsoft.com/services/api-management" xr:uid="{B988DC32-D652-4B12-92B3-2A61729CE2BF}"/>
    <hyperlink ref="E75" r:id="rId256" display="https://aws.amazon.com/cloudfront" xr:uid="{F3B16EF2-EFBB-43A2-B60B-9A3AD31C1576}"/>
    <hyperlink ref="G75" r:id="rId257" display="https://azure.microsoft.com/services/frontdoor" xr:uid="{FE6BF5E3-748B-4D70-A3F6-E3CB33C50FFC}"/>
    <hyperlink ref="E76" r:id="rId258" display="https://aws.amazon.com/global-accelerator" xr:uid="{0C59D40F-1709-4439-9D09-7E0F6F6F4C42}"/>
    <hyperlink ref="G76" r:id="rId259" display="https://azure.microsoft.com/services/frontdoor" xr:uid="{055738E4-966C-4C53-B72E-3A05F9415E5A}"/>
    <hyperlink ref="E158" r:id="rId260" display="https://aws.amazon.com/global-accelerator" xr:uid="{A635AF0A-1347-4993-866C-163EFC9F9030}"/>
    <hyperlink ref="G158" r:id="rId261" display="https://learn.microsoft.com/en-us/azure/load-balancer/cross-region-overview" xr:uid="{A9BF09B6-FFD4-4A86-86D1-91CFDEA061E8}"/>
    <hyperlink ref="E159" r:id="rId262" display="https://aws.amazon.com/lightsail" xr:uid="{B39300C6-E68B-4447-9745-76F9E481E44C}"/>
    <hyperlink ref="G159" r:id="rId263" display="https://azure.microsoft.com/services/app-service" xr:uid="{F91E9C1C-83C1-41AC-B380-D127CAAD9AB7}"/>
    <hyperlink ref="E160" r:id="rId264" display="https://aws.amazon.com/apprunner" xr:uid="{9BE0D980-EC4D-48C8-89DC-1C375BDE6789}"/>
    <hyperlink ref="G160" r:id="rId265" display="https://azure.microsoft.com/services/app-service/containers" xr:uid="{3479E136-A26D-411D-B94C-B31D7A2065AE}"/>
    <hyperlink ref="E161" r:id="rId266" display="https://aws.amazon.com/amplify" xr:uid="{2B267413-F84E-4179-A0A1-46B848764DA9}"/>
    <hyperlink ref="G161" r:id="rId267" display="https://azure.microsoft.com/services/app-service/static" xr:uid="{78122F52-0936-40A4-A68D-31697BFB90D0}"/>
    <hyperlink ref="G162" r:id="rId268" display="https://learn.microsoft.com/en-us/azure/virtual-desktop" xr:uid="{83CB01CC-3D56-4CCB-A0AC-2B25CF7477E7}"/>
    <hyperlink ref="E164" r:id="rId269" display="https://aws.amazon.com/worklink" xr:uid="{1F113719-8616-4A22-A8A1-3ECB04B1C357}"/>
    <hyperlink ref="G164" r:id="rId270" display="https://learn.microsoft.com/en-us/azure/active-directory/app-proxy/application-proxy" xr:uid="{DA21D9C2-33A8-491E-80E0-E399972B284F}"/>
    <hyperlink ref="E165" r:id="rId271" display="https://aws.amazon.com/step-functions" xr:uid="{DB735447-F58A-426B-B3CF-2F539DDBDA50}"/>
    <hyperlink ref="G165" r:id="rId272" display="https://azure.microsoft.com/services/logic-apps" xr:uid="{03A10F59-5051-4719-A40C-E68DBBD4BE8E}"/>
    <hyperlink ref="G166" r:id="rId273" display="https://products.office.com/" xr:uid="{09A2FA99-9D88-4B23-B0AF-1F6BE9E4159E}"/>
    <hyperlink ref="E169" r:id="rId274" display="https://aws.amazon.com/gamelift" xr:uid="{1B522C20-0A87-4378-8D79-E16B2F1AD00D}"/>
    <hyperlink ref="G169" r:id="rId275" display="https://playfab.com/" xr:uid="{CD4CEF9E-3506-49B4-841A-4A8435FF8B79}"/>
    <hyperlink ref="E170" r:id="rId276" display="https://aws.amazon.com/elastictranscoder" xr:uid="{89C990FF-AD40-4447-AAEF-2CF5F49F14EA}"/>
    <hyperlink ref="G170" r:id="rId277" display="https://azure.microsoft.com/services/media-services/" xr:uid="{C3C5DE2C-F1E2-4181-88BA-19599B587F34}"/>
    <hyperlink ref="E77" r:id="rId278" display="https://aws.amazon.com/step-functions" xr:uid="{36C16390-79F4-4517-8724-58DD79D9467F}"/>
    <hyperlink ref="G77" r:id="rId279" display="https://azure.microsoft.com/services/logic-apps" xr:uid="{EB84DDDE-756F-4E0F-B87E-7FA285C33F99}"/>
    <hyperlink ref="E171" r:id="rId280" display="https://aws.amazon.com/outposts" xr:uid="{5FC63632-DAF6-4443-883C-F0A14DDF3FFA}"/>
    <hyperlink ref="G171" r:id="rId281" display="https://azure.microsoft.com/overview/azure-stack" xr:uid="{A7583EB0-77F4-40E1-B778-AF39B11A9837}"/>
    <hyperlink ref="E172" r:id="rId282" display="https://aws.amazon.com/media-services" xr:uid="{7ED3E4AC-D0EF-4D46-90F9-13E1E0132655}"/>
    <hyperlink ref="G172" r:id="rId283" display="https://azure.microsoft.com/services/media-services" xr:uid="{51C6A6D1-398C-4959-B801-AB6FE10B97BD}"/>
    <hyperlink ref="E173" r:id="rId284" display="https://aws.amazon.com/ground-station" xr:uid="{4B1A8759-0F1F-4637-B91D-CF76FAC3574F}"/>
    <hyperlink ref="G173" r:id="rId285" display="https://learn.microsoft.com/en-us/azure/networking/azure-orbital-overview" xr:uid="{30C3C567-8195-47C9-ABEF-B925BCCE5911}"/>
    <hyperlink ref="E174" r:id="rId286" display="https://aws.amazon.com/braket" xr:uid="{9DAF20F5-E1AF-4254-8D31-3A61223FDB66}"/>
    <hyperlink ref="G174" r:id="rId287" display="https://learn.microsoft.com/en-us/azure/quantum/overview-azure-quantum" xr:uid="{F3A9C2F9-7215-48DE-8824-3802F893121E}"/>
    <hyperlink ref="E82" r:id="rId288" xr:uid="{58F7460E-2F8E-4970-8653-50FA264D6106}"/>
    <hyperlink ref="E88" r:id="rId289" display="https://aws.amazon.com/timestream" xr:uid="{6D7DFDB1-D90C-4FC9-911B-0D247404AD18}"/>
    <hyperlink ref="E87" r:id="rId290" display="https://aws.amazon.com/timestream" xr:uid="{22B5712A-A040-4790-990F-4E10649190E5}"/>
    <hyperlink ref="E89" r:id="rId291" display="https://aws.amazon.com/emr" xr:uid="{82B81DEE-B332-4B45-848D-75E53CC3C9FF}"/>
    <hyperlink ref="E93" r:id="rId292" xr:uid="{49FB0B48-47AA-4F2B-9D29-3E16F67CD09A}"/>
    <hyperlink ref="E96" r:id="rId293" display="https://aws.amazon.com/kinesis/data-analytics" xr:uid="{37920FEB-FCB4-4F5F-98B7-CA12C85D207D}"/>
    <hyperlink ref="E97" r:id="rId294" display="https://aws.amazon.com/kinesis/data-analytics" xr:uid="{EBDF6E33-3F1F-4E09-820E-3578CDF188A3}"/>
    <hyperlink ref="E98" r:id="rId295" display="https://aws.amazon.com/kinesis/data-analytics" xr:uid="{9A4D86DD-B7D9-4847-9112-8B01BA95195D}"/>
    <hyperlink ref="E103" r:id="rId296" display="https://aws.amazon.com/elasticsearch-service/the-elk-stack" xr:uid="{9EDD8CAD-F2FD-43CB-8FE4-FB32CA67CF95}"/>
    <hyperlink ref="E102" r:id="rId297" display="https://aws.amazon.com/athena" xr:uid="{8097AB16-E7FF-4656-9818-B1BAA54E3A19}"/>
    <hyperlink ref="E5" r:id="rId298" display="https://aws.amazon.com/autoscaling" xr:uid="{B9B6B0A9-DF51-4794-B4CA-E21223C03E4C}"/>
    <hyperlink ref="G4" r:id="rId299" xr:uid="{FE4C69CC-7E1B-4348-A3AE-4C9F9AD96916}"/>
    <hyperlink ref="G5" r:id="rId300" xr:uid="{2CDD8578-BD52-4B4D-A886-99C456E95C05}"/>
    <hyperlink ref="G107" r:id="rId301" display="https://azure.microsoft.com/products/container-apps/" xr:uid="{8DA8CF77-55A1-4A1D-9323-AA8209DED8B9}"/>
    <hyperlink ref="E10" r:id="rId302" xr:uid="{D7EEAC3B-ED73-4718-AF51-B766CE246574}"/>
    <hyperlink ref="E107" r:id="rId303" xr:uid="{1C8D462E-31E5-456E-A429-D8D6BB3D14C3}"/>
    <hyperlink ref="E12" r:id="rId304" display="https://aws.amazon.com/lambda" xr:uid="{FECCFED6-FC4A-407C-B7D8-C7334914943E}"/>
    <hyperlink ref="G11" r:id="rId305" xr:uid="{4A9E081D-2E25-44CE-873B-9D827E21A642}"/>
    <hyperlink ref="G12" r:id="rId306" xr:uid="{7DCC54EC-9FB6-4D6A-A4BC-DF624628DCCF}"/>
    <hyperlink ref="E46:E49" r:id="rId307" display="https://azure.microsoft.com/services/sql-database" xr:uid="{AF06A268-9B32-45CA-B9C8-21D1B9BB37C2}"/>
    <hyperlink ref="E112" r:id="rId308" display="https://aws.amazon.com/rds/aurora/serverless" xr:uid="{7FBF0E47-736A-4030-982C-6C0F3BA62C20}"/>
    <hyperlink ref="G114" r:id="rId309" display="https://azure.microsoft.com/services/cosmos-db" xr:uid="{4732941E-E7B0-4512-8B7D-CE857D10DED9}"/>
    <hyperlink ref="G115" r:id="rId310" display="https://azure.microsoft.com/services/cosmos-db" xr:uid="{9A8AF1E4-D8F2-429D-A46F-8CA1A06C2FE5}"/>
    <hyperlink ref="G116" r:id="rId311" display="https://azure.microsoft.com/services/cosmos-db" xr:uid="{8BBA21BE-F380-486B-87AF-B7ADB8E931FD}"/>
    <hyperlink ref="G118" r:id="rId312" display="https://azure.microsoft.com/services/cache" xr:uid="{CDC6D21A-3AE4-4051-8E87-7431ABB48691}"/>
    <hyperlink ref="G18" r:id="rId313" display="https://azure.microsoft.com/services/monitor" xr:uid="{6ADEAC38-41A6-4D79-B758-CBB1E6E0E426}"/>
    <hyperlink ref="E17" r:id="rId314" xr:uid="{2BBE40FD-8BF1-4732-BAAD-BA3F3C2C9EE9}"/>
    <hyperlink ref="E18" r:id="rId315" xr:uid="{4CE2D9E0-5DFA-49A2-B1D7-155929E31BEA}"/>
    <hyperlink ref="G121" r:id="rId316" display="https://azure.microsoft.com/services/devops/" xr:uid="{9234FE33-88B4-4408-8525-8E9835461B26}"/>
    <hyperlink ref="G122" r:id="rId317" display="https://azure.microsoft.com/services/devops/" xr:uid="{BEA4BD1B-D9E7-4256-88D9-0CDC045CDC2D}"/>
    <hyperlink ref="E125" r:id="rId318" display="https://aws.amazon.com/codebuild" xr:uid="{D8B36C97-C9EC-4943-AE38-C0B5DACDAB22}"/>
    <hyperlink ref="E20" r:id="rId319" display="https://aws.amazon.com/cli" xr:uid="{6B348156-C6DB-4161-B504-B8F6CDAFDCCF}"/>
    <hyperlink ref="E128" r:id="rId320" display="https://aws.amazon.com/cloudformation" xr:uid="{313B80B2-C406-49B2-A1F5-E8B8D7EAB1D8}"/>
    <hyperlink ref="E129" r:id="rId321" display="https://aws.amazon.com/cloudformation" xr:uid="{8A24E96F-5C10-45AA-B02B-C049F645D85F}"/>
    <hyperlink ref="E130" r:id="rId322" display="https://aws.amazon.com/cloudformation" xr:uid="{0B6EB510-B796-4BE6-ADC7-3F8FA96C4A86}"/>
    <hyperlink ref="G62" r:id="rId323" display="https://azure.microsoft.com/services/key-vault" xr:uid="{DAFD6024-6E0B-4361-AC00-7507588FF3AF}"/>
    <hyperlink ref="G157" r:id="rId324" display="https://azure.microsoft.com/services/storage/databox/" xr:uid="{2425A6FC-2C8C-4428-AB1A-0FD1005CC262}"/>
    <hyperlink ref="G156" r:id="rId325" display="https://azure.microsoft.com/services/storage/databox/" xr:uid="{0C92B4D8-9B97-4351-8CE9-2A6F28BD0ABB}"/>
    <hyperlink ref="G163" r:id="rId326" display="https://learn.microsoft.com/en-us/azure/virtual-desktop" xr:uid="{1869FD9D-8CFF-4898-94A9-1ECCCCA15246}"/>
    <hyperlink ref="E144" r:id="rId327" display="https://aws.amazon.com/blogs/aws/aws-mobile-hub-build-test-and-monitor-mobile-applications" xr:uid="{6D2129F7-D81C-4DDB-8AD5-F12BCE08A0A9}"/>
    <hyperlink ref="G32" r:id="rId328" display="Resource Groups and Tags" xr:uid="{ECB4BC16-9F67-447A-80D7-C8BD3CB11F07}"/>
    <hyperlink ref="E33" r:id="rId329" display="https://docs.aws.amazon.com/ARG" xr:uid="{85D568D3-4D6A-4E7F-AC92-221C8E1789C8}"/>
    <hyperlink ref="G33" r:id="rId330" xr:uid="{755B92E4-588D-416E-83E9-68C2563A70B5}"/>
    <hyperlink ref="E155" r:id="rId331" xr:uid="{8311C684-78DA-4DEB-8520-3FDF778F861D}"/>
    <hyperlink ref="E156" r:id="rId332" xr:uid="{1DC9B648-4EE9-4F66-B732-CC8642CE10C7}"/>
    <hyperlink ref="E157" r:id="rId333" xr:uid="{341B74E3-674E-4E2B-83DE-D8B5F6B01C5B}"/>
    <hyperlink ref="E162" r:id="rId334" xr:uid="{6A25DF31-B19A-44E0-B690-FE318064425F}"/>
    <hyperlink ref="E163" r:id="rId335" xr:uid="{1C00CAD2-3392-43BA-AD46-7F1EA33FA2F3}"/>
    <hyperlink ref="G167" r:id="rId336" display="https://products.office.com/" xr:uid="{35A4BB6D-50D3-4184-B067-730F6BBDE6BB}"/>
    <hyperlink ref="G168" r:id="rId337" display="https://products.office.com/" xr:uid="{87BE6CE3-3A87-463E-8A34-AA6D95EF1DA9}"/>
    <hyperlink ref="E166" r:id="rId338" xr:uid="{3B11D770-C280-46F4-8B47-E41B15E3E1E6}"/>
    <hyperlink ref="E167" r:id="rId339" xr:uid="{FD79DA39-CAB9-4085-87A5-066ACDAAFE0F}"/>
    <hyperlink ref="E168" r:id="rId340" xr:uid="{3853B238-AE43-428F-A756-4AC8D7DB7F87}"/>
  </hyperlinks>
  <pageMargins left="0.7" right="0.7" top="0.75" bottom="0.75" header="0.3" footer="0.3"/>
  <pageSetup orientation="portrait" r:id="rId34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6F84E-AB15-405C-AB22-6D681E822693}">
  <sheetPr codeName="Sheet18"/>
  <dimension ref="A1:I26"/>
  <sheetViews>
    <sheetView workbookViewId="0">
      <selection activeCell="I21" sqref="I21"/>
    </sheetView>
  </sheetViews>
  <sheetFormatPr defaultColWidth="7.42578125" defaultRowHeight="14.45"/>
  <cols>
    <col min="1" max="1" width="49.42578125" customWidth="1"/>
    <col min="2" max="4" width="19.28515625" customWidth="1"/>
    <col min="5" max="6" width="14.140625" customWidth="1"/>
    <col min="7" max="8" width="12.140625" customWidth="1"/>
    <col min="9" max="9" width="30.140625" customWidth="1"/>
  </cols>
  <sheetData>
    <row r="1" spans="1:9" s="23" customFormat="1">
      <c r="A1" s="22" t="s">
        <v>998</v>
      </c>
      <c r="B1" s="22" t="s">
        <v>1606</v>
      </c>
      <c r="C1" s="22" t="s">
        <v>1000</v>
      </c>
      <c r="D1" s="22" t="s">
        <v>1607</v>
      </c>
      <c r="I1" s="10" t="s">
        <v>1608</v>
      </c>
    </row>
    <row r="2" spans="1:9">
      <c r="A2" s="24" t="s">
        <v>1609</v>
      </c>
      <c r="B2" s="24" t="s">
        <v>1118</v>
      </c>
      <c r="C2" s="24" t="s">
        <v>993</v>
      </c>
      <c r="D2" s="25">
        <v>76</v>
      </c>
      <c r="E2" s="20"/>
      <c r="F2" s="25"/>
      <c r="G2" s="25">
        <v>84</v>
      </c>
      <c r="H2" s="14">
        <f t="shared" ref="H2:H7" si="0">ROUNDUP(G2*(1-10%),0)</f>
        <v>76</v>
      </c>
      <c r="I2" s="14">
        <f>G2+H2</f>
        <v>160</v>
      </c>
    </row>
    <row r="3" spans="1:9">
      <c r="A3" s="24" t="s">
        <v>1610</v>
      </c>
      <c r="B3" s="24" t="s">
        <v>1118</v>
      </c>
      <c r="C3" s="24" t="s">
        <v>1009</v>
      </c>
      <c r="D3" s="25">
        <v>51</v>
      </c>
      <c r="F3" s="25"/>
      <c r="G3" s="25">
        <v>56</v>
      </c>
      <c r="H3" s="14">
        <f t="shared" si="0"/>
        <v>51</v>
      </c>
    </row>
    <row r="4" spans="1:9">
      <c r="A4" s="24" t="s">
        <v>1611</v>
      </c>
      <c r="B4" s="24" t="s">
        <v>1147</v>
      </c>
      <c r="C4" s="24" t="s">
        <v>993</v>
      </c>
      <c r="D4" s="25">
        <v>38</v>
      </c>
      <c r="F4" s="25"/>
      <c r="G4" s="25">
        <v>42</v>
      </c>
      <c r="H4" s="14">
        <f t="shared" si="0"/>
        <v>38</v>
      </c>
    </row>
    <row r="5" spans="1:9">
      <c r="A5" s="24" t="s">
        <v>1612</v>
      </c>
      <c r="B5" s="24" t="s">
        <v>1147</v>
      </c>
      <c r="C5" s="24" t="s">
        <v>1009</v>
      </c>
      <c r="D5" s="25">
        <v>26</v>
      </c>
      <c r="F5" s="25"/>
      <c r="G5" s="25">
        <v>28</v>
      </c>
      <c r="H5" s="14">
        <f t="shared" si="0"/>
        <v>26</v>
      </c>
    </row>
    <row r="6" spans="1:9">
      <c r="A6" s="24" t="s">
        <v>1613</v>
      </c>
      <c r="B6" s="24" t="s">
        <v>1614</v>
      </c>
      <c r="C6" s="24" t="s">
        <v>993</v>
      </c>
      <c r="D6" s="25">
        <v>76</v>
      </c>
      <c r="F6" s="25"/>
      <c r="G6" s="25">
        <v>84</v>
      </c>
      <c r="H6" s="14">
        <f t="shared" si="0"/>
        <v>76</v>
      </c>
    </row>
    <row r="7" spans="1:9">
      <c r="A7" s="24" t="s">
        <v>1615</v>
      </c>
      <c r="B7" s="24" t="s">
        <v>1614</v>
      </c>
      <c r="C7" s="24" t="s">
        <v>1009</v>
      </c>
      <c r="D7" s="25">
        <v>51</v>
      </c>
      <c r="F7" s="25"/>
      <c r="G7" s="25">
        <v>56</v>
      </c>
      <c r="H7" s="14">
        <f t="shared" si="0"/>
        <v>51</v>
      </c>
    </row>
    <row r="8" spans="1:9">
      <c r="G8" s="14"/>
    </row>
    <row r="9" spans="1:9">
      <c r="G9" s="14"/>
    </row>
    <row r="10" spans="1:9">
      <c r="A10" s="22" t="s">
        <v>998</v>
      </c>
      <c r="B10" s="22" t="s">
        <v>1606</v>
      </c>
      <c r="C10" s="22" t="s">
        <v>1000</v>
      </c>
      <c r="D10" s="22" t="s">
        <v>1616</v>
      </c>
      <c r="E10" s="22" t="s">
        <v>1617</v>
      </c>
      <c r="F10" s="22" t="s">
        <v>995</v>
      </c>
      <c r="G10" s="14"/>
    </row>
    <row r="11" spans="1:9">
      <c r="A11" s="24" t="s">
        <v>1609</v>
      </c>
      <c r="B11" s="24" t="s">
        <v>1118</v>
      </c>
      <c r="C11" s="24" t="s">
        <v>993</v>
      </c>
      <c r="D11" s="26">
        <v>10</v>
      </c>
      <c r="E11" s="27">
        <v>0.1</v>
      </c>
      <c r="F11" t="str">
        <f>_xlfn.CONCAT(B11,C11,"-",D11)</f>
        <v>IaaSSi-10</v>
      </c>
      <c r="G11" s="14"/>
    </row>
    <row r="12" spans="1:9">
      <c r="A12" s="24" t="s">
        <v>1609</v>
      </c>
      <c r="B12" s="24" t="s">
        <v>1118</v>
      </c>
      <c r="C12" s="24" t="s">
        <v>993</v>
      </c>
      <c r="D12" s="26">
        <v>50</v>
      </c>
      <c r="E12" s="27">
        <v>0.2</v>
      </c>
      <c r="F12" t="str">
        <f t="shared" ref="F12:F19" si="1">_xlfn.CONCAT(B12,C12,"-",D12)</f>
        <v>IaaSSi-50</v>
      </c>
    </row>
    <row r="13" spans="1:9">
      <c r="A13" s="24" t="s">
        <v>1609</v>
      </c>
      <c r="B13" s="24" t="s">
        <v>1118</v>
      </c>
      <c r="C13" s="24" t="s">
        <v>993</v>
      </c>
      <c r="D13" s="26">
        <v>100</v>
      </c>
      <c r="E13" s="27">
        <v>0.4</v>
      </c>
      <c r="F13" t="str">
        <f t="shared" si="1"/>
        <v>IaaSSi-100</v>
      </c>
    </row>
    <row r="14" spans="1:9">
      <c r="A14" s="24" t="s">
        <v>1611</v>
      </c>
      <c r="B14" s="24" t="s">
        <v>1147</v>
      </c>
      <c r="C14" s="24" t="s">
        <v>993</v>
      </c>
      <c r="D14" s="26">
        <v>10</v>
      </c>
      <c r="E14" s="27">
        <v>0.1</v>
      </c>
      <c r="F14" t="str">
        <f t="shared" si="1"/>
        <v>PaaSSi-10</v>
      </c>
    </row>
    <row r="15" spans="1:9">
      <c r="A15" s="24" t="s">
        <v>1611</v>
      </c>
      <c r="B15" s="24" t="s">
        <v>1147</v>
      </c>
      <c r="C15" s="24" t="s">
        <v>993</v>
      </c>
      <c r="D15" s="26">
        <v>50</v>
      </c>
      <c r="E15" s="27">
        <v>0.2</v>
      </c>
      <c r="F15" t="str">
        <f t="shared" si="1"/>
        <v>PaaSSi-50</v>
      </c>
    </row>
    <row r="16" spans="1:9">
      <c r="A16" s="24" t="s">
        <v>1611</v>
      </c>
      <c r="B16" s="24" t="s">
        <v>1147</v>
      </c>
      <c r="C16" s="24" t="s">
        <v>993</v>
      </c>
      <c r="D16" s="26">
        <v>100</v>
      </c>
      <c r="E16" s="27">
        <v>0.4</v>
      </c>
      <c r="F16" t="str">
        <f t="shared" si="1"/>
        <v>PaaSSi-100</v>
      </c>
    </row>
    <row r="17" spans="1:6">
      <c r="A17" s="24" t="s">
        <v>1613</v>
      </c>
      <c r="B17" s="24" t="s">
        <v>1614</v>
      </c>
      <c r="C17" s="24" t="s">
        <v>993</v>
      </c>
      <c r="D17" s="26">
        <v>10</v>
      </c>
      <c r="E17" s="27">
        <v>0.1</v>
      </c>
      <c r="F17" t="str">
        <f t="shared" si="1"/>
        <v>OtroSi-10</v>
      </c>
    </row>
    <row r="18" spans="1:6">
      <c r="A18" s="24" t="s">
        <v>1613</v>
      </c>
      <c r="B18" s="24" t="s">
        <v>1614</v>
      </c>
      <c r="C18" s="24" t="s">
        <v>993</v>
      </c>
      <c r="D18" s="26">
        <v>50</v>
      </c>
      <c r="E18" s="27">
        <v>0.2</v>
      </c>
      <c r="F18" t="str">
        <f t="shared" si="1"/>
        <v>OtroSi-50</v>
      </c>
    </row>
    <row r="19" spans="1:6">
      <c r="A19" s="24" t="s">
        <v>1613</v>
      </c>
      <c r="B19" s="24" t="s">
        <v>1614</v>
      </c>
      <c r="C19" s="24" t="s">
        <v>993</v>
      </c>
      <c r="D19" s="26">
        <v>100</v>
      </c>
      <c r="E19" s="27">
        <v>0.4</v>
      </c>
      <c r="F19" t="str">
        <f t="shared" si="1"/>
        <v>OtroSi-100</v>
      </c>
    </row>
    <row r="22" spans="1:6">
      <c r="C22" s="22" t="s">
        <v>1618</v>
      </c>
      <c r="D22" s="22" t="s">
        <v>1619</v>
      </c>
      <c r="E22" s="22" t="s">
        <v>1617</v>
      </c>
    </row>
    <row r="23" spans="1:6">
      <c r="B23" s="40"/>
      <c r="C23">
        <v>0</v>
      </c>
      <c r="D23">
        <v>9</v>
      </c>
      <c r="E23" s="15">
        <v>0</v>
      </c>
    </row>
    <row r="24" spans="1:6">
      <c r="C24">
        <v>10</v>
      </c>
      <c r="D24">
        <v>49</v>
      </c>
      <c r="E24" s="15">
        <v>0.1</v>
      </c>
    </row>
    <row r="25" spans="1:6">
      <c r="C25">
        <v>50</v>
      </c>
      <c r="D25">
        <v>99</v>
      </c>
      <c r="E25" s="15">
        <v>0.2</v>
      </c>
    </row>
    <row r="26" spans="1:6">
      <c r="C26">
        <v>100</v>
      </c>
      <c r="D26">
        <v>1000</v>
      </c>
      <c r="E26" s="15">
        <v>0.4</v>
      </c>
    </row>
  </sheetData>
  <sheetProtection algorithmName="SHA-512" hashValue="7vLOMvnRPUBjhKAFXuoWVcBGc3FY0NDLsd/wEiiyIpnDSq9ldBoCZs3WTuqYtqp65c+7P8Y6gkujsSexEj95zQ==" saltValue="fy1S0hD9pcBJACDF9oNUFA=="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C5034866FDC040AC14F4DFC85037DA" ma:contentTypeVersion="23" ma:contentTypeDescription="Create a new document." ma:contentTypeScope="" ma:versionID="01358a30ca91080b2919a397fcf4ace5">
  <xsd:schema xmlns:xsd="http://www.w3.org/2001/XMLSchema" xmlns:xs="http://www.w3.org/2001/XMLSchema" xmlns:p="http://schemas.microsoft.com/office/2006/metadata/properties" xmlns:ns1="http://schemas.microsoft.com/sharepoint/v3" xmlns:ns2="3e389671-0adb-4eba-b02e-4474d38361f8" xmlns:ns3="1a177d12-03b0-4fda-9894-0677462b1b67" targetNamespace="http://schemas.microsoft.com/office/2006/metadata/properties" ma:root="true" ma:fieldsID="3babf081aeb70d880690c1fa441f8433" ns1:_="" ns2:_="" ns3:_="">
    <xsd:import namespace="http://schemas.microsoft.com/sharepoint/v3"/>
    <xsd:import namespace="3e389671-0adb-4eba-b02e-4474d38361f8"/>
    <xsd:import namespace="1a177d12-03b0-4fda-9894-0677462b1b6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1:_ip_UnifiedCompliancePolicyUIAction" minOccurs="0"/>
                <xsd:element ref="ns2:Documentlink" minOccurs="0"/>
                <xsd:element ref="ns1:_ip_UnifiedCompliancePolicy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UIAction" ma:index="26" nillable="true" ma:displayName="Unified Compliance Policy UI Action" ma:hidden="true" ma:internalName="_ip_UnifiedCompliancePolicyUIAction">
      <xsd:simpleType>
        <xsd:restriction base="dms:Text"/>
      </xsd:simpleType>
    </xsd:element>
    <xsd:element name="_ip_UnifiedCompliancePolicyProperties" ma:index="28" nillable="true" ma:displayName="Unified Compliance Policy Properties" ma:hidden="true" ma:internalName="_ip_UnifiedCompliancePolicyPropertie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389671-0adb-4eba-b02e-4474d38361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7f68753-1e36-4716-ad1e-f6d5661a73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Documentlink" ma:index="27" nillable="true" ma:displayName="Document link" ma:format="Hyperlink" ma:internalName="Document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Location" ma:index="2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177d12-03b0-4fda-9894-0677462b1b6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beee05d-ac21-44b2-88ad-210281624b9b}" ma:internalName="TaxCatchAll" ma:readOnly="false" ma:showField="CatchAllData" ma:web="1a177d12-03b0-4fda-9894-0677462b1b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a177d12-03b0-4fda-9894-0677462b1b67" xsi:nil="true"/>
    <lcf76f155ced4ddcb4097134ff3c332f xmlns="3e389671-0adb-4eba-b02e-4474d38361f8">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link xmlns="3e389671-0adb-4eba-b02e-4474d38361f8">
      <Url xsi:nil="true"/>
      <Description xsi:nil="true"/>
    </Documentlink>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C9E699-0A70-43F2-8223-DFB3DFE2B9D7}"/>
</file>

<file path=customXml/itemProps2.xml><?xml version="1.0" encoding="utf-8"?>
<ds:datastoreItem xmlns:ds="http://schemas.openxmlformats.org/officeDocument/2006/customXml" ds:itemID="{F246DE19-9FB6-4E43-9250-2DF58C86488F}"/>
</file>

<file path=customXml/itemProps3.xml><?xml version="1.0" encoding="utf-8"?>
<ds:datastoreItem xmlns:ds="http://schemas.openxmlformats.org/officeDocument/2006/customXml" ds:itemID="{D04A5897-DEF2-4FB7-90ED-4DC814E074A8}"/>
</file>

<file path=customXml/itemProps4.xml><?xml version="1.0" encoding="utf-8"?>
<ds:datastoreItem xmlns:ds="http://schemas.openxmlformats.org/officeDocument/2006/customXml" ds:itemID="{E68AC111-0BF3-423B-83ED-0EA8629A2B7B}"/>
</file>

<file path=docProps/app.xml><?xml version="1.0" encoding="utf-8"?>
<Properties xmlns="http://schemas.openxmlformats.org/officeDocument/2006/extended-properties" xmlns:vt="http://schemas.openxmlformats.org/officeDocument/2006/docPropsVTypes">
  <Application>Microsoft Excel Online</Application>
  <Manager/>
  <Company>SoftwareONE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Llerena, Marlon</dc:creator>
  <cp:keywords/>
  <dc:description/>
  <cp:lastModifiedBy>Hung, Yun</cp:lastModifiedBy>
  <cp:revision/>
  <dcterms:created xsi:type="dcterms:W3CDTF">2015-08-19T15:30:41Z</dcterms:created>
  <dcterms:modified xsi:type="dcterms:W3CDTF">2026-04-22T16:13:32Z</dcterms:modified>
  <cp:category>Private Financial</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0x010100C9C5034866FDC040AC14F4DFC85037DA</vt:lpwstr>
  </property>
  <property fmtid="{D5CDD505-2E9C-101B-9397-08002B2CF9AE}" pid="3" name="MediaServiceImageTags">
    <vt:lpwstr/>
  </property>
  <property fmtid="{D5CDD505-2E9C-101B-9397-08002B2CF9AE}" pid="4" name="MSIP_Label_2143fa4b-5d09-4e1a-805d-ea9184b24c7c_Enabled">
    <vt:lpwstr>true</vt:lpwstr>
  </property>
  <property fmtid="{D5CDD505-2E9C-101B-9397-08002B2CF9AE}" pid="5" name="MSIP_Label_2143fa4b-5d09-4e1a-805d-ea9184b24c7c_SetDate">
    <vt:lpwstr>2024-12-17T21:20:58Z</vt:lpwstr>
  </property>
  <property fmtid="{D5CDD505-2E9C-101B-9397-08002B2CF9AE}" pid="6" name="MSIP_Label_2143fa4b-5d09-4e1a-805d-ea9184b24c7c_Method">
    <vt:lpwstr>Standard</vt:lpwstr>
  </property>
  <property fmtid="{D5CDD505-2E9C-101B-9397-08002B2CF9AE}" pid="7" name="MSIP_Label_2143fa4b-5d09-4e1a-805d-ea9184b24c7c_Name">
    <vt:lpwstr>Private_Financial</vt:lpwstr>
  </property>
  <property fmtid="{D5CDD505-2E9C-101B-9397-08002B2CF9AE}" pid="8" name="MSIP_Label_2143fa4b-5d09-4e1a-805d-ea9184b24c7c_SiteId">
    <vt:lpwstr>1dc9b339-fadb-432e-86df-423c38a0fcb8</vt:lpwstr>
  </property>
  <property fmtid="{D5CDD505-2E9C-101B-9397-08002B2CF9AE}" pid="9" name="MSIP_Label_2143fa4b-5d09-4e1a-805d-ea9184b24c7c_ActionId">
    <vt:lpwstr>4832b681-b5f7-477a-bcdf-9f4bbecc7ccb</vt:lpwstr>
  </property>
  <property fmtid="{D5CDD505-2E9C-101B-9397-08002B2CF9AE}" pid="10" name="MSIP_Label_2143fa4b-5d09-4e1a-805d-ea9184b24c7c_GeneratedBy">
    <vt:lpwstr>Cognni</vt:lpwstr>
  </property>
  <property fmtid="{D5CDD505-2E9C-101B-9397-08002B2CF9AE}" pid="11" name="MSIP_Label_2143fa4b-5d09-4e1a-805d-ea9184b24c7c_Category">
    <vt:lpwstr>Private Financial</vt:lpwstr>
  </property>
  <property fmtid="{D5CDD505-2E9C-101B-9397-08002B2CF9AE}" pid="12" name="MSIP_Label_2143fa4b-5d09-4e1a-805d-ea9184b24c7c_ContentBits">
    <vt:lpwstr>0</vt:lpwstr>
  </property>
  <property fmtid="{D5CDD505-2E9C-101B-9397-08002B2CF9AE}" pid="13" name="CognniClassificationMarked">
    <vt:lpwstr>1</vt:lpwstr>
  </property>
  <property fmtid="{D5CDD505-2E9C-101B-9397-08002B2CF9AE}" pid="14" name="Order">
    <vt:r8>5282700</vt:r8>
  </property>
  <property fmtid="{D5CDD505-2E9C-101B-9397-08002B2CF9AE}" pid="15" name="xd_Signature">
    <vt:bool>false</vt:bool>
  </property>
  <property fmtid="{D5CDD505-2E9C-101B-9397-08002B2CF9AE}" pid="16" name="xd_ProgID">
    <vt:lpwstr/>
  </property>
  <property fmtid="{D5CDD505-2E9C-101B-9397-08002B2CF9AE}" pid="17" name="_SourceUrl">
    <vt:lpwstr/>
  </property>
  <property fmtid="{D5CDD505-2E9C-101B-9397-08002B2CF9AE}" pid="18" name="_SharedFileIndex">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ies>
</file>